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Vantongeren_F\BACKUP\SVN_METRO_new\trunk\Projects\Digital_sales_tax_2\build_data\"/>
    </mc:Choice>
  </mc:AlternateContent>
  <bookViews>
    <workbookView xWindow="0" yWindow="0" windowWidth="22823" windowHeight="11751" activeTab="1"/>
  </bookViews>
  <sheets>
    <sheet name="layout" sheetId="6" r:id="rId1"/>
    <sheet name="Readme" sheetId="21" r:id="rId2"/>
    <sheet name="sets-maps" sheetId="20" r:id="rId3"/>
    <sheet name="original_sets-maps" sheetId="4" r:id="rId4"/>
    <sheet name="Documentation c f k" sheetId="23" r:id="rId5"/>
    <sheet name="example 5_8_5" sheetId="22" r:id="rId6"/>
    <sheet name="example 6_8_4" sheetId="24" r:id="rId7"/>
  </sheets>
  <definedNames>
    <definedName name="_xlnm._FilterDatabase" localSheetId="3" hidden="1">'original_sets-maps'!$A$4:$X$4</definedName>
    <definedName name="_xlnm._FilterDatabase" localSheetId="2" hidden="1">'sets-maps'!$A$4:$DA$3874</definedName>
    <definedName name="factor_groupings">OFFSET('sets-maps'!$M$5,0,0,COUNTA('sets-maps'!$M:$M)-COUNTA('sets-maps'!$M$1:$M$4),1)</definedName>
    <definedName name="fgrouping_f">OFFSET('original_sets-maps'!$Z$5,0,0,COUNTA('original_sets-maps'!$Z:$Z)-COUNTA('original_sets-maps'!$Z$1:$Z$4),1)</definedName>
    <definedName name="fgrouping_fg">OFFSET('original_sets-maps'!$AA$5,0,0,COUNTA('original_sets-maps'!$AA:$AA)-COUNTA('original_sets-maps'!$AA$1:$AA$4),1)</definedName>
    <definedName name="Map_factors_metro">OFFSET('sets-maps'!$L$5,0,0,COUNTA('sets-maps'!$L:$L)-COUNTA('sets-maps'!$L$1:$L$4),1)</definedName>
    <definedName name="Map_factors_user">OFFSET('sets-maps'!$K$5,0,0,COUNTA('sets-maps'!$K:$K)-COUNTA('sets-maps'!$K$1:$K$4),1)</definedName>
    <definedName name="Map_sectors_Metro">OFFSET('sets-maps'!$T$5,0,0,COUNTA('sets-maps'!$T:$T)-COUNTA('sets-maps'!$T$1:$T$4),1)</definedName>
    <definedName name="Map_sectors_user">OFFSET('sets-maps'!$S$5,0,0,COUNTA('sets-maps'!$S:$S)-COUNTA('sets-maps'!$S$1:$S$4),1)</definedName>
    <definedName name="Mapk_kk_k">OFFSET('sets-maps'!$D$5,0,0,COUNTA('sets-maps'!$D:$D)-COUNTA('sets-maps'!$D$1:$D$4),1)</definedName>
    <definedName name="Mapk_kk_kk">OFFSET('sets-maps'!$E$5,0,0,COUNTA('sets-maps'!$E:$E)-COUNTA('sets-maps'!$E$1:$E$4),1)</definedName>
    <definedName name="MapUserMetro_Factors">OFFSET('sets-maps'!$K$5,0,0,COUNTA('sets-maps'!$K:$K)-COUNTA('sets-maps'!$K$1:$K$4),2)</definedName>
    <definedName name="MapUserMetro_Regions">OFFSET('sets-maps'!$D$5,0,0,COUNTA('sets-maps'!$D:$D)-COUNTA('sets-maps'!$D$1:$D$4),2)</definedName>
    <definedName name="MapUserMetro_Sectors">OFFSET('sets-maps'!$S$5,0,0,COUNTA('sets-maps'!$S:$S)-COUNTA('sets-maps'!$S$1:$S$4),2)</definedName>
    <definedName name="ORIG_cc">OFFSET('original_sets-maps'!$G$5,0,0,COUNTA('original_sets-maps'!$G:$G)-COUNTA('original_sets-maps'!$G$1:$G$4),1)</definedName>
    <definedName name="ORIG_ff">OFFSET('original_sets-maps'!$K$5,0,0,COUNTA('original_sets-maps'!$K:$K)-COUNTA('original_sets-maps'!$K$1:$K$4),1)</definedName>
    <definedName name="ORIG_regions">OFFSET('original_sets-maps'!$D$5,0,0,COUNTA('original_sets-maps'!$D:$D)-COUNTA('original_sets-maps'!$D$1:$D$4),1)</definedName>
    <definedName name="sector_groupings">OFFSET('sets-maps'!$U$5,0,0,COUNTA('sets-maps'!$U:$U)-COUNTA('sets-maps'!$U$1:$U$4),1)</definedName>
    <definedName name="sgroupings_s">OFFSET('original_sets-maps'!$W$5,0,0,COUNTA('original_sets-maps'!$W:$W)-COUNTA('original_sets-maps'!$W$1:$W$4),1)</definedName>
    <definedName name="sgroupings_sg">OFFSET('original_sets-maps'!$X$5,0,0,COUNTA('original_sets-maps'!$X:$X)-COUNTA('original_sets-maps'!$X$1:$X$4),1)</definedName>
    <definedName name="UserFactors">OFFSET('sets-maps'!$G$5,0,0,COUNTA('sets-maps'!$G:$G)-COUNTA('sets-maps'!$G$1:$G$4),1)</definedName>
    <definedName name="userFactors_desc">OFFSET('sets-maps'!$H$5,0,0,COUNTA('sets-maps'!$H:$H)-COUNTA('sets-maps'!$H$1:$H$4),1)</definedName>
    <definedName name="UserRegions">OFFSET('sets-maps'!$A$5,0,0,COUNTA('sets-maps'!$A:$A)-COUNTA('sets-maps'!$A$1:$A$4),1)</definedName>
    <definedName name="userRegions_desc">OFFSET('sets-maps'!$B$5,0,0,COUNTA('sets-maps'!$B:$B)-COUNTA('sets-maps'!$B$1:$B$4),1)</definedName>
    <definedName name="UserSectors" xml:space="preserve"> OFFSET('sets-maps'!$O$5,0,0,COUNTA('sets-maps'!$O:$O)-COUNTA('sets-maps'!$O$1:$O$4),1)</definedName>
    <definedName name="userSectors_desc">OFFSET('sets-maps'!$P$5,0,0,COUNTA('sets-maps'!$P:$P)-COUNTA('sets-maps'!$P$1:$P$4),1)</definedName>
  </definedNames>
  <calcPr calcId="162913"/>
</workbook>
</file>

<file path=xl/calcChain.xml><?xml version="1.0" encoding="utf-8"?>
<calcChain xmlns="http://schemas.openxmlformats.org/spreadsheetml/2006/main">
  <c r="V69" i="20" l="1"/>
  <c r="V68" i="20"/>
  <c r="V67" i="20"/>
  <c r="V66" i="20"/>
  <c r="V65" i="20"/>
  <c r="V64" i="20"/>
  <c r="V63" i="20"/>
  <c r="V62" i="20"/>
  <c r="V61" i="20"/>
  <c r="V60" i="20"/>
  <c r="V59" i="20"/>
  <c r="V58" i="20"/>
  <c r="V57" i="20"/>
  <c r="V56" i="20"/>
  <c r="V55" i="20"/>
  <c r="V54" i="20"/>
  <c r="V53" i="20"/>
  <c r="V52" i="20"/>
  <c r="V51" i="20"/>
  <c r="V50" i="20"/>
  <c r="V49" i="20"/>
  <c r="V48" i="20"/>
  <c r="V47" i="20"/>
  <c r="V46" i="20"/>
  <c r="V45" i="20"/>
  <c r="V44" i="20"/>
  <c r="V43" i="20"/>
  <c r="V42" i="20"/>
  <c r="V41" i="20"/>
  <c r="V40" i="20"/>
  <c r="V39" i="20"/>
  <c r="V38" i="20"/>
  <c r="V37" i="20"/>
  <c r="V36" i="20"/>
  <c r="V35" i="20"/>
  <c r="V34" i="20"/>
  <c r="V33" i="20"/>
  <c r="V32" i="20"/>
  <c r="V31" i="20"/>
  <c r="V30" i="20"/>
  <c r="V29" i="20"/>
  <c r="V28" i="20"/>
  <c r="V27" i="20"/>
  <c r="V26" i="20"/>
  <c r="V25" i="20"/>
  <c r="V24" i="20"/>
  <c r="V23" i="20"/>
  <c r="V22" i="20"/>
  <c r="V21" i="20"/>
  <c r="V20" i="20"/>
  <c r="V19" i="20"/>
  <c r="V18" i="20"/>
  <c r="V17" i="20"/>
  <c r="V16" i="20"/>
  <c r="V15" i="20"/>
  <c r="V14" i="20"/>
  <c r="V13" i="20"/>
  <c r="V12" i="20"/>
  <c r="V11" i="20"/>
  <c r="V10" i="20"/>
  <c r="V9" i="20"/>
  <c r="V8" i="20"/>
  <c r="V7" i="20"/>
  <c r="V6" i="20"/>
  <c r="V5" i="20"/>
  <c r="U5" i="20" l="1"/>
  <c r="U69" i="20"/>
  <c r="U68" i="20"/>
  <c r="U67" i="20"/>
  <c r="U66" i="20"/>
  <c r="U65" i="20"/>
  <c r="U64" i="20"/>
  <c r="U63" i="20"/>
  <c r="U62" i="20"/>
  <c r="E23" i="21" l="1"/>
  <c r="E19" i="21"/>
  <c r="M12" i="20" l="1"/>
  <c r="M11" i="20"/>
  <c r="M10" i="20"/>
  <c r="M9" i="20"/>
  <c r="M8" i="20"/>
  <c r="M7" i="20"/>
  <c r="M6" i="20"/>
  <c r="M5" i="20"/>
  <c r="U6" i="20" l="1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Q69" i="20" l="1"/>
  <c r="Q53" i="20"/>
  <c r="Q37" i="20"/>
  <c r="Q21" i="20"/>
  <c r="Q64" i="20"/>
  <c r="Q48" i="20"/>
  <c r="Q32" i="20"/>
  <c r="Q16" i="20"/>
  <c r="Q59" i="20"/>
  <c r="Q43" i="20"/>
  <c r="Q27" i="20"/>
  <c r="Q11" i="20"/>
  <c r="Q54" i="20"/>
  <c r="Q38" i="20"/>
  <c r="Q22" i="20"/>
  <c r="Q61" i="20"/>
  <c r="Q45" i="20"/>
  <c r="Q29" i="20"/>
  <c r="Q13" i="20"/>
  <c r="Q56" i="20"/>
  <c r="Q40" i="20"/>
  <c r="Q24" i="20"/>
  <c r="Q67" i="20"/>
  <c r="Q51" i="20"/>
  <c r="Q35" i="20"/>
  <c r="Q19" i="20"/>
  <c r="Q62" i="20"/>
  <c r="Q46" i="20"/>
  <c r="Q30" i="20"/>
  <c r="Q14" i="20"/>
  <c r="Q57" i="20"/>
  <c r="Q41" i="20"/>
  <c r="Q25" i="20"/>
  <c r="Q68" i="20"/>
  <c r="Q52" i="20"/>
  <c r="Q36" i="20"/>
  <c r="Q20" i="20"/>
  <c r="Q63" i="20"/>
  <c r="Q47" i="20"/>
  <c r="Q31" i="20"/>
  <c r="Q15" i="20"/>
  <c r="Q58" i="20"/>
  <c r="Q42" i="20"/>
  <c r="Q26" i="20"/>
  <c r="Q65" i="20"/>
  <c r="Q49" i="20"/>
  <c r="Q33" i="20"/>
  <c r="Q17" i="20"/>
  <c r="Q60" i="20"/>
  <c r="Q44" i="20"/>
  <c r="Q28" i="20"/>
  <c r="Q12" i="20"/>
  <c r="Q55" i="20"/>
  <c r="Q39" i="20"/>
  <c r="Q23" i="20"/>
  <c r="Q66" i="20"/>
  <c r="Q50" i="20"/>
  <c r="Q34" i="20"/>
  <c r="Q18" i="20"/>
  <c r="Q9" i="20"/>
  <c r="Q8" i="20"/>
  <c r="Q6" i="20"/>
  <c r="Q7" i="20"/>
  <c r="Q10" i="20"/>
  <c r="Q5" i="20"/>
  <c r="I11" i="20"/>
  <c r="I7" i="20"/>
  <c r="I6" i="20"/>
  <c r="I12" i="20"/>
  <c r="I10" i="20"/>
  <c r="I9" i="20"/>
  <c r="I8" i="20"/>
  <c r="I5" i="20"/>
  <c r="F67" i="21"/>
  <c r="E67" i="21"/>
  <c r="D67" i="21"/>
  <c r="E15" i="21" l="1"/>
  <c r="H67" i="21"/>
  <c r="G24" i="21"/>
  <c r="G20" i="21"/>
  <c r="G16" i="21"/>
  <c r="E24" i="21"/>
  <c r="E20" i="21"/>
  <c r="E8" i="21" l="1"/>
  <c r="E7" i="21"/>
  <c r="E6" i="21"/>
  <c r="E16" i="21" l="1"/>
</calcChain>
</file>

<file path=xl/comments1.xml><?xml version="1.0" encoding="utf-8"?>
<comments xmlns="http://schemas.openxmlformats.org/spreadsheetml/2006/main">
  <authors>
    <author>scottm</author>
  </authors>
  <commentList>
    <comment ref="A3" authorId="0" shapeId="0">
      <text>
        <r>
          <rPr>
            <b/>
            <sz val="8"/>
            <color indexed="81"/>
            <rFont val="Tahoma"/>
            <family val="2"/>
          </rPr>
          <t>scottm:</t>
        </r>
        <r>
          <rPr>
            <sz val="8"/>
            <color indexed="81"/>
            <rFont val="Tahoma"/>
            <family val="2"/>
          </rPr>
          <t xml:space="preserve">
Dset  - GAMS set
par - parameter</t>
        </r>
      </text>
    </comment>
    <comment ref="B3" authorId="0" shapeId="0">
      <text>
        <r>
          <rPr>
            <b/>
            <sz val="8"/>
            <color indexed="81"/>
            <rFont val="Tahoma"/>
            <family val="2"/>
          </rPr>
          <t>scottm:</t>
        </r>
        <r>
          <rPr>
            <sz val="8"/>
            <color indexed="81"/>
            <rFont val="Tahoma"/>
            <family val="2"/>
          </rPr>
          <t xml:space="preserve">
Name of the set or parameter</t>
        </r>
      </text>
    </comment>
    <comment ref="C3" authorId="0" shapeId="0">
      <text>
        <r>
          <rPr>
            <b/>
            <sz val="8"/>
            <color indexed="81"/>
            <rFont val="Tahoma"/>
            <family val="2"/>
          </rPr>
          <t>scottm:</t>
        </r>
        <r>
          <rPr>
            <sz val="8"/>
            <color indexed="81"/>
            <rFont val="Tahoma"/>
            <family val="2"/>
          </rPr>
          <t xml:space="preserve">
expressed as
worksheet:range(??:??)</t>
        </r>
      </text>
    </comment>
  </commentList>
</comments>
</file>

<file path=xl/sharedStrings.xml><?xml version="1.0" encoding="utf-8"?>
<sst xmlns="http://schemas.openxmlformats.org/spreadsheetml/2006/main" count="12461" uniqueCount="3000">
  <si>
    <t>aacoa</t>
  </si>
  <si>
    <t>ffLand</t>
  </si>
  <si>
    <t>ffCapital</t>
  </si>
  <si>
    <t>HHOUS</t>
  </si>
  <si>
    <t>DDIRTAX</t>
  </si>
  <si>
    <t>GGovt</t>
  </si>
  <si>
    <t>KKAP</t>
  </si>
  <si>
    <t>TTOTAL</t>
  </si>
  <si>
    <t>kk</t>
  </si>
  <si>
    <t>New SAM accounts</t>
  </si>
  <si>
    <t>(description)</t>
  </si>
  <si>
    <t>Sets</t>
  </si>
  <si>
    <t>LAYOUT</t>
  </si>
  <si>
    <t>Data Type</t>
  </si>
  <si>
    <t>Name</t>
  </si>
  <si>
    <t>Location</t>
  </si>
  <si>
    <t>Row dimension</t>
  </si>
  <si>
    <t>Column dimension</t>
  </si>
  <si>
    <t>Total dimension</t>
  </si>
  <si>
    <t>rdim</t>
  </si>
  <si>
    <t>cdim</t>
  </si>
  <si>
    <t>dim</t>
  </si>
  <si>
    <t>dset</t>
  </si>
  <si>
    <t>ss</t>
  </si>
  <si>
    <t>set</t>
  </si>
  <si>
    <t>usa</t>
  </si>
  <si>
    <t>PPRODTAX</t>
  </si>
  <si>
    <t>Land</t>
  </si>
  <si>
    <t>aapdr</t>
  </si>
  <si>
    <t>aawht</t>
  </si>
  <si>
    <t>aagro</t>
  </si>
  <si>
    <t>aav_f</t>
  </si>
  <si>
    <t>aaosd</t>
  </si>
  <si>
    <t>aac_b</t>
  </si>
  <si>
    <t>aapfb</t>
  </si>
  <si>
    <t>aaocr</t>
  </si>
  <si>
    <t>aactl</t>
  </si>
  <si>
    <t>aaoap</t>
  </si>
  <si>
    <t>aarmk</t>
  </si>
  <si>
    <t>aawol</t>
  </si>
  <si>
    <t>aafrs</t>
  </si>
  <si>
    <t>aafsh</t>
  </si>
  <si>
    <t>aaoil</t>
  </si>
  <si>
    <t>aagas</t>
  </si>
  <si>
    <t>aacmt</t>
  </si>
  <si>
    <t>aaomt</t>
  </si>
  <si>
    <t>aavol</t>
  </si>
  <si>
    <t>aamil</t>
  </si>
  <si>
    <t>aapcr</t>
  </si>
  <si>
    <t>aasgr</t>
  </si>
  <si>
    <t>aaofd</t>
  </si>
  <si>
    <t>aab_t</t>
  </si>
  <si>
    <t>aatex</t>
  </si>
  <si>
    <t>aawap</t>
  </si>
  <si>
    <t>aalea</t>
  </si>
  <si>
    <t>aalum</t>
  </si>
  <si>
    <t>aappp</t>
  </si>
  <si>
    <t>aanmm</t>
  </si>
  <si>
    <t>aai_s</t>
  </si>
  <si>
    <t>aanfm</t>
  </si>
  <si>
    <t>aafmp</t>
  </si>
  <si>
    <t>aamvh</t>
  </si>
  <si>
    <t>aaotn</t>
  </si>
  <si>
    <t>aaele</t>
  </si>
  <si>
    <t>aaome</t>
  </si>
  <si>
    <t>aaomf</t>
  </si>
  <si>
    <t>aaely</t>
  </si>
  <si>
    <t>aagdt</t>
  </si>
  <si>
    <t>aawtr</t>
  </si>
  <si>
    <t>aacns</t>
  </si>
  <si>
    <t>aatrd</t>
  </si>
  <si>
    <t>aaotp</t>
  </si>
  <si>
    <t>aawtp</t>
  </si>
  <si>
    <t>aaatp</t>
  </si>
  <si>
    <t>aaofi</t>
  </si>
  <si>
    <t>aaros</t>
  </si>
  <si>
    <t>aaosg</t>
  </si>
  <si>
    <t>aadwe</t>
  </si>
  <si>
    <t>tffLand</t>
  </si>
  <si>
    <t>tffCapital</t>
  </si>
  <si>
    <t>aus</t>
  </si>
  <si>
    <t>nzl</t>
  </si>
  <si>
    <t>chn</t>
  </si>
  <si>
    <t>hkg</t>
  </si>
  <si>
    <t>jpn</t>
  </si>
  <si>
    <t>kor</t>
  </si>
  <si>
    <t>twn</t>
  </si>
  <si>
    <t>idn</t>
  </si>
  <si>
    <t>mys</t>
  </si>
  <si>
    <t>phl</t>
  </si>
  <si>
    <t>sgp</t>
  </si>
  <si>
    <t>tha</t>
  </si>
  <si>
    <t>vnm</t>
  </si>
  <si>
    <t>ind</t>
  </si>
  <si>
    <t>can</t>
  </si>
  <si>
    <t>mex</t>
  </si>
  <si>
    <t>arg</t>
  </si>
  <si>
    <t>bra</t>
  </si>
  <si>
    <t>chl</t>
  </si>
  <si>
    <t>aut</t>
  </si>
  <si>
    <t>dnk</t>
  </si>
  <si>
    <t>fin</t>
  </si>
  <si>
    <t>fra</t>
  </si>
  <si>
    <t>deu</t>
  </si>
  <si>
    <t>gbr</t>
  </si>
  <si>
    <t>grc</t>
  </si>
  <si>
    <t>irl</t>
  </si>
  <si>
    <t>ita</t>
  </si>
  <si>
    <t>nld</t>
  </si>
  <si>
    <t>prt</t>
  </si>
  <si>
    <t>esp</t>
  </si>
  <si>
    <t>swe</t>
  </si>
  <si>
    <t>bel</t>
  </si>
  <si>
    <t>lux</t>
  </si>
  <si>
    <t>che</t>
  </si>
  <si>
    <t>cyp</t>
  </si>
  <si>
    <t>mlt</t>
  </si>
  <si>
    <t>hun</t>
  </si>
  <si>
    <t>pol</t>
  </si>
  <si>
    <t>bgr</t>
  </si>
  <si>
    <t>cze</t>
  </si>
  <si>
    <t>svk</t>
  </si>
  <si>
    <t>svn</t>
  </si>
  <si>
    <t>est</t>
  </si>
  <si>
    <t>lva</t>
  </si>
  <si>
    <t>ltu</t>
  </si>
  <si>
    <t>rus</t>
  </si>
  <si>
    <t>tur</t>
  </si>
  <si>
    <t>zaf</t>
  </si>
  <si>
    <t>ccpdr</t>
  </si>
  <si>
    <t>ccwht</t>
  </si>
  <si>
    <t>ccgro</t>
  </si>
  <si>
    <t>ccv_f</t>
  </si>
  <si>
    <t>ccosd</t>
  </si>
  <si>
    <t>ccc_b</t>
  </si>
  <si>
    <t>ccpfb</t>
  </si>
  <si>
    <t>ccocr</t>
  </si>
  <si>
    <t>ccctl</t>
  </si>
  <si>
    <t>ccoap</t>
  </si>
  <si>
    <t>ccrmk</t>
  </si>
  <si>
    <t>ccwol</t>
  </si>
  <si>
    <t>ccfrs</t>
  </si>
  <si>
    <t>ccfsh</t>
  </si>
  <si>
    <t>cccoa</t>
  </si>
  <si>
    <t>ccoil</t>
  </si>
  <si>
    <t>ccgas</t>
  </si>
  <si>
    <t>cccmt</t>
  </si>
  <si>
    <t>ccomt</t>
  </si>
  <si>
    <t>ccvol</t>
  </si>
  <si>
    <t>ccmil</t>
  </si>
  <si>
    <t>ccpcr</t>
  </si>
  <si>
    <t>ccsgr</t>
  </si>
  <si>
    <t>ccofd</t>
  </si>
  <si>
    <t>ccb_t</t>
  </si>
  <si>
    <t>cctex</t>
  </si>
  <si>
    <t>ccwap</t>
  </si>
  <si>
    <t>cclea</t>
  </si>
  <si>
    <t>cclum</t>
  </si>
  <si>
    <t>ccppp</t>
  </si>
  <si>
    <t>ccnmm</t>
  </si>
  <si>
    <t>cci_s</t>
  </si>
  <si>
    <t>ccnfm</t>
  </si>
  <si>
    <t>ccfmp</t>
  </si>
  <si>
    <t>ccmvh</t>
  </si>
  <si>
    <t>ccotn</t>
  </si>
  <si>
    <t>ccele</t>
  </si>
  <si>
    <t>ccome</t>
  </si>
  <si>
    <t>ccomf</t>
  </si>
  <si>
    <t>ccely</t>
  </si>
  <si>
    <t>ccgdt</t>
  </si>
  <si>
    <t>ccwtr</t>
  </si>
  <si>
    <t>cccns</t>
  </si>
  <si>
    <t>cctrd</t>
  </si>
  <si>
    <t>ccotp</t>
  </si>
  <si>
    <t>ccwtp</t>
  </si>
  <si>
    <t>ccatp</t>
  </si>
  <si>
    <t>ccofi</t>
  </si>
  <si>
    <t>ccros</t>
  </si>
  <si>
    <t>ccosg</t>
  </si>
  <si>
    <t>ccdwe</t>
  </si>
  <si>
    <t>glo</t>
  </si>
  <si>
    <t>Australia</t>
  </si>
  <si>
    <t>New Zealand</t>
  </si>
  <si>
    <t>China</t>
  </si>
  <si>
    <t>Hong Kong</t>
  </si>
  <si>
    <t>Japan</t>
  </si>
  <si>
    <t>Korea</t>
  </si>
  <si>
    <t>Taiwan</t>
  </si>
  <si>
    <t>Cambodia</t>
  </si>
  <si>
    <t>Indonesia</t>
  </si>
  <si>
    <t>Malaysia</t>
  </si>
  <si>
    <t>Philippines</t>
  </si>
  <si>
    <t>Singapore</t>
  </si>
  <si>
    <t>Thailand</t>
  </si>
  <si>
    <t>India</t>
  </si>
  <si>
    <t>Canada</t>
  </si>
  <si>
    <t>United States of America</t>
  </si>
  <si>
    <t>Mexico</t>
  </si>
  <si>
    <t>Argentina</t>
  </si>
  <si>
    <t>Brazil</t>
  </si>
  <si>
    <t>Chile</t>
  </si>
  <si>
    <t>Austria</t>
  </si>
  <si>
    <t>Belgium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</si>
  <si>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</si>
  <si>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</si>
  <si>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</si>
  <si>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</si>
  <si>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</si>
  <si>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</si>
  <si>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</si>
  <si>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</si>
  <si>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</si>
  <si>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</si>
  <si>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</si>
  <si>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</si>
  <si>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</si>
  <si>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</si>
  <si>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</si>
  <si>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</si>
  <si>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</si>
  <si>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</si>
  <si>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Slovakia</t>
  </si>
  <si>
    <t>Slovenia</t>
  </si>
  <si>
    <t>Spain</t>
  </si>
  <si>
    <t>Sweden</t>
  </si>
  <si>
    <t>United Kingdom</t>
  </si>
  <si>
    <t>Switzerland</t>
  </si>
  <si>
    <t>Norway</t>
  </si>
  <si>
    <t>Bulgaria</t>
  </si>
  <si>
    <t>Romania</t>
  </si>
  <si>
    <t>Russian Federation</t>
  </si>
  <si>
    <t>Turkey</t>
  </si>
  <si>
    <t>South Africa</t>
  </si>
  <si>
    <t>khm</t>
  </si>
  <si>
    <t>nor</t>
  </si>
  <si>
    <t>rou</t>
  </si>
  <si>
    <t>ffNatRes</t>
  </si>
  <si>
    <t>Israel</t>
  </si>
  <si>
    <t>Saudi Arabia</t>
  </si>
  <si>
    <t>tffNatRes</t>
  </si>
  <si>
    <t>isr</t>
  </si>
  <si>
    <t>sau</t>
  </si>
  <si>
    <t>Viet Nam</t>
  </si>
  <si>
    <t>Rest of the World</t>
  </si>
  <si>
    <t>GLOBE</t>
  </si>
  <si>
    <t>ccins</t>
  </si>
  <si>
    <t>aains</t>
  </si>
  <si>
    <t>tmuiaus</t>
  </si>
  <si>
    <t>tmuinzl</t>
  </si>
  <si>
    <t>tmuichn</t>
  </si>
  <si>
    <t>tmuihkg</t>
  </si>
  <si>
    <t>tmuijpn</t>
  </si>
  <si>
    <t>tmuikor</t>
  </si>
  <si>
    <t>tmuitwn</t>
  </si>
  <si>
    <t>tmuikhm</t>
  </si>
  <si>
    <t>tmuiidn</t>
  </si>
  <si>
    <t>tmuimys</t>
  </si>
  <si>
    <t>tmuiphl</t>
  </si>
  <si>
    <t>tmuisgp</t>
  </si>
  <si>
    <t>tmuitha</t>
  </si>
  <si>
    <t>tmuivnm</t>
  </si>
  <si>
    <t>tmuiind</t>
  </si>
  <si>
    <t>tmuican</t>
  </si>
  <si>
    <t>tmuiusa</t>
  </si>
  <si>
    <t>tmuimex</t>
  </si>
  <si>
    <t>tmuiarg</t>
  </si>
  <si>
    <t>tmuibra</t>
  </si>
  <si>
    <t>tmuichl</t>
  </si>
  <si>
    <t>tmuiaut</t>
  </si>
  <si>
    <t>tmuibel</t>
  </si>
  <si>
    <t>tmuicyp</t>
  </si>
  <si>
    <t>tmuicze</t>
  </si>
  <si>
    <t>tmuidnk</t>
  </si>
  <si>
    <t>tmuiest</t>
  </si>
  <si>
    <t>tmuifin</t>
  </si>
  <si>
    <t>tmuifra</t>
  </si>
  <si>
    <t>tmuideu</t>
  </si>
  <si>
    <t>tmuigrc</t>
  </si>
  <si>
    <t>tmuihun</t>
  </si>
  <si>
    <t>tmuiirl</t>
  </si>
  <si>
    <t>tmuiita</t>
  </si>
  <si>
    <t>tmuilva</t>
  </si>
  <si>
    <t>tmuiltu</t>
  </si>
  <si>
    <t>tmuilux</t>
  </si>
  <si>
    <t>tmuimlt</t>
  </si>
  <si>
    <t>tmuinld</t>
  </si>
  <si>
    <t>tmuipol</t>
  </si>
  <si>
    <t>tmuiprt</t>
  </si>
  <si>
    <t>tmuisvk</t>
  </si>
  <si>
    <t>tmuisvn</t>
  </si>
  <si>
    <t>tmuiesp</t>
  </si>
  <si>
    <t>tmuiswe</t>
  </si>
  <si>
    <t>tmuigbr</t>
  </si>
  <si>
    <t>tmuiche</t>
  </si>
  <si>
    <t>tmuinor</t>
  </si>
  <si>
    <t>tmuibgr</t>
  </si>
  <si>
    <t>tmuirou</t>
  </si>
  <si>
    <t>tmuirus</t>
  </si>
  <si>
    <t>tmuiisr</t>
  </si>
  <si>
    <t>tmuisau</t>
  </si>
  <si>
    <t>tmuitur</t>
  </si>
  <si>
    <t>tmuizaf</t>
  </si>
  <si>
    <t>tmuiglo</t>
  </si>
  <si>
    <t>tmuhaus</t>
  </si>
  <si>
    <t>tmuhnzl</t>
  </si>
  <si>
    <t>tmuhchn</t>
  </si>
  <si>
    <t>tmuhhkg</t>
  </si>
  <si>
    <t>tmuhjpn</t>
  </si>
  <si>
    <t>tmuhkor</t>
  </si>
  <si>
    <t>tmuhtwn</t>
  </si>
  <si>
    <t>tmuhkhm</t>
  </si>
  <si>
    <t>tmuhidn</t>
  </si>
  <si>
    <t>tmuhmys</t>
  </si>
  <si>
    <t>tmuhphl</t>
  </si>
  <si>
    <t>tmuhsgp</t>
  </si>
  <si>
    <t>tmuhtha</t>
  </si>
  <si>
    <t>tmuhvnm</t>
  </si>
  <si>
    <t>tmuhind</t>
  </si>
  <si>
    <t>tmuhcan</t>
  </si>
  <si>
    <t>tmuhusa</t>
  </si>
  <si>
    <t>tmuhmex</t>
  </si>
  <si>
    <t>tmuharg</t>
  </si>
  <si>
    <t>tmuhbra</t>
  </si>
  <si>
    <t>tmuhchl</t>
  </si>
  <si>
    <t>tmuhaut</t>
  </si>
  <si>
    <t>tmuhbel</t>
  </si>
  <si>
    <t>tmuhcyp</t>
  </si>
  <si>
    <t>tmuhcze</t>
  </si>
  <si>
    <t>tmuhdnk</t>
  </si>
  <si>
    <t>tmuhest</t>
  </si>
  <si>
    <t>tmuhfin</t>
  </si>
  <si>
    <t>tmuhfra</t>
  </si>
  <si>
    <t>tmuhdeu</t>
  </si>
  <si>
    <t>tmuhgrc</t>
  </si>
  <si>
    <t>tmuhhun</t>
  </si>
  <si>
    <t>tmuhirl</t>
  </si>
  <si>
    <t>tmuhita</t>
  </si>
  <si>
    <t>tmuhlva</t>
  </si>
  <si>
    <t>tmuhltu</t>
  </si>
  <si>
    <t>tmuhlux</t>
  </si>
  <si>
    <t>tmuhmlt</t>
  </si>
  <si>
    <t>tmuhnld</t>
  </si>
  <si>
    <t>tmuhpol</t>
  </si>
  <si>
    <t>tmuhprt</t>
  </si>
  <si>
    <t>tmuhsvk</t>
  </si>
  <si>
    <t>tmuhsvn</t>
  </si>
  <si>
    <t>tmuhesp</t>
  </si>
  <si>
    <t>tmuhswe</t>
  </si>
  <si>
    <t>tmuhgbr</t>
  </si>
  <si>
    <t>tmuhche</t>
  </si>
  <si>
    <t>tmuhnor</t>
  </si>
  <si>
    <t>tmuhbgr</t>
  </si>
  <si>
    <t>tmuhrou</t>
  </si>
  <si>
    <t>tmuhrus</t>
  </si>
  <si>
    <t>tmuhisr</t>
  </si>
  <si>
    <t>tmuhsau</t>
  </si>
  <si>
    <t>tmuhtur</t>
  </si>
  <si>
    <t>tmuhzaf</t>
  </si>
  <si>
    <t>tmuhglo</t>
  </si>
  <si>
    <t>tmugaus</t>
  </si>
  <si>
    <t>tmugnzl</t>
  </si>
  <si>
    <t>tmugchn</t>
  </si>
  <si>
    <t>tmughkg</t>
  </si>
  <si>
    <t>tmugjpn</t>
  </si>
  <si>
    <t>tmugkor</t>
  </si>
  <si>
    <t>tmugtwn</t>
  </si>
  <si>
    <t>tmugkhm</t>
  </si>
  <si>
    <t>tmugidn</t>
  </si>
  <si>
    <t>tmugmys</t>
  </si>
  <si>
    <t>tmugphl</t>
  </si>
  <si>
    <t>tmugsgp</t>
  </si>
  <si>
    <t>tmugtha</t>
  </si>
  <si>
    <t>tmugvnm</t>
  </si>
  <si>
    <t>tmugind</t>
  </si>
  <si>
    <t>tmugcan</t>
  </si>
  <si>
    <t>tmugusa</t>
  </si>
  <si>
    <t>tmugmex</t>
  </si>
  <si>
    <t>tmugarg</t>
  </si>
  <si>
    <t>tmugbra</t>
  </si>
  <si>
    <t>tmugchl</t>
  </si>
  <si>
    <t>tmugaut</t>
  </si>
  <si>
    <t>tmugbel</t>
  </si>
  <si>
    <t>tmugcyp</t>
  </si>
  <si>
    <t>tmugcze</t>
  </si>
  <si>
    <t>tmugdnk</t>
  </si>
  <si>
    <t>tmugest</t>
  </si>
  <si>
    <t>tmugfin</t>
  </si>
  <si>
    <t>tmugfra</t>
  </si>
  <si>
    <t>tmugdeu</t>
  </si>
  <si>
    <t>tmuggrc</t>
  </si>
  <si>
    <t>tmughun</t>
  </si>
  <si>
    <t>tmugirl</t>
  </si>
  <si>
    <t>tmugita</t>
  </si>
  <si>
    <t>tmuglva</t>
  </si>
  <si>
    <t>tmugltu</t>
  </si>
  <si>
    <t>tmuglux</t>
  </si>
  <si>
    <t>tmugmlt</t>
  </si>
  <si>
    <t>tmugnld</t>
  </si>
  <si>
    <t>tmugpol</t>
  </si>
  <si>
    <t>tmugprt</t>
  </si>
  <si>
    <t>tmugsvk</t>
  </si>
  <si>
    <t>tmugsvn</t>
  </si>
  <si>
    <t>tmugesp</t>
  </si>
  <si>
    <t>tmugswe</t>
  </si>
  <si>
    <t>tmuggbr</t>
  </si>
  <si>
    <t>tmugche</t>
  </si>
  <si>
    <t>tmugnor</t>
  </si>
  <si>
    <t>tmugbgr</t>
  </si>
  <si>
    <t>tmugrou</t>
  </si>
  <si>
    <t>tmugrus</t>
  </si>
  <si>
    <t>tmugisr</t>
  </si>
  <si>
    <t>tmugsau</t>
  </si>
  <si>
    <t>tmugtur</t>
  </si>
  <si>
    <t>tmugzaf</t>
  </si>
  <si>
    <t>tmugglo</t>
  </si>
  <si>
    <t>tmukaus</t>
  </si>
  <si>
    <t>tmuknzl</t>
  </si>
  <si>
    <t>tmukchn</t>
  </si>
  <si>
    <t>tmukhkg</t>
  </si>
  <si>
    <t>tmukjpn</t>
  </si>
  <si>
    <t>tmukkor</t>
  </si>
  <si>
    <t>tmuktwn</t>
  </si>
  <si>
    <t>tmukkhm</t>
  </si>
  <si>
    <t>tmukidn</t>
  </si>
  <si>
    <t>tmukmys</t>
  </si>
  <si>
    <t>tmukphl</t>
  </si>
  <si>
    <t>tmuksgp</t>
  </si>
  <si>
    <t>tmuktha</t>
  </si>
  <si>
    <t>tmukvnm</t>
  </si>
  <si>
    <t>tmukind</t>
  </si>
  <si>
    <t>tmukcan</t>
  </si>
  <si>
    <t>tmukusa</t>
  </si>
  <si>
    <t>tmukmex</t>
  </si>
  <si>
    <t>tmukarg</t>
  </si>
  <si>
    <t>tmukbra</t>
  </si>
  <si>
    <t>tmukchl</t>
  </si>
  <si>
    <t>tmukaut</t>
  </si>
  <si>
    <t>tmukbel</t>
  </si>
  <si>
    <t>tmukcyp</t>
  </si>
  <si>
    <t>tmukcze</t>
  </si>
  <si>
    <t>tmukdnk</t>
  </si>
  <si>
    <t>tmukest</t>
  </si>
  <si>
    <t>tmukfin</t>
  </si>
  <si>
    <t>tmukfra</t>
  </si>
  <si>
    <t>tmukdeu</t>
  </si>
  <si>
    <t>tmukgrc</t>
  </si>
  <si>
    <t>tmukhun</t>
  </si>
  <si>
    <t>tmukirl</t>
  </si>
  <si>
    <t>tmukita</t>
  </si>
  <si>
    <t>tmuklva</t>
  </si>
  <si>
    <t>tmukltu</t>
  </si>
  <si>
    <t>tmuklux</t>
  </si>
  <si>
    <t>tmukmlt</t>
  </si>
  <si>
    <t>tmuknld</t>
  </si>
  <si>
    <t>tmukpol</t>
  </si>
  <si>
    <t>tmukprt</t>
  </si>
  <si>
    <t>tmuksvk</t>
  </si>
  <si>
    <t>tmuksvn</t>
  </si>
  <si>
    <t>tmukesp</t>
  </si>
  <si>
    <t>tmukswe</t>
  </si>
  <si>
    <t>tmukgbr</t>
  </si>
  <si>
    <t>tmukche</t>
  </si>
  <si>
    <t>tmuknor</t>
  </si>
  <si>
    <t>tmukbgr</t>
  </si>
  <si>
    <t>tmukrou</t>
  </si>
  <si>
    <t>tmukrus</t>
  </si>
  <si>
    <t>tmukisr</t>
  </si>
  <si>
    <t>tmuksau</t>
  </si>
  <si>
    <t>tmuktur</t>
  </si>
  <si>
    <t>tmukzaf</t>
  </si>
  <si>
    <t>tmukglo</t>
  </si>
  <si>
    <t>teuiaus</t>
  </si>
  <si>
    <t>teuinzl</t>
  </si>
  <si>
    <t>teuichn</t>
  </si>
  <si>
    <t>teuihkg</t>
  </si>
  <si>
    <t>teuijpn</t>
  </si>
  <si>
    <t>teuikor</t>
  </si>
  <si>
    <t>teuitwn</t>
  </si>
  <si>
    <t>teuikhm</t>
  </si>
  <si>
    <t>teuiidn</t>
  </si>
  <si>
    <t>teuimys</t>
  </si>
  <si>
    <t>teuiphl</t>
  </si>
  <si>
    <t>teuisgp</t>
  </si>
  <si>
    <t>teuitha</t>
  </si>
  <si>
    <t>teuivnm</t>
  </si>
  <si>
    <t>teuiind</t>
  </si>
  <si>
    <t>teuican</t>
  </si>
  <si>
    <t>teuiusa</t>
  </si>
  <si>
    <t>teuimex</t>
  </si>
  <si>
    <t>teuiarg</t>
  </si>
  <si>
    <t>teuibra</t>
  </si>
  <si>
    <t>teuichl</t>
  </si>
  <si>
    <t>teuiaut</t>
  </si>
  <si>
    <t>teuibel</t>
  </si>
  <si>
    <t>teuicyp</t>
  </si>
  <si>
    <t>teuicze</t>
  </si>
  <si>
    <t>teuidnk</t>
  </si>
  <si>
    <t>teuiest</t>
  </si>
  <si>
    <t>teuifin</t>
  </si>
  <si>
    <t>teuifra</t>
  </si>
  <si>
    <t>teuideu</t>
  </si>
  <si>
    <t>teuigrc</t>
  </si>
  <si>
    <t>teuihun</t>
  </si>
  <si>
    <t>teuiirl</t>
  </si>
  <si>
    <t>teuiita</t>
  </si>
  <si>
    <t>teuilva</t>
  </si>
  <si>
    <t>teuiltu</t>
  </si>
  <si>
    <t>teuilux</t>
  </si>
  <si>
    <t>teuimlt</t>
  </si>
  <si>
    <t>teuinld</t>
  </si>
  <si>
    <t>teuipol</t>
  </si>
  <si>
    <t>teuiprt</t>
  </si>
  <si>
    <t>teuisvk</t>
  </si>
  <si>
    <t>teuisvn</t>
  </si>
  <si>
    <t>teuiesp</t>
  </si>
  <si>
    <t>teuiswe</t>
  </si>
  <si>
    <t>teuigbr</t>
  </si>
  <si>
    <t>teuiche</t>
  </si>
  <si>
    <t>teuinor</t>
  </si>
  <si>
    <t>teuibgr</t>
  </si>
  <si>
    <t>teuirou</t>
  </si>
  <si>
    <t>teuirus</t>
  </si>
  <si>
    <t>teuiisr</t>
  </si>
  <si>
    <t>teuisau</t>
  </si>
  <si>
    <t>teuitur</t>
  </si>
  <si>
    <t>teuizaf</t>
  </si>
  <si>
    <t>teuiglo</t>
  </si>
  <si>
    <t>teuhaus</t>
  </si>
  <si>
    <t>teuhnzl</t>
  </si>
  <si>
    <t>teuhchn</t>
  </si>
  <si>
    <t>teuhhkg</t>
  </si>
  <si>
    <t>teuhjpn</t>
  </si>
  <si>
    <t>teuhkor</t>
  </si>
  <si>
    <t>teuhtwn</t>
  </si>
  <si>
    <t>teuhkhm</t>
  </si>
  <si>
    <t>teuhidn</t>
  </si>
  <si>
    <t>teuhmys</t>
  </si>
  <si>
    <t>teuhphl</t>
  </si>
  <si>
    <t>teuhsgp</t>
  </si>
  <si>
    <t>teuhtha</t>
  </si>
  <si>
    <t>teuhvnm</t>
  </si>
  <si>
    <t>teuhind</t>
  </si>
  <si>
    <t>teuhcan</t>
  </si>
  <si>
    <t>teuhusa</t>
  </si>
  <si>
    <t>teuhmex</t>
  </si>
  <si>
    <t>teuharg</t>
  </si>
  <si>
    <t>teuhbra</t>
  </si>
  <si>
    <t>teuhchl</t>
  </si>
  <si>
    <t>teuhaut</t>
  </si>
  <si>
    <t>teuhbel</t>
  </si>
  <si>
    <t>teuhcyp</t>
  </si>
  <si>
    <t>teuhcze</t>
  </si>
  <si>
    <t>teuhdnk</t>
  </si>
  <si>
    <t>teuhest</t>
  </si>
  <si>
    <t>teuhfin</t>
  </si>
  <si>
    <t>teuhfra</t>
  </si>
  <si>
    <t>teuhdeu</t>
  </si>
  <si>
    <t>teuhgrc</t>
  </si>
  <si>
    <t>teuhhun</t>
  </si>
  <si>
    <t>teuhirl</t>
  </si>
  <si>
    <t>teuhita</t>
  </si>
  <si>
    <t>teuhlva</t>
  </si>
  <si>
    <t>teuhltu</t>
  </si>
  <si>
    <t>teuhlux</t>
  </si>
  <si>
    <t>teuhmlt</t>
  </si>
  <si>
    <t>teuhnld</t>
  </si>
  <si>
    <t>teuhpol</t>
  </si>
  <si>
    <t>teuhprt</t>
  </si>
  <si>
    <t>teuhsvk</t>
  </si>
  <si>
    <t>teuhsvn</t>
  </si>
  <si>
    <t>teuhesp</t>
  </si>
  <si>
    <t>teuhswe</t>
  </si>
  <si>
    <t>teuhgbr</t>
  </si>
  <si>
    <t>teuhche</t>
  </si>
  <si>
    <t>teuhnor</t>
  </si>
  <si>
    <t>teuhbgr</t>
  </si>
  <si>
    <t>teuhrou</t>
  </si>
  <si>
    <t>teuhrus</t>
  </si>
  <si>
    <t>teuhisr</t>
  </si>
  <si>
    <t>teuhsau</t>
  </si>
  <si>
    <t>teuhtur</t>
  </si>
  <si>
    <t>teuhzaf</t>
  </si>
  <si>
    <t>teuhglo</t>
  </si>
  <si>
    <t>teugaus</t>
  </si>
  <si>
    <t>teugnzl</t>
  </si>
  <si>
    <t>teugchn</t>
  </si>
  <si>
    <t>teughkg</t>
  </si>
  <si>
    <t>teugjpn</t>
  </si>
  <si>
    <t>teugkor</t>
  </si>
  <si>
    <t>teugtwn</t>
  </si>
  <si>
    <t>teugkhm</t>
  </si>
  <si>
    <t>teugidn</t>
  </si>
  <si>
    <t>teugmys</t>
  </si>
  <si>
    <t>teugphl</t>
  </si>
  <si>
    <t>teugsgp</t>
  </si>
  <si>
    <t>teugtha</t>
  </si>
  <si>
    <t>teugvnm</t>
  </si>
  <si>
    <t>teugind</t>
  </si>
  <si>
    <t>teugcan</t>
  </si>
  <si>
    <t>teugusa</t>
  </si>
  <si>
    <t>teugmex</t>
  </si>
  <si>
    <t>teugarg</t>
  </si>
  <si>
    <t>teugbra</t>
  </si>
  <si>
    <t>teugchl</t>
  </si>
  <si>
    <t>teugaut</t>
  </si>
  <si>
    <t>teugbel</t>
  </si>
  <si>
    <t>teugcyp</t>
  </si>
  <si>
    <t>teugcze</t>
  </si>
  <si>
    <t>teugdnk</t>
  </si>
  <si>
    <t>teugest</t>
  </si>
  <si>
    <t>teugfin</t>
  </si>
  <si>
    <t>teugfra</t>
  </si>
  <si>
    <t>teugdeu</t>
  </si>
  <si>
    <t>teuggrc</t>
  </si>
  <si>
    <t>teughun</t>
  </si>
  <si>
    <t>teugirl</t>
  </si>
  <si>
    <t>teugita</t>
  </si>
  <si>
    <t>teuglva</t>
  </si>
  <si>
    <t>teugltu</t>
  </si>
  <si>
    <t>teuglux</t>
  </si>
  <si>
    <t>teugmlt</t>
  </si>
  <si>
    <t>teugnld</t>
  </si>
  <si>
    <t>teugpol</t>
  </si>
  <si>
    <t>teugprt</t>
  </si>
  <si>
    <t>teugsvk</t>
  </si>
  <si>
    <t>teugsvn</t>
  </si>
  <si>
    <t>teugesp</t>
  </si>
  <si>
    <t>teugswe</t>
  </si>
  <si>
    <t>teuggbr</t>
  </si>
  <si>
    <t>teugche</t>
  </si>
  <si>
    <t>teugnor</t>
  </si>
  <si>
    <t>teugbgr</t>
  </si>
  <si>
    <t>teugrou</t>
  </si>
  <si>
    <t>teugrus</t>
  </si>
  <si>
    <t>teugisr</t>
  </si>
  <si>
    <t>teugsau</t>
  </si>
  <si>
    <t>teugtur</t>
  </si>
  <si>
    <t>teugzaf</t>
  </si>
  <si>
    <t>teugglo</t>
  </si>
  <si>
    <t>teukaus</t>
  </si>
  <si>
    <t>teuknzl</t>
  </si>
  <si>
    <t>teukchn</t>
  </si>
  <si>
    <t>teukhkg</t>
  </si>
  <si>
    <t>teukjpn</t>
  </si>
  <si>
    <t>teukkor</t>
  </si>
  <si>
    <t>teuktwn</t>
  </si>
  <si>
    <t>teukkhm</t>
  </si>
  <si>
    <t>teukidn</t>
  </si>
  <si>
    <t>teukmys</t>
  </si>
  <si>
    <t>teukphl</t>
  </si>
  <si>
    <t>teuksgp</t>
  </si>
  <si>
    <t>teuktha</t>
  </si>
  <si>
    <t>teukvnm</t>
  </si>
  <si>
    <t>teukind</t>
  </si>
  <si>
    <t>teukcan</t>
  </si>
  <si>
    <t>teukusa</t>
  </si>
  <si>
    <t>teukmex</t>
  </si>
  <si>
    <t>teukarg</t>
  </si>
  <si>
    <t>teukbra</t>
  </si>
  <si>
    <t>teukchl</t>
  </si>
  <si>
    <t>teukaut</t>
  </si>
  <si>
    <t>teukbel</t>
  </si>
  <si>
    <t>teukcyp</t>
  </si>
  <si>
    <t>teukcze</t>
  </si>
  <si>
    <t>teukdnk</t>
  </si>
  <si>
    <t>teukest</t>
  </si>
  <si>
    <t>teukfin</t>
  </si>
  <si>
    <t>teukfra</t>
  </si>
  <si>
    <t>teukdeu</t>
  </si>
  <si>
    <t>teukgrc</t>
  </si>
  <si>
    <t>teukhun</t>
  </si>
  <si>
    <t>teukirl</t>
  </si>
  <si>
    <t>teukita</t>
  </si>
  <si>
    <t>teuklva</t>
  </si>
  <si>
    <t>teukltu</t>
  </si>
  <si>
    <t>teuklux</t>
  </si>
  <si>
    <t>teukmlt</t>
  </si>
  <si>
    <t>teuknld</t>
  </si>
  <si>
    <t>teukpol</t>
  </si>
  <si>
    <t>teukprt</t>
  </si>
  <si>
    <t>teuksvk</t>
  </si>
  <si>
    <t>teuksvn</t>
  </si>
  <si>
    <t>teukesp</t>
  </si>
  <si>
    <t>teukswe</t>
  </si>
  <si>
    <t>teukgbr</t>
  </si>
  <si>
    <t>teukche</t>
  </si>
  <si>
    <t>teuknor</t>
  </si>
  <si>
    <t>teukbgr</t>
  </si>
  <si>
    <t>teukrou</t>
  </si>
  <si>
    <t>teukrus</t>
  </si>
  <si>
    <t>teukisr</t>
  </si>
  <si>
    <t>teuksau</t>
  </si>
  <si>
    <t>teuktur</t>
  </si>
  <si>
    <t>teukzaf</t>
  </si>
  <si>
    <t>teukglo</t>
  </si>
  <si>
    <t>wwuiaus</t>
  </si>
  <si>
    <t>wwuinzl</t>
  </si>
  <si>
    <t>wwuichn</t>
  </si>
  <si>
    <t>wwuihkg</t>
  </si>
  <si>
    <t>wwuijpn</t>
  </si>
  <si>
    <t>wwuikor</t>
  </si>
  <si>
    <t>wwuitwn</t>
  </si>
  <si>
    <t>wwuikhm</t>
  </si>
  <si>
    <t>wwuiidn</t>
  </si>
  <si>
    <t>wwuimys</t>
  </si>
  <si>
    <t>wwuiphl</t>
  </si>
  <si>
    <t>wwuisgp</t>
  </si>
  <si>
    <t>wwuitha</t>
  </si>
  <si>
    <t>wwuivnm</t>
  </si>
  <si>
    <t>wwuiind</t>
  </si>
  <si>
    <t>wwuican</t>
  </si>
  <si>
    <t>wwuiusa</t>
  </si>
  <si>
    <t>wwuimex</t>
  </si>
  <si>
    <t>wwuiarg</t>
  </si>
  <si>
    <t>wwuibra</t>
  </si>
  <si>
    <t>wwuichl</t>
  </si>
  <si>
    <t>wwuiaut</t>
  </si>
  <si>
    <t>wwuibel</t>
  </si>
  <si>
    <t>wwuicyp</t>
  </si>
  <si>
    <t>wwuicze</t>
  </si>
  <si>
    <t>wwuidnk</t>
  </si>
  <si>
    <t>wwuiest</t>
  </si>
  <si>
    <t>wwuifin</t>
  </si>
  <si>
    <t>wwuifra</t>
  </si>
  <si>
    <t>wwuideu</t>
  </si>
  <si>
    <t>wwuigrc</t>
  </si>
  <si>
    <t>wwuihun</t>
  </si>
  <si>
    <t>wwuiirl</t>
  </si>
  <si>
    <t>wwuiita</t>
  </si>
  <si>
    <t>wwuilva</t>
  </si>
  <si>
    <t>wwuiltu</t>
  </si>
  <si>
    <t>wwuilux</t>
  </si>
  <si>
    <t>wwuimlt</t>
  </si>
  <si>
    <t>wwuinld</t>
  </si>
  <si>
    <t>wwuipol</t>
  </si>
  <si>
    <t>wwuiprt</t>
  </si>
  <si>
    <t>wwuisvk</t>
  </si>
  <si>
    <t>wwuisvn</t>
  </si>
  <si>
    <t>wwuiesp</t>
  </si>
  <si>
    <t>wwuiswe</t>
  </si>
  <si>
    <t>wwuigbr</t>
  </si>
  <si>
    <t>wwuiche</t>
  </si>
  <si>
    <t>wwuinor</t>
  </si>
  <si>
    <t>wwuibgr</t>
  </si>
  <si>
    <t>wwuirou</t>
  </si>
  <si>
    <t>wwuirus</t>
  </si>
  <si>
    <t>wwuiisr</t>
  </si>
  <si>
    <t>wwuisau</t>
  </si>
  <si>
    <t>wwuitur</t>
  </si>
  <si>
    <t>wwuizaf</t>
  </si>
  <si>
    <t>wwuiglo</t>
  </si>
  <si>
    <t>wwuhaus</t>
  </si>
  <si>
    <t>wwuhnzl</t>
  </si>
  <si>
    <t>wwuhchn</t>
  </si>
  <si>
    <t>wwuhhkg</t>
  </si>
  <si>
    <t>wwuhjpn</t>
  </si>
  <si>
    <t>wwuhkor</t>
  </si>
  <si>
    <t>wwuhtwn</t>
  </si>
  <si>
    <t>wwuhkhm</t>
  </si>
  <si>
    <t>wwuhidn</t>
  </si>
  <si>
    <t>wwuhmys</t>
  </si>
  <si>
    <t>wwuhphl</t>
  </si>
  <si>
    <t>wwuhsgp</t>
  </si>
  <si>
    <t>wwuhtha</t>
  </si>
  <si>
    <t>wwuhvnm</t>
  </si>
  <si>
    <t>wwuhind</t>
  </si>
  <si>
    <t>wwuhcan</t>
  </si>
  <si>
    <t>wwuhusa</t>
  </si>
  <si>
    <t>wwuhmex</t>
  </si>
  <si>
    <t>wwuharg</t>
  </si>
  <si>
    <t>wwuhbra</t>
  </si>
  <si>
    <t>wwuhchl</t>
  </si>
  <si>
    <t>wwuhaut</t>
  </si>
  <si>
    <t>wwuhbel</t>
  </si>
  <si>
    <t>wwuhcyp</t>
  </si>
  <si>
    <t>wwuhcze</t>
  </si>
  <si>
    <t>wwuhdnk</t>
  </si>
  <si>
    <t>wwuhest</t>
  </si>
  <si>
    <t>wwuhfin</t>
  </si>
  <si>
    <t>wwuhfra</t>
  </si>
  <si>
    <t>wwuhdeu</t>
  </si>
  <si>
    <t>wwuhgrc</t>
  </si>
  <si>
    <t>wwuhhun</t>
  </si>
  <si>
    <t>wwuhirl</t>
  </si>
  <si>
    <t>wwuhita</t>
  </si>
  <si>
    <t>wwuhlva</t>
  </si>
  <si>
    <t>wwuhltu</t>
  </si>
  <si>
    <t>wwuhlux</t>
  </si>
  <si>
    <t>wwuhmlt</t>
  </si>
  <si>
    <t>wwuhnld</t>
  </si>
  <si>
    <t>wwuhpol</t>
  </si>
  <si>
    <t>wwuhprt</t>
  </si>
  <si>
    <t>wwuhsvk</t>
  </si>
  <si>
    <t>wwuhsvn</t>
  </si>
  <si>
    <t>wwuhesp</t>
  </si>
  <si>
    <t>wwuhswe</t>
  </si>
  <si>
    <t>wwuhgbr</t>
  </si>
  <si>
    <t>wwuhche</t>
  </si>
  <si>
    <t>wwuhnor</t>
  </si>
  <si>
    <t>wwuhbgr</t>
  </si>
  <si>
    <t>wwuhrou</t>
  </si>
  <si>
    <t>wwuhrus</t>
  </si>
  <si>
    <t>wwuhisr</t>
  </si>
  <si>
    <t>wwuhsau</t>
  </si>
  <si>
    <t>wwuhtur</t>
  </si>
  <si>
    <t>wwuhzaf</t>
  </si>
  <si>
    <t>wwuhglo</t>
  </si>
  <si>
    <t>wwugaus</t>
  </si>
  <si>
    <t>wwugnzl</t>
  </si>
  <si>
    <t>wwugchn</t>
  </si>
  <si>
    <t>wwughkg</t>
  </si>
  <si>
    <t>wwugjpn</t>
  </si>
  <si>
    <t>wwugkor</t>
  </si>
  <si>
    <t>wwugtwn</t>
  </si>
  <si>
    <t>wwugkhm</t>
  </si>
  <si>
    <t>wwugidn</t>
  </si>
  <si>
    <t>wwugmys</t>
  </si>
  <si>
    <t>wwugphl</t>
  </si>
  <si>
    <t>wwugsgp</t>
  </si>
  <si>
    <t>wwugtha</t>
  </si>
  <si>
    <t>wwugvnm</t>
  </si>
  <si>
    <t>wwugind</t>
  </si>
  <si>
    <t>wwugcan</t>
  </si>
  <si>
    <t>wwugusa</t>
  </si>
  <si>
    <t>wwugmex</t>
  </si>
  <si>
    <t>wwugarg</t>
  </si>
  <si>
    <t>wwugbra</t>
  </si>
  <si>
    <t>wwugchl</t>
  </si>
  <si>
    <t>wwugaut</t>
  </si>
  <si>
    <t>wwugbel</t>
  </si>
  <si>
    <t>wwugcyp</t>
  </si>
  <si>
    <t>wwugcze</t>
  </si>
  <si>
    <t>wwugdnk</t>
  </si>
  <si>
    <t>wwugest</t>
  </si>
  <si>
    <t>wwugfin</t>
  </si>
  <si>
    <t>wwugfra</t>
  </si>
  <si>
    <t>wwugdeu</t>
  </si>
  <si>
    <t>wwuggrc</t>
  </si>
  <si>
    <t>wwughun</t>
  </si>
  <si>
    <t>wwugirl</t>
  </si>
  <si>
    <t>wwugita</t>
  </si>
  <si>
    <t>wwuglva</t>
  </si>
  <si>
    <t>wwugltu</t>
  </si>
  <si>
    <t>wwuglux</t>
  </si>
  <si>
    <t>wwugmlt</t>
  </si>
  <si>
    <t>wwugnld</t>
  </si>
  <si>
    <t>wwugpol</t>
  </si>
  <si>
    <t>wwugprt</t>
  </si>
  <si>
    <t>wwugsvk</t>
  </si>
  <si>
    <t>wwugsvn</t>
  </si>
  <si>
    <t>wwugesp</t>
  </si>
  <si>
    <t>wwugswe</t>
  </si>
  <si>
    <t>wwuggbr</t>
  </si>
  <si>
    <t>wwugche</t>
  </si>
  <si>
    <t>wwugnor</t>
  </si>
  <si>
    <t>wwugbgr</t>
  </si>
  <si>
    <t>wwugrou</t>
  </si>
  <si>
    <t>wwugrus</t>
  </si>
  <si>
    <t>wwugisr</t>
  </si>
  <si>
    <t>wwugsau</t>
  </si>
  <si>
    <t>wwugtur</t>
  </si>
  <si>
    <t>wwugzaf</t>
  </si>
  <si>
    <t>wwugglo</t>
  </si>
  <si>
    <t>wwukaus</t>
  </si>
  <si>
    <t>wwuknzl</t>
  </si>
  <si>
    <t>wwukchn</t>
  </si>
  <si>
    <t>wwukhkg</t>
  </si>
  <si>
    <t>wwukjpn</t>
  </si>
  <si>
    <t>wwukkor</t>
  </si>
  <si>
    <t>wwuktwn</t>
  </si>
  <si>
    <t>wwukkhm</t>
  </si>
  <si>
    <t>wwukidn</t>
  </si>
  <si>
    <t>wwukmys</t>
  </si>
  <si>
    <t>wwukphl</t>
  </si>
  <si>
    <t>wwuksgp</t>
  </si>
  <si>
    <t>wwuktha</t>
  </si>
  <si>
    <t>wwukvnm</t>
  </si>
  <si>
    <t>wwukind</t>
  </si>
  <si>
    <t>wwukcan</t>
  </si>
  <si>
    <t>wwukusa</t>
  </si>
  <si>
    <t>wwukmex</t>
  </si>
  <si>
    <t>wwukarg</t>
  </si>
  <si>
    <t>wwukbra</t>
  </si>
  <si>
    <t>wwukchl</t>
  </si>
  <si>
    <t>wwukaut</t>
  </si>
  <si>
    <t>wwukbel</t>
  </si>
  <si>
    <t>wwukcyp</t>
  </si>
  <si>
    <t>wwukcze</t>
  </si>
  <si>
    <t>wwukdnk</t>
  </si>
  <si>
    <t>wwukest</t>
  </si>
  <si>
    <t>wwukfin</t>
  </si>
  <si>
    <t>wwukfra</t>
  </si>
  <si>
    <t>wwukdeu</t>
  </si>
  <si>
    <t>wwukgrc</t>
  </si>
  <si>
    <t>wwukhun</t>
  </si>
  <si>
    <t>wwukirl</t>
  </si>
  <si>
    <t>wwukita</t>
  </si>
  <si>
    <t>wwuklva</t>
  </si>
  <si>
    <t>wwukltu</t>
  </si>
  <si>
    <t>wwuklux</t>
  </si>
  <si>
    <t>wwukmlt</t>
  </si>
  <si>
    <t>wwuknld</t>
  </si>
  <si>
    <t>wwukpol</t>
  </si>
  <si>
    <t>wwukprt</t>
  </si>
  <si>
    <t>wwuksvk</t>
  </si>
  <si>
    <t>wwuksvn</t>
  </si>
  <si>
    <t>wwukesp</t>
  </si>
  <si>
    <t>wwukswe</t>
  </si>
  <si>
    <t>wwukgbr</t>
  </si>
  <si>
    <t>wwukche</t>
  </si>
  <si>
    <t>wwuknor</t>
  </si>
  <si>
    <t>wwukbgr</t>
  </si>
  <si>
    <t>wwukrou</t>
  </si>
  <si>
    <t>wwukrus</t>
  </si>
  <si>
    <t>wwukisr</t>
  </si>
  <si>
    <t>wwuksau</t>
  </si>
  <si>
    <t>wwuktur</t>
  </si>
  <si>
    <t>wwukzaf</t>
  </si>
  <si>
    <t>wwukglo</t>
  </si>
  <si>
    <t>MAPS</t>
  </si>
  <si>
    <t>s</t>
  </si>
  <si>
    <t>New Regional Accounts</t>
  </si>
  <si>
    <t>k</t>
  </si>
  <si>
    <t>maps_ss(s,ss)</t>
  </si>
  <si>
    <t>mapk_kk(k,kk)</t>
  </si>
  <si>
    <t>maps_ss</t>
  </si>
  <si>
    <t>mapk_kk</t>
  </si>
  <si>
    <t>fftech_aspros</t>
  </si>
  <si>
    <t>ffclerks</t>
  </si>
  <si>
    <t>ffservice_shop</t>
  </si>
  <si>
    <t>ffoff_mgr_pros</t>
  </si>
  <si>
    <t>ffag_othlowsk</t>
  </si>
  <si>
    <t>tfftech_aspros</t>
  </si>
  <si>
    <t>tffclerks</t>
  </si>
  <si>
    <t>tffservice_shop</t>
  </si>
  <si>
    <t>tffoff_mgr_pros</t>
  </si>
  <si>
    <t>tffag_othlowsk</t>
  </si>
  <si>
    <t>ff</t>
  </si>
  <si>
    <t>aa</t>
  </si>
  <si>
    <t>pdr</t>
  </si>
  <si>
    <t>wht</t>
  </si>
  <si>
    <t>gro</t>
  </si>
  <si>
    <t>v_f</t>
  </si>
  <si>
    <t>osd</t>
  </si>
  <si>
    <t>c_b</t>
  </si>
  <si>
    <t>pfb</t>
  </si>
  <si>
    <t>ocr</t>
  </si>
  <si>
    <t>ctl</t>
  </si>
  <si>
    <t>oap</t>
  </si>
  <si>
    <t>rmk</t>
  </si>
  <si>
    <t>wol</t>
  </si>
  <si>
    <t>frs</t>
  </si>
  <si>
    <t>fsh</t>
  </si>
  <si>
    <t>coa</t>
  </si>
  <si>
    <t>oil</t>
  </si>
  <si>
    <t>gas</t>
  </si>
  <si>
    <t>cmt</t>
  </si>
  <si>
    <t>omt</t>
  </si>
  <si>
    <t>vol</t>
  </si>
  <si>
    <t>mil</t>
  </si>
  <si>
    <t>pcr</t>
  </si>
  <si>
    <t>sgr</t>
  </si>
  <si>
    <t>ofd</t>
  </si>
  <si>
    <t>b_t</t>
  </si>
  <si>
    <t>tex</t>
  </si>
  <si>
    <t>wap</t>
  </si>
  <si>
    <t>lea</t>
  </si>
  <si>
    <t>lum</t>
  </si>
  <si>
    <t>ppp</t>
  </si>
  <si>
    <t>nmm</t>
  </si>
  <si>
    <t>i_s</t>
  </si>
  <si>
    <t>nfm</t>
  </si>
  <si>
    <t>fmp</t>
  </si>
  <si>
    <t>mvh</t>
  </si>
  <si>
    <t>otn</t>
  </si>
  <si>
    <t>ele</t>
  </si>
  <si>
    <t>ome</t>
  </si>
  <si>
    <t>omf</t>
  </si>
  <si>
    <t>ely</t>
  </si>
  <si>
    <t>gdt</t>
  </si>
  <si>
    <t>wtr</t>
  </si>
  <si>
    <t>cns</t>
  </si>
  <si>
    <t>trd</t>
  </si>
  <si>
    <t>otp</t>
  </si>
  <si>
    <t>wtp</t>
  </si>
  <si>
    <t>atp</t>
  </si>
  <si>
    <t>ofi</t>
  </si>
  <si>
    <t>ins</t>
  </si>
  <si>
    <t>ros</t>
  </si>
  <si>
    <t>osg</t>
  </si>
  <si>
    <t>dwe</t>
  </si>
  <si>
    <t>Original Regional Accounts</t>
  </si>
  <si>
    <t>Original SAM accounts</t>
  </si>
  <si>
    <t>HOUS</t>
  </si>
  <si>
    <t>STAXUI</t>
  </si>
  <si>
    <t>STAXUH</t>
  </si>
  <si>
    <t>STAXUG</t>
  </si>
  <si>
    <t>STAXUK</t>
  </si>
  <si>
    <t>PRODTAX</t>
  </si>
  <si>
    <t>DIRTAX</t>
  </si>
  <si>
    <t>Govt</t>
  </si>
  <si>
    <t>KAP</t>
  </si>
  <si>
    <t>TOTAL</t>
  </si>
  <si>
    <t>tech_aspros</t>
  </si>
  <si>
    <t>clerks</t>
  </si>
  <si>
    <t>service_shop</t>
  </si>
  <si>
    <t>off_mgr_pros</t>
  </si>
  <si>
    <t>ag_othlowsk</t>
  </si>
  <si>
    <t>Capital</t>
  </si>
  <si>
    <t>NatRes</t>
  </si>
  <si>
    <t>cc</t>
  </si>
  <si>
    <t>SSTAXUI</t>
  </si>
  <si>
    <t>SSTAXUH</t>
  </si>
  <si>
    <t>SSTAXUG</t>
  </si>
  <si>
    <t>SSTAXUK</t>
  </si>
  <si>
    <t>otppuiaus</t>
  </si>
  <si>
    <t>otppuinzl</t>
  </si>
  <si>
    <t>otppuichn</t>
  </si>
  <si>
    <t>otppuihkg</t>
  </si>
  <si>
    <t>otppuijpn</t>
  </si>
  <si>
    <t>otppuikor</t>
  </si>
  <si>
    <t>otppuitwn</t>
  </si>
  <si>
    <t>otppuikhm</t>
  </si>
  <si>
    <t>otppuiidn</t>
  </si>
  <si>
    <t>otppuimys</t>
  </si>
  <si>
    <t>otppuiphl</t>
  </si>
  <si>
    <t>otppuisgp</t>
  </si>
  <si>
    <t>otppuitha</t>
  </si>
  <si>
    <t>otppuivnm</t>
  </si>
  <si>
    <t>otppuiind</t>
  </si>
  <si>
    <t>otppuican</t>
  </si>
  <si>
    <t>otppuiusa</t>
  </si>
  <si>
    <t>otppuimex</t>
  </si>
  <si>
    <t>otppuiarg</t>
  </si>
  <si>
    <t>otppuibra</t>
  </si>
  <si>
    <t>otppuichl</t>
  </si>
  <si>
    <t>otppuiaut</t>
  </si>
  <si>
    <t>otppuibel</t>
  </si>
  <si>
    <t>otppuicyp</t>
  </si>
  <si>
    <t>otppuicze</t>
  </si>
  <si>
    <t>otppuidnk</t>
  </si>
  <si>
    <t>otppuiest</t>
  </si>
  <si>
    <t>otppuifin</t>
  </si>
  <si>
    <t>otppuifra</t>
  </si>
  <si>
    <t>otppuideu</t>
  </si>
  <si>
    <t>otppuigrc</t>
  </si>
  <si>
    <t>otppuihun</t>
  </si>
  <si>
    <t>otppuiirl</t>
  </si>
  <si>
    <t>otppuiita</t>
  </si>
  <si>
    <t>otppuilva</t>
  </si>
  <si>
    <t>otppuiltu</t>
  </si>
  <si>
    <t>otppuilux</t>
  </si>
  <si>
    <t>otppuimlt</t>
  </si>
  <si>
    <t>otppuinld</t>
  </si>
  <si>
    <t>otppuipol</t>
  </si>
  <si>
    <t>otppuiprt</t>
  </si>
  <si>
    <t>otppuisvk</t>
  </si>
  <si>
    <t>otppuisvn</t>
  </si>
  <si>
    <t>otppuiesp</t>
  </si>
  <si>
    <t>otppuiswe</t>
  </si>
  <si>
    <t>otppuigbr</t>
  </si>
  <si>
    <t>otppuiche</t>
  </si>
  <si>
    <t>otppuinor</t>
  </si>
  <si>
    <t>otppuibgr</t>
  </si>
  <si>
    <t>otppuirou</t>
  </si>
  <si>
    <t>otppuirus</t>
  </si>
  <si>
    <t>otppuiisr</t>
  </si>
  <si>
    <t>otppuisau</t>
  </si>
  <si>
    <t>otppuitur</t>
  </si>
  <si>
    <t>otppuizaf</t>
  </si>
  <si>
    <t>otppuiglo</t>
  </si>
  <si>
    <t>otppuhaus</t>
  </si>
  <si>
    <t>otppuhnzl</t>
  </si>
  <si>
    <t>otppuhchn</t>
  </si>
  <si>
    <t>otppuhhkg</t>
  </si>
  <si>
    <t>otppuhjpn</t>
  </si>
  <si>
    <t>otppuhkor</t>
  </si>
  <si>
    <t>otppuhtwn</t>
  </si>
  <si>
    <t>otppuhkhm</t>
  </si>
  <si>
    <t>otppuhidn</t>
  </si>
  <si>
    <t>otppuhmys</t>
  </si>
  <si>
    <t>otppuhphl</t>
  </si>
  <si>
    <t>otppuhsgp</t>
  </si>
  <si>
    <t>otppuhtha</t>
  </si>
  <si>
    <t>otppuhvnm</t>
  </si>
  <si>
    <t>otppuhind</t>
  </si>
  <si>
    <t>otppuhcan</t>
  </si>
  <si>
    <t>otppuhusa</t>
  </si>
  <si>
    <t>otppuhmex</t>
  </si>
  <si>
    <t>otppuharg</t>
  </si>
  <si>
    <t>otppuhbra</t>
  </si>
  <si>
    <t>otppuhchl</t>
  </si>
  <si>
    <t>otppuhaut</t>
  </si>
  <si>
    <t>otppuhbel</t>
  </si>
  <si>
    <t>otppuhcyp</t>
  </si>
  <si>
    <t>otppuhcze</t>
  </si>
  <si>
    <t>otppuhdnk</t>
  </si>
  <si>
    <t>otppuhest</t>
  </si>
  <si>
    <t>otppuhfin</t>
  </si>
  <si>
    <t>otppuhfra</t>
  </si>
  <si>
    <t>otppuhdeu</t>
  </si>
  <si>
    <t>otppuhgrc</t>
  </si>
  <si>
    <t>otppuhhun</t>
  </si>
  <si>
    <t>otppuhirl</t>
  </si>
  <si>
    <t>otppuhita</t>
  </si>
  <si>
    <t>otppuhlva</t>
  </si>
  <si>
    <t>otppuhltu</t>
  </si>
  <si>
    <t>otppuhlux</t>
  </si>
  <si>
    <t>otppuhmlt</t>
  </si>
  <si>
    <t>otppuhnld</t>
  </si>
  <si>
    <t>otppuhpol</t>
  </si>
  <si>
    <t>otppuhprt</t>
  </si>
  <si>
    <t>otppuhsvk</t>
  </si>
  <si>
    <t>otppuhsvn</t>
  </si>
  <si>
    <t>otppuhesp</t>
  </si>
  <si>
    <t>otppuhswe</t>
  </si>
  <si>
    <t>otppuhgbr</t>
  </si>
  <si>
    <t>otppuhche</t>
  </si>
  <si>
    <t>otppuhnor</t>
  </si>
  <si>
    <t>otppuhbgr</t>
  </si>
  <si>
    <t>otppuhrou</t>
  </si>
  <si>
    <t>otppuhrus</t>
  </si>
  <si>
    <t>otppuhisr</t>
  </si>
  <si>
    <t>otppuhsau</t>
  </si>
  <si>
    <t>otppuhtur</t>
  </si>
  <si>
    <t>otppuhzaf</t>
  </si>
  <si>
    <t>otppuhglo</t>
  </si>
  <si>
    <t>otppugaus</t>
  </si>
  <si>
    <t>otppugnzl</t>
  </si>
  <si>
    <t>otppugchn</t>
  </si>
  <si>
    <t>otppughkg</t>
  </si>
  <si>
    <t>otppugjpn</t>
  </si>
  <si>
    <t>otppugkor</t>
  </si>
  <si>
    <t>otppugtwn</t>
  </si>
  <si>
    <t>otppugkhm</t>
  </si>
  <si>
    <t>otppugidn</t>
  </si>
  <si>
    <t>otppugmys</t>
  </si>
  <si>
    <t>otppugphl</t>
  </si>
  <si>
    <t>otppugsgp</t>
  </si>
  <si>
    <t>otppugtha</t>
  </si>
  <si>
    <t>otppugvnm</t>
  </si>
  <si>
    <t>otppugind</t>
  </si>
  <si>
    <t>otppugcan</t>
  </si>
  <si>
    <t>otppugusa</t>
  </si>
  <si>
    <t>otppugmex</t>
  </si>
  <si>
    <t>otppugarg</t>
  </si>
  <si>
    <t>otppugbra</t>
  </si>
  <si>
    <t>otppugchl</t>
  </si>
  <si>
    <t>otppugaut</t>
  </si>
  <si>
    <t>otppugbel</t>
  </si>
  <si>
    <t>otppugcyp</t>
  </si>
  <si>
    <t>otppugcze</t>
  </si>
  <si>
    <t>otppugdnk</t>
  </si>
  <si>
    <t>otppugest</t>
  </si>
  <si>
    <t>otppugfin</t>
  </si>
  <si>
    <t>otppugfra</t>
  </si>
  <si>
    <t>otppugdeu</t>
  </si>
  <si>
    <t>otppuggrc</t>
  </si>
  <si>
    <t>otppughun</t>
  </si>
  <si>
    <t>otppugirl</t>
  </si>
  <si>
    <t>otppugita</t>
  </si>
  <si>
    <t>otppuglva</t>
  </si>
  <si>
    <t>otppugltu</t>
  </si>
  <si>
    <t>otppuglux</t>
  </si>
  <si>
    <t>otppugmlt</t>
  </si>
  <si>
    <t>otppugnld</t>
  </si>
  <si>
    <t>otppugpol</t>
  </si>
  <si>
    <t>otppugprt</t>
  </si>
  <si>
    <t>otppugsvk</t>
  </si>
  <si>
    <t>otppugsvn</t>
  </si>
  <si>
    <t>otppugesp</t>
  </si>
  <si>
    <t>otppugswe</t>
  </si>
  <si>
    <t>otppuggbr</t>
  </si>
  <si>
    <t>otppugche</t>
  </si>
  <si>
    <t>otppugnor</t>
  </si>
  <si>
    <t>otppugbgr</t>
  </si>
  <si>
    <t>otppugrou</t>
  </si>
  <si>
    <t>otppugrus</t>
  </si>
  <si>
    <t>otppugisr</t>
  </si>
  <si>
    <t>otppugsau</t>
  </si>
  <si>
    <t>otppugtur</t>
  </si>
  <si>
    <t>otppugzaf</t>
  </si>
  <si>
    <t>otppugglo</t>
  </si>
  <si>
    <t>otppukaus</t>
  </si>
  <si>
    <t>otppuknzl</t>
  </si>
  <si>
    <t>otppukchn</t>
  </si>
  <si>
    <t>otppukhkg</t>
  </si>
  <si>
    <t>otppukjpn</t>
  </si>
  <si>
    <t>otppukkor</t>
  </si>
  <si>
    <t>otppuktwn</t>
  </si>
  <si>
    <t>otppukkhm</t>
  </si>
  <si>
    <t>otppukidn</t>
  </si>
  <si>
    <t>otppukmys</t>
  </si>
  <si>
    <t>otppukphl</t>
  </si>
  <si>
    <t>otppuksgp</t>
  </si>
  <si>
    <t>otppuktha</t>
  </si>
  <si>
    <t>otppukvnm</t>
  </si>
  <si>
    <t>otppukind</t>
  </si>
  <si>
    <t>otppukcan</t>
  </si>
  <si>
    <t>otppukusa</t>
  </si>
  <si>
    <t>otppukmex</t>
  </si>
  <si>
    <t>otppukarg</t>
  </si>
  <si>
    <t>otppukbra</t>
  </si>
  <si>
    <t>otppukchl</t>
  </si>
  <si>
    <t>otppukaut</t>
  </si>
  <si>
    <t>otppukbel</t>
  </si>
  <si>
    <t>otppukcyp</t>
  </si>
  <si>
    <t>otppukcze</t>
  </si>
  <si>
    <t>otppukdnk</t>
  </si>
  <si>
    <t>otppukest</t>
  </si>
  <si>
    <t>otppukfin</t>
  </si>
  <si>
    <t>otppukfra</t>
  </si>
  <si>
    <t>otppukdeu</t>
  </si>
  <si>
    <t>otppukgrc</t>
  </si>
  <si>
    <t>otppukhun</t>
  </si>
  <si>
    <t>otppukirl</t>
  </si>
  <si>
    <t>otppukita</t>
  </si>
  <si>
    <t>otppuklva</t>
  </si>
  <si>
    <t>otppukltu</t>
  </si>
  <si>
    <t>otppuklux</t>
  </si>
  <si>
    <t>otppukmlt</t>
  </si>
  <si>
    <t>otppuknld</t>
  </si>
  <si>
    <t>otppukpol</t>
  </si>
  <si>
    <t>otppukprt</t>
  </si>
  <si>
    <t>otppuksvk</t>
  </si>
  <si>
    <t>otppuksvn</t>
  </si>
  <si>
    <t>otppukesp</t>
  </si>
  <si>
    <t>otppukswe</t>
  </si>
  <si>
    <t>otppukgbr</t>
  </si>
  <si>
    <t>otppukche</t>
  </si>
  <si>
    <t>otppuknor</t>
  </si>
  <si>
    <t>otppukbgr</t>
  </si>
  <si>
    <t>otppukrou</t>
  </si>
  <si>
    <t>otppukrus</t>
  </si>
  <si>
    <t>otppukisr</t>
  </si>
  <si>
    <t>otppuksau</t>
  </si>
  <si>
    <t>otppuktur</t>
  </si>
  <si>
    <t>otppukzaf</t>
  </si>
  <si>
    <t>otppukglo</t>
  </si>
  <si>
    <t>wtppuiaus</t>
  </si>
  <si>
    <t>wtppuinzl</t>
  </si>
  <si>
    <t>wtppuichn</t>
  </si>
  <si>
    <t>wtppuihkg</t>
  </si>
  <si>
    <t>wtppuijpn</t>
  </si>
  <si>
    <t>wtppuikor</t>
  </si>
  <si>
    <t>wtppuitwn</t>
  </si>
  <si>
    <t>wtppuikhm</t>
  </si>
  <si>
    <t>wtppuiidn</t>
  </si>
  <si>
    <t>wtppuimys</t>
  </si>
  <si>
    <t>wtppuiphl</t>
  </si>
  <si>
    <t>wtppuisgp</t>
  </si>
  <si>
    <t>wtppuitha</t>
  </si>
  <si>
    <t>wtppuivnm</t>
  </si>
  <si>
    <t>wtppuiind</t>
  </si>
  <si>
    <t>wtppuican</t>
  </si>
  <si>
    <t>wtppuiusa</t>
  </si>
  <si>
    <t>wtppuimex</t>
  </si>
  <si>
    <t>wtppuiarg</t>
  </si>
  <si>
    <t>wtppuibra</t>
  </si>
  <si>
    <t>wtppuichl</t>
  </si>
  <si>
    <t>wtppuiaut</t>
  </si>
  <si>
    <t>wtppuibel</t>
  </si>
  <si>
    <t>wtppuicyp</t>
  </si>
  <si>
    <t>wtppuicze</t>
  </si>
  <si>
    <t>wtppuidnk</t>
  </si>
  <si>
    <t>wtppuiest</t>
  </si>
  <si>
    <t>wtppuifin</t>
  </si>
  <si>
    <t>wtppuifra</t>
  </si>
  <si>
    <t>wtppuideu</t>
  </si>
  <si>
    <t>wtppuigrc</t>
  </si>
  <si>
    <t>wtppuihun</t>
  </si>
  <si>
    <t>wtppuiirl</t>
  </si>
  <si>
    <t>wtppuiita</t>
  </si>
  <si>
    <t>wtppuilva</t>
  </si>
  <si>
    <t>wtppuiltu</t>
  </si>
  <si>
    <t>wtppuilux</t>
  </si>
  <si>
    <t>wtppuimlt</t>
  </si>
  <si>
    <t>wtppuinld</t>
  </si>
  <si>
    <t>wtppuipol</t>
  </si>
  <si>
    <t>wtppuiprt</t>
  </si>
  <si>
    <t>wtppuisvk</t>
  </si>
  <si>
    <t>wtppuisvn</t>
  </si>
  <si>
    <t>wtppuiesp</t>
  </si>
  <si>
    <t>wtppuiswe</t>
  </si>
  <si>
    <t>wtppuigbr</t>
  </si>
  <si>
    <t>wtppuiche</t>
  </si>
  <si>
    <t>wtppuinor</t>
  </si>
  <si>
    <t>wtppuibgr</t>
  </si>
  <si>
    <t>wtppuirou</t>
  </si>
  <si>
    <t>wtppuirus</t>
  </si>
  <si>
    <t>wtppuiisr</t>
  </si>
  <si>
    <t>wtppuisau</t>
  </si>
  <si>
    <t>wtppuitur</t>
  </si>
  <si>
    <t>wtppuizaf</t>
  </si>
  <si>
    <t>wtppuiglo</t>
  </si>
  <si>
    <t>wtppuhaus</t>
  </si>
  <si>
    <t>wtppuhnzl</t>
  </si>
  <si>
    <t>wtppuhchn</t>
  </si>
  <si>
    <t>wtppuhhkg</t>
  </si>
  <si>
    <t>wtppuhjpn</t>
  </si>
  <si>
    <t>wtppuhkor</t>
  </si>
  <si>
    <t>wtppuhtwn</t>
  </si>
  <si>
    <t>wtppuhkhm</t>
  </si>
  <si>
    <t>wtppuhidn</t>
  </si>
  <si>
    <t>wtppuhmys</t>
  </si>
  <si>
    <t>wtppuhphl</t>
  </si>
  <si>
    <t>wtppuhsgp</t>
  </si>
  <si>
    <t>wtppuhtha</t>
  </si>
  <si>
    <t>wtppuhvnm</t>
  </si>
  <si>
    <t>wtppuhind</t>
  </si>
  <si>
    <t>wtppuhcan</t>
  </si>
  <si>
    <t>wtppuhusa</t>
  </si>
  <si>
    <t>wtppuhmex</t>
  </si>
  <si>
    <t>wtppuharg</t>
  </si>
  <si>
    <t>wtppuhbra</t>
  </si>
  <si>
    <t>wtppuhchl</t>
  </si>
  <si>
    <t>wtppuhaut</t>
  </si>
  <si>
    <t>wtppuhbel</t>
  </si>
  <si>
    <t>wtppuhcyp</t>
  </si>
  <si>
    <t>wtppuhcze</t>
  </si>
  <si>
    <t>wtppuhdnk</t>
  </si>
  <si>
    <t>wtppuhest</t>
  </si>
  <si>
    <t>wtppuhfin</t>
  </si>
  <si>
    <t>wtppuhfra</t>
  </si>
  <si>
    <t>wtppuhdeu</t>
  </si>
  <si>
    <t>wtppuhgrc</t>
  </si>
  <si>
    <t>wtppuhhun</t>
  </si>
  <si>
    <t>wtppuhirl</t>
  </si>
  <si>
    <t>wtppuhita</t>
  </si>
  <si>
    <t>wtppuhlva</t>
  </si>
  <si>
    <t>wtppuhltu</t>
  </si>
  <si>
    <t>wtppuhlux</t>
  </si>
  <si>
    <t>wtppuhmlt</t>
  </si>
  <si>
    <t>wtppuhnld</t>
  </si>
  <si>
    <t>wtppuhpol</t>
  </si>
  <si>
    <t>wtppuhprt</t>
  </si>
  <si>
    <t>wtppuhsvk</t>
  </si>
  <si>
    <t>wtppuhsvn</t>
  </si>
  <si>
    <t>wtppuhesp</t>
  </si>
  <si>
    <t>wtppuhswe</t>
  </si>
  <si>
    <t>wtppuhgbr</t>
  </si>
  <si>
    <t>wtppuhche</t>
  </si>
  <si>
    <t>wtppuhnor</t>
  </si>
  <si>
    <t>wtppuhbgr</t>
  </si>
  <si>
    <t>wtppuhrou</t>
  </si>
  <si>
    <t>wtppuhrus</t>
  </si>
  <si>
    <t>wtppuhisr</t>
  </si>
  <si>
    <t>wtppuhsau</t>
  </si>
  <si>
    <t>wtppuhtur</t>
  </si>
  <si>
    <t>wtppuhzaf</t>
  </si>
  <si>
    <t>wtppuhglo</t>
  </si>
  <si>
    <t>wtppugaus</t>
  </si>
  <si>
    <t>wtppugnzl</t>
  </si>
  <si>
    <t>wtppugchn</t>
  </si>
  <si>
    <t>wtppughkg</t>
  </si>
  <si>
    <t>wtppugjpn</t>
  </si>
  <si>
    <t>wtppugkor</t>
  </si>
  <si>
    <t>wtppugtwn</t>
  </si>
  <si>
    <t>wtppugkhm</t>
  </si>
  <si>
    <t>wtppugidn</t>
  </si>
  <si>
    <t>wtppugmys</t>
  </si>
  <si>
    <t>wtppugphl</t>
  </si>
  <si>
    <t>wtppugsgp</t>
  </si>
  <si>
    <t>wtppugtha</t>
  </si>
  <si>
    <t>wtppugvnm</t>
  </si>
  <si>
    <t>wtppugind</t>
  </si>
  <si>
    <t>wtppugcan</t>
  </si>
  <si>
    <t>wtppugusa</t>
  </si>
  <si>
    <t>wtppugmex</t>
  </si>
  <si>
    <t>wtppugarg</t>
  </si>
  <si>
    <t>wtppugbra</t>
  </si>
  <si>
    <t>wtppugchl</t>
  </si>
  <si>
    <t>wtppugaut</t>
  </si>
  <si>
    <t>wtppugbel</t>
  </si>
  <si>
    <t>wtppugcyp</t>
  </si>
  <si>
    <t>wtppugcze</t>
  </si>
  <si>
    <t>wtppugdnk</t>
  </si>
  <si>
    <t>wtppugest</t>
  </si>
  <si>
    <t>wtppugfin</t>
  </si>
  <si>
    <t>wtppugfra</t>
  </si>
  <si>
    <t>wtppugdeu</t>
  </si>
  <si>
    <t>wtppuggrc</t>
  </si>
  <si>
    <t>wtppughun</t>
  </si>
  <si>
    <t>wtppugirl</t>
  </si>
  <si>
    <t>wtppugita</t>
  </si>
  <si>
    <t>wtppuglva</t>
  </si>
  <si>
    <t>wtppugltu</t>
  </si>
  <si>
    <t>wtppuglux</t>
  </si>
  <si>
    <t>wtppugmlt</t>
  </si>
  <si>
    <t>wtppugnld</t>
  </si>
  <si>
    <t>wtppugpol</t>
  </si>
  <si>
    <t>wtppugprt</t>
  </si>
  <si>
    <t>wtppugsvk</t>
  </si>
  <si>
    <t>wtppugsvn</t>
  </si>
  <si>
    <t>wtppugesp</t>
  </si>
  <si>
    <t>wtppugswe</t>
  </si>
  <si>
    <t>wtppuggbr</t>
  </si>
  <si>
    <t>wtppugche</t>
  </si>
  <si>
    <t>wtppugnor</t>
  </si>
  <si>
    <t>wtppugbgr</t>
  </si>
  <si>
    <t>wtppugrou</t>
  </si>
  <si>
    <t>wtppugrus</t>
  </si>
  <si>
    <t>wtppugisr</t>
  </si>
  <si>
    <t>wtppugsau</t>
  </si>
  <si>
    <t>wtppugtur</t>
  </si>
  <si>
    <t>wtppugzaf</t>
  </si>
  <si>
    <t>wtppugglo</t>
  </si>
  <si>
    <t>wtppukaus</t>
  </si>
  <si>
    <t>wtppuknzl</t>
  </si>
  <si>
    <t>wtppukchn</t>
  </si>
  <si>
    <t>wtppukhkg</t>
  </si>
  <si>
    <t>wtppukjpn</t>
  </si>
  <si>
    <t>wtppukkor</t>
  </si>
  <si>
    <t>wtppuktwn</t>
  </si>
  <si>
    <t>wtppukkhm</t>
  </si>
  <si>
    <t>wtppukidn</t>
  </si>
  <si>
    <t>wtppukmys</t>
  </si>
  <si>
    <t>wtppukphl</t>
  </si>
  <si>
    <t>wtppuksgp</t>
  </si>
  <si>
    <t>wtppuktha</t>
  </si>
  <si>
    <t>wtppukvnm</t>
  </si>
  <si>
    <t>wtppukind</t>
  </si>
  <si>
    <t>wtppukcan</t>
  </si>
  <si>
    <t>wtppukusa</t>
  </si>
  <si>
    <t>wtppukmex</t>
  </si>
  <si>
    <t>wtppukarg</t>
  </si>
  <si>
    <t>wtppukbra</t>
  </si>
  <si>
    <t>wtppukchl</t>
  </si>
  <si>
    <t>wtppukaut</t>
  </si>
  <si>
    <t>wtppukbel</t>
  </si>
  <si>
    <t>wtppukcyp</t>
  </si>
  <si>
    <t>wtppukcze</t>
  </si>
  <si>
    <t>wtppukdnk</t>
  </si>
  <si>
    <t>wtppukest</t>
  </si>
  <si>
    <t>wtppukfin</t>
  </si>
  <si>
    <t>wtppukfra</t>
  </si>
  <si>
    <t>wtppukdeu</t>
  </si>
  <si>
    <t>wtppukgrc</t>
  </si>
  <si>
    <t>wtppukhun</t>
  </si>
  <si>
    <t>wtppukirl</t>
  </si>
  <si>
    <t>wtppukita</t>
  </si>
  <si>
    <t>wtppuklva</t>
  </si>
  <si>
    <t>wtppukltu</t>
  </si>
  <si>
    <t>wtppuklux</t>
  </si>
  <si>
    <t>wtppukmlt</t>
  </si>
  <si>
    <t>wtppuknld</t>
  </si>
  <si>
    <t>wtppukpol</t>
  </si>
  <si>
    <t>wtppukprt</t>
  </si>
  <si>
    <t>wtppuksvk</t>
  </si>
  <si>
    <t>wtppuksvn</t>
  </si>
  <si>
    <t>wtppukesp</t>
  </si>
  <si>
    <t>wtppukswe</t>
  </si>
  <si>
    <t>wtppukgbr</t>
  </si>
  <si>
    <t>wtppukche</t>
  </si>
  <si>
    <t>wtppuknor</t>
  </si>
  <si>
    <t>wtppukbgr</t>
  </si>
  <si>
    <t>wtppukrou</t>
  </si>
  <si>
    <t>wtppukrus</t>
  </si>
  <si>
    <t>wtppukisr</t>
  </si>
  <si>
    <t>wtppuksau</t>
  </si>
  <si>
    <t>wtppuktur</t>
  </si>
  <si>
    <t>wtppukzaf</t>
  </si>
  <si>
    <t>wtppukglo</t>
  </si>
  <si>
    <t>atppuiaus</t>
  </si>
  <si>
    <t>atppuinzl</t>
  </si>
  <si>
    <t>atppuichn</t>
  </si>
  <si>
    <t>atppuihkg</t>
  </si>
  <si>
    <t>atppuijpn</t>
  </si>
  <si>
    <t>atppuikor</t>
  </si>
  <si>
    <t>atppuitwn</t>
  </si>
  <si>
    <t>atppuikhm</t>
  </si>
  <si>
    <t>atppuiidn</t>
  </si>
  <si>
    <t>atppuimys</t>
  </si>
  <si>
    <t>atppuiphl</t>
  </si>
  <si>
    <t>atppuisgp</t>
  </si>
  <si>
    <t>atppuitha</t>
  </si>
  <si>
    <t>atppuivnm</t>
  </si>
  <si>
    <t>atppuiind</t>
  </si>
  <si>
    <t>atppuican</t>
  </si>
  <si>
    <t>atppuiusa</t>
  </si>
  <si>
    <t>atppuimex</t>
  </si>
  <si>
    <t>atppuiarg</t>
  </si>
  <si>
    <t>atppuibra</t>
  </si>
  <si>
    <t>atppuichl</t>
  </si>
  <si>
    <t>atppuiaut</t>
  </si>
  <si>
    <t>atppuibel</t>
  </si>
  <si>
    <t>atppuicyp</t>
  </si>
  <si>
    <t>atppuicze</t>
  </si>
  <si>
    <t>atppuidnk</t>
  </si>
  <si>
    <t>atppuiest</t>
  </si>
  <si>
    <t>atppuifin</t>
  </si>
  <si>
    <t>atppuifra</t>
  </si>
  <si>
    <t>atppuideu</t>
  </si>
  <si>
    <t>atppuigrc</t>
  </si>
  <si>
    <t>atppuihun</t>
  </si>
  <si>
    <t>atppuiirl</t>
  </si>
  <si>
    <t>atppuiita</t>
  </si>
  <si>
    <t>atppuilva</t>
  </si>
  <si>
    <t>atppuiltu</t>
  </si>
  <si>
    <t>atppuilux</t>
  </si>
  <si>
    <t>atppuimlt</t>
  </si>
  <si>
    <t>atppuinld</t>
  </si>
  <si>
    <t>atppuipol</t>
  </si>
  <si>
    <t>atppuiprt</t>
  </si>
  <si>
    <t>atppuisvk</t>
  </si>
  <si>
    <t>atppuisvn</t>
  </si>
  <si>
    <t>atppuiesp</t>
  </si>
  <si>
    <t>atppuiswe</t>
  </si>
  <si>
    <t>atppuigbr</t>
  </si>
  <si>
    <t>atppuiche</t>
  </si>
  <si>
    <t>atppuinor</t>
  </si>
  <si>
    <t>atppuibgr</t>
  </si>
  <si>
    <t>atppuirou</t>
  </si>
  <si>
    <t>atppuirus</t>
  </si>
  <si>
    <t>atppuiisr</t>
  </si>
  <si>
    <t>atppuisau</t>
  </si>
  <si>
    <t>atppuitur</t>
  </si>
  <si>
    <t>atppuizaf</t>
  </si>
  <si>
    <t>atppuiglo</t>
  </si>
  <si>
    <t>atppuhaus</t>
  </si>
  <si>
    <t>atppuhnzl</t>
  </si>
  <si>
    <t>atppuhchn</t>
  </si>
  <si>
    <t>atppuhhkg</t>
  </si>
  <si>
    <t>atppuhjpn</t>
  </si>
  <si>
    <t>atppuhkor</t>
  </si>
  <si>
    <t>atppuhtwn</t>
  </si>
  <si>
    <t>atppuhkhm</t>
  </si>
  <si>
    <t>atppuhidn</t>
  </si>
  <si>
    <t>atppuhmys</t>
  </si>
  <si>
    <t>atppuhphl</t>
  </si>
  <si>
    <t>atppuhsgp</t>
  </si>
  <si>
    <t>atppuhtha</t>
  </si>
  <si>
    <t>atppuhvnm</t>
  </si>
  <si>
    <t>atppuhind</t>
  </si>
  <si>
    <t>atppuhcan</t>
  </si>
  <si>
    <t>atppuhusa</t>
  </si>
  <si>
    <t>atppuhmex</t>
  </si>
  <si>
    <t>atppuharg</t>
  </si>
  <si>
    <t>atppuhbra</t>
  </si>
  <si>
    <t>atppuhchl</t>
  </si>
  <si>
    <t>atppuhaut</t>
  </si>
  <si>
    <t>atppuhbel</t>
  </si>
  <si>
    <t>atppuhcyp</t>
  </si>
  <si>
    <t>atppuhcze</t>
  </si>
  <si>
    <t>atppuhdnk</t>
  </si>
  <si>
    <t>atppuhest</t>
  </si>
  <si>
    <t>atppuhfin</t>
  </si>
  <si>
    <t>atppuhfra</t>
  </si>
  <si>
    <t>atppuhdeu</t>
  </si>
  <si>
    <t>atppuhgrc</t>
  </si>
  <si>
    <t>atppuhhun</t>
  </si>
  <si>
    <t>atppuhirl</t>
  </si>
  <si>
    <t>atppuhita</t>
  </si>
  <si>
    <t>atppuhlva</t>
  </si>
  <si>
    <t>atppuhltu</t>
  </si>
  <si>
    <t>atppuhlux</t>
  </si>
  <si>
    <t>atppuhmlt</t>
  </si>
  <si>
    <t>atppuhnld</t>
  </si>
  <si>
    <t>atppuhpol</t>
  </si>
  <si>
    <t>atppuhprt</t>
  </si>
  <si>
    <t>atppuhsvk</t>
  </si>
  <si>
    <t>atppuhsvn</t>
  </si>
  <si>
    <t>atppuhesp</t>
  </si>
  <si>
    <t>atppuhswe</t>
  </si>
  <si>
    <t>atppuhgbr</t>
  </si>
  <si>
    <t>atppuhche</t>
  </si>
  <si>
    <t>atppuhnor</t>
  </si>
  <si>
    <t>atppuhbgr</t>
  </si>
  <si>
    <t>atppuhrou</t>
  </si>
  <si>
    <t>atppuhrus</t>
  </si>
  <si>
    <t>atppuhisr</t>
  </si>
  <si>
    <t>atppuhsau</t>
  </si>
  <si>
    <t>atppuhtur</t>
  </si>
  <si>
    <t>atppuhzaf</t>
  </si>
  <si>
    <t>atppuhglo</t>
  </si>
  <si>
    <t>atppugaus</t>
  </si>
  <si>
    <t>atppugnzl</t>
  </si>
  <si>
    <t>atppugchn</t>
  </si>
  <si>
    <t>atppughkg</t>
  </si>
  <si>
    <t>atppugjpn</t>
  </si>
  <si>
    <t>atppugkor</t>
  </si>
  <si>
    <t>atppugtwn</t>
  </si>
  <si>
    <t>atppugkhm</t>
  </si>
  <si>
    <t>atppugidn</t>
  </si>
  <si>
    <t>atppugmys</t>
  </si>
  <si>
    <t>atppugphl</t>
  </si>
  <si>
    <t>atppugsgp</t>
  </si>
  <si>
    <t>atppugtha</t>
  </si>
  <si>
    <t>atppugvnm</t>
  </si>
  <si>
    <t>atppugind</t>
  </si>
  <si>
    <t>atppugcan</t>
  </si>
  <si>
    <t>atppugusa</t>
  </si>
  <si>
    <t>atppugmex</t>
  </si>
  <si>
    <t>atppugarg</t>
  </si>
  <si>
    <t>atppugbra</t>
  </si>
  <si>
    <t>atppugchl</t>
  </si>
  <si>
    <t>atppugaut</t>
  </si>
  <si>
    <t>atppugbel</t>
  </si>
  <si>
    <t>atppugcyp</t>
  </si>
  <si>
    <t>atppugcze</t>
  </si>
  <si>
    <t>atppugdnk</t>
  </si>
  <si>
    <t>atppugest</t>
  </si>
  <si>
    <t>atppugfin</t>
  </si>
  <si>
    <t>atppugfra</t>
  </si>
  <si>
    <t>atppugdeu</t>
  </si>
  <si>
    <t>atppuggrc</t>
  </si>
  <si>
    <t>atppughun</t>
  </si>
  <si>
    <t>atppugirl</t>
  </si>
  <si>
    <t>atppugita</t>
  </si>
  <si>
    <t>atppuglva</t>
  </si>
  <si>
    <t>atppugltu</t>
  </si>
  <si>
    <t>atppuglux</t>
  </si>
  <si>
    <t>atppugmlt</t>
  </si>
  <si>
    <t>atppugnld</t>
  </si>
  <si>
    <t>atppugpol</t>
  </si>
  <si>
    <t>atppugprt</t>
  </si>
  <si>
    <t>atppugsvk</t>
  </si>
  <si>
    <t>atppugsvn</t>
  </si>
  <si>
    <t>atppugesp</t>
  </si>
  <si>
    <t>atppugswe</t>
  </si>
  <si>
    <t>atppuggbr</t>
  </si>
  <si>
    <t>atppugche</t>
  </si>
  <si>
    <t>atppugnor</t>
  </si>
  <si>
    <t>atppugbgr</t>
  </si>
  <si>
    <t>atppugrou</t>
  </si>
  <si>
    <t>atppugrus</t>
  </si>
  <si>
    <t>atppugisr</t>
  </si>
  <si>
    <t>atppugsau</t>
  </si>
  <si>
    <t>atppugtur</t>
  </si>
  <si>
    <t>atppugzaf</t>
  </si>
  <si>
    <t>atppugglo</t>
  </si>
  <si>
    <t>atppukaus</t>
  </si>
  <si>
    <t>atppuknzl</t>
  </si>
  <si>
    <t>atppukchn</t>
  </si>
  <si>
    <t>atppukhkg</t>
  </si>
  <si>
    <t>atppukjpn</t>
  </si>
  <si>
    <t>atppukkor</t>
  </si>
  <si>
    <t>atppuktwn</t>
  </si>
  <si>
    <t>atppukkhm</t>
  </si>
  <si>
    <t>atppukidn</t>
  </si>
  <si>
    <t>atppukmys</t>
  </si>
  <si>
    <t>atppukphl</t>
  </si>
  <si>
    <t>atppuksgp</t>
  </si>
  <si>
    <t>atppuktha</t>
  </si>
  <si>
    <t>atppukvnm</t>
  </si>
  <si>
    <t>atppukind</t>
  </si>
  <si>
    <t>atppukcan</t>
  </si>
  <si>
    <t>atppukusa</t>
  </si>
  <si>
    <t>atppukmex</t>
  </si>
  <si>
    <t>atppukarg</t>
  </si>
  <si>
    <t>atppukbra</t>
  </si>
  <si>
    <t>atppukchl</t>
  </si>
  <si>
    <t>atppukaut</t>
  </si>
  <si>
    <t>atppukbel</t>
  </si>
  <si>
    <t>atppukcyp</t>
  </si>
  <si>
    <t>atppukcze</t>
  </si>
  <si>
    <t>atppukdnk</t>
  </si>
  <si>
    <t>atppukest</t>
  </si>
  <si>
    <t>atppukfin</t>
  </si>
  <si>
    <t>atppukfra</t>
  </si>
  <si>
    <t>atppukdeu</t>
  </si>
  <si>
    <t>atppukgrc</t>
  </si>
  <si>
    <t>atppukhun</t>
  </si>
  <si>
    <t>atppukirl</t>
  </si>
  <si>
    <t>atppukita</t>
  </si>
  <si>
    <t>atppuklva</t>
  </si>
  <si>
    <t>atppukltu</t>
  </si>
  <si>
    <t>atppuklux</t>
  </si>
  <si>
    <t>atppukmlt</t>
  </si>
  <si>
    <t>atppuknld</t>
  </si>
  <si>
    <t>atppukpol</t>
  </si>
  <si>
    <t>atppukprt</t>
  </si>
  <si>
    <t>atppuksvk</t>
  </si>
  <si>
    <t>atppuksvn</t>
  </si>
  <si>
    <t>atppukesp</t>
  </si>
  <si>
    <t>atppukswe</t>
  </si>
  <si>
    <t>atppukgbr</t>
  </si>
  <si>
    <t>atppukche</t>
  </si>
  <si>
    <t>atppuknor</t>
  </si>
  <si>
    <t>atppukbgr</t>
  </si>
  <si>
    <t>atppukrou</t>
  </si>
  <si>
    <t>atppukrus</t>
  </si>
  <si>
    <t>atppukisr</t>
  </si>
  <si>
    <t>atppuksau</t>
  </si>
  <si>
    <t>atppuktur</t>
  </si>
  <si>
    <t>atppukzaf</t>
  </si>
  <si>
    <t>atppukglo</t>
  </si>
  <si>
    <t>mm</t>
  </si>
  <si>
    <t>mmpdr</t>
  </si>
  <si>
    <t>mmwht</t>
  </si>
  <si>
    <t>mmgro</t>
  </si>
  <si>
    <t>mmv_f</t>
  </si>
  <si>
    <t>mmosd</t>
  </si>
  <si>
    <t>mmc_b</t>
  </si>
  <si>
    <t>mmpfb</t>
  </si>
  <si>
    <t>mmocr</t>
  </si>
  <si>
    <t>mmctl</t>
  </si>
  <si>
    <t>mmoap</t>
  </si>
  <si>
    <t>mmrmk</t>
  </si>
  <si>
    <t>mmwol</t>
  </si>
  <si>
    <t>mmfrs</t>
  </si>
  <si>
    <t>mmfsh</t>
  </si>
  <si>
    <t>mmcoa</t>
  </si>
  <si>
    <t>mmoil</t>
  </si>
  <si>
    <t>mmgas</t>
  </si>
  <si>
    <t>mmcmt</t>
  </si>
  <si>
    <t>mmomt</t>
  </si>
  <si>
    <t>mmvol</t>
  </si>
  <si>
    <t>mmmil</t>
  </si>
  <si>
    <t>mmpcr</t>
  </si>
  <si>
    <t>mmsgr</t>
  </si>
  <si>
    <t>mmofd</t>
  </si>
  <si>
    <t>mmb_t</t>
  </si>
  <si>
    <t>mmtex</t>
  </si>
  <si>
    <t>mmwap</t>
  </si>
  <si>
    <t>mmlea</t>
  </si>
  <si>
    <t>mmlum</t>
  </si>
  <si>
    <t>mmppp</t>
  </si>
  <si>
    <t>mmnmm</t>
  </si>
  <si>
    <t>mmi_s</t>
  </si>
  <si>
    <t>mmnfm</t>
  </si>
  <si>
    <t>mmfmp</t>
  </si>
  <si>
    <t>mmmvh</t>
  </si>
  <si>
    <t>mmotn</t>
  </si>
  <si>
    <t>mmele</t>
  </si>
  <si>
    <t>mmome</t>
  </si>
  <si>
    <t>mmomf</t>
  </si>
  <si>
    <t>mmely</t>
  </si>
  <si>
    <t>mmgdt</t>
  </si>
  <si>
    <t>mmwtr</t>
  </si>
  <si>
    <t>mmcns</t>
  </si>
  <si>
    <t>mmtrd</t>
  </si>
  <si>
    <t>mmotp</t>
  </si>
  <si>
    <t>mmwtp</t>
  </si>
  <si>
    <t>mmatp</t>
  </si>
  <si>
    <t>mmofi</t>
  </si>
  <si>
    <t>mmins</t>
  </si>
  <si>
    <t>mmros</t>
  </si>
  <si>
    <t>mmosg</t>
  </si>
  <si>
    <t>mmdwe</t>
  </si>
  <si>
    <t>ddpdr</t>
  </si>
  <si>
    <t>ddwht</t>
  </si>
  <si>
    <t>ddgro</t>
  </si>
  <si>
    <t>ddv_f</t>
  </si>
  <si>
    <t>ddosd</t>
  </si>
  <si>
    <t>ddc_b</t>
  </si>
  <si>
    <t>ddpfb</t>
  </si>
  <si>
    <t>ddocr</t>
  </si>
  <si>
    <t>ddctl</t>
  </si>
  <si>
    <t>ddoap</t>
  </si>
  <si>
    <t>ddrmk</t>
  </si>
  <si>
    <t>ddwol</t>
  </si>
  <si>
    <t>ddfrs</t>
  </si>
  <si>
    <t>ddfsh</t>
  </si>
  <si>
    <t>ddcoa</t>
  </si>
  <si>
    <t>ddoil</t>
  </si>
  <si>
    <t>ddgas</t>
  </si>
  <si>
    <t>ddcmt</t>
  </si>
  <si>
    <t>ddomt</t>
  </si>
  <si>
    <t>ddvol</t>
  </si>
  <si>
    <t>ddmil</t>
  </si>
  <si>
    <t>ddpcr</t>
  </si>
  <si>
    <t>ddsgr</t>
  </si>
  <si>
    <t>ddofd</t>
  </si>
  <si>
    <t>ddb_t</t>
  </si>
  <si>
    <t>ddtex</t>
  </si>
  <si>
    <t>ddwap</t>
  </si>
  <si>
    <t>ddlea</t>
  </si>
  <si>
    <t>ddlum</t>
  </si>
  <si>
    <t>ddppp</t>
  </si>
  <si>
    <t>ddnmm</t>
  </si>
  <si>
    <t>ddi_s</t>
  </si>
  <si>
    <t>ddnfm</t>
  </si>
  <si>
    <t>ddfmp</t>
  </si>
  <si>
    <t>ddmvh</t>
  </si>
  <si>
    <t>ddotn</t>
  </si>
  <si>
    <t>ddele</t>
  </si>
  <si>
    <t>ddome</t>
  </si>
  <si>
    <t>ddomf</t>
  </si>
  <si>
    <t>ddely</t>
  </si>
  <si>
    <t>ddgdt</t>
  </si>
  <si>
    <t>ddwtr</t>
  </si>
  <si>
    <t>ddcns</t>
  </si>
  <si>
    <t>ddtrd</t>
  </si>
  <si>
    <t>ddotp</t>
  </si>
  <si>
    <t>ddwtp</t>
  </si>
  <si>
    <t>ddatp</t>
  </si>
  <si>
    <t>ddofi</t>
  </si>
  <si>
    <t>ddins</t>
  </si>
  <si>
    <t>ddros</t>
  </si>
  <si>
    <t>ddosg</t>
  </si>
  <si>
    <t>dddwe</t>
  </si>
  <si>
    <t>sector_map: original</t>
  </si>
  <si>
    <t>new</t>
  </si>
  <si>
    <t>factor_map: original</t>
  </si>
  <si>
    <t>description</t>
  </si>
  <si>
    <t>ADJUSTMENTS IN THIS FILE ONLY</t>
  </si>
  <si>
    <t>copy elements from 'sets-generator'</t>
  </si>
  <si>
    <t>NO ADJUSTMENTS IN THIS FILE NECESSARY</t>
  </si>
  <si>
    <t>c</t>
  </si>
  <si>
    <t>New Elasticity Commodities</t>
  </si>
  <si>
    <t>mapc_cc(c,cc)</t>
  </si>
  <si>
    <t>Elasticity commodity</t>
  </si>
  <si>
    <t>mapssm_cc(ss,cc)</t>
  </si>
  <si>
    <t>mapssd_cc(ss,cc)</t>
  </si>
  <si>
    <t>imp</t>
  </si>
  <si>
    <t>Import accounts and margins</t>
  </si>
  <si>
    <t>Import commodities</t>
  </si>
  <si>
    <t>activities</t>
  </si>
  <si>
    <t>factors</t>
  </si>
  <si>
    <t>mapssm_cc</t>
  </si>
  <si>
    <t>original_sets-maps!A5</t>
  </si>
  <si>
    <t>original_sets-maps!D5</t>
  </si>
  <si>
    <t>original_sets-maps!G5</t>
  </si>
  <si>
    <t>original_sets-maps!H5</t>
  </si>
  <si>
    <t>original_sets-maps!I5</t>
  </si>
  <si>
    <t>original_sets-maps!J5</t>
  </si>
  <si>
    <t>original_sets-maps!K5</t>
  </si>
  <si>
    <t>original_sets-maps!O5</t>
  </si>
  <si>
    <t>original_sets-maps!R5</t>
  </si>
  <si>
    <t>sets-maps!A5</t>
  </si>
  <si>
    <t>mapssd_cc</t>
  </si>
  <si>
    <t>mapc_cc</t>
  </si>
  <si>
    <t>New factors (trunk)</t>
  </si>
  <si>
    <t>new sector (trunk)</t>
  </si>
  <si>
    <t>col</t>
  </si>
  <si>
    <t>cri</t>
  </si>
  <si>
    <t>hrv</t>
  </si>
  <si>
    <t>tun</t>
  </si>
  <si>
    <t>tmuicol</t>
  </si>
  <si>
    <t>tmuicri</t>
  </si>
  <si>
    <t>tmuihrv</t>
  </si>
  <si>
    <t>tmuitun</t>
  </si>
  <si>
    <t>tmuhcol</t>
  </si>
  <si>
    <t>tmuhcri</t>
  </si>
  <si>
    <t>tmuhhrv</t>
  </si>
  <si>
    <t>tmuhtun</t>
  </si>
  <si>
    <t>tmugcol</t>
  </si>
  <si>
    <t>tmugcri</t>
  </si>
  <si>
    <t>tmughrv</t>
  </si>
  <si>
    <t>tmugtun</t>
  </si>
  <si>
    <t>tmukcol</t>
  </si>
  <si>
    <t>tmukcri</t>
  </si>
  <si>
    <t>tmukhrv</t>
  </si>
  <si>
    <t>tmuktun</t>
  </si>
  <si>
    <t>teuicol</t>
  </si>
  <si>
    <t>teuicri</t>
  </si>
  <si>
    <t>teuihrv</t>
  </si>
  <si>
    <t>teuitun</t>
  </si>
  <si>
    <t>teuhcol</t>
  </si>
  <si>
    <t>teuhcri</t>
  </si>
  <si>
    <t>teuhhrv</t>
  </si>
  <si>
    <t>teuhtun</t>
  </si>
  <si>
    <t>teugcol</t>
  </si>
  <si>
    <t>teugcri</t>
  </si>
  <si>
    <t>teughrv</t>
  </si>
  <si>
    <t>teugtun</t>
  </si>
  <si>
    <t>teukcol</t>
  </si>
  <si>
    <t>teukcri</t>
  </si>
  <si>
    <t>teukhrv</t>
  </si>
  <si>
    <t>teuktun</t>
  </si>
  <si>
    <t>otppuicol</t>
  </si>
  <si>
    <t>otppuicri</t>
  </si>
  <si>
    <t>otppuihrv</t>
  </si>
  <si>
    <t>otppuitun</t>
  </si>
  <si>
    <t>otppuhcol</t>
  </si>
  <si>
    <t>otppuhcri</t>
  </si>
  <si>
    <t>otppuhhrv</t>
  </si>
  <si>
    <t>otppuhtun</t>
  </si>
  <si>
    <t>otppugcol</t>
  </si>
  <si>
    <t>otppugcri</t>
  </si>
  <si>
    <t>otppughrv</t>
  </si>
  <si>
    <t>otppugtun</t>
  </si>
  <si>
    <t>otppukcol</t>
  </si>
  <si>
    <t>otppukcri</t>
  </si>
  <si>
    <t>otppukhrv</t>
  </si>
  <si>
    <t>otppuktun</t>
  </si>
  <si>
    <t>wtppuicol</t>
  </si>
  <si>
    <t>wtppuicri</t>
  </si>
  <si>
    <t>wtppuihrv</t>
  </si>
  <si>
    <t>wtppuitun</t>
  </si>
  <si>
    <t>wtppuhcol</t>
  </si>
  <si>
    <t>wtppuhcri</t>
  </si>
  <si>
    <t>wtppuhhrv</t>
  </si>
  <si>
    <t>wtppuhtun</t>
  </si>
  <si>
    <t>wtppugcol</t>
  </si>
  <si>
    <t>wtppugcri</t>
  </si>
  <si>
    <t>wtppughrv</t>
  </si>
  <si>
    <t>wtppugtun</t>
  </si>
  <si>
    <t>wtppukcol</t>
  </si>
  <si>
    <t>wtppukcri</t>
  </si>
  <si>
    <t>wtppukhrv</t>
  </si>
  <si>
    <t>wtppuktun</t>
  </si>
  <si>
    <t>atppuicol</t>
  </si>
  <si>
    <t>atppuicri</t>
  </si>
  <si>
    <t>atppuihrv</t>
  </si>
  <si>
    <t>atppuitun</t>
  </si>
  <si>
    <t>atppuhcol</t>
  </si>
  <si>
    <t>atppuhcri</t>
  </si>
  <si>
    <t>atppuhhrv</t>
  </si>
  <si>
    <t>atppuhtun</t>
  </si>
  <si>
    <t>atppugcol</t>
  </si>
  <si>
    <t>atppugcri</t>
  </si>
  <si>
    <t>atppughrv</t>
  </si>
  <si>
    <t>atppugtun</t>
  </si>
  <si>
    <t>atppukcol</t>
  </si>
  <si>
    <t>atppukcri</t>
  </si>
  <si>
    <t>atppukhrv</t>
  </si>
  <si>
    <t>atppuktun</t>
  </si>
  <si>
    <t>wwuicol</t>
  </si>
  <si>
    <t>wwuicri</t>
  </si>
  <si>
    <t>wwuihrv</t>
  </si>
  <si>
    <t>wwuitun</t>
  </si>
  <si>
    <t>wwuhcol</t>
  </si>
  <si>
    <t>wwuhcri</t>
  </si>
  <si>
    <t>wwuhhrv</t>
  </si>
  <si>
    <t>wwuhtun</t>
  </si>
  <si>
    <t>wwugcol</t>
  </si>
  <si>
    <t>wwugcri</t>
  </si>
  <si>
    <t>wwughrv</t>
  </si>
  <si>
    <t>wwugtun</t>
  </si>
  <si>
    <t>wwukcol</t>
  </si>
  <si>
    <t>wwukcri</t>
  </si>
  <si>
    <t>wwukhrv</t>
  </si>
  <si>
    <t>wwuktun</t>
  </si>
  <si>
    <t>tmsuiaus</t>
  </si>
  <si>
    <t>tmsuinzl</t>
  </si>
  <si>
    <t>tmsuichn</t>
  </si>
  <si>
    <t>tmsuihkg</t>
  </si>
  <si>
    <t>tmsuijpn</t>
  </si>
  <si>
    <t>tmsuikor</t>
  </si>
  <si>
    <t>tmsuitwn</t>
  </si>
  <si>
    <t>tmsuikhm</t>
  </si>
  <si>
    <t>tmsuiidn</t>
  </si>
  <si>
    <t>tmsuimys</t>
  </si>
  <si>
    <t>tmsuiphl</t>
  </si>
  <si>
    <t>tmsuisgp</t>
  </si>
  <si>
    <t>tmsuitha</t>
  </si>
  <si>
    <t>tmsuivnm</t>
  </si>
  <si>
    <t>tmsuiind</t>
  </si>
  <si>
    <t>tmsuican</t>
  </si>
  <si>
    <t>tmsuiusa</t>
  </si>
  <si>
    <t>tmsuimex</t>
  </si>
  <si>
    <t>tmsuiarg</t>
  </si>
  <si>
    <t>tmsuibra</t>
  </si>
  <si>
    <t>tmsuichl</t>
  </si>
  <si>
    <t>tmsuicol</t>
  </si>
  <si>
    <t>tmsuicri</t>
  </si>
  <si>
    <t>tmsuiaut</t>
  </si>
  <si>
    <t>tmsuibel</t>
  </si>
  <si>
    <t>tmsuicyp</t>
  </si>
  <si>
    <t>tmsuicze</t>
  </si>
  <si>
    <t>tmsuidnk</t>
  </si>
  <si>
    <t>tmsuiest</t>
  </si>
  <si>
    <t>tmsuifin</t>
  </si>
  <si>
    <t>tmsuifra</t>
  </si>
  <si>
    <t>tmsuideu</t>
  </si>
  <si>
    <t>tmsuigrc</t>
  </si>
  <si>
    <t>tmsuihun</t>
  </si>
  <si>
    <t>tmsuiirl</t>
  </si>
  <si>
    <t>tmsuiita</t>
  </si>
  <si>
    <t>tmsuilva</t>
  </si>
  <si>
    <t>tmsuiltu</t>
  </si>
  <si>
    <t>tmsuilux</t>
  </si>
  <si>
    <t>tmsuimlt</t>
  </si>
  <si>
    <t>tmsuinld</t>
  </si>
  <si>
    <t>tmsuipol</t>
  </si>
  <si>
    <t>tmsuiprt</t>
  </si>
  <si>
    <t>tmsuisvk</t>
  </si>
  <si>
    <t>tmsuisvn</t>
  </si>
  <si>
    <t>tmsuiesp</t>
  </si>
  <si>
    <t>tmsuiswe</t>
  </si>
  <si>
    <t>tmsuigbr</t>
  </si>
  <si>
    <t>tmsuiche</t>
  </si>
  <si>
    <t>tmsuinor</t>
  </si>
  <si>
    <t>tmsuibgr</t>
  </si>
  <si>
    <t>tmsuihrv</t>
  </si>
  <si>
    <t>tmsuirou</t>
  </si>
  <si>
    <t>tmsuirus</t>
  </si>
  <si>
    <t>tmsuiisr</t>
  </si>
  <si>
    <t>tmsuisau</t>
  </si>
  <si>
    <t>tmsuitur</t>
  </si>
  <si>
    <t>tmsuitun</t>
  </si>
  <si>
    <t>tmsuizaf</t>
  </si>
  <si>
    <t>tmsuiglo</t>
  </si>
  <si>
    <t>tmsuhaus</t>
  </si>
  <si>
    <t>tmsuhnzl</t>
  </si>
  <si>
    <t>tmsuhchn</t>
  </si>
  <si>
    <t>tmsuhhkg</t>
  </si>
  <si>
    <t>tmsuhjpn</t>
  </si>
  <si>
    <t>tmsuhkor</t>
  </si>
  <si>
    <t>tmsuhtwn</t>
  </si>
  <si>
    <t>tmsuhkhm</t>
  </si>
  <si>
    <t>tmsuhidn</t>
  </si>
  <si>
    <t>tmsuhmys</t>
  </si>
  <si>
    <t>tmsuhphl</t>
  </si>
  <si>
    <t>tmsuhsgp</t>
  </si>
  <si>
    <t>tmsuhtha</t>
  </si>
  <si>
    <t>tmsuhvnm</t>
  </si>
  <si>
    <t>tmsuhind</t>
  </si>
  <si>
    <t>tmsuhcan</t>
  </si>
  <si>
    <t>tmsuhusa</t>
  </si>
  <si>
    <t>tmsuhmex</t>
  </si>
  <si>
    <t>tmsuharg</t>
  </si>
  <si>
    <t>tmsuhbra</t>
  </si>
  <si>
    <t>tmsuhchl</t>
  </si>
  <si>
    <t>tmsuhcol</t>
  </si>
  <si>
    <t>tmsuhcri</t>
  </si>
  <si>
    <t>tmsuhaut</t>
  </si>
  <si>
    <t>tmsuhbel</t>
  </si>
  <si>
    <t>tmsuhcyp</t>
  </si>
  <si>
    <t>tmsuhcze</t>
  </si>
  <si>
    <t>tmsuhdnk</t>
  </si>
  <si>
    <t>tmsuhest</t>
  </si>
  <si>
    <t>tmsuhfin</t>
  </si>
  <si>
    <t>tmsuhfra</t>
  </si>
  <si>
    <t>tmsuhdeu</t>
  </si>
  <si>
    <t>tmsuhgrc</t>
  </si>
  <si>
    <t>tmsuhhun</t>
  </si>
  <si>
    <t>tmsuhirl</t>
  </si>
  <si>
    <t>tmsuhita</t>
  </si>
  <si>
    <t>tmsuhlva</t>
  </si>
  <si>
    <t>tmsuhltu</t>
  </si>
  <si>
    <t>tmsuhlux</t>
  </si>
  <si>
    <t>tmsuhmlt</t>
  </si>
  <si>
    <t>tmsuhnld</t>
  </si>
  <si>
    <t>tmsuhpol</t>
  </si>
  <si>
    <t>tmsuhprt</t>
  </si>
  <si>
    <t>tmsuhsvk</t>
  </si>
  <si>
    <t>tmsuhsvn</t>
  </si>
  <si>
    <t>tmsuhesp</t>
  </si>
  <si>
    <t>tmsuhswe</t>
  </si>
  <si>
    <t>tmsuhgbr</t>
  </si>
  <si>
    <t>tmsuhche</t>
  </si>
  <si>
    <t>tmsuhnor</t>
  </si>
  <si>
    <t>tmsuhbgr</t>
  </si>
  <si>
    <t>tmsuhhrv</t>
  </si>
  <si>
    <t>tmsuhrou</t>
  </si>
  <si>
    <t>tmsuhrus</t>
  </si>
  <si>
    <t>tmsuhisr</t>
  </si>
  <si>
    <t>tmsuhsau</t>
  </si>
  <si>
    <t>tmsuhtur</t>
  </si>
  <si>
    <t>tmsuhtun</t>
  </si>
  <si>
    <t>tmsuhzaf</t>
  </si>
  <si>
    <t>tmsuhglo</t>
  </si>
  <si>
    <t>tmsugaus</t>
  </si>
  <si>
    <t>tmsugnzl</t>
  </si>
  <si>
    <t>tmsugchn</t>
  </si>
  <si>
    <t>tmsughkg</t>
  </si>
  <si>
    <t>tmsugjpn</t>
  </si>
  <si>
    <t>tmsugkor</t>
  </si>
  <si>
    <t>tmsugtwn</t>
  </si>
  <si>
    <t>tmsugkhm</t>
  </si>
  <si>
    <t>tmsugidn</t>
  </si>
  <si>
    <t>tmsugmys</t>
  </si>
  <si>
    <t>tmsugphl</t>
  </si>
  <si>
    <t>tmsugsgp</t>
  </si>
  <si>
    <t>tmsugtha</t>
  </si>
  <si>
    <t>tmsugvnm</t>
  </si>
  <si>
    <t>tmsugind</t>
  </si>
  <si>
    <t>tmsugcan</t>
  </si>
  <si>
    <t>tmsugusa</t>
  </si>
  <si>
    <t>tmsugmex</t>
  </si>
  <si>
    <t>tmsugarg</t>
  </si>
  <si>
    <t>tmsugbra</t>
  </si>
  <si>
    <t>tmsugchl</t>
  </si>
  <si>
    <t>tmsugcol</t>
  </si>
  <si>
    <t>tmsugcri</t>
  </si>
  <si>
    <t>tmsugaut</t>
  </si>
  <si>
    <t>tmsugbel</t>
  </si>
  <si>
    <t>tmsugcyp</t>
  </si>
  <si>
    <t>tmsugcze</t>
  </si>
  <si>
    <t>tmsugdnk</t>
  </si>
  <si>
    <t>tmsugest</t>
  </si>
  <si>
    <t>tmsugfin</t>
  </si>
  <si>
    <t>tmsugfra</t>
  </si>
  <si>
    <t>tmsugdeu</t>
  </si>
  <si>
    <t>tmsuggrc</t>
  </si>
  <si>
    <t>tmsughun</t>
  </si>
  <si>
    <t>tmsugirl</t>
  </si>
  <si>
    <t>tmsugita</t>
  </si>
  <si>
    <t>tmsuglva</t>
  </si>
  <si>
    <t>tmsugltu</t>
  </si>
  <si>
    <t>tmsuglux</t>
  </si>
  <si>
    <t>tmsugmlt</t>
  </si>
  <si>
    <t>tmsugnld</t>
  </si>
  <si>
    <t>tmsugpol</t>
  </si>
  <si>
    <t>tmsugprt</t>
  </si>
  <si>
    <t>tmsugsvk</t>
  </si>
  <si>
    <t>tmsugsvn</t>
  </si>
  <si>
    <t>tmsugesp</t>
  </si>
  <si>
    <t>tmsugswe</t>
  </si>
  <si>
    <t>tmsuggbr</t>
  </si>
  <si>
    <t>tmsugche</t>
  </si>
  <si>
    <t>tmsugnor</t>
  </si>
  <si>
    <t>tmsugbgr</t>
  </si>
  <si>
    <t>tmsughrv</t>
  </si>
  <si>
    <t>tmsugrou</t>
  </si>
  <si>
    <t>tmsugrus</t>
  </si>
  <si>
    <t>tmsugisr</t>
  </si>
  <si>
    <t>tmsugsau</t>
  </si>
  <si>
    <t>tmsugtur</t>
  </si>
  <si>
    <t>tmsugtun</t>
  </si>
  <si>
    <t>tmsugzaf</t>
  </si>
  <si>
    <t>tmsugglo</t>
  </si>
  <si>
    <t>tmsukaus</t>
  </si>
  <si>
    <t>tmsuknzl</t>
  </si>
  <si>
    <t>tmsukchn</t>
  </si>
  <si>
    <t>tmsukhkg</t>
  </si>
  <si>
    <t>tmsukjpn</t>
  </si>
  <si>
    <t>tmsukkor</t>
  </si>
  <si>
    <t>tmsuktwn</t>
  </si>
  <si>
    <t>tmsukkhm</t>
  </si>
  <si>
    <t>tmsukidn</t>
  </si>
  <si>
    <t>tmsukmys</t>
  </si>
  <si>
    <t>tmsukphl</t>
  </si>
  <si>
    <t>tmsuksgp</t>
  </si>
  <si>
    <t>tmsuktha</t>
  </si>
  <si>
    <t>tmsukvnm</t>
  </si>
  <si>
    <t>tmsukind</t>
  </si>
  <si>
    <t>tmsukcan</t>
  </si>
  <si>
    <t>tmsukusa</t>
  </si>
  <si>
    <t>tmsukmex</t>
  </si>
  <si>
    <t>tmsukarg</t>
  </si>
  <si>
    <t>tmsukbra</t>
  </si>
  <si>
    <t>tmsukchl</t>
  </si>
  <si>
    <t>tmsukcol</t>
  </si>
  <si>
    <t>tmsukcri</t>
  </si>
  <si>
    <t>tmsukaut</t>
  </si>
  <si>
    <t>tmsukbel</t>
  </si>
  <si>
    <t>tmsukcyp</t>
  </si>
  <si>
    <t>tmsukcze</t>
  </si>
  <si>
    <t>tmsukdnk</t>
  </si>
  <si>
    <t>tmsukest</t>
  </si>
  <si>
    <t>tmsukfin</t>
  </si>
  <si>
    <t>tmsukfra</t>
  </si>
  <si>
    <t>tmsukdeu</t>
  </si>
  <si>
    <t>tmsukgrc</t>
  </si>
  <si>
    <t>tmsukhun</t>
  </si>
  <si>
    <t>tmsukirl</t>
  </si>
  <si>
    <t>tmsukita</t>
  </si>
  <si>
    <t>tmsuklva</t>
  </si>
  <si>
    <t>tmsukltu</t>
  </si>
  <si>
    <t>tmsuklux</t>
  </si>
  <si>
    <t>tmsukmlt</t>
  </si>
  <si>
    <t>tmsuknld</t>
  </si>
  <si>
    <t>tmsukpol</t>
  </si>
  <si>
    <t>tmsukprt</t>
  </si>
  <si>
    <t>tmsuksvk</t>
  </si>
  <si>
    <t>tmsuksvn</t>
  </si>
  <si>
    <t>tmsukesp</t>
  </si>
  <si>
    <t>tmsukswe</t>
  </si>
  <si>
    <t>tmsukgbr</t>
  </si>
  <si>
    <t>tmsukche</t>
  </si>
  <si>
    <t>tmsuknor</t>
  </si>
  <si>
    <t>tmsukbgr</t>
  </si>
  <si>
    <t>tmsukhrv</t>
  </si>
  <si>
    <t>tmsukrou</t>
  </si>
  <si>
    <t>tmsukrus</t>
  </si>
  <si>
    <t>tmsukisr</t>
  </si>
  <si>
    <t>tmsuksau</t>
  </si>
  <si>
    <t>tmsuktur</t>
  </si>
  <si>
    <t>tmsuktun</t>
  </si>
  <si>
    <t>tmsukzaf</t>
  </si>
  <si>
    <t>tmsukglo</t>
  </si>
  <si>
    <t>VVATTAX</t>
  </si>
  <si>
    <t>Colombia</t>
  </si>
  <si>
    <t>Costa Rica</t>
  </si>
  <si>
    <t>Croatia</t>
  </si>
  <si>
    <t>Tunisia</t>
  </si>
  <si>
    <t>wwaus</t>
  </si>
  <si>
    <t>wwnzl</t>
  </si>
  <si>
    <t>wwchn</t>
  </si>
  <si>
    <t>wwhkg</t>
  </si>
  <si>
    <t>wwjpn</t>
  </si>
  <si>
    <t>wwkor</t>
  </si>
  <si>
    <t>wwtwn</t>
  </si>
  <si>
    <t>wwkhm</t>
  </si>
  <si>
    <t>wwidn</t>
  </si>
  <si>
    <t>wwmys</t>
  </si>
  <si>
    <t>wwphl</t>
  </si>
  <si>
    <t>wwsgp</t>
  </si>
  <si>
    <t>wwtha</t>
  </si>
  <si>
    <t>wwvnm</t>
  </si>
  <si>
    <t>wwind</t>
  </si>
  <si>
    <t>wwcan</t>
  </si>
  <si>
    <t>wwusa</t>
  </si>
  <si>
    <t>wwmex</t>
  </si>
  <si>
    <t>wwarg</t>
  </si>
  <si>
    <t>wwbra</t>
  </si>
  <si>
    <t>wwchl</t>
  </si>
  <si>
    <t>wwcol</t>
  </si>
  <si>
    <t>wwcri</t>
  </si>
  <si>
    <t>wwaut</t>
  </si>
  <si>
    <t>wwbel</t>
  </si>
  <si>
    <t>wwcyp</t>
  </si>
  <si>
    <t>wwcze</t>
  </si>
  <si>
    <t>wwdnk</t>
  </si>
  <si>
    <t>wwest</t>
  </si>
  <si>
    <t>wwfin</t>
  </si>
  <si>
    <t>wwfra</t>
  </si>
  <si>
    <t>wwdeu</t>
  </si>
  <si>
    <t>wwgrc</t>
  </si>
  <si>
    <t>wwhun</t>
  </si>
  <si>
    <t>wwirl</t>
  </si>
  <si>
    <t>wwita</t>
  </si>
  <si>
    <t>wwlva</t>
  </si>
  <si>
    <t>wwltu</t>
  </si>
  <si>
    <t>wwlux</t>
  </si>
  <si>
    <t>wwmlt</t>
  </si>
  <si>
    <t>wwnld</t>
  </si>
  <si>
    <t>wwpol</t>
  </si>
  <si>
    <t>wwprt</t>
  </si>
  <si>
    <t>wwsvk</t>
  </si>
  <si>
    <t>wwsvn</t>
  </si>
  <si>
    <t>wwesp</t>
  </si>
  <si>
    <t>wwswe</t>
  </si>
  <si>
    <t>wwgbr</t>
  </si>
  <si>
    <t>wwche</t>
  </si>
  <si>
    <t>wwnor</t>
  </si>
  <si>
    <t>wwbgr</t>
  </si>
  <si>
    <t>wwhrv</t>
  </si>
  <si>
    <t>wwrou</t>
  </si>
  <si>
    <t>wwrus</t>
  </si>
  <si>
    <t>wwisr</t>
  </si>
  <si>
    <t>wwsau</t>
  </si>
  <si>
    <t>wwtur</t>
  </si>
  <si>
    <t>wwtun</t>
  </si>
  <si>
    <t>wwzaf</t>
  </si>
  <si>
    <t>wwglo</t>
  </si>
  <si>
    <t>brn</t>
  </si>
  <si>
    <t>p_c</t>
  </si>
  <si>
    <t>cmn</t>
  </si>
  <si>
    <t>Brunei Darussalam</t>
  </si>
  <si>
    <t>mmp_c</t>
  </si>
  <si>
    <t>mmcmn</t>
  </si>
  <si>
    <t>ddp_c</t>
  </si>
  <si>
    <t>ddcmn</t>
  </si>
  <si>
    <t>aap_c</t>
  </si>
  <si>
    <t>aacmn</t>
  </si>
  <si>
    <t>ccp_c</t>
  </si>
  <si>
    <t>cccmn</t>
  </si>
  <si>
    <t>tmuibrn</t>
  </si>
  <si>
    <t>tmuhbrn</t>
  </si>
  <si>
    <t>tmugbrn</t>
  </si>
  <si>
    <t>tmukbrn</t>
  </si>
  <si>
    <t>tmsuibrn</t>
  </si>
  <si>
    <t>tmsuhbrn</t>
  </si>
  <si>
    <t>tmsugbrn</t>
  </si>
  <si>
    <t>tmsukbrn</t>
  </si>
  <si>
    <t>teuibrn</t>
  </si>
  <si>
    <t>teuhbrn</t>
  </si>
  <si>
    <t>teugbrn</t>
  </si>
  <si>
    <t>teukbrn</t>
  </si>
  <si>
    <t>otppuibrn</t>
  </si>
  <si>
    <t>otppuhbrn</t>
  </si>
  <si>
    <t>otppugbrn</t>
  </si>
  <si>
    <t>otppukbrn</t>
  </si>
  <si>
    <t>wtppuibrn</t>
  </si>
  <si>
    <t>wtppuhbrn</t>
  </si>
  <si>
    <t>wtppugbrn</t>
  </si>
  <si>
    <t>wtppukbrn</t>
  </si>
  <si>
    <t>atppuibrn</t>
  </si>
  <si>
    <t>atppuhbrn</t>
  </si>
  <si>
    <t>atppugbrn</t>
  </si>
  <si>
    <t>atppukbrn</t>
  </si>
  <si>
    <t>wwuibrn</t>
  </si>
  <si>
    <t>wwuhbrn</t>
  </si>
  <si>
    <t>wwugbrn</t>
  </si>
  <si>
    <t>wwukbrn</t>
  </si>
  <si>
    <t>wwbrn</t>
  </si>
  <si>
    <t>Globe</t>
  </si>
  <si>
    <t>fLand</t>
  </si>
  <si>
    <t>ftech_aspros</t>
  </si>
  <si>
    <t>fclerks</t>
  </si>
  <si>
    <t>fservice_shop</t>
  </si>
  <si>
    <t>foff_mgr_pros</t>
  </si>
  <si>
    <t>fag_othlowsk</t>
  </si>
  <si>
    <t>fCapital</t>
  </si>
  <si>
    <t>fNatRes</t>
  </si>
  <si>
    <t>tfLand</t>
  </si>
  <si>
    <t>tftech_aspros</t>
  </si>
  <si>
    <t>tfclerks</t>
  </si>
  <si>
    <t>tfservice_shop</t>
  </si>
  <si>
    <t>tfoff_mgr_pros</t>
  </si>
  <si>
    <t>tfag_othlowsk</t>
  </si>
  <si>
    <t>tfCapital</t>
  </si>
  <si>
    <t>tfNatRes</t>
  </si>
  <si>
    <t>VATTAX</t>
  </si>
  <si>
    <t>ROW</t>
  </si>
  <si>
    <t>extr</t>
  </si>
  <si>
    <t>tmuirow</t>
  </si>
  <si>
    <t>tmuhrow</t>
  </si>
  <si>
    <t>tmugrow</t>
  </si>
  <si>
    <t>tmukrow</t>
  </si>
  <si>
    <t>atppugrow</t>
  </si>
  <si>
    <t>atppuhrow</t>
  </si>
  <si>
    <t>atppuirow</t>
  </si>
  <si>
    <t>atppukrow</t>
  </si>
  <si>
    <t>otppugrow</t>
  </si>
  <si>
    <t>otppuhrow</t>
  </si>
  <si>
    <t>otppuirow</t>
  </si>
  <si>
    <t>otppukrow</t>
  </si>
  <si>
    <t>teugrow</t>
  </si>
  <si>
    <t>teuhrow</t>
  </si>
  <si>
    <t>teuirow</t>
  </si>
  <si>
    <t>teukrow</t>
  </si>
  <si>
    <t>wtppugrow</t>
  </si>
  <si>
    <t>wtppuhrow</t>
  </si>
  <si>
    <t>wtppuirow</t>
  </si>
  <si>
    <t>wtppukrow</t>
  </si>
  <si>
    <t>wwugrow</t>
  </si>
  <si>
    <t>wwuhrow</t>
  </si>
  <si>
    <t>wwuirow</t>
  </si>
  <si>
    <t>wwukrow</t>
  </si>
  <si>
    <t>wwrow</t>
  </si>
  <si>
    <t>row</t>
  </si>
  <si>
    <t>tmsuirow</t>
  </si>
  <si>
    <t>tmsuhrow</t>
  </si>
  <si>
    <t>tmsugrow</t>
  </si>
  <si>
    <t>tmsukrow</t>
  </si>
  <si>
    <t>agri</t>
  </si>
  <si>
    <t>aaobs</t>
  </si>
  <si>
    <t>ccobs</t>
  </si>
  <si>
    <t>mmobs</t>
  </si>
  <si>
    <t>ddobs</t>
  </si>
  <si>
    <t>Technical and Assistant Professionals</t>
  </si>
  <si>
    <t>Clerks</t>
  </si>
  <si>
    <t>Service and shop assistants</t>
  </si>
  <si>
    <t>Office managers and Professionals</t>
  </si>
  <si>
    <t>Agricultural and other low skilled workers</t>
  </si>
  <si>
    <t xml:space="preserve">Capital </t>
  </si>
  <si>
    <t xml:space="preserve">Natural Resources </t>
  </si>
  <si>
    <t>sstaxui</t>
  </si>
  <si>
    <t>sstaxuh</t>
  </si>
  <si>
    <t>sstaxug</t>
  </si>
  <si>
    <t>sstaxuk</t>
  </si>
  <si>
    <t>Map METRO regions to User defined regions</t>
  </si>
  <si>
    <t>Map METRO factors to User defined factors</t>
  </si>
  <si>
    <t>Map METRO sectors to User defined sectors</t>
  </si>
  <si>
    <t>Step 1</t>
  </si>
  <si>
    <t>Factors</t>
  </si>
  <si>
    <t>Regions</t>
  </si>
  <si>
    <t>A</t>
  </si>
  <si>
    <t>G</t>
  </si>
  <si>
    <t>M</t>
  </si>
  <si>
    <t>Sectors</t>
  </si>
  <si>
    <t>Column location</t>
  </si>
  <si>
    <t>Define your aggregations on worksheet "sets-maps"</t>
  </si>
  <si>
    <t>Map each Metro region, factor, sector to one of the user defined regions, factor, sector</t>
  </si>
  <si>
    <t>D</t>
  </si>
  <si>
    <t>E</t>
  </si>
  <si>
    <t>User defined region</t>
  </si>
  <si>
    <t>Metro region</t>
  </si>
  <si>
    <t>J</t>
  </si>
  <si>
    <t>K</t>
  </si>
  <si>
    <t>Maps METRO regions to user defined region - mapk_kk(k,kk)</t>
  </si>
  <si>
    <t>P</t>
  </si>
  <si>
    <t>Q</t>
  </si>
  <si>
    <t>Users may define their own aggregation for regions, factors, and sectors</t>
  </si>
  <si>
    <t>Number elements in each user defined set</t>
  </si>
  <si>
    <t>User definitions for</t>
  </si>
  <si>
    <t>Step 2b</t>
  </si>
  <si>
    <t>the number of METRO elements in the "original_sets-maps"</t>
  </si>
  <si>
    <t>in each mapping on the worksheet "sets-maps" matches</t>
  </si>
  <si>
    <t>Number of elements</t>
  </si>
  <si>
    <t>original_sets-maps</t>
  </si>
  <si>
    <t xml:space="preserve"> na</t>
  </si>
  <si>
    <t>CHECKS</t>
  </si>
  <si>
    <t xml:space="preserve">sectors, and factors have been mapped. </t>
  </si>
  <si>
    <t>This can be done manually (visually) or with the macro below.</t>
  </si>
  <si>
    <t>1) Users should verify that the number of metro elements</t>
  </si>
  <si>
    <t xml:space="preserve">2) Users should take care that all metro elements for regions, </t>
  </si>
  <si>
    <t>Macro will list elements to check below</t>
  </si>
  <si>
    <t>not in mapk_kk</t>
  </si>
  <si>
    <t>but not Region acct</t>
  </si>
  <si>
    <t xml:space="preserve">metro region not in </t>
  </si>
  <si>
    <t>original set</t>
  </si>
  <si>
    <t>No issues</t>
  </si>
  <si>
    <t>not in mapping</t>
  </si>
  <si>
    <t>but not in new factor</t>
  </si>
  <si>
    <t>user factor in map</t>
  </si>
  <si>
    <t>metro factor in map</t>
  </si>
  <si>
    <t>in original set</t>
  </si>
  <si>
    <t>user sector in map</t>
  </si>
  <si>
    <t>metro sector in map</t>
  </si>
  <si>
    <t>but not in new sector</t>
  </si>
  <si>
    <t>not in original set</t>
  </si>
  <si>
    <t>new sector</t>
  </si>
  <si>
    <t>new factor</t>
  </si>
  <si>
    <t>region acct</t>
  </si>
  <si>
    <t>region in map</t>
  </si>
  <si>
    <t>Step 3a</t>
  </si>
  <si>
    <t>Create set for Elasticity commodity set (c) which is based on the user defined "new sector (trunk)".</t>
  </si>
  <si>
    <t>set ( c) = new sector (trunk) set but with the prefix "c"</t>
  </si>
  <si>
    <t>Step 3b</t>
  </si>
  <si>
    <t>Number of unique elements*</t>
  </si>
  <si>
    <t xml:space="preserve">  in "original_sets-maps" worksheet. Col F = Col H</t>
  </si>
  <si>
    <t>* the number of metro elements in "sets-maps" mapping should match the number of metro elements</t>
  </si>
  <si>
    <t>Update mapping of metro Elasticity commodity set (cc) and User defined Elasticity commodity set ( c)</t>
  </si>
  <si>
    <t>MAP:  mapc_cc(c,cc), Columns U and V</t>
  </si>
  <si>
    <t>Mapping is similar to the mapping of Metro sector to User defined sector "New sector (trunk)"</t>
  </si>
  <si>
    <t>except that the user defined set is prefixed with "c" and Metro sector set is prefixed with "cc"</t>
  </si>
  <si>
    <r>
      <rPr>
        <sz val="10"/>
        <color rgb="FFFF0000"/>
        <rFont val="Arial"/>
        <family val="2"/>
      </rPr>
      <t>c</t>
    </r>
    <r>
      <rPr>
        <sz val="10"/>
        <rFont val="Arial"/>
        <family val="2"/>
      </rPr>
      <t>agri</t>
    </r>
  </si>
  <si>
    <r>
      <rPr>
        <sz val="10"/>
        <color rgb="FFFF0000"/>
        <rFont val="Arial"/>
        <family val="2"/>
      </rPr>
      <t>cc</t>
    </r>
    <r>
      <rPr>
        <sz val="10"/>
        <rFont val="Arial"/>
        <family val="2"/>
      </rPr>
      <t>pdr</t>
    </r>
  </si>
  <si>
    <r>
      <rPr>
        <sz val="10"/>
        <color rgb="FFFF0000"/>
        <rFont val="Arial"/>
        <family val="2"/>
      </rPr>
      <t>cc</t>
    </r>
    <r>
      <rPr>
        <sz val="10"/>
        <rFont val="Arial"/>
        <family val="2"/>
      </rPr>
      <t>wht</t>
    </r>
  </si>
  <si>
    <t>For example:</t>
  </si>
  <si>
    <t>Step 4a</t>
  </si>
  <si>
    <t>Create New SAM based on user defined regions, sectors, and factors (s)</t>
  </si>
  <si>
    <t>Create mapping of orginal METRO SAM to New SAM based on user defined regions, sectors, and factors maps_ss(s,ss)</t>
  </si>
  <si>
    <t>on the "maps-generator" worksheet, copy the mapping pairs from columns M - DL (should be highlighted as light blue cells)</t>
  </si>
  <si>
    <t>paste them into the mapping maps_ss(s,ss)</t>
  </si>
  <si>
    <t>Alternatively, the macro below will execute steps 3a, 3b, 4a, and 4b</t>
  </si>
  <si>
    <t>Step 4b</t>
  </si>
  <si>
    <t>Step 5</t>
  </si>
  <si>
    <t>Note: Number of user defined</t>
  </si>
  <si>
    <t>sectors</t>
  </si>
  <si>
    <t>regions</t>
  </si>
  <si>
    <t xml:space="preserve">Paddy rice </t>
  </si>
  <si>
    <t xml:space="preserve">Wheat </t>
  </si>
  <si>
    <t xml:space="preserve">Cereal grains nec </t>
  </si>
  <si>
    <t xml:space="preserve">Oil seeds </t>
  </si>
  <si>
    <t xml:space="preserve">Plant-based fibers </t>
  </si>
  <si>
    <t xml:space="preserve">Crops nec </t>
  </si>
  <si>
    <t xml:space="preserve">Animal products nec </t>
  </si>
  <si>
    <t xml:space="preserve">Raw milk </t>
  </si>
  <si>
    <t xml:space="preserve">Forestry </t>
  </si>
  <si>
    <t xml:space="preserve">Fishing </t>
  </si>
  <si>
    <t xml:space="preserve">Coal </t>
  </si>
  <si>
    <t xml:space="preserve">Oil </t>
  </si>
  <si>
    <t xml:space="preserve">Gas </t>
  </si>
  <si>
    <t xml:space="preserve">Vegetable oils and fats </t>
  </si>
  <si>
    <t xml:space="preserve">Dairy products </t>
  </si>
  <si>
    <t xml:space="preserve">Processed rice </t>
  </si>
  <si>
    <t xml:space="preserve">Sugar </t>
  </si>
  <si>
    <t xml:space="preserve">Food products nec </t>
  </si>
  <si>
    <t>Beverages and tobacco products</t>
  </si>
  <si>
    <t xml:space="preserve">Textiles </t>
  </si>
  <si>
    <t xml:space="preserve">Wearing apparel </t>
  </si>
  <si>
    <t xml:space="preserve">Leather products </t>
  </si>
  <si>
    <t xml:space="preserve">Wood products </t>
  </si>
  <si>
    <t>Petroleum, coal products</t>
  </si>
  <si>
    <t xml:space="preserve">Mineral products nec </t>
  </si>
  <si>
    <t xml:space="preserve">Ferrous metals </t>
  </si>
  <si>
    <t xml:space="preserve">Metals nec </t>
  </si>
  <si>
    <t xml:space="preserve">Metal products </t>
  </si>
  <si>
    <t xml:space="preserve">Motor vehicles and parts </t>
  </si>
  <si>
    <t xml:space="preserve">Transport equipment nec </t>
  </si>
  <si>
    <t xml:space="preserve">Manufactures nec </t>
  </si>
  <si>
    <t xml:space="preserve">Electricity </t>
  </si>
  <si>
    <t xml:space="preserve">Water </t>
  </si>
  <si>
    <t xml:space="preserve">Construction </t>
  </si>
  <si>
    <t xml:space="preserve">Transport nec </t>
  </si>
  <si>
    <t xml:space="preserve">Air transport </t>
  </si>
  <si>
    <t>Communication</t>
  </si>
  <si>
    <t xml:space="preserve">Financial services nec </t>
  </si>
  <si>
    <t xml:space="preserve">Insurance </t>
  </si>
  <si>
    <t xml:space="preserve">Business services nec </t>
  </si>
  <si>
    <t xml:space="preserve">Dwellings </t>
  </si>
  <si>
    <t xml:space="preserve">on the "sets-generators" worksheet, copy elements from columns G - AN that correspond to new sectors, regions, and factors </t>
  </si>
  <si>
    <t>(should be in greyed cells) as well as column AM into the set for New SAM account (Column Y)</t>
  </si>
  <si>
    <t>Save file as:</t>
  </si>
  <si>
    <t>sets-maps!D5</t>
  </si>
  <si>
    <t>agr</t>
  </si>
  <si>
    <t>lnd</t>
  </si>
  <si>
    <t>ls</t>
  </si>
  <si>
    <t>lu</t>
  </si>
  <si>
    <t>nat</t>
  </si>
  <si>
    <t>fd</t>
  </si>
  <si>
    <t>uti</t>
  </si>
  <si>
    <t>ser</t>
  </si>
  <si>
    <t>obs</t>
  </si>
  <si>
    <t>METRO</t>
  </si>
  <si>
    <t>factor groupings</t>
  </si>
  <si>
    <t>sector groupings</t>
  </si>
  <si>
    <t>Step 2a</t>
  </si>
  <si>
    <t>Verify that the formulas in columns L and S are correct for all elements in the set</t>
  </si>
  <si>
    <t>Sets based on region and sectors, are members of larger groupings, that are used later for the model (see documentation for more info).</t>
  </si>
  <si>
    <t>The formula in the first row (5) for each column should be as follows</t>
  </si>
  <si>
    <t>Column L:</t>
  </si>
  <si>
    <t>Column S:</t>
  </si>
  <si>
    <t>sets-maps!AD5</t>
  </si>
  <si>
    <t>new sector groupings</t>
  </si>
  <si>
    <t>For model</t>
  </si>
  <si>
    <t>sets-maps!AB5</t>
  </si>
  <si>
    <t>sets-maps!Y5</t>
  </si>
  <si>
    <t>new factor groupings</t>
  </si>
  <si>
    <t>(original regions)</t>
  </si>
  <si>
    <t>(original factors)</t>
  </si>
  <si>
    <t>(original sectors)</t>
  </si>
  <si>
    <t>Documentation UnAggregated METRO- sectors, factors, regions</t>
  </si>
  <si>
    <t>DO NOT aggregate</t>
  </si>
  <si>
    <t>Sectors (c )</t>
  </si>
  <si>
    <t>Factors (f)</t>
  </si>
  <si>
    <t>Regions (kk)</t>
  </si>
  <si>
    <t>Europe</t>
  </si>
  <si>
    <t>NAmerica</t>
  </si>
  <si>
    <t>North America</t>
  </si>
  <si>
    <t>Asia</t>
  </si>
  <si>
    <t>agf</t>
  </si>
  <si>
    <t>man</t>
  </si>
  <si>
    <t>Agriculture and Food</t>
  </si>
  <si>
    <t>Natural ressources</t>
  </si>
  <si>
    <t>Manufacturing</t>
  </si>
  <si>
    <t>Transport services</t>
  </si>
  <si>
    <t>Services</t>
  </si>
  <si>
    <t/>
  </si>
  <si>
    <t>It is recommended that you SAVE the file as METROagg_C_F_K_v9aL11.xlsm</t>
  </si>
  <si>
    <t>where C = number of user defined sectors, F= number of user defined factors, and K= number of user defined regions</t>
  </si>
  <si>
    <t>sets-maps!W5</t>
  </si>
  <si>
    <t>=iferror(INDEX(fgrouping_fg,MATCH(K5,fgrouping_f,0)),"")</t>
  </si>
  <si>
    <t>=iferror(INDEX(sgroupings_sg,MATCH(R5,sgroupings_s,0)),"")</t>
  </si>
  <si>
    <t>Agriculture</t>
  </si>
  <si>
    <t>Food</t>
  </si>
  <si>
    <t>Natural Resources</t>
  </si>
  <si>
    <t>Example for 5 sectors, 8 factors, and 5 regions</t>
  </si>
  <si>
    <t>Example for 6 sectors, 8 factors, and 4 regions</t>
  </si>
  <si>
    <t>cotp</t>
  </si>
  <si>
    <t>cmotp</t>
  </si>
  <si>
    <t>cdotp</t>
  </si>
  <si>
    <t>aotp</t>
  </si>
  <si>
    <t>tmiglo</t>
  </si>
  <si>
    <t>tmhglo</t>
  </si>
  <si>
    <t>tmgglo</t>
  </si>
  <si>
    <t>tmkglo</t>
  </si>
  <si>
    <t>tmsiglo</t>
  </si>
  <si>
    <t>tmshglo</t>
  </si>
  <si>
    <t>tmsgglo</t>
  </si>
  <si>
    <t>tmskglo</t>
  </si>
  <si>
    <t>teiglo</t>
  </si>
  <si>
    <t>tehglo</t>
  </si>
  <si>
    <t>tegglo</t>
  </si>
  <si>
    <t>tekglo</t>
  </si>
  <si>
    <t>otpuiglo</t>
  </si>
  <si>
    <t>otpuhglo</t>
  </si>
  <si>
    <t>otpugglo</t>
  </si>
  <si>
    <t>otpukglo</t>
  </si>
  <si>
    <t>wtpuiglo</t>
  </si>
  <si>
    <t>wtpuhglo</t>
  </si>
  <si>
    <t>wtpugglo</t>
  </si>
  <si>
    <t>wtpukglo</t>
  </si>
  <si>
    <t>atpuiglo</t>
  </si>
  <si>
    <t>atpuhglo</t>
  </si>
  <si>
    <t>atpugglo</t>
  </si>
  <si>
    <t>atpukglo</t>
  </si>
  <si>
    <t>wiglo</t>
  </si>
  <si>
    <t>whglo</t>
  </si>
  <si>
    <t>wgglo</t>
  </si>
  <si>
    <t>wkglo</t>
  </si>
  <si>
    <t>wglo</t>
  </si>
  <si>
    <t>last updated:</t>
  </si>
  <si>
    <t>Kazakhstan</t>
  </si>
  <si>
    <t>Morocco</t>
  </si>
  <si>
    <t>Peru</t>
  </si>
  <si>
    <t>Vegetables, fruit, nuts</t>
  </si>
  <si>
    <t>Sugar cane, sugar beet</t>
  </si>
  <si>
    <t>Bovine cattle, sheep and goats, horses</t>
  </si>
  <si>
    <t>Wool, silk-worm cocoons</t>
  </si>
  <si>
    <t>aaoxt</t>
  </si>
  <si>
    <t>Other Extraction (formerly omn Minerals nec)</t>
  </si>
  <si>
    <t>ccoxt</t>
  </si>
  <si>
    <t>mmoxt</t>
  </si>
  <si>
    <t>ddoxt</t>
  </si>
  <si>
    <t>oxt</t>
  </si>
  <si>
    <t>Bovine meat products</t>
  </si>
  <si>
    <t>Meat products nec</t>
  </si>
  <si>
    <t>per</t>
  </si>
  <si>
    <t>otppugper</t>
  </si>
  <si>
    <t>Paper products, publishing</t>
  </si>
  <si>
    <t>aachm</t>
  </si>
  <si>
    <t>Chemical products</t>
  </si>
  <si>
    <t>ccchm</t>
  </si>
  <si>
    <t>mmchm</t>
  </si>
  <si>
    <t>ddchm</t>
  </si>
  <si>
    <t>chm</t>
  </si>
  <si>
    <t>aabph</t>
  </si>
  <si>
    <t>Basic pharmaceutical products</t>
  </si>
  <si>
    <t>ccbph</t>
  </si>
  <si>
    <t>mmbph</t>
  </si>
  <si>
    <t>ddbph</t>
  </si>
  <si>
    <t>bph</t>
  </si>
  <si>
    <t>aarpp</t>
  </si>
  <si>
    <t>Rubber and plastic products</t>
  </si>
  <si>
    <t>ccrpp</t>
  </si>
  <si>
    <t>mmrpp</t>
  </si>
  <si>
    <t>ddrpp</t>
  </si>
  <si>
    <t>rpp</t>
  </si>
  <si>
    <t>Computer, electronic and optical products</t>
  </si>
  <si>
    <t>aaeeq</t>
  </si>
  <si>
    <t>Electrical equipment</t>
  </si>
  <si>
    <t>cceeq</t>
  </si>
  <si>
    <t>mmeeq</t>
  </si>
  <si>
    <t>ddeeq</t>
  </si>
  <si>
    <t>eeq</t>
  </si>
  <si>
    <t>Machinery and equipment nec</t>
  </si>
  <si>
    <t>Gas manufacture, distribution</t>
  </si>
  <si>
    <t>Trade</t>
  </si>
  <si>
    <t>aaafs</t>
  </si>
  <si>
    <t>Accommodation, Food and service activities</t>
  </si>
  <si>
    <t>ccafs</t>
  </si>
  <si>
    <t>mmafs</t>
  </si>
  <si>
    <t>ddafs</t>
  </si>
  <si>
    <t>afs</t>
  </si>
  <si>
    <t>Water transport</t>
  </si>
  <si>
    <t>aawhs</t>
  </si>
  <si>
    <t>Warehousing and support activities</t>
  </si>
  <si>
    <t>ccwhs</t>
  </si>
  <si>
    <t>mmwhs</t>
  </si>
  <si>
    <t>ddwhs</t>
  </si>
  <si>
    <t>whs</t>
  </si>
  <si>
    <t>kaz</t>
  </si>
  <si>
    <t>otppugkaz</t>
  </si>
  <si>
    <t>aarsa</t>
  </si>
  <si>
    <t>Real estate activities</t>
  </si>
  <si>
    <t>ccrsa</t>
  </si>
  <si>
    <t>mmrsa</t>
  </si>
  <si>
    <t>ddrsa</t>
  </si>
  <si>
    <t>rsa</t>
  </si>
  <si>
    <t>Recreational and other services</t>
  </si>
  <si>
    <t>mar</t>
  </si>
  <si>
    <t>otppugmar</t>
  </si>
  <si>
    <t>Public Administration and defense</t>
  </si>
  <si>
    <t>aaedu</t>
  </si>
  <si>
    <t>Education</t>
  </si>
  <si>
    <t>ccedu</t>
  </si>
  <si>
    <t>mmedu</t>
  </si>
  <si>
    <t>ddedu</t>
  </si>
  <si>
    <t>edu</t>
  </si>
  <si>
    <t>aahht</t>
  </si>
  <si>
    <t>Human health and social work activities</t>
  </si>
  <si>
    <t>cchht</t>
  </si>
  <si>
    <t>mmhht</t>
  </si>
  <si>
    <t>ddhht</t>
  </si>
  <si>
    <t>hht</t>
  </si>
  <si>
    <t>atppugper</t>
  </si>
  <si>
    <t>otppuhper</t>
  </si>
  <si>
    <t>atppugkaz</t>
  </si>
  <si>
    <t>otppuhkaz</t>
  </si>
  <si>
    <t>atppugmar</t>
  </si>
  <si>
    <t>otppuhmar</t>
  </si>
  <si>
    <t>atppuhper</t>
  </si>
  <si>
    <t>otppuiper</t>
  </si>
  <si>
    <t>atppuhkaz</t>
  </si>
  <si>
    <t>otppuikaz</t>
  </si>
  <si>
    <t>atppuhmar</t>
  </si>
  <si>
    <t>otppuimar</t>
  </si>
  <si>
    <t>atppuiper</t>
  </si>
  <si>
    <t>otppukper</t>
  </si>
  <si>
    <t>atppuikaz</t>
  </si>
  <si>
    <t>otppukkaz</t>
  </si>
  <si>
    <t>atppuimar</t>
  </si>
  <si>
    <t>otppukmar</t>
  </si>
  <si>
    <t>atppukper</t>
  </si>
  <si>
    <t>atppukkaz</t>
  </si>
  <si>
    <t>atppukmar</t>
  </si>
  <si>
    <t>wtppugper</t>
  </si>
  <si>
    <t>wtppugkaz</t>
  </si>
  <si>
    <t>wtppugmar</t>
  </si>
  <si>
    <t>wtppuhper</t>
  </si>
  <si>
    <t>wtppuhkaz</t>
  </si>
  <si>
    <t>wtppuhmar</t>
  </si>
  <si>
    <t>wtppuiper</t>
  </si>
  <si>
    <t>wtppuikaz</t>
  </si>
  <si>
    <t>wtppuimar</t>
  </si>
  <si>
    <t>wtppukper</t>
  </si>
  <si>
    <t>teugper</t>
  </si>
  <si>
    <t>wtppukkaz</t>
  </si>
  <si>
    <t>wtppukmar</t>
  </si>
  <si>
    <t>teugkaz</t>
  </si>
  <si>
    <t>teugmar</t>
  </si>
  <si>
    <t>wwugper</t>
  </si>
  <si>
    <t>teuhper</t>
  </si>
  <si>
    <t>wwugkaz</t>
  </si>
  <si>
    <t>wwugmar</t>
  </si>
  <si>
    <t>teuhkaz</t>
  </si>
  <si>
    <t>teuhmar</t>
  </si>
  <si>
    <t>wwuhper</t>
  </si>
  <si>
    <t>teuiper</t>
  </si>
  <si>
    <t>wwuhkaz</t>
  </si>
  <si>
    <t>wwuhmar</t>
  </si>
  <si>
    <t>teuikaz</t>
  </si>
  <si>
    <t>teuimar</t>
  </si>
  <si>
    <t>wwuiper</t>
  </si>
  <si>
    <t>teukper</t>
  </si>
  <si>
    <t>wwuikaz</t>
  </si>
  <si>
    <t>wwuimar</t>
  </si>
  <si>
    <t>teukkaz</t>
  </si>
  <si>
    <t>teukmar</t>
  </si>
  <si>
    <t>wwukper</t>
  </si>
  <si>
    <t>tmsugper</t>
  </si>
  <si>
    <t>wwukkaz</t>
  </si>
  <si>
    <t>wwukmar</t>
  </si>
  <si>
    <t>tmsugkaz</t>
  </si>
  <si>
    <t>tmsugmar</t>
  </si>
  <si>
    <t>wwper</t>
  </si>
  <si>
    <t>tmsuhper</t>
  </si>
  <si>
    <t>wwkaz</t>
  </si>
  <si>
    <t>wwmar</t>
  </si>
  <si>
    <t>tmsuhkaz</t>
  </si>
  <si>
    <t>tmsuhmar</t>
  </si>
  <si>
    <t>tmsuiper</t>
  </si>
  <si>
    <t>tmsuikaz</t>
  </si>
  <si>
    <t>tmsuimar</t>
  </si>
  <si>
    <t>tmsukper</t>
  </si>
  <si>
    <t>tmsukkaz</t>
  </si>
  <si>
    <t>tmsukmar</t>
  </si>
  <si>
    <t>tmugper</t>
  </si>
  <si>
    <t>tmugkaz</t>
  </si>
  <si>
    <t>tmugmar</t>
  </si>
  <si>
    <t>tmuhper</t>
  </si>
  <si>
    <t>tmuhkaz</t>
  </si>
  <si>
    <t>tmuhmar</t>
  </si>
  <si>
    <t>tmuiper</t>
  </si>
  <si>
    <t>tmuikaz</t>
  </si>
  <si>
    <t>tmuimar</t>
  </si>
  <si>
    <t>tmukper</t>
  </si>
  <si>
    <t>tmukkaz</t>
  </si>
  <si>
    <t>tmukmar</t>
  </si>
  <si>
    <t>64 + glo</t>
  </si>
  <si>
    <t>Cereal grains</t>
  </si>
  <si>
    <t>Oil seeds</t>
  </si>
  <si>
    <t>meats</t>
  </si>
  <si>
    <t>oagf</t>
  </si>
  <si>
    <t>Other agriculture and food</t>
  </si>
  <si>
    <t>natres</t>
  </si>
  <si>
    <t>Natural resources</t>
  </si>
  <si>
    <t>minmet</t>
  </si>
  <si>
    <t>Mineral and metal products</t>
  </si>
  <si>
    <t>Computers and electronics</t>
  </si>
  <si>
    <t>Machinery and equipment</t>
  </si>
  <si>
    <t>Motor vehicles and parts</t>
  </si>
  <si>
    <t>Transport equipment</t>
  </si>
  <si>
    <t>oman</t>
  </si>
  <si>
    <t>Other manufacturing</t>
  </si>
  <si>
    <t>Communication services</t>
  </si>
  <si>
    <t>oser</t>
  </si>
  <si>
    <t>Other services</t>
  </si>
  <si>
    <t>Financial services  </t>
  </si>
  <si>
    <t>Business services  </t>
  </si>
  <si>
    <t>USA</t>
  </si>
  <si>
    <t>cgro</t>
  </si>
  <si>
    <t>cosd</t>
  </si>
  <si>
    <t>cmeats</t>
  </si>
  <si>
    <t>coagf</t>
  </si>
  <si>
    <t>cb_t</t>
  </si>
  <si>
    <t>cnatres</t>
  </si>
  <si>
    <t>cminmet</t>
  </si>
  <si>
    <t>cele</t>
  </si>
  <si>
    <t>come</t>
  </si>
  <si>
    <t>cmvh</t>
  </si>
  <si>
    <t>cotn</t>
  </si>
  <si>
    <t>coman</t>
  </si>
  <si>
    <t>ccmn</t>
  </si>
  <si>
    <t>cofi</t>
  </si>
  <si>
    <t>cins</t>
  </si>
  <si>
    <t>cobs</t>
  </si>
  <si>
    <t>cosg</t>
  </si>
  <si>
    <t>cedu</t>
  </si>
  <si>
    <t>coser</t>
  </si>
  <si>
    <t>cmgro</t>
  </si>
  <si>
    <t>cmosd</t>
  </si>
  <si>
    <t>cmmeats</t>
  </si>
  <si>
    <t>cmoagf</t>
  </si>
  <si>
    <t>cmb_t</t>
  </si>
  <si>
    <t>cmnatres</t>
  </si>
  <si>
    <t>cmminmet</t>
  </si>
  <si>
    <t>cmele</t>
  </si>
  <si>
    <t>cmome</t>
  </si>
  <si>
    <t>cmmvh</t>
  </si>
  <si>
    <t>cmotn</t>
  </si>
  <si>
    <t>cmoman</t>
  </si>
  <si>
    <t>cmcmn</t>
  </si>
  <si>
    <t>cmofi</t>
  </si>
  <si>
    <t>cmins</t>
  </si>
  <si>
    <t>cmobs</t>
  </si>
  <si>
    <t>cmosg</t>
  </si>
  <si>
    <t>cmedu</t>
  </si>
  <si>
    <t>cmoser</t>
  </si>
  <si>
    <t>cdgro</t>
  </si>
  <si>
    <t>cdosd</t>
  </si>
  <si>
    <t>cdmeats</t>
  </si>
  <si>
    <t>cdoagf</t>
  </si>
  <si>
    <t>cdb_t</t>
  </si>
  <si>
    <t>cdnatres</t>
  </si>
  <si>
    <t>cdminmet</t>
  </si>
  <si>
    <t>cdele</t>
  </si>
  <si>
    <t>cdome</t>
  </si>
  <si>
    <t>cdmvh</t>
  </si>
  <si>
    <t>cdotn</t>
  </si>
  <si>
    <t>cdoman</t>
  </si>
  <si>
    <t>cdcmn</t>
  </si>
  <si>
    <t>cdofi</t>
  </si>
  <si>
    <t>cdins</t>
  </si>
  <si>
    <t>cdobs</t>
  </si>
  <si>
    <t>cdosg</t>
  </si>
  <si>
    <t>cdedu</t>
  </si>
  <si>
    <t>cdoser</t>
  </si>
  <si>
    <t>agro</t>
  </si>
  <si>
    <t>aosd</t>
  </si>
  <si>
    <t>ameats</t>
  </si>
  <si>
    <t>aoagf</t>
  </si>
  <si>
    <t>ab_t</t>
  </si>
  <si>
    <t>anatres</t>
  </si>
  <si>
    <t>aminmet</t>
  </si>
  <si>
    <t>aele</t>
  </si>
  <si>
    <t>aome</t>
  </si>
  <si>
    <t>amvh</t>
  </si>
  <si>
    <t>aotn</t>
  </si>
  <si>
    <t>aoman</t>
  </si>
  <si>
    <t>acmn</t>
  </si>
  <si>
    <t>aofi</t>
  </si>
  <si>
    <t>ains</t>
  </si>
  <si>
    <t>aobs</t>
  </si>
  <si>
    <t>aosg</t>
  </si>
  <si>
    <t>aedu</t>
  </si>
  <si>
    <t>aoser</t>
  </si>
  <si>
    <t>China, Hong Kong</t>
  </si>
  <si>
    <t>S301_nonEU</t>
  </si>
  <si>
    <t>S301_EU</t>
  </si>
  <si>
    <t>DST</t>
  </si>
  <si>
    <t>Neutral</t>
  </si>
  <si>
    <t>Retaliate</t>
  </si>
  <si>
    <t xml:space="preserve">DST legislated </t>
  </si>
  <si>
    <t>S301 investigation underway_non EU</t>
  </si>
  <si>
    <t>S301 investigation underway_EU</t>
  </si>
  <si>
    <t>All other</t>
  </si>
  <si>
    <t>tmiDST</t>
  </si>
  <si>
    <t>tmiS301_nonEU</t>
  </si>
  <si>
    <t>tmiS301_EU</t>
  </si>
  <si>
    <t>tmiRetaliate</t>
  </si>
  <si>
    <t>tmiNeutral</t>
  </si>
  <si>
    <t>tmhDST</t>
  </si>
  <si>
    <t>tmhS301_nonEU</t>
  </si>
  <si>
    <t>tmhS301_EU</t>
  </si>
  <si>
    <t>tmhRetaliate</t>
  </si>
  <si>
    <t>tmhNeutral</t>
  </si>
  <si>
    <t>tmgDST</t>
  </si>
  <si>
    <t>tmgS301_nonEU</t>
  </si>
  <si>
    <t>tmgS301_EU</t>
  </si>
  <si>
    <t>tmgRetaliate</t>
  </si>
  <si>
    <t>tmgNeutral</t>
  </si>
  <si>
    <t>tmkDST</t>
  </si>
  <si>
    <t>tmkS301_nonEU</t>
  </si>
  <si>
    <t>tmkS301_EU</t>
  </si>
  <si>
    <t>tmkRetaliate</t>
  </si>
  <si>
    <t>tmkNeutral</t>
  </si>
  <si>
    <t>tmsiDST</t>
  </si>
  <si>
    <t>tmsiS301_nonEU</t>
  </si>
  <si>
    <t>tmsiS301_EU</t>
  </si>
  <si>
    <t>tmsiRetaliate</t>
  </si>
  <si>
    <t>tmsiNeutral</t>
  </si>
  <si>
    <t>tmshDST</t>
  </si>
  <si>
    <t>tmshS301_nonEU</t>
  </si>
  <si>
    <t>tmshS301_EU</t>
  </si>
  <si>
    <t>tmshRetaliate</t>
  </si>
  <si>
    <t>tmshNeutral</t>
  </si>
  <si>
    <t>tmsgDST</t>
  </si>
  <si>
    <t>tmsgS301_nonEU</t>
  </si>
  <si>
    <t>tmsgS301_EU</t>
  </si>
  <si>
    <t>tmsgRetaliate</t>
  </si>
  <si>
    <t>tmsgNeutral</t>
  </si>
  <si>
    <t>tmskDST</t>
  </si>
  <si>
    <t>tmskS301_nonEU</t>
  </si>
  <si>
    <t>tmskS301_EU</t>
  </si>
  <si>
    <t>tmskRetaliate</t>
  </si>
  <si>
    <t>tmskNeutral</t>
  </si>
  <si>
    <t>teiDST</t>
  </si>
  <si>
    <t>teiS301_nonEU</t>
  </si>
  <si>
    <t>teiS301_EU</t>
  </si>
  <si>
    <t>teiRetaliate</t>
  </si>
  <si>
    <t>teiNeutral</t>
  </si>
  <si>
    <t>tehDST</t>
  </si>
  <si>
    <t>tehS301_nonEU</t>
  </si>
  <si>
    <t>tehS301_EU</t>
  </si>
  <si>
    <t>tehRetaliate</t>
  </si>
  <si>
    <t>tehNeutral</t>
  </si>
  <si>
    <t>tegDST</t>
  </si>
  <si>
    <t>tegS301_nonEU</t>
  </si>
  <si>
    <t>tegS301_EU</t>
  </si>
  <si>
    <t>tegRetaliate</t>
  </si>
  <si>
    <t>tegNeutral</t>
  </si>
  <si>
    <t>tekDST</t>
  </si>
  <si>
    <t>tekS301_nonEU</t>
  </si>
  <si>
    <t>tekS301_EU</t>
  </si>
  <si>
    <t>tekRetaliate</t>
  </si>
  <si>
    <t>tekNeutral</t>
  </si>
  <si>
    <t>otpuiDST</t>
  </si>
  <si>
    <t>otpuiS301_nonEU</t>
  </si>
  <si>
    <t>otpuiS301_EU</t>
  </si>
  <si>
    <t>otpuiRetaliate</t>
  </si>
  <si>
    <t>otpuiNeutral</t>
  </si>
  <si>
    <t>otpuhDST</t>
  </si>
  <si>
    <t>otpuhS301_nonEU</t>
  </si>
  <si>
    <t>otpuhS301_EU</t>
  </si>
  <si>
    <t>otpuhRetaliate</t>
  </si>
  <si>
    <t>otpuhNeutral</t>
  </si>
  <si>
    <t>otpugDST</t>
  </si>
  <si>
    <t>otpugS301_nonEU</t>
  </si>
  <si>
    <t>otpugS301_EU</t>
  </si>
  <si>
    <t>otpugRetaliate</t>
  </si>
  <si>
    <t>otpugNeutral</t>
  </si>
  <si>
    <t>otpukDST</t>
  </si>
  <si>
    <t>otpukS301_nonEU</t>
  </si>
  <si>
    <t>otpukS301_EU</t>
  </si>
  <si>
    <t>otpukRetaliate</t>
  </si>
  <si>
    <t>otpukNeutral</t>
  </si>
  <si>
    <t>wtpuiDST</t>
  </si>
  <si>
    <t>wtpuiS301_nonEU</t>
  </si>
  <si>
    <t>wtpuiS301_EU</t>
  </si>
  <si>
    <t>wtpuiRetaliate</t>
  </si>
  <si>
    <t>wtpuiNeutral</t>
  </si>
  <si>
    <t>wtpuhDST</t>
  </si>
  <si>
    <t>wtpuhS301_nonEU</t>
  </si>
  <si>
    <t>wtpuhS301_EU</t>
  </si>
  <si>
    <t>wtpuhRetaliate</t>
  </si>
  <si>
    <t>wtpuhNeutral</t>
  </si>
  <si>
    <t>wtpugDST</t>
  </si>
  <si>
    <t>wtpugS301_nonEU</t>
  </si>
  <si>
    <t>wtpugS301_EU</t>
  </si>
  <si>
    <t>wtpugRetaliate</t>
  </si>
  <si>
    <t>wtpugNeutral</t>
  </si>
  <si>
    <t>wtpukDST</t>
  </si>
  <si>
    <t>wtpukS301_nonEU</t>
  </si>
  <si>
    <t>wtpukS301_EU</t>
  </si>
  <si>
    <t>wtpukRetaliate</t>
  </si>
  <si>
    <t>wtpukNeutral</t>
  </si>
  <si>
    <t>atpuiDST</t>
  </si>
  <si>
    <t>atpuiS301_nonEU</t>
  </si>
  <si>
    <t>atpuiS301_EU</t>
  </si>
  <si>
    <t>atpuiRetaliate</t>
  </si>
  <si>
    <t>atpuiNeutral</t>
  </si>
  <si>
    <t>atpuhDST</t>
  </si>
  <si>
    <t>atpuhS301_nonEU</t>
  </si>
  <si>
    <t>atpuhS301_EU</t>
  </si>
  <si>
    <t>atpuhRetaliate</t>
  </si>
  <si>
    <t>atpuhNeutral</t>
  </si>
  <si>
    <t>atpugDST</t>
  </si>
  <si>
    <t>atpugS301_nonEU</t>
  </si>
  <si>
    <t>atpugS301_EU</t>
  </si>
  <si>
    <t>atpugRetaliate</t>
  </si>
  <si>
    <t>atpugNeutral</t>
  </si>
  <si>
    <t>atpukDST</t>
  </si>
  <si>
    <t>atpukS301_nonEU</t>
  </si>
  <si>
    <t>atpukS301_EU</t>
  </si>
  <si>
    <t>atpukRetaliate</t>
  </si>
  <si>
    <t>atpukNeutral</t>
  </si>
  <si>
    <t>wiDST</t>
  </si>
  <si>
    <t>wiS301_nonEU</t>
  </si>
  <si>
    <t>wiS301_EU</t>
  </si>
  <si>
    <t>wiRetaliate</t>
  </si>
  <si>
    <t>wiNeutral</t>
  </si>
  <si>
    <t>whDST</t>
  </si>
  <si>
    <t>whS301_nonEU</t>
  </si>
  <si>
    <t>whS301_EU</t>
  </si>
  <si>
    <t>whRetaliate</t>
  </si>
  <si>
    <t>whNeutral</t>
  </si>
  <si>
    <t>wgDST</t>
  </si>
  <si>
    <t>wgS301_nonEU</t>
  </si>
  <si>
    <t>wgS301_EU</t>
  </si>
  <si>
    <t>wgRetaliate</t>
  </si>
  <si>
    <t>wgNeutral</t>
  </si>
  <si>
    <t>wkDST</t>
  </si>
  <si>
    <t>wkS301_nonEU</t>
  </si>
  <si>
    <t>wkS301_EU</t>
  </si>
  <si>
    <t>wkRetaliate</t>
  </si>
  <si>
    <t>wkNeutral</t>
  </si>
  <si>
    <t>wDST</t>
  </si>
  <si>
    <t>wS301_nonEU</t>
  </si>
  <si>
    <t>wS301_EU</t>
  </si>
  <si>
    <t>wRetaliate</t>
  </si>
  <si>
    <t>wNeutral</t>
  </si>
  <si>
    <t>tmiROW</t>
  </si>
  <si>
    <t>tmhROW</t>
  </si>
  <si>
    <t>tmgROW</t>
  </si>
  <si>
    <t>tmkROW</t>
  </si>
  <si>
    <t>tmsiROW</t>
  </si>
  <si>
    <t>tmshROW</t>
  </si>
  <si>
    <t>tmsgROW</t>
  </si>
  <si>
    <t>tmskROW</t>
  </si>
  <si>
    <t>teiROW</t>
  </si>
  <si>
    <t>tehROW</t>
  </si>
  <si>
    <t>tegROW</t>
  </si>
  <si>
    <t>tekROW</t>
  </si>
  <si>
    <t>otpuiROW</t>
  </si>
  <si>
    <t>otpuhROW</t>
  </si>
  <si>
    <t>otpugROW</t>
  </si>
  <si>
    <t>otpukROW</t>
  </si>
  <si>
    <t>wtpuiROW</t>
  </si>
  <si>
    <t>wtpuhROW</t>
  </si>
  <si>
    <t>wtpugROW</t>
  </si>
  <si>
    <t>wtpukROW</t>
  </si>
  <si>
    <t>atpuiROW</t>
  </si>
  <si>
    <t>atpuhROW</t>
  </si>
  <si>
    <t>atpugROW</t>
  </si>
  <si>
    <t>atpukROW</t>
  </si>
  <si>
    <t>wiROW</t>
  </si>
  <si>
    <t>whROW</t>
  </si>
  <si>
    <t>wgROW</t>
  </si>
  <si>
    <t>wkROW</t>
  </si>
  <si>
    <t>wROW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</si>
</sst>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75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i/>
      <sz val="10"/>
      <name val="Arial"/>
      <family val="2"/>
    </font>
    <font>
      <sz val="11"/>
      <name val="Calibri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2"/>
      <name val="Helv"/>
    </font>
    <font>
      <sz val="10"/>
      <name val="Tms Rmn"/>
    </font>
    <font>
      <sz val="8"/>
      <name val="Tms Rmn"/>
    </font>
    <font>
      <b/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name val="Times New Roman"/>
      <family val="1"/>
    </font>
    <font>
      <sz val="10"/>
      <color rgb="FFFF0000"/>
      <name val="Arial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</borders>
  <cellStyleXfs count="29615">
    <xf numFmtId="0" fontId="0" fillId="0" borderId="0"/>
    <xf numFmtId="0" fontId="23" fillId="0" borderId="0" applyNumberFormat="0" applyFill="0" applyBorder="0" applyAlignment="0" applyProtection="0"/>
    <xf numFmtId="0" fontId="24" fillId="0" borderId="1" applyNumberFormat="0" applyFill="0" applyAlignment="0" applyProtection="0"/>
    <xf numFmtId="0" fontId="25" fillId="0" borderId="2" applyNumberFormat="0" applyFill="0" applyAlignment="0" applyProtection="0"/>
    <xf numFmtId="0" fontId="26" fillId="0" borderId="3" applyNumberFormat="0" applyFill="0" applyAlignment="0" applyProtection="0"/>
    <xf numFmtId="0" fontId="26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8" fillId="3" borderId="0" applyNumberFormat="0" applyBorder="0" applyAlignment="0" applyProtection="0"/>
    <xf numFmtId="0" fontId="29" fillId="4" borderId="0" applyNumberFormat="0" applyBorder="0" applyAlignment="0" applyProtection="0"/>
    <xf numFmtId="0" fontId="30" fillId="5" borderId="4" applyNumberFormat="0" applyAlignment="0" applyProtection="0"/>
    <xf numFmtId="0" fontId="31" fillId="6" borderId="5" applyNumberFormat="0" applyAlignment="0" applyProtection="0"/>
    <xf numFmtId="0" fontId="32" fillId="6" borderId="4" applyNumberFormat="0" applyAlignment="0" applyProtection="0"/>
    <xf numFmtId="0" fontId="33" fillId="0" borderId="6" applyNumberFormat="0" applyFill="0" applyAlignment="0" applyProtection="0"/>
    <xf numFmtId="0" fontId="34" fillId="7" borderId="7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8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8" fillId="32" borderId="0" applyNumberFormat="0" applyBorder="0" applyAlignment="0" applyProtection="0"/>
    <xf numFmtId="0" fontId="22" fillId="0" borderId="0"/>
    <xf numFmtId="0" fontId="39" fillId="0" borderId="0"/>
    <xf numFmtId="0" fontId="25" fillId="0" borderId="2" applyNumberFormat="0" applyFill="0" applyAlignment="0" applyProtection="0"/>
    <xf numFmtId="0" fontId="24" fillId="0" borderId="1" applyNumberFormat="0" applyFill="0" applyAlignment="0" applyProtection="0"/>
    <xf numFmtId="0" fontId="30" fillId="5" borderId="4" applyNumberFormat="0" applyAlignment="0" applyProtection="0"/>
    <xf numFmtId="0" fontId="12" fillId="19" borderId="0" applyNumberFormat="0" applyBorder="0" applyAlignment="0" applyProtection="0"/>
    <xf numFmtId="0" fontId="38" fillId="13" borderId="0" applyNumberFormat="0" applyBorder="0" applyAlignment="0" applyProtection="0"/>
    <xf numFmtId="0" fontId="36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12" fillId="18" borderId="0" applyNumberFormat="0" applyBorder="0" applyAlignment="0" applyProtection="0"/>
    <xf numFmtId="0" fontId="38" fillId="12" borderId="0" applyNumberFormat="0" applyBorder="0" applyAlignment="0" applyProtection="0"/>
    <xf numFmtId="0" fontId="35" fillId="0" borderId="0" applyNumberFormat="0" applyFill="0" applyBorder="0" applyAlignment="0" applyProtection="0"/>
    <xf numFmtId="0" fontId="28" fillId="3" borderId="0" applyNumberFormat="0" applyBorder="0" applyAlignment="0" applyProtection="0"/>
    <xf numFmtId="0" fontId="38" fillId="17" borderId="0" applyNumberFormat="0" applyBorder="0" applyAlignment="0" applyProtection="0"/>
    <xf numFmtId="0" fontId="12" fillId="11" borderId="0" applyNumberFormat="0" applyBorder="0" applyAlignment="0" applyProtection="0"/>
    <xf numFmtId="0" fontId="34" fillId="7" borderId="7" applyNumberFormat="0" applyAlignment="0" applyProtection="0"/>
    <xf numFmtId="0" fontId="27" fillId="2" borderId="0" applyNumberFormat="0" applyBorder="0" applyAlignment="0" applyProtection="0"/>
    <xf numFmtId="0" fontId="38" fillId="16" borderId="0" applyNumberFormat="0" applyBorder="0" applyAlignment="0" applyProtection="0"/>
    <xf numFmtId="0" fontId="12" fillId="10" borderId="0" applyNumberFormat="0" applyBorder="0" applyAlignment="0" applyProtection="0"/>
    <xf numFmtId="0" fontId="33" fillId="0" borderId="6" applyNumberFormat="0" applyFill="0" applyAlignment="0" applyProtection="0"/>
    <xf numFmtId="0" fontId="26" fillId="0" borderId="0" applyNumberFormat="0" applyFill="0" applyBorder="0" applyAlignment="0" applyProtection="0"/>
    <xf numFmtId="0" fontId="12" fillId="15" borderId="0" applyNumberFormat="0" applyBorder="0" applyAlignment="0" applyProtection="0"/>
    <xf numFmtId="0" fontId="38" fillId="9" borderId="0" applyNumberFormat="0" applyBorder="0" applyAlignment="0" applyProtection="0"/>
    <xf numFmtId="0" fontId="32" fillId="6" borderId="4" applyNumberFormat="0" applyAlignment="0" applyProtection="0"/>
    <xf numFmtId="0" fontId="26" fillId="0" borderId="3" applyNumberFormat="0" applyFill="0" applyAlignment="0" applyProtection="0"/>
    <xf numFmtId="0" fontId="12" fillId="14" borderId="0" applyNumberFormat="0" applyBorder="0" applyAlignment="0" applyProtection="0"/>
    <xf numFmtId="0" fontId="37" fillId="0" borderId="9" applyNumberFormat="0" applyFill="0" applyAlignment="0" applyProtection="0"/>
    <xf numFmtId="0" fontId="31" fillId="6" borderId="5" applyNumberFormat="0" applyAlignment="0" applyProtection="0"/>
    <xf numFmtId="0" fontId="12" fillId="0" borderId="0"/>
    <xf numFmtId="0" fontId="12" fillId="8" borderId="8" applyNumberFormat="0" applyFont="0" applyAlignment="0" applyProtection="0"/>
    <xf numFmtId="0" fontId="19" fillId="0" borderId="0"/>
    <xf numFmtId="0" fontId="12" fillId="11" borderId="0" applyNumberFormat="0" applyBorder="0" applyAlignment="0" applyProtection="0"/>
    <xf numFmtId="0" fontId="34" fillId="7" borderId="7" applyNumberFormat="0" applyAlignment="0" applyProtection="0"/>
    <xf numFmtId="0" fontId="28" fillId="3" borderId="0" applyNumberFormat="0" applyBorder="0" applyAlignment="0" applyProtection="0"/>
    <xf numFmtId="0" fontId="12" fillId="10" borderId="0" applyNumberFormat="0" applyBorder="0" applyAlignment="0" applyProtection="0"/>
    <xf numFmtId="0" fontId="33" fillId="0" borderId="6" applyNumberFormat="0" applyFill="0" applyAlignment="0" applyProtection="0"/>
    <xf numFmtId="0" fontId="27" fillId="2" borderId="0" applyNumberFormat="0" applyBorder="0" applyAlignment="0" applyProtection="0"/>
    <xf numFmtId="0" fontId="38" fillId="9" borderId="0" applyNumberFormat="0" applyBorder="0" applyAlignment="0" applyProtection="0"/>
    <xf numFmtId="0" fontId="32" fillId="6" borderId="4" applyNumberFormat="0" applyAlignment="0" applyProtection="0"/>
    <xf numFmtId="0" fontId="2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1" fillId="6" borderId="5" applyNumberFormat="0" applyAlignment="0" applyProtection="0"/>
    <xf numFmtId="0" fontId="26" fillId="0" borderId="3" applyNumberFormat="0" applyFill="0" applyAlignment="0" applyProtection="0"/>
    <xf numFmtId="0" fontId="36" fillId="0" borderId="0" applyNumberFormat="0" applyFill="0" applyBorder="0" applyAlignment="0" applyProtection="0"/>
    <xf numFmtId="0" fontId="30" fillId="5" borderId="4" applyNumberFormat="0" applyAlignment="0" applyProtection="0"/>
    <xf numFmtId="0" fontId="25" fillId="0" borderId="2" applyNumberFormat="0" applyFill="0" applyAlignment="0" applyProtection="0"/>
    <xf numFmtId="0" fontId="35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24" fillId="0" borderId="1" applyNumberFormat="0" applyFill="0" applyAlignment="0" applyProtection="0"/>
    <xf numFmtId="0" fontId="42" fillId="0" borderId="3" applyNumberFormat="0" applyFill="0" applyAlignment="0" applyProtection="0"/>
    <xf numFmtId="0" fontId="39" fillId="8" borderId="8" applyNumberFormat="0" applyFont="0" applyAlignment="0" applyProtection="0"/>
    <xf numFmtId="0" fontId="48" fillId="6" borderId="4" applyNumberFormat="0" applyAlignment="0" applyProtection="0"/>
    <xf numFmtId="0" fontId="47" fillId="6" borderId="5" applyNumberFormat="0" applyAlignment="0" applyProtection="0"/>
    <xf numFmtId="0" fontId="46" fillId="5" borderId="4" applyNumberFormat="0" applyAlignment="0" applyProtection="0"/>
    <xf numFmtId="0" fontId="45" fillId="4" borderId="0" applyNumberFormat="0" applyBorder="0" applyAlignment="0" applyProtection="0"/>
    <xf numFmtId="0" fontId="49" fillId="0" borderId="6" applyNumberFormat="0" applyFill="0" applyAlignment="0" applyProtection="0"/>
    <xf numFmtId="0" fontId="52" fillId="0" borderId="9" applyNumberFormat="0" applyFill="0" applyAlignment="0" applyProtection="0"/>
    <xf numFmtId="0" fontId="42" fillId="0" borderId="0" applyNumberFormat="0" applyFill="0" applyBorder="0" applyAlignment="0" applyProtection="0"/>
    <xf numFmtId="0" fontId="44" fillId="3" borderId="0" applyNumberFormat="0" applyBorder="0" applyAlignment="0" applyProtection="0"/>
    <xf numFmtId="0" fontId="40" fillId="0" borderId="1" applyNumberFormat="0" applyFill="0" applyAlignment="0" applyProtection="0"/>
    <xf numFmtId="0" fontId="51" fillId="0" borderId="0" applyNumberFormat="0" applyFill="0" applyBorder="0" applyAlignment="0" applyProtection="0"/>
    <xf numFmtId="0" fontId="43" fillId="2" borderId="0" applyNumberFormat="0" applyBorder="0" applyAlignment="0" applyProtection="0"/>
    <xf numFmtId="0" fontId="20" fillId="0" borderId="0" applyNumberFormat="0" applyFill="0" applyBorder="0" applyAlignment="0" applyProtection="0"/>
    <xf numFmtId="0" fontId="41" fillId="0" borderId="2" applyNumberFormat="0" applyFill="0" applyAlignment="0" applyProtection="0"/>
    <xf numFmtId="0" fontId="50" fillId="7" borderId="7" applyNumberFormat="0" applyAlignment="0" applyProtection="0"/>
    <xf numFmtId="0" fontId="39" fillId="14" borderId="0" applyNumberFormat="0" applyBorder="0" applyAlignment="0" applyProtection="0"/>
    <xf numFmtId="0" fontId="53" fillId="32" borderId="0" applyNumberFormat="0" applyBorder="0" applyAlignment="0" applyProtection="0"/>
    <xf numFmtId="0" fontId="39" fillId="26" borderId="0" applyNumberFormat="0" applyBorder="0" applyAlignment="0" applyProtection="0"/>
    <xf numFmtId="0" fontId="53" fillId="20" borderId="0" applyNumberFormat="0" applyBorder="0" applyAlignment="0" applyProtection="0"/>
    <xf numFmtId="0" fontId="53" fillId="13" borderId="0" applyNumberFormat="0" applyBorder="0" applyAlignment="0" applyProtection="0"/>
    <xf numFmtId="0" fontId="39" fillId="31" borderId="0" applyNumberFormat="0" applyBorder="0" applyAlignment="0" applyProtection="0"/>
    <xf numFmtId="0" fontId="53" fillId="25" borderId="0" applyNumberFormat="0" applyBorder="0" applyAlignment="0" applyProtection="0"/>
    <xf numFmtId="0" fontId="39" fillId="19" borderId="0" applyNumberFormat="0" applyBorder="0" applyAlignment="0" applyProtection="0"/>
    <xf numFmtId="0" fontId="53" fillId="12" borderId="0" applyNumberFormat="0" applyBorder="0" applyAlignment="0" applyProtection="0"/>
    <xf numFmtId="0" fontId="39" fillId="30" borderId="0" applyNumberFormat="0" applyBorder="0" applyAlignment="0" applyProtection="0"/>
    <xf numFmtId="0" fontId="53" fillId="24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53" fillId="29" borderId="0" applyNumberFormat="0" applyBorder="0" applyAlignment="0" applyProtection="0"/>
    <xf numFmtId="0" fontId="39" fillId="23" borderId="0" applyNumberFormat="0" applyBorder="0" applyAlignment="0" applyProtection="0"/>
    <xf numFmtId="0" fontId="53" fillId="17" borderId="0" applyNumberFormat="0" applyBorder="0" applyAlignment="0" applyProtection="0"/>
    <xf numFmtId="0" fontId="39" fillId="10" borderId="0" applyNumberFormat="0" applyBorder="0" applyAlignment="0" applyProtection="0"/>
    <xf numFmtId="0" fontId="53" fillId="28" borderId="0" applyNumberFormat="0" applyBorder="0" applyAlignment="0" applyProtection="0"/>
    <xf numFmtId="0" fontId="39" fillId="22" borderId="0" applyNumberFormat="0" applyBorder="0" applyAlignment="0" applyProtection="0"/>
    <xf numFmtId="0" fontId="53" fillId="16" borderId="0" applyNumberFormat="0" applyBorder="0" applyAlignment="0" applyProtection="0"/>
    <xf numFmtId="0" fontId="53" fillId="9" borderId="0" applyNumberFormat="0" applyBorder="0" applyAlignment="0" applyProtection="0"/>
    <xf numFmtId="0" fontId="39" fillId="27" borderId="0" applyNumberFormat="0" applyBorder="0" applyAlignment="0" applyProtection="0"/>
    <xf numFmtId="0" fontId="53" fillId="21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12" fillId="0" borderId="0"/>
    <xf numFmtId="0" fontId="12" fillId="8" borderId="8" applyNumberFormat="0" applyFont="0" applyAlignment="0" applyProtection="0"/>
    <xf numFmtId="0" fontId="39" fillId="8" borderId="8" applyNumberFormat="0" applyFont="0" applyAlignment="0" applyProtection="0"/>
    <xf numFmtId="0" fontId="12" fillId="0" borderId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12" fillId="0" borderId="0"/>
    <xf numFmtId="0" fontId="12" fillId="8" borderId="8" applyNumberFormat="0" applyFont="0" applyAlignment="0" applyProtection="0"/>
    <xf numFmtId="0" fontId="19" fillId="0" borderId="0"/>
    <xf numFmtId="0" fontId="39" fillId="0" borderId="0"/>
    <xf numFmtId="0" fontId="54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8" fillId="32" borderId="0" applyNumberFormat="0" applyBorder="0" applyAlignment="0" applyProtection="0"/>
    <xf numFmtId="0" fontId="19" fillId="0" borderId="0"/>
    <xf numFmtId="0" fontId="39" fillId="0" borderId="0"/>
    <xf numFmtId="0" fontId="22" fillId="0" borderId="0"/>
    <xf numFmtId="0" fontId="24" fillId="0" borderId="1" applyNumberFormat="0" applyFill="0" applyAlignment="0" applyProtection="0"/>
    <xf numFmtId="0" fontId="25" fillId="0" borderId="2" applyNumberFormat="0" applyFill="0" applyAlignment="0" applyProtection="0"/>
    <xf numFmtId="0" fontId="26" fillId="0" borderId="3" applyNumberFormat="0" applyFill="0" applyAlignment="0" applyProtection="0"/>
    <xf numFmtId="0" fontId="26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8" fillId="3" borderId="0" applyNumberFormat="0" applyBorder="0" applyAlignment="0" applyProtection="0"/>
    <xf numFmtId="0" fontId="29" fillId="4" borderId="0" applyNumberFormat="0" applyBorder="0" applyAlignment="0" applyProtection="0"/>
    <xf numFmtId="0" fontId="30" fillId="5" borderId="4" applyNumberFormat="0" applyAlignment="0" applyProtection="0"/>
    <xf numFmtId="0" fontId="31" fillId="6" borderId="5" applyNumberFormat="0" applyAlignment="0" applyProtection="0"/>
    <xf numFmtId="0" fontId="32" fillId="6" borderId="4" applyNumberFormat="0" applyAlignment="0" applyProtection="0"/>
    <xf numFmtId="0" fontId="33" fillId="0" borderId="6" applyNumberFormat="0" applyFill="0" applyAlignment="0" applyProtection="0"/>
    <xf numFmtId="0" fontId="34" fillId="7" borderId="7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8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8" fillId="32" borderId="0" applyNumberFormat="0" applyBorder="0" applyAlignment="0" applyProtection="0"/>
    <xf numFmtId="0" fontId="39" fillId="8" borderId="8" applyNumberFormat="0" applyFont="0" applyAlignment="0" applyProtection="0"/>
    <xf numFmtId="0" fontId="19" fillId="0" borderId="0"/>
    <xf numFmtId="0" fontId="39" fillId="14" borderId="0" applyNumberFormat="0" applyBorder="0" applyAlignment="0" applyProtection="0"/>
    <xf numFmtId="0" fontId="39" fillId="26" borderId="0" applyNumberFormat="0" applyBorder="0" applyAlignment="0" applyProtection="0"/>
    <xf numFmtId="0" fontId="39" fillId="31" borderId="0" applyNumberFormat="0" applyBorder="0" applyAlignment="0" applyProtection="0"/>
    <xf numFmtId="0" fontId="39" fillId="1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39" fillId="23" borderId="0" applyNumberFormat="0" applyBorder="0" applyAlignment="0" applyProtection="0"/>
    <xf numFmtId="0" fontId="39" fillId="10" borderId="0" applyNumberFormat="0" applyBorder="0" applyAlignment="0" applyProtection="0"/>
    <xf numFmtId="0" fontId="39" fillId="22" borderId="0" applyNumberFormat="0" applyBorder="0" applyAlignment="0" applyProtection="0"/>
    <xf numFmtId="0" fontId="39" fillId="27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0" borderId="0"/>
    <xf numFmtId="0" fontId="39" fillId="8" borderId="8" applyNumberFormat="0" applyFont="0" applyAlignment="0" applyProtection="0"/>
    <xf numFmtId="0" fontId="39" fillId="14" borderId="0" applyNumberFormat="0" applyBorder="0" applyAlignment="0" applyProtection="0"/>
    <xf numFmtId="0" fontId="39" fillId="26" borderId="0" applyNumberFormat="0" applyBorder="0" applyAlignment="0" applyProtection="0"/>
    <xf numFmtId="0" fontId="39" fillId="31" borderId="0" applyNumberFormat="0" applyBorder="0" applyAlignment="0" applyProtection="0"/>
    <xf numFmtId="0" fontId="39" fillId="1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39" fillId="23" borderId="0" applyNumberFormat="0" applyBorder="0" applyAlignment="0" applyProtection="0"/>
    <xf numFmtId="0" fontId="39" fillId="10" borderId="0" applyNumberFormat="0" applyBorder="0" applyAlignment="0" applyProtection="0"/>
    <xf numFmtId="0" fontId="39" fillId="22" borderId="0" applyNumberFormat="0" applyBorder="0" applyAlignment="0" applyProtection="0"/>
    <xf numFmtId="0" fontId="39" fillId="27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0" borderId="0"/>
    <xf numFmtId="0" fontId="39" fillId="8" borderId="8" applyNumberFormat="0" applyFont="0" applyAlignment="0" applyProtection="0"/>
    <xf numFmtId="0" fontId="39" fillId="14" borderId="0" applyNumberFormat="0" applyBorder="0" applyAlignment="0" applyProtection="0"/>
    <xf numFmtId="0" fontId="39" fillId="26" borderId="0" applyNumberFormat="0" applyBorder="0" applyAlignment="0" applyProtection="0"/>
    <xf numFmtId="0" fontId="39" fillId="31" borderId="0" applyNumberFormat="0" applyBorder="0" applyAlignment="0" applyProtection="0"/>
    <xf numFmtId="0" fontId="39" fillId="1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39" fillId="23" borderId="0" applyNumberFormat="0" applyBorder="0" applyAlignment="0" applyProtection="0"/>
    <xf numFmtId="0" fontId="39" fillId="10" borderId="0" applyNumberFormat="0" applyBorder="0" applyAlignment="0" applyProtection="0"/>
    <xf numFmtId="0" fontId="39" fillId="22" borderId="0" applyNumberFormat="0" applyBorder="0" applyAlignment="0" applyProtection="0"/>
    <xf numFmtId="0" fontId="39" fillId="27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0" borderId="0"/>
    <xf numFmtId="0" fontId="39" fillId="8" borderId="8" applyNumberFormat="0" applyFont="0" applyAlignment="0" applyProtection="0"/>
    <xf numFmtId="0" fontId="39" fillId="14" borderId="0" applyNumberFormat="0" applyBorder="0" applyAlignment="0" applyProtection="0"/>
    <xf numFmtId="0" fontId="39" fillId="26" borderId="0" applyNumberFormat="0" applyBorder="0" applyAlignment="0" applyProtection="0"/>
    <xf numFmtId="0" fontId="39" fillId="31" borderId="0" applyNumberFormat="0" applyBorder="0" applyAlignment="0" applyProtection="0"/>
    <xf numFmtId="0" fontId="39" fillId="1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39" fillId="23" borderId="0" applyNumberFormat="0" applyBorder="0" applyAlignment="0" applyProtection="0"/>
    <xf numFmtId="0" fontId="39" fillId="10" borderId="0" applyNumberFormat="0" applyBorder="0" applyAlignment="0" applyProtection="0"/>
    <xf numFmtId="0" fontId="39" fillId="22" borderId="0" applyNumberFormat="0" applyBorder="0" applyAlignment="0" applyProtection="0"/>
    <xf numFmtId="0" fontId="39" fillId="27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0" borderId="0"/>
    <xf numFmtId="0" fontId="39" fillId="8" borderId="8" applyNumberFormat="0" applyFont="0" applyAlignment="0" applyProtection="0"/>
    <xf numFmtId="0" fontId="39" fillId="14" borderId="0" applyNumberFormat="0" applyBorder="0" applyAlignment="0" applyProtection="0"/>
    <xf numFmtId="0" fontId="39" fillId="26" borderId="0" applyNumberFormat="0" applyBorder="0" applyAlignment="0" applyProtection="0"/>
    <xf numFmtId="0" fontId="39" fillId="31" borderId="0" applyNumberFormat="0" applyBorder="0" applyAlignment="0" applyProtection="0"/>
    <xf numFmtId="0" fontId="39" fillId="1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39" fillId="23" borderId="0" applyNumberFormat="0" applyBorder="0" applyAlignment="0" applyProtection="0"/>
    <xf numFmtId="0" fontId="39" fillId="10" borderId="0" applyNumberFormat="0" applyBorder="0" applyAlignment="0" applyProtection="0"/>
    <xf numFmtId="0" fontId="39" fillId="22" borderId="0" applyNumberFormat="0" applyBorder="0" applyAlignment="0" applyProtection="0"/>
    <xf numFmtId="0" fontId="39" fillId="27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0" borderId="0"/>
    <xf numFmtId="0" fontId="39" fillId="8" borderId="8" applyNumberFormat="0" applyFont="0" applyAlignment="0" applyProtection="0"/>
    <xf numFmtId="0" fontId="39" fillId="14" borderId="0" applyNumberFormat="0" applyBorder="0" applyAlignment="0" applyProtection="0"/>
    <xf numFmtId="0" fontId="39" fillId="26" borderId="0" applyNumberFormat="0" applyBorder="0" applyAlignment="0" applyProtection="0"/>
    <xf numFmtId="0" fontId="39" fillId="31" borderId="0" applyNumberFormat="0" applyBorder="0" applyAlignment="0" applyProtection="0"/>
    <xf numFmtId="0" fontId="39" fillId="1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39" fillId="23" borderId="0" applyNumberFormat="0" applyBorder="0" applyAlignment="0" applyProtection="0"/>
    <xf numFmtId="0" fontId="39" fillId="10" borderId="0" applyNumberFormat="0" applyBorder="0" applyAlignment="0" applyProtection="0"/>
    <xf numFmtId="0" fontId="39" fillId="22" borderId="0" applyNumberFormat="0" applyBorder="0" applyAlignment="0" applyProtection="0"/>
    <xf numFmtId="0" fontId="39" fillId="27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0" borderId="0"/>
    <xf numFmtId="0" fontId="39" fillId="8" borderId="8" applyNumberFormat="0" applyFont="0" applyAlignment="0" applyProtection="0"/>
    <xf numFmtId="0" fontId="39" fillId="14" borderId="0" applyNumberFormat="0" applyBorder="0" applyAlignment="0" applyProtection="0"/>
    <xf numFmtId="0" fontId="39" fillId="26" borderId="0" applyNumberFormat="0" applyBorder="0" applyAlignment="0" applyProtection="0"/>
    <xf numFmtId="0" fontId="39" fillId="31" borderId="0" applyNumberFormat="0" applyBorder="0" applyAlignment="0" applyProtection="0"/>
    <xf numFmtId="0" fontId="39" fillId="19" borderId="0" applyNumberFormat="0" applyBorder="0" applyAlignment="0" applyProtection="0"/>
    <xf numFmtId="0" fontId="39" fillId="30" borderId="0" applyNumberFormat="0" applyBorder="0" applyAlignment="0" applyProtection="0"/>
    <xf numFmtId="0" fontId="39" fillId="18" borderId="0" applyNumberFormat="0" applyBorder="0" applyAlignment="0" applyProtection="0"/>
    <xf numFmtId="0" fontId="39" fillId="11" borderId="0" applyNumberFormat="0" applyBorder="0" applyAlignment="0" applyProtection="0"/>
    <xf numFmtId="0" fontId="39" fillId="23" borderId="0" applyNumberFormat="0" applyBorder="0" applyAlignment="0" applyProtection="0"/>
    <xf numFmtId="0" fontId="39" fillId="10" borderId="0" applyNumberFormat="0" applyBorder="0" applyAlignment="0" applyProtection="0"/>
    <xf numFmtId="0" fontId="39" fillId="22" borderId="0" applyNumberFormat="0" applyBorder="0" applyAlignment="0" applyProtection="0"/>
    <xf numFmtId="0" fontId="39" fillId="27" borderId="0" applyNumberFormat="0" applyBorder="0" applyAlignment="0" applyProtection="0"/>
    <xf numFmtId="0" fontId="39" fillId="15" borderId="0" applyNumberFormat="0" applyBorder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9" fillId="8" borderId="8" applyNumberFormat="0" applyFont="0" applyAlignment="0" applyProtection="0"/>
    <xf numFmtId="0" fontId="39" fillId="0" borderId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8" fillId="32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0" borderId="0"/>
    <xf numFmtId="0" fontId="11" fillId="8" borderId="8" applyNumberFormat="0" applyFont="0" applyAlignment="0" applyProtection="0"/>
    <xf numFmtId="0" fontId="11" fillId="11" borderId="0" applyNumberFormat="0" applyBorder="0" applyAlignment="0" applyProtection="0"/>
    <xf numFmtId="0" fontId="11" fillId="10" borderId="0" applyNumberFormat="0" applyBorder="0" applyAlignment="0" applyProtection="0"/>
    <xf numFmtId="0" fontId="11" fillId="0" borderId="0"/>
    <xf numFmtId="0" fontId="11" fillId="8" borderId="8" applyNumberFormat="0" applyFont="0" applyAlignment="0" applyProtection="0"/>
    <xf numFmtId="0" fontId="11" fillId="0" borderId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0" borderId="0"/>
    <xf numFmtId="0" fontId="11" fillId="8" borderId="8" applyNumberFormat="0" applyFont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0" borderId="0"/>
    <xf numFmtId="0" fontId="10" fillId="8" borderId="8" applyNumberFormat="0" applyFont="0" applyAlignment="0" applyProtection="0"/>
    <xf numFmtId="0" fontId="10" fillId="11" borderId="0" applyNumberFormat="0" applyBorder="0" applyAlignment="0" applyProtection="0"/>
    <xf numFmtId="0" fontId="10" fillId="10" borderId="0" applyNumberFormat="0" applyBorder="0" applyAlignment="0" applyProtection="0"/>
    <xf numFmtId="0" fontId="10" fillId="0" borderId="0"/>
    <xf numFmtId="0" fontId="10" fillId="8" borderId="8" applyNumberFormat="0" applyFont="0" applyAlignment="0" applyProtection="0"/>
    <xf numFmtId="0" fontId="10" fillId="0" borderId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0" borderId="0"/>
    <xf numFmtId="0" fontId="10" fillId="8" borderId="8" applyNumberFormat="0" applyFont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9" fillId="0" borderId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19" borderId="0" applyNumberFormat="0" applyBorder="0" applyAlignment="0" applyProtection="0"/>
    <xf numFmtId="0" fontId="9" fillId="18" borderId="0" applyNumberFormat="0" applyBorder="0" applyAlignment="0" applyProtection="0"/>
    <xf numFmtId="0" fontId="9" fillId="11" borderId="0" applyNumberFormat="0" applyBorder="0" applyAlignment="0" applyProtection="0"/>
    <xf numFmtId="0" fontId="9" fillId="10" borderId="0" applyNumberFormat="0" applyBorder="0" applyAlignment="0" applyProtection="0"/>
    <xf numFmtId="0" fontId="9" fillId="15" borderId="0" applyNumberFormat="0" applyBorder="0" applyAlignment="0" applyProtection="0"/>
    <xf numFmtId="0" fontId="9" fillId="14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11" borderId="0" applyNumberFormat="0" applyBorder="0" applyAlignment="0" applyProtection="0"/>
    <xf numFmtId="0" fontId="9" fillId="10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0" borderId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39" fillId="0" borderId="0"/>
    <xf numFmtId="0" fontId="9" fillId="0" borderId="0"/>
    <xf numFmtId="0" fontId="9" fillId="8" borderId="8" applyNumberFormat="0" applyFont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11" borderId="0" applyNumberFormat="0" applyBorder="0" applyAlignment="0" applyProtection="0"/>
    <xf numFmtId="0" fontId="9" fillId="10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0" borderId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11" borderId="0" applyNumberFormat="0" applyBorder="0" applyAlignment="0" applyProtection="0"/>
    <xf numFmtId="0" fontId="9" fillId="10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0" borderId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0" borderId="0"/>
    <xf numFmtId="0" fontId="9" fillId="8" borderId="8" applyNumberFormat="0" applyFont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22" fillId="0" borderId="0"/>
    <xf numFmtId="0" fontId="24" fillId="0" borderId="1" applyNumberFormat="0" applyFill="0" applyAlignment="0" applyProtection="0"/>
    <xf numFmtId="0" fontId="25" fillId="0" borderId="2" applyNumberFormat="0" applyFill="0" applyAlignment="0" applyProtection="0"/>
    <xf numFmtId="0" fontId="26" fillId="0" borderId="3" applyNumberFormat="0" applyFill="0" applyAlignment="0" applyProtection="0"/>
    <xf numFmtId="0" fontId="26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8" fillId="3" borderId="0" applyNumberFormat="0" applyBorder="0" applyAlignment="0" applyProtection="0"/>
    <xf numFmtId="0" fontId="29" fillId="4" borderId="0" applyNumberFormat="0" applyBorder="0" applyAlignment="0" applyProtection="0"/>
    <xf numFmtId="0" fontId="30" fillId="5" borderId="4" applyNumberFormat="0" applyAlignment="0" applyProtection="0"/>
    <xf numFmtId="0" fontId="31" fillId="6" borderId="5" applyNumberFormat="0" applyAlignment="0" applyProtection="0"/>
    <xf numFmtId="0" fontId="32" fillId="6" borderId="4" applyNumberFormat="0" applyAlignment="0" applyProtection="0"/>
    <xf numFmtId="0" fontId="33" fillId="0" borderId="6" applyNumberFormat="0" applyFill="0" applyAlignment="0" applyProtection="0"/>
    <xf numFmtId="0" fontId="34" fillId="7" borderId="7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38" fillId="32" borderId="0" applyNumberFormat="0" applyBorder="0" applyAlignment="0" applyProtection="0"/>
    <xf numFmtId="0" fontId="8" fillId="19" borderId="0" applyNumberFormat="0" applyBorder="0" applyAlignment="0" applyProtection="0"/>
    <xf numFmtId="0" fontId="8" fillId="18" borderId="0" applyNumberFormat="0" applyBorder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15" borderId="0" applyNumberFormat="0" applyBorder="0" applyAlignment="0" applyProtection="0"/>
    <xf numFmtId="0" fontId="8" fillId="14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0" borderId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0" borderId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0" borderId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9" borderId="0" applyNumberFormat="0" applyBorder="0" applyAlignment="0" applyProtection="0"/>
    <xf numFmtId="0" fontId="8" fillId="18" borderId="0" applyNumberFormat="0" applyBorder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15" borderId="0" applyNumberFormat="0" applyBorder="0" applyAlignment="0" applyProtection="0"/>
    <xf numFmtId="0" fontId="8" fillId="14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0" borderId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0" borderId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1" borderId="0" applyNumberFormat="0" applyBorder="0" applyAlignment="0" applyProtection="0"/>
    <xf numFmtId="0" fontId="8" fillId="10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0" borderId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8" borderId="8" applyNumberFormat="0" applyFont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19" fillId="0" borderId="0"/>
    <xf numFmtId="0" fontId="22" fillId="0" borderId="0"/>
    <xf numFmtId="0" fontId="24" fillId="0" borderId="1" applyNumberFormat="0" applyFill="0" applyAlignment="0" applyProtection="0"/>
    <xf numFmtId="0" fontId="25" fillId="0" borderId="2" applyNumberFormat="0" applyFill="0" applyAlignment="0" applyProtection="0"/>
    <xf numFmtId="0" fontId="26" fillId="0" borderId="3" applyNumberFormat="0" applyFill="0" applyAlignment="0" applyProtection="0"/>
    <xf numFmtId="0" fontId="26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8" fillId="3" borderId="0" applyNumberFormat="0" applyBorder="0" applyAlignment="0" applyProtection="0"/>
    <xf numFmtId="0" fontId="29" fillId="4" borderId="0" applyNumberFormat="0" applyBorder="0" applyAlignment="0" applyProtection="0"/>
    <xf numFmtId="0" fontId="30" fillId="5" borderId="4" applyNumberFormat="0" applyAlignment="0" applyProtection="0"/>
    <xf numFmtId="0" fontId="31" fillId="6" borderId="5" applyNumberFormat="0" applyAlignment="0" applyProtection="0"/>
    <xf numFmtId="0" fontId="32" fillId="6" borderId="4" applyNumberFormat="0" applyAlignment="0" applyProtection="0"/>
    <xf numFmtId="0" fontId="33" fillId="0" borderId="6" applyNumberFormat="0" applyFill="0" applyAlignment="0" applyProtection="0"/>
    <xf numFmtId="0" fontId="34" fillId="7" borderId="7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8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38" fillId="32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19" fillId="0" borderId="0"/>
    <xf numFmtId="0" fontId="31" fillId="6" borderId="5" applyNumberFormat="0" applyAlignment="0" applyProtection="0"/>
    <xf numFmtId="0" fontId="7" fillId="31" borderId="0" applyNumberFormat="0" applyBorder="0" applyAlignment="0" applyProtection="0"/>
    <xf numFmtId="0" fontId="7" fillId="27" borderId="0" applyNumberFormat="0" applyBorder="0" applyAlignment="0" applyProtection="0"/>
    <xf numFmtId="0" fontId="7" fillId="23" borderId="0" applyNumberFormat="0" applyBorder="0" applyAlignment="0" applyProtection="0"/>
    <xf numFmtId="0" fontId="7" fillId="19" borderId="0" applyNumberFormat="0" applyBorder="0" applyAlignment="0" applyProtection="0"/>
    <xf numFmtId="0" fontId="35" fillId="0" borderId="0" applyNumberFormat="0" applyFill="0" applyBorder="0" applyAlignment="0" applyProtection="0"/>
    <xf numFmtId="0" fontId="7" fillId="14" borderId="0" applyNumberFormat="0" applyBorder="0" applyAlignment="0" applyProtection="0"/>
    <xf numFmtId="0" fontId="7" fillId="10" borderId="0" applyNumberFormat="0" applyBorder="0" applyAlignment="0" applyProtection="0"/>
    <xf numFmtId="0" fontId="37" fillId="0" borderId="9" applyNumberFormat="0" applyFill="0" applyAlignment="0" applyProtection="0"/>
    <xf numFmtId="0" fontId="38" fillId="17" borderId="0" applyNumberFormat="0" applyBorder="0" applyAlignment="0" applyProtection="0"/>
    <xf numFmtId="0" fontId="38" fillId="21" borderId="0" applyNumberFormat="0" applyBorder="0" applyAlignment="0" applyProtection="0"/>
    <xf numFmtId="0" fontId="38" fillId="12" borderId="0" applyNumberFormat="0" applyBorder="0" applyAlignment="0" applyProtection="0"/>
    <xf numFmtId="0" fontId="38" fillId="25" borderId="0" applyNumberFormat="0" applyBorder="0" applyAlignment="0" applyProtection="0"/>
    <xf numFmtId="0" fontId="33" fillId="0" borderId="6" applyNumberFormat="0" applyFill="0" applyAlignment="0" applyProtection="0"/>
    <xf numFmtId="0" fontId="38" fillId="29" borderId="0" applyNumberFormat="0" applyBorder="0" applyAlignment="0" applyProtection="0"/>
    <xf numFmtId="0" fontId="7" fillId="22" borderId="0" applyNumberFormat="0" applyBorder="0" applyAlignment="0" applyProtection="0"/>
    <xf numFmtId="0" fontId="6" fillId="8" borderId="8" applyNumberFormat="0" applyFont="0" applyAlignment="0" applyProtection="0"/>
    <xf numFmtId="0" fontId="38" fillId="13" borderId="0" applyNumberFormat="0" applyBorder="0" applyAlignment="0" applyProtection="0"/>
    <xf numFmtId="0" fontId="34" fillId="7" borderId="7" applyNumberFormat="0" applyAlignment="0" applyProtection="0"/>
    <xf numFmtId="0" fontId="38" fillId="9" borderId="0" applyNumberFormat="0" applyBorder="0" applyAlignment="0" applyProtection="0"/>
    <xf numFmtId="0" fontId="7" fillId="18" borderId="0" applyNumberFormat="0" applyBorder="0" applyAlignment="0" applyProtection="0"/>
    <xf numFmtId="0" fontId="7" fillId="30" borderId="0" applyNumberFormat="0" applyBorder="0" applyAlignment="0" applyProtection="0"/>
    <xf numFmtId="0" fontId="7" fillId="26" borderId="0" applyNumberFormat="0" applyBorder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27" fillId="2" borderId="0" applyNumberFormat="0" applyBorder="0" applyAlignment="0" applyProtection="0"/>
    <xf numFmtId="0" fontId="6" fillId="8" borderId="8" applyNumberFormat="0" applyFont="0" applyAlignment="0" applyProtection="0"/>
    <xf numFmtId="0" fontId="24" fillId="0" borderId="1" applyNumberFormat="0" applyFill="0" applyAlignment="0" applyProtection="0"/>
    <xf numFmtId="0" fontId="6" fillId="0" borderId="0"/>
    <xf numFmtId="0" fontId="6" fillId="8" borderId="8" applyNumberFormat="0" applyFont="0" applyAlignment="0" applyProtection="0"/>
    <xf numFmtId="0" fontId="26" fillId="0" borderId="0" applyNumberFormat="0" applyFill="0" applyBorder="0" applyAlignment="0" applyProtection="0"/>
    <xf numFmtId="0" fontId="6" fillId="0" borderId="0"/>
    <xf numFmtId="0" fontId="7" fillId="15" borderId="0" applyNumberFormat="0" applyBorder="0" applyAlignment="0" applyProtection="0"/>
    <xf numFmtId="0" fontId="28" fillId="3" borderId="0" applyNumberFormat="0" applyBorder="0" applyAlignment="0" applyProtection="0"/>
    <xf numFmtId="0" fontId="25" fillId="0" borderId="2" applyNumberFormat="0" applyFill="0" applyAlignment="0" applyProtection="0"/>
    <xf numFmtId="0" fontId="29" fillId="4" borderId="0" applyNumberFormat="0" applyBorder="0" applyAlignment="0" applyProtection="0"/>
    <xf numFmtId="0" fontId="6" fillId="0" borderId="0"/>
    <xf numFmtId="0" fontId="38" fillId="28" borderId="0" applyNumberFormat="0" applyBorder="0" applyAlignment="0" applyProtection="0"/>
    <xf numFmtId="0" fontId="38" fillId="24" borderId="0" applyNumberFormat="0" applyBorder="0" applyAlignment="0" applyProtection="0"/>
    <xf numFmtId="0" fontId="38" fillId="20" borderId="0" applyNumberFormat="0" applyBorder="0" applyAlignment="0" applyProtection="0"/>
    <xf numFmtId="0" fontId="38" fillId="16" borderId="0" applyNumberFormat="0" applyBorder="0" applyAlignment="0" applyProtection="0"/>
    <xf numFmtId="0" fontId="38" fillId="32" borderId="0" applyNumberFormat="0" applyBorder="0" applyAlignment="0" applyProtection="0"/>
    <xf numFmtId="0" fontId="32" fillId="6" borderId="4" applyNumberFormat="0" applyAlignment="0" applyProtection="0"/>
    <xf numFmtId="0" fontId="7" fillId="11" borderId="0" applyNumberFormat="0" applyBorder="0" applyAlignment="0" applyProtection="0"/>
    <xf numFmtId="0" fontId="36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19" fillId="0" borderId="0"/>
    <xf numFmtId="0" fontId="30" fillId="5" borderId="4" applyNumberFormat="0" applyAlignment="0" applyProtection="0"/>
    <xf numFmtId="0" fontId="7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19" fillId="0" borderId="0"/>
    <xf numFmtId="0" fontId="6" fillId="0" borderId="0"/>
    <xf numFmtId="0" fontId="26" fillId="0" borderId="3" applyNumberFormat="0" applyFill="0" applyAlignment="0" applyProtection="0"/>
    <xf numFmtId="0" fontId="19" fillId="0" borderId="0"/>
    <xf numFmtId="0" fontId="1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19" fillId="0" borderId="0"/>
    <xf numFmtId="0" fontId="19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19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14" borderId="0" applyNumberFormat="0" applyBorder="0" applyAlignment="0" applyProtection="0"/>
    <xf numFmtId="0" fontId="6" fillId="26" borderId="0" applyNumberFormat="0" applyBorder="0" applyAlignment="0" applyProtection="0"/>
    <xf numFmtId="0" fontId="6" fillId="31" borderId="0" applyNumberFormat="0" applyBorder="0" applyAlignment="0" applyProtection="0"/>
    <xf numFmtId="0" fontId="6" fillId="19" borderId="0" applyNumberFormat="0" applyBorder="0" applyAlignment="0" applyProtection="0"/>
    <xf numFmtId="0" fontId="6" fillId="30" borderId="0" applyNumberFormat="0" applyBorder="0" applyAlignment="0" applyProtection="0"/>
    <xf numFmtId="0" fontId="6" fillId="18" borderId="0" applyNumberFormat="0" applyBorder="0" applyAlignment="0" applyProtection="0"/>
    <xf numFmtId="0" fontId="6" fillId="11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22" borderId="0" applyNumberFormat="0" applyBorder="0" applyAlignment="0" applyProtection="0"/>
    <xf numFmtId="0" fontId="6" fillId="27" borderId="0" applyNumberFormat="0" applyBorder="0" applyAlignment="0" applyProtection="0"/>
    <xf numFmtId="0" fontId="6" fillId="15" borderId="0" applyNumberFormat="0" applyBorder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8" borderId="8" applyNumberFormat="0" applyFont="0" applyAlignment="0" applyProtection="0"/>
    <xf numFmtId="0" fontId="6" fillId="0" borderId="0"/>
    <xf numFmtId="0" fontId="6" fillId="0" borderId="0"/>
    <xf numFmtId="0" fontId="19" fillId="0" borderId="0"/>
    <xf numFmtId="0" fontId="19" fillId="0" borderId="0"/>
    <xf numFmtId="0" fontId="5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3" fillId="8" borderId="8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31" borderId="0" applyNumberFormat="0" applyBorder="0" applyAlignment="0" applyProtection="0"/>
    <xf numFmtId="0" fontId="3" fillId="19" borderId="0" applyNumberFormat="0" applyBorder="0" applyAlignment="0" applyProtection="0"/>
    <xf numFmtId="0" fontId="3" fillId="30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23" borderId="0" applyNumberFormat="0" applyBorder="0" applyAlignment="0" applyProtection="0"/>
    <xf numFmtId="0" fontId="3" fillId="10" borderId="0" applyNumberFormat="0" applyBorder="0" applyAlignment="0" applyProtection="0"/>
    <xf numFmtId="0" fontId="3" fillId="22" borderId="0" applyNumberFormat="0" applyBorder="0" applyAlignment="0" applyProtection="0"/>
    <xf numFmtId="0" fontId="3" fillId="27" borderId="0" applyNumberFormat="0" applyBorder="0" applyAlignment="0" applyProtection="0"/>
    <xf numFmtId="0" fontId="3" fillId="15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0" borderId="0"/>
    <xf numFmtId="0" fontId="3" fillId="0" borderId="0"/>
    <xf numFmtId="0" fontId="2" fillId="0" borderId="0"/>
    <xf numFmtId="0" fontId="19" fillId="0" borderId="0"/>
    <xf numFmtId="0" fontId="24" fillId="0" borderId="1" applyNumberFormat="0" applyFill="0" applyAlignment="0" applyProtection="0"/>
    <xf numFmtId="0" fontId="25" fillId="0" borderId="2" applyNumberFormat="0" applyFill="0" applyAlignment="0" applyProtection="0"/>
    <xf numFmtId="0" fontId="26" fillId="0" borderId="3" applyNumberFormat="0" applyFill="0" applyAlignment="0" applyProtection="0"/>
    <xf numFmtId="0" fontId="26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8" fillId="3" borderId="0" applyNumberFormat="0" applyBorder="0" applyAlignment="0" applyProtection="0"/>
    <xf numFmtId="0" fontId="29" fillId="4" borderId="0" applyNumberFormat="0" applyBorder="0" applyAlignment="0" applyProtection="0"/>
    <xf numFmtId="0" fontId="30" fillId="5" borderId="4" applyNumberFormat="0" applyAlignment="0" applyProtection="0"/>
    <xf numFmtId="0" fontId="31" fillId="6" borderId="5" applyNumberFormat="0" applyAlignment="0" applyProtection="0"/>
    <xf numFmtId="0" fontId="32" fillId="6" borderId="4" applyNumberFormat="0" applyAlignment="0" applyProtection="0"/>
    <xf numFmtId="0" fontId="33" fillId="0" borderId="6" applyNumberFormat="0" applyFill="0" applyAlignment="0" applyProtection="0"/>
    <xf numFmtId="0" fontId="34" fillId="7" borderId="7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8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38" fillId="32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4" borderId="0" applyNumberFormat="0" applyBorder="0" applyAlignment="0" applyProtection="0"/>
    <xf numFmtId="0" fontId="2" fillId="26" borderId="0" applyNumberFormat="0" applyBorder="0" applyAlignment="0" applyProtection="0"/>
    <xf numFmtId="0" fontId="2" fillId="31" borderId="0" applyNumberFormat="0" applyBorder="0" applyAlignment="0" applyProtection="0"/>
    <xf numFmtId="0" fontId="2" fillId="19" borderId="0" applyNumberFormat="0" applyBorder="0" applyAlignment="0" applyProtection="0"/>
    <xf numFmtId="0" fontId="2" fillId="30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23" borderId="0" applyNumberFormat="0" applyBorder="0" applyAlignment="0" applyProtection="0"/>
    <xf numFmtId="0" fontId="2" fillId="10" borderId="0" applyNumberFormat="0" applyBorder="0" applyAlignment="0" applyProtection="0"/>
    <xf numFmtId="0" fontId="2" fillId="22" borderId="0" applyNumberFormat="0" applyBorder="0" applyAlignment="0" applyProtection="0"/>
    <xf numFmtId="0" fontId="2" fillId="27" borderId="0" applyNumberFormat="0" applyBorder="0" applyAlignment="0" applyProtection="0"/>
    <xf numFmtId="0" fontId="2" fillId="15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19" fillId="0" borderId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31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30" borderId="0" applyNumberFormat="0" applyBorder="0" applyAlignment="0" applyProtection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31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2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0" borderId="0"/>
    <xf numFmtId="0" fontId="19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0" borderId="0"/>
    <xf numFmtId="0" fontId="1" fillId="0" borderId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27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31" borderId="0" applyNumberFormat="0" applyBorder="0" applyAlignment="0" applyProtection="0"/>
    <xf numFmtId="0" fontId="1" fillId="22" borderId="0" applyNumberFormat="0" applyBorder="0" applyAlignment="0" applyProtection="0"/>
    <xf numFmtId="0" fontId="1" fillId="11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11" borderId="0" applyNumberFormat="0" applyBorder="0" applyAlignment="0" applyProtection="0"/>
    <xf numFmtId="0" fontId="1" fillId="10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7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30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30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68" fillId="0" borderId="0"/>
    <xf numFmtId="0" fontId="1" fillId="14" borderId="0" applyNumberFormat="0" applyBorder="0" applyAlignment="0" applyProtection="0"/>
    <xf numFmtId="0" fontId="1" fillId="10" borderId="0" applyNumberFormat="0" applyBorder="0" applyAlignment="0" applyProtection="0"/>
    <xf numFmtId="0" fontId="1" fillId="18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5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23" borderId="0" applyNumberFormat="0" applyBorder="0" applyAlignment="0" applyProtection="0"/>
    <xf numFmtId="0" fontId="1" fillId="3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3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18" borderId="0" applyNumberFormat="0" applyBorder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69" fillId="0" borderId="0"/>
    <xf numFmtId="0" fontId="1" fillId="23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26" borderId="0" applyNumberFormat="0" applyBorder="0" applyAlignment="0" applyProtection="0"/>
    <xf numFmtId="0" fontId="1" fillId="23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5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0" borderId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0" borderId="0"/>
    <xf numFmtId="0" fontId="19" fillId="0" borderId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26" borderId="0" applyNumberFormat="0" applyBorder="0" applyAlignment="0" applyProtection="0"/>
    <xf numFmtId="0" fontId="68" fillId="0" borderId="0"/>
    <xf numFmtId="0" fontId="1" fillId="19" borderId="0" applyNumberFormat="0" applyBorder="0" applyAlignment="0" applyProtection="0"/>
    <xf numFmtId="0" fontId="1" fillId="31" borderId="0" applyNumberFormat="0" applyBorder="0" applyAlignment="0" applyProtection="0"/>
    <xf numFmtId="0" fontId="1" fillId="26" borderId="0" applyNumberFormat="0" applyBorder="0" applyAlignment="0" applyProtection="0"/>
    <xf numFmtId="0" fontId="1" fillId="15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0" borderId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18" borderId="0" applyNumberFormat="0" applyBorder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18" borderId="0" applyNumberFormat="0" applyBorder="0" applyAlignment="0" applyProtection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30" borderId="0" applyNumberFormat="0" applyBorder="0" applyAlignment="0" applyProtection="0"/>
    <xf numFmtId="0" fontId="1" fillId="14" borderId="0" applyNumberFormat="0" applyBorder="0" applyAlignment="0" applyProtection="0"/>
    <xf numFmtId="0" fontId="1" fillId="30" borderId="0" applyNumberFormat="0" applyBorder="0" applyAlignment="0" applyProtection="0"/>
    <xf numFmtId="0" fontId="1" fillId="27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68" fillId="0" borderId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19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27" borderId="0" applyNumberFormat="0" applyBorder="0" applyAlignment="0" applyProtection="0"/>
    <xf numFmtId="0" fontId="1" fillId="11" borderId="0" applyNumberFormat="0" applyBorder="0" applyAlignment="0" applyProtection="0"/>
    <xf numFmtId="0" fontId="1" fillId="22" borderId="0" applyNumberFormat="0" applyBorder="0" applyAlignment="0" applyProtection="0"/>
    <xf numFmtId="0" fontId="1" fillId="11" borderId="0" applyNumberFormat="0" applyBorder="0" applyAlignment="0" applyProtection="0"/>
    <xf numFmtId="0" fontId="1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0" borderId="0"/>
    <xf numFmtId="0" fontId="1" fillId="26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18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0" borderId="0"/>
    <xf numFmtId="0" fontId="1" fillId="0" borderId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18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0" borderId="0"/>
    <xf numFmtId="0" fontId="1" fillId="31" borderId="0" applyNumberFormat="0" applyBorder="0" applyAlignment="0" applyProtection="0"/>
    <xf numFmtId="0" fontId="1" fillId="23" borderId="0" applyNumberFormat="0" applyBorder="0" applyAlignment="0" applyProtection="0"/>
    <xf numFmtId="0" fontId="1" fillId="30" borderId="0" applyNumberFormat="0" applyBorder="0" applyAlignment="0" applyProtection="0"/>
    <xf numFmtId="0" fontId="1" fillId="14" borderId="0" applyNumberFormat="0" applyBorder="0" applyAlignment="0" applyProtection="0"/>
    <xf numFmtId="0" fontId="1" fillId="31" borderId="0" applyNumberFormat="0" applyBorder="0" applyAlignment="0" applyProtection="0"/>
    <xf numFmtId="0" fontId="19" fillId="0" borderId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9" fillId="0" borderId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26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27" borderId="0" applyNumberFormat="0" applyBorder="0" applyAlignment="0" applyProtection="0"/>
    <xf numFmtId="0" fontId="1" fillId="10" borderId="0" applyNumberFormat="0" applyBorder="0" applyAlignment="0" applyProtection="0"/>
    <xf numFmtId="0" fontId="1" fillId="31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11" borderId="0" applyNumberFormat="0" applyBorder="0" applyAlignment="0" applyProtection="0"/>
    <xf numFmtId="0" fontId="1" fillId="10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22" borderId="0" applyNumberFormat="0" applyBorder="0" applyAlignment="0" applyProtection="0"/>
    <xf numFmtId="0" fontId="1" fillId="14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15" borderId="0" applyNumberFormat="0" applyBorder="0" applyAlignment="0" applyProtection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6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30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0" borderId="0"/>
    <xf numFmtId="0" fontId="1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11" borderId="0" applyNumberFormat="0" applyBorder="0" applyAlignment="0" applyProtection="0"/>
    <xf numFmtId="0" fontId="1" fillId="18" borderId="0" applyNumberFormat="0" applyBorder="0" applyAlignment="0" applyProtection="0"/>
    <xf numFmtId="0" fontId="1" fillId="26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6" borderId="0" applyNumberFormat="0" applyBorder="0" applyAlignment="0" applyProtection="0"/>
    <xf numFmtId="0" fontId="1" fillId="23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14" borderId="0" applyNumberFormat="0" applyBorder="0" applyAlignment="0" applyProtection="0"/>
    <xf numFmtId="0" fontId="1" fillId="22" borderId="0" applyNumberFormat="0" applyBorder="0" applyAlignment="0" applyProtection="0"/>
    <xf numFmtId="0" fontId="68" fillId="0" borderId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30" borderId="0" applyNumberFormat="0" applyBorder="0" applyAlignment="0" applyProtection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31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15" borderId="0" applyNumberFormat="0" applyBorder="0" applyAlignment="0" applyProtection="0"/>
    <xf numFmtId="0" fontId="1" fillId="26" borderId="0" applyNumberFormat="0" applyBorder="0" applyAlignment="0" applyProtection="0"/>
    <xf numFmtId="0" fontId="1" fillId="10" borderId="0" applyNumberFormat="0" applyBorder="0" applyAlignment="0" applyProtection="0"/>
    <xf numFmtId="0" fontId="1" fillId="30" borderId="0" applyNumberFormat="0" applyBorder="0" applyAlignment="0" applyProtection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1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5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9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19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9" fillId="0" borderId="0"/>
    <xf numFmtId="0" fontId="1" fillId="22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19" borderId="0" applyNumberFormat="0" applyBorder="0" applyAlignment="0" applyProtection="0"/>
    <xf numFmtId="0" fontId="68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8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31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30" borderId="0" applyNumberFormat="0" applyBorder="0" applyAlignment="0" applyProtection="0"/>
    <xf numFmtId="0" fontId="1" fillId="22" borderId="0" applyNumberFormat="0" applyBorder="0" applyAlignment="0" applyProtection="0"/>
    <xf numFmtId="0" fontId="1" fillId="10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0" borderId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26" borderId="0" applyNumberFormat="0" applyBorder="0" applyAlignment="0" applyProtection="0"/>
    <xf numFmtId="0" fontId="1" fillId="15" borderId="0" applyNumberFormat="0" applyBorder="0" applyAlignment="0" applyProtection="0"/>
    <xf numFmtId="0" fontId="1" fillId="31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0" borderId="0"/>
    <xf numFmtId="0" fontId="1" fillId="30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1" borderId="0" applyNumberFormat="0" applyBorder="0" applyAlignment="0" applyProtection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10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/>
    <xf numFmtId="0" fontId="7" fillId="0" borderId="0"/>
    <xf numFmtId="0" fontId="1" fillId="14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/>
    <xf numFmtId="0" fontId="1" fillId="31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23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15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11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11" borderId="0" applyNumberFormat="0" applyBorder="0" applyAlignment="0" applyProtection="0"/>
    <xf numFmtId="43" fontId="67" fillId="0" borderId="0" applyFont="0" applyBorder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9" fillId="0" borderId="0"/>
    <xf numFmtId="0" fontId="1" fillId="8" borderId="8" applyNumberFormat="0" applyFont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0" borderId="0"/>
    <xf numFmtId="0" fontId="1" fillId="0" borderId="0"/>
    <xf numFmtId="0" fontId="1" fillId="27" borderId="0" applyNumberFormat="0" applyBorder="0" applyAlignment="0" applyProtection="0"/>
    <xf numFmtId="0" fontId="1" fillId="11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26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15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43" fontId="67" fillId="0" borderId="0" applyFont="0" applyBorder="0"/>
    <xf numFmtId="0" fontId="1" fillId="19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1" fillId="18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0" borderId="0"/>
    <xf numFmtId="0" fontId="1" fillId="0" borderId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5" borderId="0" applyNumberFormat="0" applyBorder="0" applyAlignment="0" applyProtection="0"/>
    <xf numFmtId="0" fontId="1" fillId="27" borderId="0" applyNumberFormat="0" applyBorder="0" applyAlignment="0" applyProtection="0"/>
    <xf numFmtId="0" fontId="1" fillId="19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0" borderId="0"/>
    <xf numFmtId="0" fontId="1" fillId="0" borderId="0"/>
    <xf numFmtId="0" fontId="1" fillId="30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18" borderId="0" applyNumberFormat="0" applyBorder="0" applyAlignment="0" applyProtection="0"/>
    <xf numFmtId="0" fontId="1" fillId="31" borderId="0" applyNumberFormat="0" applyBorder="0" applyAlignment="0" applyProtection="0"/>
    <xf numFmtId="0" fontId="1" fillId="18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5" borderId="0" applyNumberFormat="0" applyBorder="0" applyAlignment="0" applyProtection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23" borderId="0" applyNumberFormat="0" applyBorder="0" applyAlignment="0" applyProtection="0"/>
    <xf numFmtId="0" fontId="1" fillId="31" borderId="0" applyNumberFormat="0" applyBorder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0" borderId="0"/>
    <xf numFmtId="0" fontId="68" fillId="0" borderId="0"/>
    <xf numFmtId="0" fontId="1" fillId="15" borderId="0" applyNumberFormat="0" applyBorder="0" applyAlignment="0" applyProtection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1" fillId="26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0" borderId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0" borderId="0" applyNumberFormat="0" applyBorder="0" applyAlignment="0" applyProtection="0"/>
    <xf numFmtId="0" fontId="1" fillId="27" borderId="0" applyNumberFormat="0" applyBorder="0" applyAlignment="0" applyProtection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10" borderId="0" applyNumberFormat="0" applyBorder="0" applyAlignment="0" applyProtection="0"/>
    <xf numFmtId="0" fontId="1" fillId="23" borderId="0" applyNumberFormat="0" applyBorder="0" applyAlignment="0" applyProtection="0"/>
    <xf numFmtId="0" fontId="1" fillId="15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0" borderId="0"/>
    <xf numFmtId="0" fontId="1" fillId="0" borderId="0"/>
    <xf numFmtId="0" fontId="1" fillId="26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31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11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30" borderId="0" applyNumberFormat="0" applyBorder="0" applyAlignment="0" applyProtection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3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14" borderId="0" applyNumberFormat="0" applyBorder="0" applyAlignment="0" applyProtection="0"/>
    <xf numFmtId="0" fontId="1" fillId="23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26" borderId="0" applyNumberFormat="0" applyBorder="0" applyAlignment="0" applyProtection="0"/>
    <xf numFmtId="0" fontId="1" fillId="15" borderId="0" applyNumberFormat="0" applyBorder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18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14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31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11" borderId="0" applyNumberFormat="0" applyBorder="0" applyAlignment="0" applyProtection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0" borderId="0"/>
    <xf numFmtId="0" fontId="1" fillId="22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2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22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68" fillId="0" borderId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22" borderId="0" applyNumberFormat="0" applyBorder="0" applyAlignment="0" applyProtection="0"/>
    <xf numFmtId="0" fontId="1" fillId="18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18" borderId="0" applyNumberFormat="0" applyBorder="0" applyAlignment="0" applyProtection="0"/>
    <xf numFmtId="0" fontId="1" fillId="31" borderId="0" applyNumberFormat="0" applyBorder="0" applyAlignment="0" applyProtection="0"/>
    <xf numFmtId="0" fontId="1" fillId="18" borderId="0" applyNumberFormat="0" applyBorder="0" applyAlignment="0" applyProtection="0"/>
    <xf numFmtId="0" fontId="1" fillId="15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9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0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8" borderId="0" applyNumberFormat="0" applyBorder="0" applyAlignment="0" applyProtection="0"/>
    <xf numFmtId="0" fontId="1" fillId="15" borderId="0" applyNumberFormat="0" applyBorder="0" applyAlignment="0" applyProtection="0"/>
    <xf numFmtId="0" fontId="1" fillId="27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14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10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0" borderId="0"/>
    <xf numFmtId="0" fontId="1" fillId="0" borderId="0"/>
    <xf numFmtId="0" fontId="1" fillId="19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30" borderId="0" applyNumberFormat="0" applyBorder="0" applyAlignment="0" applyProtection="0"/>
    <xf numFmtId="0" fontId="1" fillId="8" borderId="8" applyNumberFormat="0" applyFont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26" borderId="0" applyNumberFormat="0" applyBorder="0" applyAlignment="0" applyProtection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5" borderId="0" applyNumberFormat="0" applyBorder="0" applyAlignment="0" applyProtection="0"/>
    <xf numFmtId="0" fontId="1" fillId="27" borderId="0" applyNumberFormat="0" applyBorder="0" applyAlignment="0" applyProtection="0"/>
    <xf numFmtId="0" fontId="1" fillId="0" borderId="0"/>
    <xf numFmtId="0" fontId="1" fillId="0" borderId="0"/>
    <xf numFmtId="0" fontId="1" fillId="19" borderId="0" applyNumberFormat="0" applyBorder="0" applyAlignment="0" applyProtection="0"/>
    <xf numFmtId="0" fontId="1" fillId="31" borderId="0" applyNumberFormat="0" applyBorder="0" applyAlignment="0" applyProtection="0"/>
    <xf numFmtId="0" fontId="1" fillId="23" borderId="0" applyNumberFormat="0" applyBorder="0" applyAlignment="0" applyProtection="0"/>
    <xf numFmtId="0" fontId="1" fillId="15" borderId="0" applyNumberFormat="0" applyBorder="0" applyAlignment="0" applyProtection="0"/>
    <xf numFmtId="0" fontId="1" fillId="8" borderId="8" applyNumberFormat="0" applyFont="0" applyAlignment="0" applyProtection="0"/>
    <xf numFmtId="0" fontId="1" fillId="11" borderId="0" applyNumberFormat="0" applyBorder="0" applyAlignment="0" applyProtection="0"/>
    <xf numFmtId="0" fontId="1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1" fillId="18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15" borderId="0" applyNumberFormat="0" applyBorder="0" applyAlignment="0" applyProtection="0"/>
    <xf numFmtId="0" fontId="1" fillId="30" borderId="0" applyNumberFormat="0" applyBorder="0" applyAlignment="0" applyProtection="0"/>
    <xf numFmtId="0" fontId="19" fillId="0" borderId="0"/>
    <xf numFmtId="0" fontId="7" fillId="0" borderId="0"/>
    <xf numFmtId="0" fontId="19" fillId="0" borderId="0"/>
    <xf numFmtId="0" fontId="7" fillId="0" borderId="0"/>
    <xf numFmtId="0" fontId="7" fillId="0" borderId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15" borderId="0" applyNumberFormat="0" applyBorder="0" applyAlignment="0" applyProtection="0"/>
    <xf numFmtId="0" fontId="7" fillId="14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1" borderId="0" applyNumberFormat="0" applyBorder="0" applyAlignment="0" applyProtection="0"/>
    <xf numFmtId="0" fontId="7" fillId="10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0" borderId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8" applyNumberFormat="0" applyFont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27" borderId="0" applyNumberFormat="0" applyBorder="0" applyAlignment="0" applyProtection="0"/>
    <xf numFmtId="0" fontId="7" fillId="2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0" borderId="0" applyNumberFormat="0" applyBorder="0" applyAlignment="0" applyProtection="0"/>
    <xf numFmtId="0" fontId="7" fillId="22" borderId="0" applyNumberFormat="0" applyBorder="0" applyAlignment="0" applyProtection="0"/>
    <xf numFmtId="0" fontId="7" fillId="18" borderId="0" applyNumberFormat="0" applyBorder="0" applyAlignment="0" applyProtection="0"/>
    <xf numFmtId="0" fontId="7" fillId="30" borderId="0" applyNumberFormat="0" applyBorder="0" applyAlignment="0" applyProtection="0"/>
    <xf numFmtId="0" fontId="7" fillId="26" borderId="0" applyNumberFormat="0" applyBorder="0" applyAlignment="0" applyProtection="0"/>
    <xf numFmtId="0" fontId="7" fillId="15" borderId="0" applyNumberFormat="0" applyBorder="0" applyAlignment="0" applyProtection="0"/>
    <xf numFmtId="0" fontId="7" fillId="1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7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4" borderId="0" applyNumberFormat="0" applyBorder="0" applyAlignment="0" applyProtection="0"/>
    <xf numFmtId="0" fontId="1" fillId="26" borderId="0" applyNumberFormat="0" applyBorder="0" applyAlignment="0" applyProtection="0"/>
    <xf numFmtId="0" fontId="1" fillId="31" borderId="0" applyNumberFormat="0" applyBorder="0" applyAlignment="0" applyProtection="0"/>
    <xf numFmtId="0" fontId="1" fillId="19" borderId="0" applyNumberFormat="0" applyBorder="0" applyAlignment="0" applyProtection="0"/>
    <xf numFmtId="0" fontId="1" fillId="30" borderId="0" applyNumberFormat="0" applyBorder="0" applyAlignment="0" applyProtection="0"/>
    <xf numFmtId="0" fontId="1" fillId="18" borderId="0" applyNumberFormat="0" applyBorder="0" applyAlignment="0" applyProtection="0"/>
    <xf numFmtId="0" fontId="1" fillId="11" borderId="0" applyNumberFormat="0" applyBorder="0" applyAlignment="0" applyProtection="0"/>
    <xf numFmtId="0" fontId="1" fillId="23" borderId="0" applyNumberFormat="0" applyBorder="0" applyAlignment="0" applyProtection="0"/>
    <xf numFmtId="0" fontId="1" fillId="10" borderId="0" applyNumberFormat="0" applyBorder="0" applyAlignment="0" applyProtection="0"/>
    <xf numFmtId="0" fontId="1" fillId="22" borderId="0" applyNumberFormat="0" applyBorder="0" applyAlignment="0" applyProtection="0"/>
    <xf numFmtId="0" fontId="1" fillId="27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</cellStyleXfs>
  <cellXfs count="199">
    <xf numFmtId="0" fontId="0" fillId="0" borderId="0" xfId="0"/>
    <xf numFmtId="0" fontId="13" fillId="0" borderId="0" xfId="0" applyFont="1"/>
    <xf numFmtId="0" fontId="15" fillId="0" borderId="0" xfId="0" applyFont="1"/>
    <xf numFmtId="0" fontId="19" fillId="0" borderId="0" xfId="0" applyFont="1"/>
    <xf numFmtId="0" fontId="13" fillId="0" borderId="0" xfId="0" applyFont="1" applyAlignment="1">
      <alignment horizontal="center" vertical="center" wrapText="1"/>
    </xf>
    <xf numFmtId="0" fontId="0" fillId="0" borderId="0" xfId="0"/>
    <xf numFmtId="0" fontId="19" fillId="0" borderId="0" xfId="0" applyFont="1"/>
    <xf numFmtId="0" fontId="21" fillId="0" borderId="0" xfId="0" applyFont="1"/>
    <xf numFmtId="0" fontId="0" fillId="0" borderId="0" xfId="0" applyFill="1"/>
    <xf numFmtId="0" fontId="0" fillId="0" borderId="0" xfId="0"/>
    <xf numFmtId="0" fontId="19" fillId="0" borderId="0" xfId="0" applyFont="1" applyFill="1"/>
    <xf numFmtId="0" fontId="0" fillId="0" borderId="0" xfId="0" applyProtection="1">
      <protection locked="0"/>
    </xf>
    <xf numFmtId="0" fontId="15" fillId="0" borderId="0" xfId="0" applyFont="1" applyFill="1"/>
    <xf numFmtId="0" fontId="22" fillId="0" borderId="0" xfId="41" applyFill="1"/>
    <xf numFmtId="0" fontId="13" fillId="0" borderId="0" xfId="0" applyFont="1" applyFill="1"/>
    <xf numFmtId="0" fontId="20" fillId="0" borderId="0" xfId="0" applyFont="1" applyFill="1"/>
    <xf numFmtId="0" fontId="13" fillId="0" borderId="0" xfId="0" applyFont="1" applyFill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wrapText="1"/>
    </xf>
    <xf numFmtId="0" fontId="13" fillId="33" borderId="0" xfId="0" applyFont="1" applyFill="1" applyAlignment="1">
      <alignment horizontal="center" vertical="center" wrapText="1"/>
    </xf>
    <xf numFmtId="0" fontId="0" fillId="33" borderId="0" xfId="0" applyFill="1"/>
    <xf numFmtId="0" fontId="13" fillId="33" borderId="0" xfId="0" applyFont="1" applyFill="1" applyAlignment="1">
      <alignment wrapText="1"/>
    </xf>
    <xf numFmtId="0" fontId="13" fillId="35" borderId="0" xfId="0" applyFont="1" applyFill="1" applyAlignment="1">
      <alignment horizontal="center" vertical="center" wrapText="1"/>
    </xf>
    <xf numFmtId="0" fontId="13" fillId="35" borderId="0" xfId="0" applyFont="1" applyFill="1"/>
    <xf numFmtId="0" fontId="0" fillId="35" borderId="0" xfId="0" applyFill="1"/>
    <xf numFmtId="0" fontId="13" fillId="34" borderId="0" xfId="0" applyFont="1" applyFill="1"/>
    <xf numFmtId="0" fontId="13" fillId="33" borderId="0" xfId="0" applyFont="1" applyFill="1"/>
    <xf numFmtId="0" fontId="13" fillId="35" borderId="0" xfId="0" applyFont="1" applyFill="1" applyAlignment="1">
      <alignment wrapText="1"/>
    </xf>
    <xf numFmtId="0" fontId="0" fillId="34" borderId="0" xfId="0" applyFill="1"/>
    <xf numFmtId="0" fontId="19" fillId="36" borderId="0" xfId="0" applyFont="1" applyFill="1"/>
    <xf numFmtId="0" fontId="0" fillId="36" borderId="0" xfId="0" applyFill="1"/>
    <xf numFmtId="0" fontId="13" fillId="36" borderId="0" xfId="0" applyFont="1" applyFill="1"/>
    <xf numFmtId="0" fontId="56" fillId="36" borderId="0" xfId="0" applyFont="1" applyFill="1" applyAlignment="1">
      <alignment vertical="center"/>
    </xf>
    <xf numFmtId="0" fontId="55" fillId="36" borderId="0" xfId="0" applyFont="1" applyFill="1"/>
    <xf numFmtId="0" fontId="0" fillId="37" borderId="0" xfId="0" applyFill="1"/>
    <xf numFmtId="0" fontId="13" fillId="37" borderId="0" xfId="0" applyFont="1" applyFill="1"/>
    <xf numFmtId="0" fontId="19" fillId="36" borderId="0" xfId="0" applyFont="1" applyFill="1" applyAlignment="1">
      <alignment horizontal="left"/>
    </xf>
    <xf numFmtId="0" fontId="19" fillId="36" borderId="11" xfId="0" applyFont="1" applyFill="1" applyBorder="1"/>
    <xf numFmtId="0" fontId="0" fillId="36" borderId="13" xfId="0" applyFill="1" applyBorder="1"/>
    <xf numFmtId="0" fontId="0" fillId="36" borderId="14" xfId="0" applyFill="1" applyBorder="1"/>
    <xf numFmtId="0" fontId="0" fillId="36" borderId="12" xfId="0" applyFill="1" applyBorder="1"/>
    <xf numFmtId="0" fontId="56" fillId="36" borderId="11" xfId="0" applyFont="1" applyFill="1" applyBorder="1" applyAlignment="1">
      <alignment horizontal="center" vertical="center"/>
    </xf>
    <xf numFmtId="0" fontId="0" fillId="36" borderId="17" xfId="0" applyFill="1" applyBorder="1"/>
    <xf numFmtId="0" fontId="0" fillId="36" borderId="18" xfId="0" applyFill="1" applyBorder="1"/>
    <xf numFmtId="0" fontId="0" fillId="36" borderId="19" xfId="0" applyFill="1" applyBorder="1"/>
    <xf numFmtId="0" fontId="0" fillId="36" borderId="0" xfId="0" applyFill="1" applyAlignment="1">
      <alignment vertical="top"/>
    </xf>
    <xf numFmtId="0" fontId="19" fillId="36" borderId="0" xfId="0" applyFont="1" applyFill="1" applyAlignment="1">
      <alignment vertical="top"/>
    </xf>
    <xf numFmtId="0" fontId="57" fillId="36" borderId="11" xfId="0" applyFont="1" applyFill="1" applyBorder="1"/>
    <xf numFmtId="0" fontId="57" fillId="36" borderId="15" xfId="0" applyFont="1" applyFill="1" applyBorder="1"/>
    <xf numFmtId="0" fontId="57" fillId="36" borderId="16" xfId="0" applyFont="1" applyFill="1" applyBorder="1"/>
    <xf numFmtId="0" fontId="57" fillId="36" borderId="11" xfId="0" applyFont="1" applyFill="1" applyBorder="1" applyAlignment="1">
      <alignment horizontal="left"/>
    </xf>
    <xf numFmtId="0" fontId="57" fillId="36" borderId="12" xfId="0" applyFont="1" applyFill="1" applyBorder="1"/>
    <xf numFmtId="0" fontId="13" fillId="36" borderId="13" xfId="0" applyFont="1" applyFill="1" applyBorder="1"/>
    <xf numFmtId="0" fontId="13" fillId="38" borderId="0" xfId="0" applyFont="1" applyFill="1"/>
    <xf numFmtId="0" fontId="21" fillId="38" borderId="0" xfId="0" applyFont="1" applyFill="1"/>
    <xf numFmtId="0" fontId="19" fillId="38" borderId="0" xfId="0" applyFont="1" applyFill="1"/>
    <xf numFmtId="0" fontId="0" fillId="38" borderId="0" xfId="0" applyFill="1"/>
    <xf numFmtId="0" fontId="13" fillId="38" borderId="0" xfId="0" applyFont="1" applyFill="1" applyAlignment="1">
      <alignment horizontal="center" vertical="center" wrapText="1"/>
    </xf>
    <xf numFmtId="0" fontId="20" fillId="38" borderId="0" xfId="0" applyFont="1" applyFill="1"/>
    <xf numFmtId="0" fontId="13" fillId="38" borderId="0" xfId="0" applyFont="1" applyFill="1" applyAlignment="1">
      <alignment wrapText="1"/>
    </xf>
    <xf numFmtId="0" fontId="0" fillId="39" borderId="0" xfId="0" applyFill="1"/>
    <xf numFmtId="0" fontId="13" fillId="39" borderId="0" xfId="0" applyFont="1" applyFill="1" applyAlignment="1">
      <alignment wrapText="1"/>
    </xf>
    <xf numFmtId="0" fontId="19" fillId="39" borderId="0" xfId="0" applyFont="1" applyFill="1"/>
    <xf numFmtId="0" fontId="0" fillId="40" borderId="0" xfId="0" applyFill="1"/>
    <xf numFmtId="0" fontId="13" fillId="40" borderId="0" xfId="0" applyFont="1" applyFill="1" applyAlignment="1">
      <alignment wrapText="1"/>
    </xf>
    <xf numFmtId="0" fontId="19" fillId="36" borderId="0" xfId="0" applyFont="1" applyFill="1" applyAlignment="1">
      <alignment horizontal="left" indent="1"/>
    </xf>
    <xf numFmtId="0" fontId="0" fillId="36" borderId="0" xfId="0" applyFill="1" applyAlignment="1">
      <alignment horizontal="left" indent="2"/>
    </xf>
    <xf numFmtId="0" fontId="0" fillId="36" borderId="12" xfId="0" applyFill="1" applyBorder="1" applyAlignment="1">
      <alignment horizontal="left" indent="3"/>
    </xf>
    <xf numFmtId="0" fontId="57" fillId="36" borderId="15" xfId="0" applyFont="1" applyFill="1" applyBorder="1" applyAlignment="1">
      <alignment horizontal="left" indent="1"/>
    </xf>
    <xf numFmtId="0" fontId="13" fillId="36" borderId="20" xfId="0" applyFont="1" applyFill="1" applyBorder="1"/>
    <xf numFmtId="0" fontId="57" fillId="36" borderId="18" xfId="0" applyFont="1" applyFill="1" applyBorder="1" applyAlignment="1">
      <alignment horizontal="left" indent="1"/>
    </xf>
    <xf numFmtId="0" fontId="13" fillId="36" borderId="21" xfId="0" applyFont="1" applyFill="1" applyBorder="1"/>
    <xf numFmtId="0" fontId="55" fillId="36" borderId="12" xfId="0" applyFont="1" applyFill="1" applyBorder="1" applyAlignment="1">
      <alignment horizontal="left" indent="3"/>
    </xf>
    <xf numFmtId="0" fontId="19" fillId="36" borderId="0" xfId="0" applyFont="1" applyFill="1" applyAlignment="1">
      <alignment horizontal="left" vertical="center" indent="1"/>
    </xf>
    <xf numFmtId="0" fontId="19" fillId="36" borderId="0" xfId="0" applyFont="1" applyFill="1" applyAlignment="1">
      <alignment horizontal="left" vertical="top" indent="1"/>
    </xf>
    <xf numFmtId="0" fontId="13" fillId="33" borderId="0" xfId="0" applyFont="1" applyFill="1" applyAlignment="1">
      <alignment horizontal="left"/>
    </xf>
    <xf numFmtId="0" fontId="58" fillId="36" borderId="0" xfId="0" applyFont="1" applyFill="1"/>
    <xf numFmtId="0" fontId="58" fillId="36" borderId="0" xfId="0" applyFont="1" applyFill="1" applyAlignment="1"/>
    <xf numFmtId="0" fontId="0" fillId="36" borderId="0" xfId="0" applyFill="1" applyAlignment="1"/>
    <xf numFmtId="0" fontId="20" fillId="36" borderId="0" xfId="0" applyFont="1" applyFill="1" applyAlignment="1"/>
    <xf numFmtId="0" fontId="19" fillId="36" borderId="0" xfId="0" applyFont="1" applyFill="1" applyAlignment="1"/>
    <xf numFmtId="0" fontId="13" fillId="36" borderId="0" xfId="0" applyFont="1" applyFill="1" applyBorder="1"/>
    <xf numFmtId="0" fontId="0" fillId="36" borderId="0" xfId="0" applyFill="1" applyBorder="1"/>
    <xf numFmtId="0" fontId="13" fillId="36" borderId="17" xfId="0" applyFont="1" applyFill="1" applyBorder="1"/>
    <xf numFmtId="0" fontId="0" fillId="36" borderId="0" xfId="0" applyFill="1" applyAlignment="1">
      <alignment horizontal="left"/>
    </xf>
    <xf numFmtId="0" fontId="59" fillId="36" borderId="0" xfId="0" applyFont="1" applyFill="1"/>
    <xf numFmtId="0" fontId="59" fillId="34" borderId="22" xfId="0" applyFont="1" applyFill="1" applyBorder="1" applyAlignment="1">
      <alignment horizontal="center"/>
    </xf>
    <xf numFmtId="0" fontId="59" fillId="33" borderId="22" xfId="0" applyFont="1" applyFill="1" applyBorder="1" applyAlignment="1">
      <alignment horizontal="center"/>
    </xf>
    <xf numFmtId="0" fontId="59" fillId="35" borderId="22" xfId="0" applyFont="1" applyFill="1" applyBorder="1" applyAlignment="1">
      <alignment horizontal="center"/>
    </xf>
    <xf numFmtId="0" fontId="59" fillId="34" borderId="23" xfId="0" applyFont="1" applyFill="1" applyBorder="1" applyAlignment="1">
      <alignment horizontal="center"/>
    </xf>
    <xf numFmtId="0" fontId="59" fillId="33" borderId="23" xfId="0" applyFont="1" applyFill="1" applyBorder="1" applyAlignment="1">
      <alignment horizontal="center"/>
    </xf>
    <xf numFmtId="0" fontId="59" fillId="35" borderId="23" xfId="0" applyFont="1" applyFill="1" applyBorder="1" applyAlignment="1">
      <alignment horizontal="center"/>
    </xf>
    <xf numFmtId="0" fontId="13" fillId="36" borderId="0" xfId="0" applyFont="1" applyFill="1" applyAlignment="1"/>
    <xf numFmtId="0" fontId="60" fillId="36" borderId="0" xfId="0" applyFont="1" applyFill="1"/>
    <xf numFmtId="0" fontId="60" fillId="36" borderId="0" xfId="0" applyFont="1" applyFill="1" applyAlignment="1">
      <alignment horizontal="center"/>
    </xf>
    <xf numFmtId="0" fontId="0" fillId="36" borderId="0" xfId="0" applyFill="1" applyAlignment="1">
      <alignment horizontal="center" vertical="top"/>
    </xf>
    <xf numFmtId="0" fontId="0" fillId="39" borderId="0" xfId="0" applyFill="1" applyProtection="1">
      <protection locked="0"/>
    </xf>
    <xf numFmtId="0" fontId="15" fillId="38" borderId="0" xfId="156" applyFont="1" applyFill="1" applyProtection="1">
      <protection locked="0"/>
    </xf>
    <xf numFmtId="0" fontId="15" fillId="34" borderId="0" xfId="156" applyFont="1" applyFill="1" applyProtection="1">
      <protection locked="0"/>
    </xf>
    <xf numFmtId="0" fontId="0" fillId="33" borderId="0" xfId="0" applyFill="1" applyProtection="1">
      <protection locked="0"/>
    </xf>
    <xf numFmtId="0" fontId="15" fillId="35" borderId="0" xfId="0" applyFont="1" applyFill="1" applyProtection="1">
      <protection locked="0"/>
    </xf>
    <xf numFmtId="0" fontId="0" fillId="40" borderId="0" xfId="0" applyFill="1" applyProtection="1">
      <protection locked="0"/>
    </xf>
    <xf numFmtId="0" fontId="61" fillId="36" borderId="0" xfId="0" applyFont="1" applyFill="1"/>
    <xf numFmtId="0" fontId="19" fillId="40" borderId="0" xfId="0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22" fillId="38" borderId="0" xfId="41" applyFill="1" applyProtection="1">
      <protection locked="0"/>
    </xf>
    <xf numFmtId="0" fontId="15" fillId="0" borderId="0" xfId="0" applyFont="1" applyFill="1" applyProtection="1">
      <protection locked="0"/>
    </xf>
    <xf numFmtId="0" fontId="19" fillId="38" borderId="0" xfId="0" applyFont="1" applyFill="1" applyProtection="1">
      <protection locked="0"/>
    </xf>
    <xf numFmtId="0" fontId="19" fillId="0" borderId="0" xfId="1039" applyFont="1" applyFill="1" applyProtection="1">
      <protection locked="0"/>
    </xf>
    <xf numFmtId="0" fontId="15" fillId="38" borderId="0" xfId="42" applyFont="1" applyFill="1" applyProtection="1">
      <protection locked="0"/>
    </xf>
    <xf numFmtId="0" fontId="0" fillId="35" borderId="0" xfId="0" applyFill="1" applyProtection="1">
      <protection locked="0"/>
    </xf>
    <xf numFmtId="0" fontId="19" fillId="0" borderId="12" xfId="0" applyFont="1" applyFill="1" applyBorder="1"/>
    <xf numFmtId="0" fontId="0" fillId="0" borderId="0" xfId="0" applyFont="1" applyProtection="1">
      <protection locked="0"/>
    </xf>
    <xf numFmtId="0" fontId="0" fillId="0" borderId="14" xfId="0" applyFill="1" applyBorder="1"/>
    <xf numFmtId="0" fontId="19" fillId="0" borderId="0" xfId="0" applyFont="1" applyFill="1" applyProtection="1">
      <protection locked="0"/>
    </xf>
    <xf numFmtId="0" fontId="19" fillId="35" borderId="0" xfId="0" applyFont="1" applyFill="1" applyProtection="1">
      <protection locked="0"/>
    </xf>
    <xf numFmtId="0" fontId="19" fillId="34" borderId="0" xfId="0" applyFont="1" applyFill="1" applyProtection="1">
      <protection locked="0"/>
    </xf>
    <xf numFmtId="0" fontId="0" fillId="0" borderId="11" xfId="0" applyFill="1" applyBorder="1"/>
    <xf numFmtId="0" fontId="0" fillId="41" borderId="0" xfId="0" applyFill="1" applyProtection="1">
      <protection locked="0"/>
    </xf>
    <xf numFmtId="0" fontId="13" fillId="0" borderId="12" xfId="0" applyFont="1" applyFill="1" applyBorder="1" applyAlignment="1"/>
    <xf numFmtId="0" fontId="19" fillId="39" borderId="0" xfId="0" applyFont="1" applyFill="1" applyProtection="1">
      <protection locked="0"/>
    </xf>
    <xf numFmtId="0" fontId="0" fillId="38" borderId="0" xfId="0" applyFill="1" applyProtection="1">
      <protection locked="0"/>
    </xf>
    <xf numFmtId="0" fontId="13" fillId="0" borderId="11" xfId="0" applyFont="1" applyFill="1" applyBorder="1" applyAlignment="1">
      <alignment wrapText="1"/>
    </xf>
    <xf numFmtId="0" fontId="20" fillId="0" borderId="0" xfId="41" applyFont="1" applyFill="1" applyProtection="1">
      <protection locked="0"/>
    </xf>
    <xf numFmtId="0" fontId="0" fillId="0" borderId="10" xfId="0" applyFill="1" applyBorder="1" applyProtection="1">
      <protection locked="0"/>
    </xf>
    <xf numFmtId="0" fontId="13" fillId="0" borderId="11" xfId="0" applyFont="1" applyFill="1" applyBorder="1"/>
    <xf numFmtId="0" fontId="19" fillId="34" borderId="0" xfId="156" applyFill="1" applyProtection="1">
      <protection locked="0"/>
    </xf>
    <xf numFmtId="0" fontId="0" fillId="34" borderId="0" xfId="0" applyFill="1" applyProtection="1">
      <protection locked="0"/>
    </xf>
    <xf numFmtId="0" fontId="19" fillId="0" borderId="11" xfId="0" applyFont="1" applyFill="1" applyBorder="1"/>
    <xf numFmtId="0" fontId="22" fillId="0" borderId="0" xfId="1039" applyFill="1" applyProtection="1">
      <protection locked="0"/>
    </xf>
    <xf numFmtId="0" fontId="19" fillId="33" borderId="0" xfId="0" applyFont="1" applyFill="1" applyProtection="1">
      <protection locked="0"/>
    </xf>
    <xf numFmtId="0" fontId="13" fillId="0" borderId="0" xfId="1038" applyFont="1"/>
    <xf numFmtId="0" fontId="2" fillId="0" borderId="0" xfId="3806"/>
    <xf numFmtId="0" fontId="19" fillId="0" borderId="0" xfId="3747"/>
    <xf numFmtId="0" fontId="14" fillId="0" borderId="0" xfId="3747" applyFont="1"/>
    <xf numFmtId="0" fontId="15" fillId="0" borderId="0" xfId="3747" applyFont="1"/>
    <xf numFmtId="0" fontId="14" fillId="0" borderId="0" xfId="3747" applyFont="1" applyAlignment="1">
      <alignment horizontal="center"/>
    </xf>
    <xf numFmtId="0" fontId="15" fillId="0" borderId="0" xfId="3747" applyFont="1" applyAlignment="1">
      <alignment horizontal="center"/>
    </xf>
    <xf numFmtId="0" fontId="19" fillId="0" borderId="0" xfId="3747" applyFont="1"/>
    <xf numFmtId="0" fontId="13" fillId="0" borderId="0" xfId="0" applyFont="1" applyFill="1" applyAlignment="1">
      <alignment vertical="center" wrapText="1"/>
    </xf>
    <xf numFmtId="0" fontId="13" fillId="0" borderId="0" xfId="0" applyFont="1" applyFill="1" applyAlignment="1">
      <alignment horizontal="left" vertical="center" wrapText="1"/>
    </xf>
    <xf numFmtId="0" fontId="19" fillId="34" borderId="0" xfId="0" applyFont="1" applyFill="1"/>
    <xf numFmtId="0" fontId="19" fillId="40" borderId="0" xfId="0" applyFont="1" applyFill="1"/>
    <xf numFmtId="0" fontId="66" fillId="36" borderId="0" xfId="1599" applyFont="1" applyFill="1"/>
    <xf numFmtId="0" fontId="63" fillId="44" borderId="0" xfId="1599" applyFont="1" applyFill="1"/>
    <xf numFmtId="0" fontId="0" fillId="42" borderId="0" xfId="0" applyFill="1"/>
    <xf numFmtId="0" fontId="19" fillId="40" borderId="0" xfId="0" applyFont="1" applyFill="1" applyBorder="1" applyProtection="1">
      <protection locked="0"/>
    </xf>
    <xf numFmtId="0" fontId="0" fillId="35" borderId="21" xfId="0" applyFill="1" applyBorder="1" applyProtection="1">
      <protection locked="0"/>
    </xf>
    <xf numFmtId="0" fontId="19" fillId="0" borderId="21" xfId="0" applyFont="1" applyFill="1" applyBorder="1" applyProtection="1">
      <protection locked="0"/>
    </xf>
    <xf numFmtId="0" fontId="19" fillId="40" borderId="20" xfId="0" applyFont="1" applyFill="1" applyBorder="1" applyProtection="1">
      <protection locked="0"/>
    </xf>
    <xf numFmtId="0" fontId="19" fillId="40" borderId="21" xfId="0" applyFont="1" applyFill="1" applyBorder="1" applyProtection="1">
      <protection locked="0"/>
    </xf>
    <xf numFmtId="0" fontId="64" fillId="44" borderId="0" xfId="5855" applyFont="1" applyFill="1"/>
    <xf numFmtId="0" fontId="7" fillId="42" borderId="0" xfId="1599" applyFill="1"/>
    <xf numFmtId="0" fontId="19" fillId="0" borderId="0" xfId="0" applyFont="1" applyFill="1" applyBorder="1" applyProtection="1">
      <protection locked="0"/>
    </xf>
    <xf numFmtId="0" fontId="19" fillId="0" borderId="20" xfId="0" applyFont="1" applyFill="1" applyBorder="1" applyProtection="1">
      <protection locked="0"/>
    </xf>
    <xf numFmtId="0" fontId="64" fillId="42" borderId="0" xfId="5855" applyFont="1" applyFill="1"/>
    <xf numFmtId="0" fontId="65" fillId="43" borderId="0" xfId="1599" applyFont="1" applyFill="1"/>
    <xf numFmtId="0" fontId="63" fillId="36" borderId="0" xfId="1599" applyFont="1" applyFill="1"/>
    <xf numFmtId="0" fontId="63" fillId="42" borderId="0" xfId="1599" applyFont="1" applyFill="1"/>
    <xf numFmtId="0" fontId="62" fillId="36" borderId="0" xfId="1599" applyFont="1" applyFill="1"/>
    <xf numFmtId="0" fontId="62" fillId="42" borderId="0" xfId="1599" applyFont="1" applyFill="1"/>
    <xf numFmtId="0" fontId="59" fillId="42" borderId="0" xfId="1038" applyFont="1" applyFill="1"/>
    <xf numFmtId="0" fontId="63" fillId="43" borderId="0" xfId="1599" applyFont="1" applyFill="1"/>
    <xf numFmtId="0" fontId="62" fillId="42" borderId="0" xfId="1599" applyFont="1" applyFill="1" applyAlignment="1">
      <alignment horizontal="left"/>
    </xf>
    <xf numFmtId="0" fontId="7" fillId="36" borderId="0" xfId="1599" applyFill="1"/>
    <xf numFmtId="0" fontId="19" fillId="36" borderId="0" xfId="0" quotePrefix="1" applyFont="1" applyFill="1"/>
    <xf numFmtId="0" fontId="19" fillId="38" borderId="24" xfId="0" applyFont="1" applyFill="1" applyBorder="1" applyProtection="1">
      <protection locked="0"/>
    </xf>
    <xf numFmtId="0" fontId="15" fillId="34" borderId="24" xfId="156" applyFont="1" applyFill="1" applyBorder="1" applyProtection="1">
      <protection locked="0"/>
    </xf>
    <xf numFmtId="0" fontId="19" fillId="38" borderId="0" xfId="0" applyFont="1" applyFill="1" applyBorder="1" applyProtection="1">
      <protection locked="0"/>
    </xf>
    <xf numFmtId="0" fontId="15" fillId="34" borderId="0" xfId="156" applyFont="1" applyFill="1" applyBorder="1" applyProtection="1">
      <protection locked="0"/>
    </xf>
    <xf numFmtId="0" fontId="15" fillId="34" borderId="25" xfId="156" applyFont="1" applyFill="1" applyBorder="1" applyProtection="1">
      <protection locked="0"/>
    </xf>
    <xf numFmtId="0" fontId="70" fillId="36" borderId="0" xfId="0" applyFont="1" applyFill="1"/>
    <xf numFmtId="0" fontId="71" fillId="36" borderId="0" xfId="0" applyFont="1" applyFill="1"/>
    <xf numFmtId="0" fontId="18" fillId="36" borderId="0" xfId="0" applyFont="1" applyFill="1"/>
    <xf numFmtId="0" fontId="72" fillId="36" borderId="0" xfId="0" applyFont="1" applyFill="1"/>
    <xf numFmtId="0" fontId="70" fillId="36" borderId="0" xfId="0" applyFont="1" applyFill="1" applyAlignment="1">
      <alignment wrapText="1"/>
    </xf>
    <xf numFmtId="0" fontId="70" fillId="36" borderId="0" xfId="0" applyFont="1" applyFill="1" applyAlignment="1">
      <alignment horizontal="center" vertical="center" wrapText="1"/>
    </xf>
    <xf numFmtId="0" fontId="70" fillId="36" borderId="0" xfId="0" applyFont="1" applyFill="1" applyAlignment="1">
      <alignment vertical="center" wrapText="1"/>
    </xf>
    <xf numFmtId="0" fontId="73" fillId="36" borderId="0" xfId="42" applyFont="1" applyFill="1" applyProtection="1">
      <protection locked="0"/>
    </xf>
    <xf numFmtId="0" fontId="18" fillId="36" borderId="0" xfId="0" applyFont="1" applyFill="1" applyProtection="1">
      <protection locked="0"/>
    </xf>
    <xf numFmtId="0" fontId="73" fillId="36" borderId="0" xfId="156" applyFont="1" applyFill="1" applyProtection="1">
      <protection locked="0"/>
    </xf>
    <xf numFmtId="0" fontId="73" fillId="36" borderId="0" xfId="0" applyFont="1" applyFill="1" applyProtection="1">
      <protection locked="0"/>
    </xf>
    <xf numFmtId="0" fontId="18" fillId="36" borderId="0" xfId="41" applyFont="1" applyFill="1" applyProtection="1">
      <protection locked="0"/>
    </xf>
    <xf numFmtId="0" fontId="18" fillId="36" borderId="0" xfId="156" applyFont="1" applyFill="1" applyProtection="1">
      <protection locked="0"/>
    </xf>
    <xf numFmtId="0" fontId="18" fillId="42" borderId="0" xfId="0" applyFont="1" applyFill="1"/>
    <xf numFmtId="0" fontId="70" fillId="42" borderId="0" xfId="0" applyFont="1" applyFill="1" applyAlignment="1">
      <alignment horizontal="center" vertical="center" wrapText="1"/>
    </xf>
    <xf numFmtId="0" fontId="70" fillId="42" borderId="0" xfId="0" applyFont="1" applyFill="1"/>
    <xf numFmtId="0" fontId="18" fillId="42" borderId="0" xfId="0" applyFont="1" applyFill="1" applyProtection="1">
      <protection locked="0"/>
    </xf>
    <xf numFmtId="0" fontId="70" fillId="42" borderId="0" xfId="0" applyFont="1" applyFill="1" applyAlignment="1">
      <alignment wrapText="1"/>
    </xf>
    <xf numFmtId="0" fontId="73" fillId="42" borderId="0" xfId="0" applyFont="1" applyFill="1" applyProtection="1">
      <protection locked="0"/>
    </xf>
    <xf numFmtId="22" fontId="0" fillId="39" borderId="0" xfId="0" applyNumberFormat="1" applyFill="1" applyAlignment="1">
      <alignment horizontal="left"/>
    </xf>
    <xf numFmtId="0" fontId="0" fillId="38" borderId="0" xfId="0" applyFill="1" applyBorder="1" applyProtection="1">
      <protection locked="0"/>
    </xf>
    <xf numFmtId="0" fontId="0" fillId="36" borderId="20" xfId="0" applyFill="1" applyBorder="1"/>
    <xf numFmtId="0" fontId="0" fillId="36" borderId="21" xfId="0" applyFill="1" applyBorder="1"/>
    <xf numFmtId="0" fontId="19" fillId="35" borderId="21" xfId="0" applyFont="1" applyFill="1" applyBorder="1" applyProtection="1">
      <protection locked="0"/>
    </xf>
    <xf numFmtId="0" fontId="55" fillId="0" borderId="0" xfId="0" applyFont="1" applyProtection="1">
      <protection locked="0"/>
    </xf>
    <xf numFmtId="0" fontId="15" fillId="38" borderId="0" xfId="42" applyFont="1" applyFill="1" applyBorder="1" applyProtection="1">
      <protection locked="0"/>
    </xf>
    <xf numFmtId="0" fontId="74" fillId="36" borderId="0" xfId="0" applyFont="1" applyFill="1" applyAlignment="1"/>
  </cellXfs>
  <cellStyles count="29615">
    <cellStyle name="20% - Accent1" xfId="18" builtinId="30" customBuiltin="1"/>
    <cellStyle name="20% - Accent1 10" xfId="1056"/>
    <cellStyle name="20% - Accent1 10 2" xfId="12163"/>
    <cellStyle name="20% - Accent1 11" xfId="1938"/>
    <cellStyle name="20% - Accent1 11 2" xfId="12878"/>
    <cellStyle name="20% - Accent1 12" xfId="3764"/>
    <cellStyle name="20% - Accent1 12 2" xfId="11453"/>
    <cellStyle name="20% - Accent1 2" xfId="122"/>
    <cellStyle name="20% - Accent1 2 10" xfId="3118"/>
    <cellStyle name="20% - Accent1 2 10 2" xfId="5227"/>
    <cellStyle name="20% - Accent1 2 10 2 2" xfId="17840"/>
    <cellStyle name="20% - Accent1 2 10 2 2 2" xfId="28983"/>
    <cellStyle name="20% - Accent1 2 10 2 3" xfId="23414"/>
    <cellStyle name="20% - Accent1 2 10 2 4" xfId="9378"/>
    <cellStyle name="20% - Accent1 2 10 3" xfId="15771"/>
    <cellStyle name="20% - Accent1 2 10 3 2" xfId="26914"/>
    <cellStyle name="20% - Accent1 2 10 4" xfId="21345"/>
    <cellStyle name="20% - Accent1 2 10 5" xfId="7309"/>
    <cellStyle name="20% - Accent1 2 11" xfId="3797"/>
    <cellStyle name="20% - Accent1 2 11 2" xfId="16410"/>
    <cellStyle name="20% - Accent1 2 11 2 2" xfId="27553"/>
    <cellStyle name="20% - Accent1 2 11 3" xfId="21984"/>
    <cellStyle name="20% - Accent1 2 11 4" xfId="7948"/>
    <cellStyle name="20% - Accent1 2 12" xfId="11244"/>
    <cellStyle name="20% - Accent1 2 12 2" xfId="14341"/>
    <cellStyle name="20% - Accent1 2 12 2 2" xfId="25484"/>
    <cellStyle name="20% - Accent1 2 12 3" xfId="19915"/>
    <cellStyle name="20% - Accent1 2 13" xfId="12909"/>
    <cellStyle name="20% - Accent1 2 13 2" xfId="24053"/>
    <cellStyle name="20% - Accent1 2 14" xfId="18485"/>
    <cellStyle name="20% - Accent1 2 15" xfId="5878"/>
    <cellStyle name="20% - Accent1 2 2" xfId="230"/>
    <cellStyle name="20% - Accent1 2 2 10" xfId="3816"/>
    <cellStyle name="20% - Accent1 2 2 10 2" xfId="16429"/>
    <cellStyle name="20% - Accent1 2 2 10 2 2" xfId="27572"/>
    <cellStyle name="20% - Accent1 2 2 10 3" xfId="22003"/>
    <cellStyle name="20% - Accent1 2 2 10 4" xfId="7967"/>
    <cellStyle name="20% - Accent1 2 2 11" xfId="10379"/>
    <cellStyle name="20% - Accent1 2 2 11 2" xfId="14360"/>
    <cellStyle name="20% - Accent1 2 2 11 2 2" xfId="25503"/>
    <cellStyle name="20% - Accent1 2 2 11 3" xfId="19934"/>
    <cellStyle name="20% - Accent1 2 2 12" xfId="12929"/>
    <cellStyle name="20% - Accent1 2 2 12 2" xfId="24073"/>
    <cellStyle name="20% - Accent1 2 2 13" xfId="18504"/>
    <cellStyle name="20% - Accent1 2 2 14" xfId="5897"/>
    <cellStyle name="20% - Accent1 2 2 2" xfId="268"/>
    <cellStyle name="20% - Accent1 2 2 2 10" xfId="11037"/>
    <cellStyle name="20% - Accent1 2 2 2 10 2" xfId="14398"/>
    <cellStyle name="20% - Accent1 2 2 2 10 2 2" xfId="25541"/>
    <cellStyle name="20% - Accent1 2 2 2 10 3" xfId="19972"/>
    <cellStyle name="20% - Accent1 2 2 2 11" xfId="12967"/>
    <cellStyle name="20% - Accent1 2 2 2 11 2" xfId="24111"/>
    <cellStyle name="20% - Accent1 2 2 2 12" xfId="18542"/>
    <cellStyle name="20% - Accent1 2 2 2 13" xfId="5935"/>
    <cellStyle name="20% - Accent1 2 2 2 2" xfId="344"/>
    <cellStyle name="20% - Accent1 2 2 2 2 10" xfId="13043"/>
    <cellStyle name="20% - Accent1 2 2 2 2 10 2" xfId="24187"/>
    <cellStyle name="20% - Accent1 2 2 2 2 11" xfId="18618"/>
    <cellStyle name="20% - Accent1 2 2 2 2 12" xfId="6011"/>
    <cellStyle name="20% - Accent1 2 2 2 2 2" xfId="2302"/>
    <cellStyle name="20% - Accent1 2 2 2 2 2 2" xfId="2946"/>
    <cellStyle name="20% - Accent1 2 2 2 2 2 2 2" xfId="5055"/>
    <cellStyle name="20% - Accent1 2 2 2 2 2 2 2 2" xfId="17668"/>
    <cellStyle name="20% - Accent1 2 2 2 2 2 2 2 2 2" xfId="28811"/>
    <cellStyle name="20% - Accent1 2 2 2 2 2 2 2 3" xfId="23242"/>
    <cellStyle name="20% - Accent1 2 2 2 2 2 2 2 4" xfId="9206"/>
    <cellStyle name="20% - Accent1 2 2 2 2 2 2 3" xfId="10844"/>
    <cellStyle name="20% - Accent1 2 2 2 2 2 2 3 2" xfId="15599"/>
    <cellStyle name="20% - Accent1 2 2 2 2 2 2 3 2 2" xfId="26742"/>
    <cellStyle name="20% - Accent1 2 2 2 2 2 2 3 3" xfId="21173"/>
    <cellStyle name="20% - Accent1 2 2 2 2 2 2 4" xfId="14169"/>
    <cellStyle name="20% - Accent1 2 2 2 2 2 2 4 2" xfId="25312"/>
    <cellStyle name="20% - Accent1 2 2 2 2 2 2 5" xfId="19743"/>
    <cellStyle name="20% - Accent1 2 2 2 2 2 2 6" xfId="7137"/>
    <cellStyle name="20% - Accent1 2 2 2 2 2 3" xfId="3584"/>
    <cellStyle name="20% - Accent1 2 2 2 2 2 3 2" xfId="5693"/>
    <cellStyle name="20% - Accent1 2 2 2 2 2 3 2 2" xfId="18306"/>
    <cellStyle name="20% - Accent1 2 2 2 2 2 3 2 2 2" xfId="29449"/>
    <cellStyle name="20% - Accent1 2 2 2 2 2 3 2 3" xfId="23880"/>
    <cellStyle name="20% - Accent1 2 2 2 2 2 3 2 4" xfId="9844"/>
    <cellStyle name="20% - Accent1 2 2 2 2 2 3 3" xfId="16237"/>
    <cellStyle name="20% - Accent1 2 2 2 2 2 3 3 2" xfId="27380"/>
    <cellStyle name="20% - Accent1 2 2 2 2 2 3 4" xfId="21811"/>
    <cellStyle name="20% - Accent1 2 2 2 2 2 3 5" xfId="7775"/>
    <cellStyle name="20% - Accent1 2 2 2 2 2 4" xfId="4263"/>
    <cellStyle name="20% - Accent1 2 2 2 2 2 4 2" xfId="16876"/>
    <cellStyle name="20% - Accent1 2 2 2 2 2 4 2 2" xfId="28019"/>
    <cellStyle name="20% - Accent1 2 2 2 2 2 4 3" xfId="22450"/>
    <cellStyle name="20% - Accent1 2 2 2 2 2 4 4" xfId="8414"/>
    <cellStyle name="20% - Accent1 2 2 2 2 2 5" xfId="10408"/>
    <cellStyle name="20% - Accent1 2 2 2 2 2 5 2" xfId="14960"/>
    <cellStyle name="20% - Accent1 2 2 2 2 2 5 2 2" xfId="26103"/>
    <cellStyle name="20% - Accent1 2 2 2 2 2 5 3" xfId="20534"/>
    <cellStyle name="20% - Accent1 2 2 2 2 2 6" xfId="13530"/>
    <cellStyle name="20% - Accent1 2 2 2 2 2 6 2" xfId="24673"/>
    <cellStyle name="20% - Accent1 2 2 2 2 2 7" xfId="19104"/>
    <cellStyle name="20% - Accent1 2 2 2 2 2 8" xfId="6498"/>
    <cellStyle name="20% - Accent1 2 2 2 2 3" xfId="2110"/>
    <cellStyle name="20% - Accent1 2 2 2 2 3 2" xfId="2765"/>
    <cellStyle name="20% - Accent1 2 2 2 2 3 2 2" xfId="4874"/>
    <cellStyle name="20% - Accent1 2 2 2 2 3 2 2 2" xfId="17487"/>
    <cellStyle name="20% - Accent1 2 2 2 2 3 2 2 2 2" xfId="28630"/>
    <cellStyle name="20% - Accent1 2 2 2 2 3 2 2 3" xfId="23061"/>
    <cellStyle name="20% - Accent1 2 2 2 2 3 2 2 4" xfId="9025"/>
    <cellStyle name="20% - Accent1 2 2 2 2 3 2 3" xfId="11083"/>
    <cellStyle name="20% - Accent1 2 2 2 2 3 2 3 2" xfId="15418"/>
    <cellStyle name="20% - Accent1 2 2 2 2 3 2 3 2 2" xfId="26561"/>
    <cellStyle name="20% - Accent1 2 2 2 2 3 2 3 3" xfId="20992"/>
    <cellStyle name="20% - Accent1 2 2 2 2 3 2 4" xfId="13988"/>
    <cellStyle name="20% - Accent1 2 2 2 2 3 2 4 2" xfId="25131"/>
    <cellStyle name="20% - Accent1 2 2 2 2 3 2 5" xfId="19562"/>
    <cellStyle name="20% - Accent1 2 2 2 2 3 2 6" xfId="6956"/>
    <cellStyle name="20% - Accent1 2 2 2 2 3 3" xfId="3403"/>
    <cellStyle name="20% - Accent1 2 2 2 2 3 3 2" xfId="5512"/>
    <cellStyle name="20% - Accent1 2 2 2 2 3 3 2 2" xfId="18125"/>
    <cellStyle name="20% - Accent1 2 2 2 2 3 3 2 2 2" xfId="29268"/>
    <cellStyle name="20% - Accent1 2 2 2 2 3 3 2 3" xfId="23699"/>
    <cellStyle name="20% - Accent1 2 2 2 2 3 3 2 4" xfId="9663"/>
    <cellStyle name="20% - Accent1 2 2 2 2 3 3 3" xfId="16056"/>
    <cellStyle name="20% - Accent1 2 2 2 2 3 3 3 2" xfId="27199"/>
    <cellStyle name="20% - Accent1 2 2 2 2 3 3 4" xfId="21630"/>
    <cellStyle name="20% - Accent1 2 2 2 2 3 3 5" xfId="7594"/>
    <cellStyle name="20% - Accent1 2 2 2 2 3 4" xfId="4082"/>
    <cellStyle name="20% - Accent1 2 2 2 2 3 4 2" xfId="16695"/>
    <cellStyle name="20% - Accent1 2 2 2 2 3 4 2 2" xfId="27838"/>
    <cellStyle name="20% - Accent1 2 2 2 2 3 4 3" xfId="22269"/>
    <cellStyle name="20% - Accent1 2 2 2 2 3 4 4" xfId="8233"/>
    <cellStyle name="20% - Accent1 2 2 2 2 3 5" xfId="10154"/>
    <cellStyle name="20% - Accent1 2 2 2 2 3 5 2" xfId="14779"/>
    <cellStyle name="20% - Accent1 2 2 2 2 3 5 2 2" xfId="25922"/>
    <cellStyle name="20% - Accent1 2 2 2 2 3 5 3" xfId="20353"/>
    <cellStyle name="20% - Accent1 2 2 2 2 3 6" xfId="13349"/>
    <cellStyle name="20% - Accent1 2 2 2 2 3 6 2" xfId="24492"/>
    <cellStyle name="20% - Accent1 2 2 2 2 3 7" xfId="18923"/>
    <cellStyle name="20% - Accent1 2 2 2 2 3 8" xfId="6317"/>
    <cellStyle name="20% - Accent1 2 2 2 2 4" xfId="2457"/>
    <cellStyle name="20% - Accent1 2 2 2 2 4 2" xfId="3098"/>
    <cellStyle name="20% - Accent1 2 2 2 2 4 2 2" xfId="5207"/>
    <cellStyle name="20% - Accent1 2 2 2 2 4 2 2 2" xfId="17820"/>
    <cellStyle name="20% - Accent1 2 2 2 2 4 2 2 2 2" xfId="28963"/>
    <cellStyle name="20% - Accent1 2 2 2 2 4 2 2 3" xfId="23394"/>
    <cellStyle name="20% - Accent1 2 2 2 2 4 2 2 4" xfId="9358"/>
    <cellStyle name="20% - Accent1 2 2 2 2 4 2 3" xfId="11271"/>
    <cellStyle name="20% - Accent1 2 2 2 2 4 2 3 2" xfId="15751"/>
    <cellStyle name="20% - Accent1 2 2 2 2 4 2 3 2 2" xfId="26894"/>
    <cellStyle name="20% - Accent1 2 2 2 2 4 2 3 3" xfId="21325"/>
    <cellStyle name="20% - Accent1 2 2 2 2 4 2 4" xfId="14321"/>
    <cellStyle name="20% - Accent1 2 2 2 2 4 2 4 2" xfId="25464"/>
    <cellStyle name="20% - Accent1 2 2 2 2 4 2 5" xfId="19895"/>
    <cellStyle name="20% - Accent1 2 2 2 2 4 2 6" xfId="7289"/>
    <cellStyle name="20% - Accent1 2 2 2 2 4 3" xfId="3736"/>
    <cellStyle name="20% - Accent1 2 2 2 2 4 3 2" xfId="5845"/>
    <cellStyle name="20% - Accent1 2 2 2 2 4 3 2 2" xfId="18458"/>
    <cellStyle name="20% - Accent1 2 2 2 2 4 3 2 2 2" xfId="29601"/>
    <cellStyle name="20% - Accent1 2 2 2 2 4 3 2 3" xfId="24032"/>
    <cellStyle name="20% - Accent1 2 2 2 2 4 3 2 4" xfId="9996"/>
    <cellStyle name="20% - Accent1 2 2 2 2 4 3 3" xfId="16389"/>
    <cellStyle name="20% - Accent1 2 2 2 2 4 3 3 2" xfId="27532"/>
    <cellStyle name="20% - Accent1 2 2 2 2 4 3 4" xfId="21963"/>
    <cellStyle name="20% - Accent1 2 2 2 2 4 3 5" xfId="7927"/>
    <cellStyle name="20% - Accent1 2 2 2 2 4 4" xfId="4415"/>
    <cellStyle name="20% - Accent1 2 2 2 2 4 4 2" xfId="17028"/>
    <cellStyle name="20% - Accent1 2 2 2 2 4 4 2 2" xfId="28171"/>
    <cellStyle name="20% - Accent1 2 2 2 2 4 4 3" xfId="22602"/>
    <cellStyle name="20% - Accent1 2 2 2 2 4 4 4" xfId="8566"/>
    <cellStyle name="20% - Accent1 2 2 2 2 4 5" xfId="10554"/>
    <cellStyle name="20% - Accent1 2 2 2 2 4 5 2" xfId="15112"/>
    <cellStyle name="20% - Accent1 2 2 2 2 4 5 2 2" xfId="26255"/>
    <cellStyle name="20% - Accent1 2 2 2 2 4 5 3" xfId="20686"/>
    <cellStyle name="20% - Accent1 2 2 2 2 4 6" xfId="13682"/>
    <cellStyle name="20% - Accent1 2 2 2 2 4 6 2" xfId="24825"/>
    <cellStyle name="20% - Accent1 2 2 2 2 4 7" xfId="19256"/>
    <cellStyle name="20% - Accent1 2 2 2 2 4 8" xfId="6650"/>
    <cellStyle name="20% - Accent1 2 2 2 2 5" xfId="1920"/>
    <cellStyle name="20% - Accent1 2 2 2 2 5 2" xfId="4568"/>
    <cellStyle name="20% - Accent1 2 2 2 2 5 2 2" xfId="17181"/>
    <cellStyle name="20% - Accent1 2 2 2 2 5 2 2 2" xfId="28324"/>
    <cellStyle name="20% - Accent1 2 2 2 2 5 2 3" xfId="22755"/>
    <cellStyle name="20% - Accent1 2 2 2 2 5 2 4" xfId="8719"/>
    <cellStyle name="20% - Accent1 2 2 2 2 5 3" xfId="11189"/>
    <cellStyle name="20% - Accent1 2 2 2 2 5 3 2" xfId="14627"/>
    <cellStyle name="20% - Accent1 2 2 2 2 5 3 2 2" xfId="25770"/>
    <cellStyle name="20% - Accent1 2 2 2 2 5 3 3" xfId="20201"/>
    <cellStyle name="20% - Accent1 2 2 2 2 5 4" xfId="13197"/>
    <cellStyle name="20% - Accent1 2 2 2 2 5 4 2" xfId="24340"/>
    <cellStyle name="20% - Accent1 2 2 2 2 5 5" xfId="18771"/>
    <cellStyle name="20% - Accent1 2 2 2 2 5 6" xfId="6165"/>
    <cellStyle name="20% - Accent1 2 2 2 2 6" xfId="2613"/>
    <cellStyle name="20% - Accent1 2 2 2 2 6 2" xfId="4722"/>
    <cellStyle name="20% - Accent1 2 2 2 2 6 2 2" xfId="17335"/>
    <cellStyle name="20% - Accent1 2 2 2 2 6 2 2 2" xfId="28478"/>
    <cellStyle name="20% - Accent1 2 2 2 2 6 2 3" xfId="22909"/>
    <cellStyle name="20% - Accent1 2 2 2 2 6 2 4" xfId="8873"/>
    <cellStyle name="20% - Accent1 2 2 2 2 6 3" xfId="10234"/>
    <cellStyle name="20% - Accent1 2 2 2 2 6 3 2" xfId="15266"/>
    <cellStyle name="20% - Accent1 2 2 2 2 6 3 2 2" xfId="26409"/>
    <cellStyle name="20% - Accent1 2 2 2 2 6 3 3" xfId="20840"/>
    <cellStyle name="20% - Accent1 2 2 2 2 6 4" xfId="13836"/>
    <cellStyle name="20% - Accent1 2 2 2 2 6 4 2" xfId="24979"/>
    <cellStyle name="20% - Accent1 2 2 2 2 6 5" xfId="19410"/>
    <cellStyle name="20% - Accent1 2 2 2 2 6 6" xfId="6804"/>
    <cellStyle name="20% - Accent1 2 2 2 2 7" xfId="3251"/>
    <cellStyle name="20% - Accent1 2 2 2 2 7 2" xfId="5360"/>
    <cellStyle name="20% - Accent1 2 2 2 2 7 2 2" xfId="17973"/>
    <cellStyle name="20% - Accent1 2 2 2 2 7 2 2 2" xfId="29116"/>
    <cellStyle name="20% - Accent1 2 2 2 2 7 2 3" xfId="23547"/>
    <cellStyle name="20% - Accent1 2 2 2 2 7 2 4" xfId="9511"/>
    <cellStyle name="20% - Accent1 2 2 2 2 7 3" xfId="15904"/>
    <cellStyle name="20% - Accent1 2 2 2 2 7 3 2" xfId="27047"/>
    <cellStyle name="20% - Accent1 2 2 2 2 7 4" xfId="21478"/>
    <cellStyle name="20% - Accent1 2 2 2 2 7 5" xfId="7442"/>
    <cellStyle name="20% - Accent1 2 2 2 2 8" xfId="3930"/>
    <cellStyle name="20% - Accent1 2 2 2 2 8 2" xfId="16543"/>
    <cellStyle name="20% - Accent1 2 2 2 2 8 2 2" xfId="27686"/>
    <cellStyle name="20% - Accent1 2 2 2 2 8 3" xfId="22117"/>
    <cellStyle name="20% - Accent1 2 2 2 2 8 4" xfId="8081"/>
    <cellStyle name="20% - Accent1 2 2 2 2 9" xfId="10132"/>
    <cellStyle name="20% - Accent1 2 2 2 2 9 2" xfId="14474"/>
    <cellStyle name="20% - Accent1 2 2 2 2 9 2 2" xfId="25617"/>
    <cellStyle name="20% - Accent1 2 2 2 2 9 3" xfId="20048"/>
    <cellStyle name="20% - Accent1 2 2 2 3" xfId="2226"/>
    <cellStyle name="20% - Accent1 2 2 2 3 2" xfId="2870"/>
    <cellStyle name="20% - Accent1 2 2 2 3 2 2" xfId="4979"/>
    <cellStyle name="20% - Accent1 2 2 2 3 2 2 2" xfId="17592"/>
    <cellStyle name="20% - Accent1 2 2 2 3 2 2 2 2" xfId="28735"/>
    <cellStyle name="20% - Accent1 2 2 2 3 2 2 3" xfId="23166"/>
    <cellStyle name="20% - Accent1 2 2 2 3 2 2 4" xfId="9130"/>
    <cellStyle name="20% - Accent1 2 2 2 3 2 3" xfId="11238"/>
    <cellStyle name="20% - Accent1 2 2 2 3 2 3 2" xfId="15523"/>
    <cellStyle name="20% - Accent1 2 2 2 3 2 3 2 2" xfId="26666"/>
    <cellStyle name="20% - Accent1 2 2 2 3 2 3 3" xfId="21097"/>
    <cellStyle name="20% - Accent1 2 2 2 3 2 4" xfId="14093"/>
    <cellStyle name="20% - Accent1 2 2 2 3 2 4 2" xfId="25236"/>
    <cellStyle name="20% - Accent1 2 2 2 3 2 5" xfId="19667"/>
    <cellStyle name="20% - Accent1 2 2 2 3 2 6" xfId="7061"/>
    <cellStyle name="20% - Accent1 2 2 2 3 3" xfId="3508"/>
    <cellStyle name="20% - Accent1 2 2 2 3 3 2" xfId="5617"/>
    <cellStyle name="20% - Accent1 2 2 2 3 3 2 2" xfId="18230"/>
    <cellStyle name="20% - Accent1 2 2 2 3 3 2 2 2" xfId="29373"/>
    <cellStyle name="20% - Accent1 2 2 2 3 3 2 3" xfId="23804"/>
    <cellStyle name="20% - Accent1 2 2 2 3 3 2 4" xfId="9768"/>
    <cellStyle name="20% - Accent1 2 2 2 3 3 3" xfId="16161"/>
    <cellStyle name="20% - Accent1 2 2 2 3 3 3 2" xfId="27304"/>
    <cellStyle name="20% - Accent1 2 2 2 3 3 4" xfId="21735"/>
    <cellStyle name="20% - Accent1 2 2 2 3 3 5" xfId="7699"/>
    <cellStyle name="20% - Accent1 2 2 2 3 4" xfId="4187"/>
    <cellStyle name="20% - Accent1 2 2 2 3 4 2" xfId="16800"/>
    <cellStyle name="20% - Accent1 2 2 2 3 4 2 2" xfId="27943"/>
    <cellStyle name="20% - Accent1 2 2 2 3 4 3" xfId="22374"/>
    <cellStyle name="20% - Accent1 2 2 2 3 4 4" xfId="8338"/>
    <cellStyle name="20% - Accent1 2 2 2 3 5" xfId="11121"/>
    <cellStyle name="20% - Accent1 2 2 2 3 5 2" xfId="14884"/>
    <cellStyle name="20% - Accent1 2 2 2 3 5 2 2" xfId="26027"/>
    <cellStyle name="20% - Accent1 2 2 2 3 5 3" xfId="20458"/>
    <cellStyle name="20% - Accent1 2 2 2 3 6" xfId="13454"/>
    <cellStyle name="20% - Accent1 2 2 2 3 6 2" xfId="24597"/>
    <cellStyle name="20% - Accent1 2 2 2 3 7" xfId="19028"/>
    <cellStyle name="20% - Accent1 2 2 2 3 8" xfId="6422"/>
    <cellStyle name="20% - Accent1 2 2 2 4" xfId="2034"/>
    <cellStyle name="20% - Accent1 2 2 2 4 2" xfId="2689"/>
    <cellStyle name="20% - Accent1 2 2 2 4 2 2" xfId="4798"/>
    <cellStyle name="20% - Accent1 2 2 2 4 2 2 2" xfId="17411"/>
    <cellStyle name="20% - Accent1 2 2 2 4 2 2 2 2" xfId="28554"/>
    <cellStyle name="20% - Accent1 2 2 2 4 2 2 3" xfId="22985"/>
    <cellStyle name="20% - Accent1 2 2 2 4 2 2 4" xfId="8949"/>
    <cellStyle name="20% - Accent1 2 2 2 4 2 3" xfId="11049"/>
    <cellStyle name="20% - Accent1 2 2 2 4 2 3 2" xfId="15342"/>
    <cellStyle name="20% - Accent1 2 2 2 4 2 3 2 2" xfId="26485"/>
    <cellStyle name="20% - Accent1 2 2 2 4 2 3 3" xfId="20916"/>
    <cellStyle name="20% - Accent1 2 2 2 4 2 4" xfId="13912"/>
    <cellStyle name="20% - Accent1 2 2 2 4 2 4 2" xfId="25055"/>
    <cellStyle name="20% - Accent1 2 2 2 4 2 5" xfId="19486"/>
    <cellStyle name="20% - Accent1 2 2 2 4 2 6" xfId="6880"/>
    <cellStyle name="20% - Accent1 2 2 2 4 3" xfId="3327"/>
    <cellStyle name="20% - Accent1 2 2 2 4 3 2" xfId="5436"/>
    <cellStyle name="20% - Accent1 2 2 2 4 3 2 2" xfId="18049"/>
    <cellStyle name="20% - Accent1 2 2 2 4 3 2 2 2" xfId="29192"/>
    <cellStyle name="20% - Accent1 2 2 2 4 3 2 3" xfId="23623"/>
    <cellStyle name="20% - Accent1 2 2 2 4 3 2 4" xfId="9587"/>
    <cellStyle name="20% - Accent1 2 2 2 4 3 3" xfId="15980"/>
    <cellStyle name="20% - Accent1 2 2 2 4 3 3 2" xfId="27123"/>
    <cellStyle name="20% - Accent1 2 2 2 4 3 4" xfId="21554"/>
    <cellStyle name="20% - Accent1 2 2 2 4 3 5" xfId="7518"/>
    <cellStyle name="20% - Accent1 2 2 2 4 4" xfId="4006"/>
    <cellStyle name="20% - Accent1 2 2 2 4 4 2" xfId="16619"/>
    <cellStyle name="20% - Accent1 2 2 2 4 4 2 2" xfId="27762"/>
    <cellStyle name="20% - Accent1 2 2 2 4 4 3" xfId="22193"/>
    <cellStyle name="20% - Accent1 2 2 2 4 4 4" xfId="8157"/>
    <cellStyle name="20% - Accent1 2 2 2 4 5" xfId="10747"/>
    <cellStyle name="20% - Accent1 2 2 2 4 5 2" xfId="14703"/>
    <cellStyle name="20% - Accent1 2 2 2 4 5 2 2" xfId="25846"/>
    <cellStyle name="20% - Accent1 2 2 2 4 5 3" xfId="20277"/>
    <cellStyle name="20% - Accent1 2 2 2 4 6" xfId="13273"/>
    <cellStyle name="20% - Accent1 2 2 2 4 6 2" xfId="24416"/>
    <cellStyle name="20% - Accent1 2 2 2 4 7" xfId="18847"/>
    <cellStyle name="20% - Accent1 2 2 2 4 8" xfId="6241"/>
    <cellStyle name="20% - Accent1 2 2 2 5" xfId="2381"/>
    <cellStyle name="20% - Accent1 2 2 2 5 2" xfId="3022"/>
    <cellStyle name="20% - Accent1 2 2 2 5 2 2" xfId="5131"/>
    <cellStyle name="20% - Accent1 2 2 2 5 2 2 2" xfId="17744"/>
    <cellStyle name="20% - Accent1 2 2 2 5 2 2 2 2" xfId="28887"/>
    <cellStyle name="20% - Accent1 2 2 2 5 2 2 3" xfId="23318"/>
    <cellStyle name="20% - Accent1 2 2 2 5 2 2 4" xfId="9282"/>
    <cellStyle name="20% - Accent1 2 2 2 5 2 3" xfId="11236"/>
    <cellStyle name="20% - Accent1 2 2 2 5 2 3 2" xfId="15675"/>
    <cellStyle name="20% - Accent1 2 2 2 5 2 3 2 2" xfId="26818"/>
    <cellStyle name="20% - Accent1 2 2 2 5 2 3 3" xfId="21249"/>
    <cellStyle name="20% - Accent1 2 2 2 5 2 4" xfId="14245"/>
    <cellStyle name="20% - Accent1 2 2 2 5 2 4 2" xfId="25388"/>
    <cellStyle name="20% - Accent1 2 2 2 5 2 5" xfId="19819"/>
    <cellStyle name="20% - Accent1 2 2 2 5 2 6" xfId="7213"/>
    <cellStyle name="20% - Accent1 2 2 2 5 3" xfId="3660"/>
    <cellStyle name="20% - Accent1 2 2 2 5 3 2" xfId="5769"/>
    <cellStyle name="20% - Accent1 2 2 2 5 3 2 2" xfId="18382"/>
    <cellStyle name="20% - Accent1 2 2 2 5 3 2 2 2" xfId="29525"/>
    <cellStyle name="20% - Accent1 2 2 2 5 3 2 3" xfId="23956"/>
    <cellStyle name="20% - Accent1 2 2 2 5 3 2 4" xfId="9920"/>
    <cellStyle name="20% - Accent1 2 2 2 5 3 3" xfId="16313"/>
    <cellStyle name="20% - Accent1 2 2 2 5 3 3 2" xfId="27456"/>
    <cellStyle name="20% - Accent1 2 2 2 5 3 4" xfId="21887"/>
    <cellStyle name="20% - Accent1 2 2 2 5 3 5" xfId="7851"/>
    <cellStyle name="20% - Accent1 2 2 2 5 4" xfId="4339"/>
    <cellStyle name="20% - Accent1 2 2 2 5 4 2" xfId="16952"/>
    <cellStyle name="20% - Accent1 2 2 2 5 4 2 2" xfId="28095"/>
    <cellStyle name="20% - Accent1 2 2 2 5 4 3" xfId="22526"/>
    <cellStyle name="20% - Accent1 2 2 2 5 4 4" xfId="8490"/>
    <cellStyle name="20% - Accent1 2 2 2 5 5" xfId="10446"/>
    <cellStyle name="20% - Accent1 2 2 2 5 5 2" xfId="15036"/>
    <cellStyle name="20% - Accent1 2 2 2 5 5 2 2" xfId="26179"/>
    <cellStyle name="20% - Accent1 2 2 2 5 5 3" xfId="20610"/>
    <cellStyle name="20% - Accent1 2 2 2 5 6" xfId="13606"/>
    <cellStyle name="20% - Accent1 2 2 2 5 6 2" xfId="24749"/>
    <cellStyle name="20% - Accent1 2 2 2 5 7" xfId="19180"/>
    <cellStyle name="20% - Accent1 2 2 2 5 8" xfId="6574"/>
    <cellStyle name="20% - Accent1 2 2 2 6" xfId="1844"/>
    <cellStyle name="20% - Accent1 2 2 2 6 2" xfId="4492"/>
    <cellStyle name="20% - Accent1 2 2 2 6 2 2" xfId="17105"/>
    <cellStyle name="20% - Accent1 2 2 2 6 2 2 2" xfId="28248"/>
    <cellStyle name="20% - Accent1 2 2 2 6 2 3" xfId="22679"/>
    <cellStyle name="20% - Accent1 2 2 2 6 2 4" xfId="8643"/>
    <cellStyle name="20% - Accent1 2 2 2 6 3" xfId="10540"/>
    <cellStyle name="20% - Accent1 2 2 2 6 3 2" xfId="14551"/>
    <cellStyle name="20% - Accent1 2 2 2 6 3 2 2" xfId="25694"/>
    <cellStyle name="20% - Accent1 2 2 2 6 3 3" xfId="20125"/>
    <cellStyle name="20% - Accent1 2 2 2 6 4" xfId="13121"/>
    <cellStyle name="20% - Accent1 2 2 2 6 4 2" xfId="24264"/>
    <cellStyle name="20% - Accent1 2 2 2 6 5" xfId="18695"/>
    <cellStyle name="20% - Accent1 2 2 2 6 6" xfId="6089"/>
    <cellStyle name="20% - Accent1 2 2 2 7" xfId="2537"/>
    <cellStyle name="20% - Accent1 2 2 2 7 2" xfId="4646"/>
    <cellStyle name="20% - Accent1 2 2 2 7 2 2" xfId="17259"/>
    <cellStyle name="20% - Accent1 2 2 2 7 2 2 2" xfId="28402"/>
    <cellStyle name="20% - Accent1 2 2 2 7 2 3" xfId="22833"/>
    <cellStyle name="20% - Accent1 2 2 2 7 2 4" xfId="8797"/>
    <cellStyle name="20% - Accent1 2 2 2 7 3" xfId="10772"/>
    <cellStyle name="20% - Accent1 2 2 2 7 3 2" xfId="15190"/>
    <cellStyle name="20% - Accent1 2 2 2 7 3 2 2" xfId="26333"/>
    <cellStyle name="20% - Accent1 2 2 2 7 3 3" xfId="20764"/>
    <cellStyle name="20% - Accent1 2 2 2 7 4" xfId="13760"/>
    <cellStyle name="20% - Accent1 2 2 2 7 4 2" xfId="24903"/>
    <cellStyle name="20% - Accent1 2 2 2 7 5" xfId="19334"/>
    <cellStyle name="20% - Accent1 2 2 2 7 6" xfId="6728"/>
    <cellStyle name="20% - Accent1 2 2 2 8" xfId="3175"/>
    <cellStyle name="20% - Accent1 2 2 2 8 2" xfId="5284"/>
    <cellStyle name="20% - Accent1 2 2 2 8 2 2" xfId="17897"/>
    <cellStyle name="20% - Accent1 2 2 2 8 2 2 2" xfId="29040"/>
    <cellStyle name="20% - Accent1 2 2 2 8 2 3" xfId="23471"/>
    <cellStyle name="20% - Accent1 2 2 2 8 2 4" xfId="9435"/>
    <cellStyle name="20% - Accent1 2 2 2 8 3" xfId="15828"/>
    <cellStyle name="20% - Accent1 2 2 2 8 3 2" xfId="26971"/>
    <cellStyle name="20% - Accent1 2 2 2 8 4" xfId="21402"/>
    <cellStyle name="20% - Accent1 2 2 2 8 5" xfId="7366"/>
    <cellStyle name="20% - Accent1 2 2 2 9" xfId="3854"/>
    <cellStyle name="20% - Accent1 2 2 2 9 2" xfId="16467"/>
    <cellStyle name="20% - Accent1 2 2 2 9 2 2" xfId="27610"/>
    <cellStyle name="20% - Accent1 2 2 2 9 3" xfId="22041"/>
    <cellStyle name="20% - Accent1 2 2 2 9 4" xfId="8005"/>
    <cellStyle name="20% - Accent1 2 2 3" xfId="306"/>
    <cellStyle name="20% - Accent1 2 2 3 10" xfId="13005"/>
    <cellStyle name="20% - Accent1 2 2 3 10 2" xfId="24149"/>
    <cellStyle name="20% - Accent1 2 2 3 11" xfId="18580"/>
    <cellStyle name="20% - Accent1 2 2 3 12" xfId="5973"/>
    <cellStyle name="20% - Accent1 2 2 3 2" xfId="2264"/>
    <cellStyle name="20% - Accent1 2 2 3 2 2" xfId="2908"/>
    <cellStyle name="20% - Accent1 2 2 3 2 2 2" xfId="5017"/>
    <cellStyle name="20% - Accent1 2 2 3 2 2 2 2" xfId="17630"/>
    <cellStyle name="20% - Accent1 2 2 3 2 2 2 2 2" xfId="28773"/>
    <cellStyle name="20% - Accent1 2 2 3 2 2 2 3" xfId="23204"/>
    <cellStyle name="20% - Accent1 2 2 3 2 2 2 4" xfId="9168"/>
    <cellStyle name="20% - Accent1 2 2 3 2 2 3" xfId="10941"/>
    <cellStyle name="20% - Accent1 2 2 3 2 2 3 2" xfId="15561"/>
    <cellStyle name="20% - Accent1 2 2 3 2 2 3 2 2" xfId="26704"/>
    <cellStyle name="20% - Accent1 2 2 3 2 2 3 3" xfId="21135"/>
    <cellStyle name="20% - Accent1 2 2 3 2 2 4" xfId="14131"/>
    <cellStyle name="20% - Accent1 2 2 3 2 2 4 2" xfId="25274"/>
    <cellStyle name="20% - Accent1 2 2 3 2 2 5" xfId="19705"/>
    <cellStyle name="20% - Accent1 2 2 3 2 2 6" xfId="7099"/>
    <cellStyle name="20% - Accent1 2 2 3 2 3" xfId="3546"/>
    <cellStyle name="20% - Accent1 2 2 3 2 3 2" xfId="5655"/>
    <cellStyle name="20% - Accent1 2 2 3 2 3 2 2" xfId="18268"/>
    <cellStyle name="20% - Accent1 2 2 3 2 3 2 2 2" xfId="29411"/>
    <cellStyle name="20% - Accent1 2 2 3 2 3 2 3" xfId="23842"/>
    <cellStyle name="20% - Accent1 2 2 3 2 3 2 4" xfId="9806"/>
    <cellStyle name="20% - Accent1 2 2 3 2 3 3" xfId="16199"/>
    <cellStyle name="20% - Accent1 2 2 3 2 3 3 2" xfId="27342"/>
    <cellStyle name="20% - Accent1 2 2 3 2 3 4" xfId="21773"/>
    <cellStyle name="20% - Accent1 2 2 3 2 3 5" xfId="7737"/>
    <cellStyle name="20% - Accent1 2 2 3 2 4" xfId="4225"/>
    <cellStyle name="20% - Accent1 2 2 3 2 4 2" xfId="16838"/>
    <cellStyle name="20% - Accent1 2 2 3 2 4 2 2" xfId="27981"/>
    <cellStyle name="20% - Accent1 2 2 3 2 4 3" xfId="22412"/>
    <cellStyle name="20% - Accent1 2 2 3 2 4 4" xfId="8376"/>
    <cellStyle name="20% - Accent1 2 2 3 2 5" xfId="10769"/>
    <cellStyle name="20% - Accent1 2 2 3 2 5 2" xfId="14922"/>
    <cellStyle name="20% - Accent1 2 2 3 2 5 2 2" xfId="26065"/>
    <cellStyle name="20% - Accent1 2 2 3 2 5 3" xfId="20496"/>
    <cellStyle name="20% - Accent1 2 2 3 2 6" xfId="13492"/>
    <cellStyle name="20% - Accent1 2 2 3 2 6 2" xfId="24635"/>
    <cellStyle name="20% - Accent1 2 2 3 2 7" xfId="19066"/>
    <cellStyle name="20% - Accent1 2 2 3 2 8" xfId="6460"/>
    <cellStyle name="20% - Accent1 2 2 3 3" xfId="2072"/>
    <cellStyle name="20% - Accent1 2 2 3 3 2" xfId="2727"/>
    <cellStyle name="20% - Accent1 2 2 3 3 2 2" xfId="4836"/>
    <cellStyle name="20% - Accent1 2 2 3 3 2 2 2" xfId="17449"/>
    <cellStyle name="20% - Accent1 2 2 3 3 2 2 2 2" xfId="28592"/>
    <cellStyle name="20% - Accent1 2 2 3 3 2 2 3" xfId="23023"/>
    <cellStyle name="20% - Accent1 2 2 3 3 2 2 4" xfId="8987"/>
    <cellStyle name="20% - Accent1 2 2 3 3 2 3" xfId="10922"/>
    <cellStyle name="20% - Accent1 2 2 3 3 2 3 2" xfId="15380"/>
    <cellStyle name="20% - Accent1 2 2 3 3 2 3 2 2" xfId="26523"/>
    <cellStyle name="20% - Accent1 2 2 3 3 2 3 3" xfId="20954"/>
    <cellStyle name="20% - Accent1 2 2 3 3 2 4" xfId="13950"/>
    <cellStyle name="20% - Accent1 2 2 3 3 2 4 2" xfId="25093"/>
    <cellStyle name="20% - Accent1 2 2 3 3 2 5" xfId="19524"/>
    <cellStyle name="20% - Accent1 2 2 3 3 2 6" xfId="6918"/>
    <cellStyle name="20% - Accent1 2 2 3 3 3" xfId="3365"/>
    <cellStyle name="20% - Accent1 2 2 3 3 3 2" xfId="5474"/>
    <cellStyle name="20% - Accent1 2 2 3 3 3 2 2" xfId="18087"/>
    <cellStyle name="20% - Accent1 2 2 3 3 3 2 2 2" xfId="29230"/>
    <cellStyle name="20% - Accent1 2 2 3 3 3 2 3" xfId="23661"/>
    <cellStyle name="20% - Accent1 2 2 3 3 3 2 4" xfId="9625"/>
    <cellStyle name="20% - Accent1 2 2 3 3 3 3" xfId="16018"/>
    <cellStyle name="20% - Accent1 2 2 3 3 3 3 2" xfId="27161"/>
    <cellStyle name="20% - Accent1 2 2 3 3 3 4" xfId="21592"/>
    <cellStyle name="20% - Accent1 2 2 3 3 3 5" xfId="7556"/>
    <cellStyle name="20% - Accent1 2 2 3 3 4" xfId="4044"/>
    <cellStyle name="20% - Accent1 2 2 3 3 4 2" xfId="16657"/>
    <cellStyle name="20% - Accent1 2 2 3 3 4 2 2" xfId="27800"/>
    <cellStyle name="20% - Accent1 2 2 3 3 4 3" xfId="22231"/>
    <cellStyle name="20% - Accent1 2 2 3 3 4 4" xfId="8195"/>
    <cellStyle name="20% - Accent1 2 2 3 3 5" xfId="10574"/>
    <cellStyle name="20% - Accent1 2 2 3 3 5 2" xfId="14741"/>
    <cellStyle name="20% - Accent1 2 2 3 3 5 2 2" xfId="25884"/>
    <cellStyle name="20% - Accent1 2 2 3 3 5 3" xfId="20315"/>
    <cellStyle name="20% - Accent1 2 2 3 3 6" xfId="13311"/>
    <cellStyle name="20% - Accent1 2 2 3 3 6 2" xfId="24454"/>
    <cellStyle name="20% - Accent1 2 2 3 3 7" xfId="18885"/>
    <cellStyle name="20% - Accent1 2 2 3 3 8" xfId="6279"/>
    <cellStyle name="20% - Accent1 2 2 3 4" xfId="2419"/>
    <cellStyle name="20% - Accent1 2 2 3 4 2" xfId="3060"/>
    <cellStyle name="20% - Accent1 2 2 3 4 2 2" xfId="5169"/>
    <cellStyle name="20% - Accent1 2 2 3 4 2 2 2" xfId="17782"/>
    <cellStyle name="20% - Accent1 2 2 3 4 2 2 2 2" xfId="28925"/>
    <cellStyle name="20% - Accent1 2 2 3 4 2 2 3" xfId="23356"/>
    <cellStyle name="20% - Accent1 2 2 3 4 2 2 4" xfId="9320"/>
    <cellStyle name="20% - Accent1 2 2 3 4 2 3" xfId="10702"/>
    <cellStyle name="20% - Accent1 2 2 3 4 2 3 2" xfId="15713"/>
    <cellStyle name="20% - Accent1 2 2 3 4 2 3 2 2" xfId="26856"/>
    <cellStyle name="20% - Accent1 2 2 3 4 2 3 3" xfId="21287"/>
    <cellStyle name="20% - Accent1 2 2 3 4 2 4" xfId="14283"/>
    <cellStyle name="20% - Accent1 2 2 3 4 2 4 2" xfId="25426"/>
    <cellStyle name="20% - Accent1 2 2 3 4 2 5" xfId="19857"/>
    <cellStyle name="20% - Accent1 2 2 3 4 2 6" xfId="7251"/>
    <cellStyle name="20% - Accent1 2 2 3 4 3" xfId="3698"/>
    <cellStyle name="20% - Accent1 2 2 3 4 3 2" xfId="5807"/>
    <cellStyle name="20% - Accent1 2 2 3 4 3 2 2" xfId="18420"/>
    <cellStyle name="20% - Accent1 2 2 3 4 3 2 2 2" xfId="29563"/>
    <cellStyle name="20% - Accent1 2 2 3 4 3 2 3" xfId="23994"/>
    <cellStyle name="20% - Accent1 2 2 3 4 3 2 4" xfId="9958"/>
    <cellStyle name="20% - Accent1 2 2 3 4 3 3" xfId="16351"/>
    <cellStyle name="20% - Accent1 2 2 3 4 3 3 2" xfId="27494"/>
    <cellStyle name="20% - Accent1 2 2 3 4 3 4" xfId="21925"/>
    <cellStyle name="20% - Accent1 2 2 3 4 3 5" xfId="7889"/>
    <cellStyle name="20% - Accent1 2 2 3 4 4" xfId="4377"/>
    <cellStyle name="20% - Accent1 2 2 3 4 4 2" xfId="16990"/>
    <cellStyle name="20% - Accent1 2 2 3 4 4 2 2" xfId="28133"/>
    <cellStyle name="20% - Accent1 2 2 3 4 4 3" xfId="22564"/>
    <cellStyle name="20% - Accent1 2 2 3 4 4 4" xfId="8528"/>
    <cellStyle name="20% - Accent1 2 2 3 4 5" xfId="10845"/>
    <cellStyle name="20% - Accent1 2 2 3 4 5 2" xfId="15074"/>
    <cellStyle name="20% - Accent1 2 2 3 4 5 2 2" xfId="26217"/>
    <cellStyle name="20% - Accent1 2 2 3 4 5 3" xfId="20648"/>
    <cellStyle name="20% - Accent1 2 2 3 4 6" xfId="13644"/>
    <cellStyle name="20% - Accent1 2 2 3 4 6 2" xfId="24787"/>
    <cellStyle name="20% - Accent1 2 2 3 4 7" xfId="19218"/>
    <cellStyle name="20% - Accent1 2 2 3 4 8" xfId="6612"/>
    <cellStyle name="20% - Accent1 2 2 3 5" xfId="1882"/>
    <cellStyle name="20% - Accent1 2 2 3 5 2" xfId="4530"/>
    <cellStyle name="20% - Accent1 2 2 3 5 2 2" xfId="17143"/>
    <cellStyle name="20% - Accent1 2 2 3 5 2 2 2" xfId="28286"/>
    <cellStyle name="20% - Accent1 2 2 3 5 2 3" xfId="22717"/>
    <cellStyle name="20% - Accent1 2 2 3 5 2 4" xfId="8681"/>
    <cellStyle name="20% - Accent1 2 2 3 5 3" xfId="10762"/>
    <cellStyle name="20% - Accent1 2 2 3 5 3 2" xfId="14589"/>
    <cellStyle name="20% - Accent1 2 2 3 5 3 2 2" xfId="25732"/>
    <cellStyle name="20% - Accent1 2 2 3 5 3 3" xfId="20163"/>
    <cellStyle name="20% - Accent1 2 2 3 5 4" xfId="13159"/>
    <cellStyle name="20% - Accent1 2 2 3 5 4 2" xfId="24302"/>
    <cellStyle name="20% - Accent1 2 2 3 5 5" xfId="18733"/>
    <cellStyle name="20% - Accent1 2 2 3 5 6" xfId="6127"/>
    <cellStyle name="20% - Accent1 2 2 3 6" xfId="2575"/>
    <cellStyle name="20% - Accent1 2 2 3 6 2" xfId="4684"/>
    <cellStyle name="20% - Accent1 2 2 3 6 2 2" xfId="17297"/>
    <cellStyle name="20% - Accent1 2 2 3 6 2 2 2" xfId="28440"/>
    <cellStyle name="20% - Accent1 2 2 3 6 2 3" xfId="22871"/>
    <cellStyle name="20% - Accent1 2 2 3 6 2 4" xfId="8835"/>
    <cellStyle name="20% - Accent1 2 2 3 6 3" xfId="11439"/>
    <cellStyle name="20% - Accent1 2 2 3 6 3 2" xfId="15228"/>
    <cellStyle name="20% - Accent1 2 2 3 6 3 2 2" xfId="26371"/>
    <cellStyle name="20% - Accent1 2 2 3 6 3 3" xfId="20802"/>
    <cellStyle name="20% - Accent1 2 2 3 6 4" xfId="13798"/>
    <cellStyle name="20% - Accent1 2 2 3 6 4 2" xfId="24941"/>
    <cellStyle name="20% - Accent1 2 2 3 6 5" xfId="19372"/>
    <cellStyle name="20% - Accent1 2 2 3 6 6" xfId="6766"/>
    <cellStyle name="20% - Accent1 2 2 3 7" xfId="3213"/>
    <cellStyle name="20% - Accent1 2 2 3 7 2" xfId="5322"/>
    <cellStyle name="20% - Accent1 2 2 3 7 2 2" xfId="17935"/>
    <cellStyle name="20% - Accent1 2 2 3 7 2 2 2" xfId="29078"/>
    <cellStyle name="20% - Accent1 2 2 3 7 2 3" xfId="23509"/>
    <cellStyle name="20% - Accent1 2 2 3 7 2 4" xfId="9473"/>
    <cellStyle name="20% - Accent1 2 2 3 7 3" xfId="15866"/>
    <cellStyle name="20% - Accent1 2 2 3 7 3 2" xfId="27009"/>
    <cellStyle name="20% - Accent1 2 2 3 7 4" xfId="21440"/>
    <cellStyle name="20% - Accent1 2 2 3 7 5" xfId="7404"/>
    <cellStyle name="20% - Accent1 2 2 3 8" xfId="3892"/>
    <cellStyle name="20% - Accent1 2 2 3 8 2" xfId="16505"/>
    <cellStyle name="20% - Accent1 2 2 3 8 2 2" xfId="27648"/>
    <cellStyle name="20% - Accent1 2 2 3 8 3" xfId="22079"/>
    <cellStyle name="20% - Accent1 2 2 3 8 4" xfId="8043"/>
    <cellStyle name="20% - Accent1 2 2 3 9" xfId="10213"/>
    <cellStyle name="20% - Accent1 2 2 3 9 2" xfId="14436"/>
    <cellStyle name="20% - Accent1 2 2 3 9 2 2" xfId="25579"/>
    <cellStyle name="20% - Accent1 2 2 3 9 3" xfId="20010"/>
    <cellStyle name="20% - Accent1 2 2 4" xfId="2188"/>
    <cellStyle name="20% - Accent1 2 2 4 2" xfId="2832"/>
    <cellStyle name="20% - Accent1 2 2 4 2 2" xfId="4941"/>
    <cellStyle name="20% - Accent1 2 2 4 2 2 2" xfId="17554"/>
    <cellStyle name="20% - Accent1 2 2 4 2 2 2 2" xfId="28697"/>
    <cellStyle name="20% - Accent1 2 2 4 2 2 3" xfId="23128"/>
    <cellStyle name="20% - Accent1 2 2 4 2 2 4" xfId="9092"/>
    <cellStyle name="20% - Accent1 2 2 4 2 3" xfId="10386"/>
    <cellStyle name="20% - Accent1 2 2 4 2 3 2" xfId="15485"/>
    <cellStyle name="20% - Accent1 2 2 4 2 3 2 2" xfId="26628"/>
    <cellStyle name="20% - Accent1 2 2 4 2 3 3" xfId="21059"/>
    <cellStyle name="20% - Accent1 2 2 4 2 4" xfId="14055"/>
    <cellStyle name="20% - Accent1 2 2 4 2 4 2" xfId="25198"/>
    <cellStyle name="20% - Accent1 2 2 4 2 5" xfId="19629"/>
    <cellStyle name="20% - Accent1 2 2 4 2 6" xfId="7023"/>
    <cellStyle name="20% - Accent1 2 2 4 3" xfId="3470"/>
    <cellStyle name="20% - Accent1 2 2 4 3 2" xfId="5579"/>
    <cellStyle name="20% - Accent1 2 2 4 3 2 2" xfId="18192"/>
    <cellStyle name="20% - Accent1 2 2 4 3 2 2 2" xfId="29335"/>
    <cellStyle name="20% - Accent1 2 2 4 3 2 3" xfId="23766"/>
    <cellStyle name="20% - Accent1 2 2 4 3 2 4" xfId="9730"/>
    <cellStyle name="20% - Accent1 2 2 4 3 3" xfId="16123"/>
    <cellStyle name="20% - Accent1 2 2 4 3 3 2" xfId="27266"/>
    <cellStyle name="20% - Accent1 2 2 4 3 4" xfId="21697"/>
    <cellStyle name="20% - Accent1 2 2 4 3 5" xfId="7661"/>
    <cellStyle name="20% - Accent1 2 2 4 4" xfId="4149"/>
    <cellStyle name="20% - Accent1 2 2 4 4 2" xfId="16762"/>
    <cellStyle name="20% - Accent1 2 2 4 4 2 2" xfId="27905"/>
    <cellStyle name="20% - Accent1 2 2 4 4 3" xfId="22336"/>
    <cellStyle name="20% - Accent1 2 2 4 4 4" xfId="8300"/>
    <cellStyle name="20% - Accent1 2 2 4 5" xfId="10888"/>
    <cellStyle name="20% - Accent1 2 2 4 5 2" xfId="14846"/>
    <cellStyle name="20% - Accent1 2 2 4 5 2 2" xfId="25989"/>
    <cellStyle name="20% - Accent1 2 2 4 5 3" xfId="20420"/>
    <cellStyle name="20% - Accent1 2 2 4 6" xfId="13416"/>
    <cellStyle name="20% - Accent1 2 2 4 6 2" xfId="24559"/>
    <cellStyle name="20% - Accent1 2 2 4 7" xfId="18990"/>
    <cellStyle name="20% - Accent1 2 2 4 8" xfId="6384"/>
    <cellStyle name="20% - Accent1 2 2 5" xfId="1996"/>
    <cellStyle name="20% - Accent1 2 2 5 2" xfId="2651"/>
    <cellStyle name="20% - Accent1 2 2 5 2 2" xfId="4760"/>
    <cellStyle name="20% - Accent1 2 2 5 2 2 2" xfId="17373"/>
    <cellStyle name="20% - Accent1 2 2 5 2 2 2 2" xfId="28516"/>
    <cellStyle name="20% - Accent1 2 2 5 2 2 3" xfId="22947"/>
    <cellStyle name="20% - Accent1 2 2 5 2 2 4" xfId="8911"/>
    <cellStyle name="20% - Accent1 2 2 5 2 3" xfId="10833"/>
    <cellStyle name="20% - Accent1 2 2 5 2 3 2" xfId="15304"/>
    <cellStyle name="20% - Accent1 2 2 5 2 3 2 2" xfId="26447"/>
    <cellStyle name="20% - Accent1 2 2 5 2 3 3" xfId="20878"/>
    <cellStyle name="20% - Accent1 2 2 5 2 4" xfId="13874"/>
    <cellStyle name="20% - Accent1 2 2 5 2 4 2" xfId="25017"/>
    <cellStyle name="20% - Accent1 2 2 5 2 5" xfId="19448"/>
    <cellStyle name="20% - Accent1 2 2 5 2 6" xfId="6842"/>
    <cellStyle name="20% - Accent1 2 2 5 3" xfId="3289"/>
    <cellStyle name="20% - Accent1 2 2 5 3 2" xfId="5398"/>
    <cellStyle name="20% - Accent1 2 2 5 3 2 2" xfId="18011"/>
    <cellStyle name="20% - Accent1 2 2 5 3 2 2 2" xfId="29154"/>
    <cellStyle name="20% - Accent1 2 2 5 3 2 3" xfId="23585"/>
    <cellStyle name="20% - Accent1 2 2 5 3 2 4" xfId="9549"/>
    <cellStyle name="20% - Accent1 2 2 5 3 3" xfId="15942"/>
    <cellStyle name="20% - Accent1 2 2 5 3 3 2" xfId="27085"/>
    <cellStyle name="20% - Accent1 2 2 5 3 4" xfId="21516"/>
    <cellStyle name="20% - Accent1 2 2 5 3 5" xfId="7480"/>
    <cellStyle name="20% - Accent1 2 2 5 4" xfId="3968"/>
    <cellStyle name="20% - Accent1 2 2 5 4 2" xfId="16581"/>
    <cellStyle name="20% - Accent1 2 2 5 4 2 2" xfId="27724"/>
    <cellStyle name="20% - Accent1 2 2 5 4 3" xfId="22155"/>
    <cellStyle name="20% - Accent1 2 2 5 4 4" xfId="8119"/>
    <cellStyle name="20% - Accent1 2 2 5 5" xfId="11233"/>
    <cellStyle name="20% - Accent1 2 2 5 5 2" xfId="14665"/>
    <cellStyle name="20% - Accent1 2 2 5 5 2 2" xfId="25808"/>
    <cellStyle name="20% - Accent1 2 2 5 5 3" xfId="20239"/>
    <cellStyle name="20% - Accent1 2 2 5 6" xfId="13235"/>
    <cellStyle name="20% - Accent1 2 2 5 6 2" xfId="24378"/>
    <cellStyle name="20% - Accent1 2 2 5 7" xfId="18809"/>
    <cellStyle name="20% - Accent1 2 2 5 8" xfId="6203"/>
    <cellStyle name="20% - Accent1 2 2 6" xfId="2343"/>
    <cellStyle name="20% - Accent1 2 2 6 2" xfId="2984"/>
    <cellStyle name="20% - Accent1 2 2 6 2 2" xfId="5093"/>
    <cellStyle name="20% - Accent1 2 2 6 2 2 2" xfId="17706"/>
    <cellStyle name="20% - Accent1 2 2 6 2 2 2 2" xfId="28849"/>
    <cellStyle name="20% - Accent1 2 2 6 2 2 3" xfId="23280"/>
    <cellStyle name="20% - Accent1 2 2 6 2 2 4" xfId="9244"/>
    <cellStyle name="20% - Accent1 2 2 6 2 3" xfId="10622"/>
    <cellStyle name="20% - Accent1 2 2 6 2 3 2" xfId="15637"/>
    <cellStyle name="20% - Accent1 2 2 6 2 3 2 2" xfId="26780"/>
    <cellStyle name="20% - Accent1 2 2 6 2 3 3" xfId="21211"/>
    <cellStyle name="20% - Accent1 2 2 6 2 4" xfId="14207"/>
    <cellStyle name="20% - Accent1 2 2 6 2 4 2" xfId="25350"/>
    <cellStyle name="20% - Accent1 2 2 6 2 5" xfId="19781"/>
    <cellStyle name="20% - Accent1 2 2 6 2 6" xfId="7175"/>
    <cellStyle name="20% - Accent1 2 2 6 3" xfId="3622"/>
    <cellStyle name="20% - Accent1 2 2 6 3 2" xfId="5731"/>
    <cellStyle name="20% - Accent1 2 2 6 3 2 2" xfId="18344"/>
    <cellStyle name="20% - Accent1 2 2 6 3 2 2 2" xfId="29487"/>
    <cellStyle name="20% - Accent1 2 2 6 3 2 3" xfId="23918"/>
    <cellStyle name="20% - Accent1 2 2 6 3 2 4" xfId="9882"/>
    <cellStyle name="20% - Accent1 2 2 6 3 3" xfId="16275"/>
    <cellStyle name="20% - Accent1 2 2 6 3 3 2" xfId="27418"/>
    <cellStyle name="20% - Accent1 2 2 6 3 4" xfId="21849"/>
    <cellStyle name="20% - Accent1 2 2 6 3 5" xfId="7813"/>
    <cellStyle name="20% - Accent1 2 2 6 4" xfId="4301"/>
    <cellStyle name="20% - Accent1 2 2 6 4 2" xfId="16914"/>
    <cellStyle name="20% - Accent1 2 2 6 4 2 2" xfId="28057"/>
    <cellStyle name="20% - Accent1 2 2 6 4 3" xfId="22488"/>
    <cellStyle name="20% - Accent1 2 2 6 4 4" xfId="8452"/>
    <cellStyle name="20% - Accent1 2 2 6 5" xfId="10532"/>
    <cellStyle name="20% - Accent1 2 2 6 5 2" xfId="14998"/>
    <cellStyle name="20% - Accent1 2 2 6 5 2 2" xfId="26141"/>
    <cellStyle name="20% - Accent1 2 2 6 5 3" xfId="20572"/>
    <cellStyle name="20% - Accent1 2 2 6 6" xfId="13568"/>
    <cellStyle name="20% - Accent1 2 2 6 6 2" xfId="24711"/>
    <cellStyle name="20% - Accent1 2 2 6 7" xfId="19142"/>
    <cellStyle name="20% - Accent1 2 2 6 8" xfId="6536"/>
    <cellStyle name="20% - Accent1 2 2 7" xfId="1806"/>
    <cellStyle name="20% - Accent1 2 2 7 2" xfId="4454"/>
    <cellStyle name="20% - Accent1 2 2 7 2 2" xfId="17067"/>
    <cellStyle name="20% - Accent1 2 2 7 2 2 2" xfId="28210"/>
    <cellStyle name="20% - Accent1 2 2 7 2 3" xfId="22641"/>
    <cellStyle name="20% - Accent1 2 2 7 2 4" xfId="8605"/>
    <cellStyle name="20% - Accent1 2 2 7 3" xfId="10742"/>
    <cellStyle name="20% - Accent1 2 2 7 3 2" xfId="14513"/>
    <cellStyle name="20% - Accent1 2 2 7 3 2 2" xfId="25656"/>
    <cellStyle name="20% - Accent1 2 2 7 3 3" xfId="20087"/>
    <cellStyle name="20% - Accent1 2 2 7 4" xfId="13083"/>
    <cellStyle name="20% - Accent1 2 2 7 4 2" xfId="24226"/>
    <cellStyle name="20% - Accent1 2 2 7 5" xfId="18657"/>
    <cellStyle name="20% - Accent1 2 2 7 6" xfId="6051"/>
    <cellStyle name="20% - Accent1 2 2 8" xfId="2499"/>
    <cellStyle name="20% - Accent1 2 2 8 2" xfId="4608"/>
    <cellStyle name="20% - Accent1 2 2 8 2 2" xfId="17221"/>
    <cellStyle name="20% - Accent1 2 2 8 2 2 2" xfId="28364"/>
    <cellStyle name="20% - Accent1 2 2 8 2 3" xfId="22795"/>
    <cellStyle name="20% - Accent1 2 2 8 2 4" xfId="8759"/>
    <cellStyle name="20% - Accent1 2 2 8 3" xfId="10174"/>
    <cellStyle name="20% - Accent1 2 2 8 3 2" xfId="15152"/>
    <cellStyle name="20% - Accent1 2 2 8 3 2 2" xfId="26295"/>
    <cellStyle name="20% - Accent1 2 2 8 3 3" xfId="20726"/>
    <cellStyle name="20% - Accent1 2 2 8 4" xfId="13722"/>
    <cellStyle name="20% - Accent1 2 2 8 4 2" xfId="24865"/>
    <cellStyle name="20% - Accent1 2 2 8 5" xfId="19296"/>
    <cellStyle name="20% - Accent1 2 2 8 6" xfId="6690"/>
    <cellStyle name="20% - Accent1 2 2 9" xfId="3137"/>
    <cellStyle name="20% - Accent1 2 2 9 2" xfId="5246"/>
    <cellStyle name="20% - Accent1 2 2 9 2 2" xfId="17859"/>
    <cellStyle name="20% - Accent1 2 2 9 2 2 2" xfId="29002"/>
    <cellStyle name="20% - Accent1 2 2 9 2 3" xfId="23433"/>
    <cellStyle name="20% - Accent1 2 2 9 2 4" xfId="9397"/>
    <cellStyle name="20% - Accent1 2 2 9 3" xfId="15790"/>
    <cellStyle name="20% - Accent1 2 2 9 3 2" xfId="26933"/>
    <cellStyle name="20% - Accent1 2 2 9 4" xfId="21364"/>
    <cellStyle name="20% - Accent1 2 2 9 5" xfId="7328"/>
    <cellStyle name="20% - Accent1 2 3" xfId="249"/>
    <cellStyle name="20% - Accent1 2 3 10" xfId="11132"/>
    <cellStyle name="20% - Accent1 2 3 10 2" xfId="14379"/>
    <cellStyle name="20% - Accent1 2 3 10 2 2" xfId="25522"/>
    <cellStyle name="20% - Accent1 2 3 10 3" xfId="19953"/>
    <cellStyle name="20% - Accent1 2 3 11" xfId="12948"/>
    <cellStyle name="20% - Accent1 2 3 11 2" xfId="24092"/>
    <cellStyle name="20% - Accent1 2 3 12" xfId="18523"/>
    <cellStyle name="20% - Accent1 2 3 13" xfId="5916"/>
    <cellStyle name="20% - Accent1 2 3 2" xfId="325"/>
    <cellStyle name="20% - Accent1 2 3 2 10" xfId="13024"/>
    <cellStyle name="20% - Accent1 2 3 2 10 2" xfId="24168"/>
    <cellStyle name="20% - Accent1 2 3 2 11" xfId="18599"/>
    <cellStyle name="20% - Accent1 2 3 2 12" xfId="5992"/>
    <cellStyle name="20% - Accent1 2 3 2 2" xfId="2283"/>
    <cellStyle name="20% - Accent1 2 3 2 2 2" xfId="2927"/>
    <cellStyle name="20% - Accent1 2 3 2 2 2 2" xfId="5036"/>
    <cellStyle name="20% - Accent1 2 3 2 2 2 2 2" xfId="17649"/>
    <cellStyle name="20% - Accent1 2 3 2 2 2 2 2 2" xfId="28792"/>
    <cellStyle name="20% - Accent1 2 3 2 2 2 2 3" xfId="23223"/>
    <cellStyle name="20% - Accent1 2 3 2 2 2 2 4" xfId="9187"/>
    <cellStyle name="20% - Accent1 2 3 2 2 2 3" xfId="10170"/>
    <cellStyle name="20% - Accent1 2 3 2 2 2 3 2" xfId="15580"/>
    <cellStyle name="20% - Accent1 2 3 2 2 2 3 2 2" xfId="26723"/>
    <cellStyle name="20% - Accent1 2 3 2 2 2 3 3" xfId="21154"/>
    <cellStyle name="20% - Accent1 2 3 2 2 2 4" xfId="14150"/>
    <cellStyle name="20% - Accent1 2 3 2 2 2 4 2" xfId="25293"/>
    <cellStyle name="20% - Accent1 2 3 2 2 2 5" xfId="19724"/>
    <cellStyle name="20% - Accent1 2 3 2 2 2 6" xfId="7118"/>
    <cellStyle name="20% - Accent1 2 3 2 2 3" xfId="3565"/>
    <cellStyle name="20% - Accent1 2 3 2 2 3 2" xfId="5674"/>
    <cellStyle name="20% - Accent1 2 3 2 2 3 2 2" xfId="18287"/>
    <cellStyle name="20% - Accent1 2 3 2 2 3 2 2 2" xfId="29430"/>
    <cellStyle name="20% - Accent1 2 3 2 2 3 2 3" xfId="23861"/>
    <cellStyle name="20% - Accent1 2 3 2 2 3 2 4" xfId="9825"/>
    <cellStyle name="20% - Accent1 2 3 2 2 3 3" xfId="16218"/>
    <cellStyle name="20% - Accent1 2 3 2 2 3 3 2" xfId="27361"/>
    <cellStyle name="20% - Accent1 2 3 2 2 3 4" xfId="21792"/>
    <cellStyle name="20% - Accent1 2 3 2 2 3 5" xfId="7756"/>
    <cellStyle name="20% - Accent1 2 3 2 2 4" xfId="4244"/>
    <cellStyle name="20% - Accent1 2 3 2 2 4 2" xfId="16857"/>
    <cellStyle name="20% - Accent1 2 3 2 2 4 2 2" xfId="28000"/>
    <cellStyle name="20% - Accent1 2 3 2 2 4 3" xfId="22431"/>
    <cellStyle name="20% - Accent1 2 3 2 2 4 4" xfId="8395"/>
    <cellStyle name="20% - Accent1 2 3 2 2 5" xfId="10172"/>
    <cellStyle name="20% - Accent1 2 3 2 2 5 2" xfId="14941"/>
    <cellStyle name="20% - Accent1 2 3 2 2 5 2 2" xfId="26084"/>
    <cellStyle name="20% - Accent1 2 3 2 2 5 3" xfId="20515"/>
    <cellStyle name="20% - Accent1 2 3 2 2 6" xfId="13511"/>
    <cellStyle name="20% - Accent1 2 3 2 2 6 2" xfId="24654"/>
    <cellStyle name="20% - Accent1 2 3 2 2 7" xfId="19085"/>
    <cellStyle name="20% - Accent1 2 3 2 2 8" xfId="6479"/>
    <cellStyle name="20% - Accent1 2 3 2 3" xfId="2091"/>
    <cellStyle name="20% - Accent1 2 3 2 3 2" xfId="2746"/>
    <cellStyle name="20% - Accent1 2 3 2 3 2 2" xfId="4855"/>
    <cellStyle name="20% - Accent1 2 3 2 3 2 2 2" xfId="17468"/>
    <cellStyle name="20% - Accent1 2 3 2 3 2 2 2 2" xfId="28611"/>
    <cellStyle name="20% - Accent1 2 3 2 3 2 2 3" xfId="23042"/>
    <cellStyle name="20% - Accent1 2 3 2 3 2 2 4" xfId="9006"/>
    <cellStyle name="20% - Accent1 2 3 2 3 2 3" xfId="11029"/>
    <cellStyle name="20% - Accent1 2 3 2 3 2 3 2" xfId="15399"/>
    <cellStyle name="20% - Accent1 2 3 2 3 2 3 2 2" xfId="26542"/>
    <cellStyle name="20% - Accent1 2 3 2 3 2 3 3" xfId="20973"/>
    <cellStyle name="20% - Accent1 2 3 2 3 2 4" xfId="13969"/>
    <cellStyle name="20% - Accent1 2 3 2 3 2 4 2" xfId="25112"/>
    <cellStyle name="20% - Accent1 2 3 2 3 2 5" xfId="19543"/>
    <cellStyle name="20% - Accent1 2 3 2 3 2 6" xfId="6937"/>
    <cellStyle name="20% - Accent1 2 3 2 3 3" xfId="3384"/>
    <cellStyle name="20% - Accent1 2 3 2 3 3 2" xfId="5493"/>
    <cellStyle name="20% - Accent1 2 3 2 3 3 2 2" xfId="18106"/>
    <cellStyle name="20% - Accent1 2 3 2 3 3 2 2 2" xfId="29249"/>
    <cellStyle name="20% - Accent1 2 3 2 3 3 2 3" xfId="23680"/>
    <cellStyle name="20% - Accent1 2 3 2 3 3 2 4" xfId="9644"/>
    <cellStyle name="20% - Accent1 2 3 2 3 3 3" xfId="16037"/>
    <cellStyle name="20% - Accent1 2 3 2 3 3 3 2" xfId="27180"/>
    <cellStyle name="20% - Accent1 2 3 2 3 3 4" xfId="21611"/>
    <cellStyle name="20% - Accent1 2 3 2 3 3 5" xfId="7575"/>
    <cellStyle name="20% - Accent1 2 3 2 3 4" xfId="4063"/>
    <cellStyle name="20% - Accent1 2 3 2 3 4 2" xfId="16676"/>
    <cellStyle name="20% - Accent1 2 3 2 3 4 2 2" xfId="27819"/>
    <cellStyle name="20% - Accent1 2 3 2 3 4 3" xfId="22250"/>
    <cellStyle name="20% - Accent1 2 3 2 3 4 4" xfId="8214"/>
    <cellStyle name="20% - Accent1 2 3 2 3 5" xfId="11223"/>
    <cellStyle name="20% - Accent1 2 3 2 3 5 2" xfId="14760"/>
    <cellStyle name="20% - Accent1 2 3 2 3 5 2 2" xfId="25903"/>
    <cellStyle name="20% - Accent1 2 3 2 3 5 3" xfId="20334"/>
    <cellStyle name="20% - Accent1 2 3 2 3 6" xfId="13330"/>
    <cellStyle name="20% - Accent1 2 3 2 3 6 2" xfId="24473"/>
    <cellStyle name="20% - Accent1 2 3 2 3 7" xfId="18904"/>
    <cellStyle name="20% - Accent1 2 3 2 3 8" xfId="6298"/>
    <cellStyle name="20% - Accent1 2 3 2 4" xfId="2438"/>
    <cellStyle name="20% - Accent1 2 3 2 4 2" xfId="3079"/>
    <cellStyle name="20% - Accent1 2 3 2 4 2 2" xfId="5188"/>
    <cellStyle name="20% - Accent1 2 3 2 4 2 2 2" xfId="17801"/>
    <cellStyle name="20% - Accent1 2 3 2 4 2 2 2 2" xfId="28944"/>
    <cellStyle name="20% - Accent1 2 3 2 4 2 2 3" xfId="23375"/>
    <cellStyle name="20% - Accent1 2 3 2 4 2 2 4" xfId="9339"/>
    <cellStyle name="20% - Accent1 2 3 2 4 2 3" xfId="10649"/>
    <cellStyle name="20% - Accent1 2 3 2 4 2 3 2" xfId="15732"/>
    <cellStyle name="20% - Accent1 2 3 2 4 2 3 2 2" xfId="26875"/>
    <cellStyle name="20% - Accent1 2 3 2 4 2 3 3" xfId="21306"/>
    <cellStyle name="20% - Accent1 2 3 2 4 2 4" xfId="14302"/>
    <cellStyle name="20% - Accent1 2 3 2 4 2 4 2" xfId="25445"/>
    <cellStyle name="20% - Accent1 2 3 2 4 2 5" xfId="19876"/>
    <cellStyle name="20% - Accent1 2 3 2 4 2 6" xfId="7270"/>
    <cellStyle name="20% - Accent1 2 3 2 4 3" xfId="3717"/>
    <cellStyle name="20% - Accent1 2 3 2 4 3 2" xfId="5826"/>
    <cellStyle name="20% - Accent1 2 3 2 4 3 2 2" xfId="18439"/>
    <cellStyle name="20% - Accent1 2 3 2 4 3 2 2 2" xfId="29582"/>
    <cellStyle name="20% - Accent1 2 3 2 4 3 2 3" xfId="24013"/>
    <cellStyle name="20% - Accent1 2 3 2 4 3 2 4" xfId="9977"/>
    <cellStyle name="20% - Accent1 2 3 2 4 3 3" xfId="16370"/>
    <cellStyle name="20% - Accent1 2 3 2 4 3 3 2" xfId="27513"/>
    <cellStyle name="20% - Accent1 2 3 2 4 3 4" xfId="21944"/>
    <cellStyle name="20% - Accent1 2 3 2 4 3 5" xfId="7908"/>
    <cellStyle name="20% - Accent1 2 3 2 4 4" xfId="4396"/>
    <cellStyle name="20% - Accent1 2 3 2 4 4 2" xfId="17009"/>
    <cellStyle name="20% - Accent1 2 3 2 4 4 2 2" xfId="28152"/>
    <cellStyle name="20% - Accent1 2 3 2 4 4 3" xfId="22583"/>
    <cellStyle name="20% - Accent1 2 3 2 4 4 4" xfId="8547"/>
    <cellStyle name="20% - Accent1 2 3 2 4 5" xfId="10225"/>
    <cellStyle name="20% - Accent1 2 3 2 4 5 2" xfId="15093"/>
    <cellStyle name="20% - Accent1 2 3 2 4 5 2 2" xfId="26236"/>
    <cellStyle name="20% - Accent1 2 3 2 4 5 3" xfId="20667"/>
    <cellStyle name="20% - Accent1 2 3 2 4 6" xfId="13663"/>
    <cellStyle name="20% - Accent1 2 3 2 4 6 2" xfId="24806"/>
    <cellStyle name="20% - Accent1 2 3 2 4 7" xfId="19237"/>
    <cellStyle name="20% - Accent1 2 3 2 4 8" xfId="6631"/>
    <cellStyle name="20% - Accent1 2 3 2 5" xfId="1901"/>
    <cellStyle name="20% - Accent1 2 3 2 5 2" xfId="4549"/>
    <cellStyle name="20% - Accent1 2 3 2 5 2 2" xfId="17162"/>
    <cellStyle name="20% - Accent1 2 3 2 5 2 2 2" xfId="28305"/>
    <cellStyle name="20% - Accent1 2 3 2 5 2 3" xfId="22736"/>
    <cellStyle name="20% - Accent1 2 3 2 5 2 4" xfId="8700"/>
    <cellStyle name="20% - Accent1 2 3 2 5 3" xfId="10073"/>
    <cellStyle name="20% - Accent1 2 3 2 5 3 2" xfId="14608"/>
    <cellStyle name="20% - Accent1 2 3 2 5 3 2 2" xfId="25751"/>
    <cellStyle name="20% - Accent1 2 3 2 5 3 3" xfId="20182"/>
    <cellStyle name="20% - Accent1 2 3 2 5 4" xfId="13178"/>
    <cellStyle name="20% - Accent1 2 3 2 5 4 2" xfId="24321"/>
    <cellStyle name="20% - Accent1 2 3 2 5 5" xfId="18752"/>
    <cellStyle name="20% - Accent1 2 3 2 5 6" xfId="6146"/>
    <cellStyle name="20% - Accent1 2 3 2 6" xfId="2594"/>
    <cellStyle name="20% - Accent1 2 3 2 6 2" xfId="4703"/>
    <cellStyle name="20% - Accent1 2 3 2 6 2 2" xfId="17316"/>
    <cellStyle name="20% - Accent1 2 3 2 6 2 2 2" xfId="28459"/>
    <cellStyle name="20% - Accent1 2 3 2 6 2 3" xfId="22890"/>
    <cellStyle name="20% - Accent1 2 3 2 6 2 4" xfId="8854"/>
    <cellStyle name="20% - Accent1 2 3 2 6 3" xfId="10727"/>
    <cellStyle name="20% - Accent1 2 3 2 6 3 2" xfId="15247"/>
    <cellStyle name="20% - Accent1 2 3 2 6 3 2 2" xfId="26390"/>
    <cellStyle name="20% - Accent1 2 3 2 6 3 3" xfId="20821"/>
    <cellStyle name="20% - Accent1 2 3 2 6 4" xfId="13817"/>
    <cellStyle name="20% - Accent1 2 3 2 6 4 2" xfId="24960"/>
    <cellStyle name="20% - Accent1 2 3 2 6 5" xfId="19391"/>
    <cellStyle name="20% - Accent1 2 3 2 6 6" xfId="6785"/>
    <cellStyle name="20% - Accent1 2 3 2 7" xfId="3232"/>
    <cellStyle name="20% - Accent1 2 3 2 7 2" xfId="5341"/>
    <cellStyle name="20% - Accent1 2 3 2 7 2 2" xfId="17954"/>
    <cellStyle name="20% - Accent1 2 3 2 7 2 2 2" xfId="29097"/>
    <cellStyle name="20% - Accent1 2 3 2 7 2 3" xfId="23528"/>
    <cellStyle name="20% - Accent1 2 3 2 7 2 4" xfId="9492"/>
    <cellStyle name="20% - Accent1 2 3 2 7 3" xfId="15885"/>
    <cellStyle name="20% - Accent1 2 3 2 7 3 2" xfId="27028"/>
    <cellStyle name="20% - Accent1 2 3 2 7 4" xfId="21459"/>
    <cellStyle name="20% - Accent1 2 3 2 7 5" xfId="7423"/>
    <cellStyle name="20% - Accent1 2 3 2 8" xfId="3911"/>
    <cellStyle name="20% - Accent1 2 3 2 8 2" xfId="16524"/>
    <cellStyle name="20% - Accent1 2 3 2 8 2 2" xfId="27667"/>
    <cellStyle name="20% - Accent1 2 3 2 8 3" xfId="22098"/>
    <cellStyle name="20% - Accent1 2 3 2 8 4" xfId="8062"/>
    <cellStyle name="20% - Accent1 2 3 2 9" xfId="5866"/>
    <cellStyle name="20% - Accent1 2 3 2 9 2" xfId="14455"/>
    <cellStyle name="20% - Accent1 2 3 2 9 2 2" xfId="25598"/>
    <cellStyle name="20% - Accent1 2 3 2 9 3" xfId="20029"/>
    <cellStyle name="20% - Accent1 2 3 3" xfId="2207"/>
    <cellStyle name="20% - Accent1 2 3 3 2" xfId="2851"/>
    <cellStyle name="20% - Accent1 2 3 3 2 2" xfId="4960"/>
    <cellStyle name="20% - Accent1 2 3 3 2 2 2" xfId="17573"/>
    <cellStyle name="20% - Accent1 2 3 3 2 2 2 2" xfId="28716"/>
    <cellStyle name="20% - Accent1 2 3 3 2 2 3" xfId="23147"/>
    <cellStyle name="20% - Accent1 2 3 3 2 2 4" xfId="9111"/>
    <cellStyle name="20% - Accent1 2 3 3 2 3" xfId="10162"/>
    <cellStyle name="20% - Accent1 2 3 3 2 3 2" xfId="15504"/>
    <cellStyle name="20% - Accent1 2 3 3 2 3 2 2" xfId="26647"/>
    <cellStyle name="20% - Accent1 2 3 3 2 3 3" xfId="21078"/>
    <cellStyle name="20% - Accent1 2 3 3 2 4" xfId="14074"/>
    <cellStyle name="20% - Accent1 2 3 3 2 4 2" xfId="25217"/>
    <cellStyle name="20% - Accent1 2 3 3 2 5" xfId="19648"/>
    <cellStyle name="20% - Accent1 2 3 3 2 6" xfId="7042"/>
    <cellStyle name="20% - Accent1 2 3 3 3" xfId="3489"/>
    <cellStyle name="20% - Accent1 2 3 3 3 2" xfId="5598"/>
    <cellStyle name="20% - Accent1 2 3 3 3 2 2" xfId="18211"/>
    <cellStyle name="20% - Accent1 2 3 3 3 2 2 2" xfId="29354"/>
    <cellStyle name="20% - Accent1 2 3 3 3 2 3" xfId="23785"/>
    <cellStyle name="20% - Accent1 2 3 3 3 2 4" xfId="9749"/>
    <cellStyle name="20% - Accent1 2 3 3 3 3" xfId="16142"/>
    <cellStyle name="20% - Accent1 2 3 3 3 3 2" xfId="27285"/>
    <cellStyle name="20% - Accent1 2 3 3 3 4" xfId="21716"/>
    <cellStyle name="20% - Accent1 2 3 3 3 5" xfId="7680"/>
    <cellStyle name="20% - Accent1 2 3 3 4" xfId="4168"/>
    <cellStyle name="20% - Accent1 2 3 3 4 2" xfId="16781"/>
    <cellStyle name="20% - Accent1 2 3 3 4 2 2" xfId="27924"/>
    <cellStyle name="20% - Accent1 2 3 3 4 3" xfId="22355"/>
    <cellStyle name="20% - Accent1 2 3 3 4 4" xfId="8319"/>
    <cellStyle name="20% - Accent1 2 3 3 5" xfId="10915"/>
    <cellStyle name="20% - Accent1 2 3 3 5 2" xfId="14865"/>
    <cellStyle name="20% - Accent1 2 3 3 5 2 2" xfId="26008"/>
    <cellStyle name="20% - Accent1 2 3 3 5 3" xfId="20439"/>
    <cellStyle name="20% - Accent1 2 3 3 6" xfId="13435"/>
    <cellStyle name="20% - Accent1 2 3 3 6 2" xfId="24578"/>
    <cellStyle name="20% - Accent1 2 3 3 7" xfId="19009"/>
    <cellStyle name="20% - Accent1 2 3 3 8" xfId="6403"/>
    <cellStyle name="20% - Accent1 2 3 4" xfId="2015"/>
    <cellStyle name="20% - Accent1 2 3 4 2" xfId="2670"/>
    <cellStyle name="20% - Accent1 2 3 4 2 2" xfId="4779"/>
    <cellStyle name="20% - Accent1 2 3 4 2 2 2" xfId="17392"/>
    <cellStyle name="20% - Accent1 2 3 4 2 2 2 2" xfId="28535"/>
    <cellStyle name="20% - Accent1 2 3 4 2 2 3" xfId="22966"/>
    <cellStyle name="20% - Accent1 2 3 4 2 2 4" xfId="8930"/>
    <cellStyle name="20% - Accent1 2 3 4 2 3" xfId="11367"/>
    <cellStyle name="20% - Accent1 2 3 4 2 3 2" xfId="15323"/>
    <cellStyle name="20% - Accent1 2 3 4 2 3 2 2" xfId="26466"/>
    <cellStyle name="20% - Accent1 2 3 4 2 3 3" xfId="20897"/>
    <cellStyle name="20% - Accent1 2 3 4 2 4" xfId="13893"/>
    <cellStyle name="20% - Accent1 2 3 4 2 4 2" xfId="25036"/>
    <cellStyle name="20% - Accent1 2 3 4 2 5" xfId="19467"/>
    <cellStyle name="20% - Accent1 2 3 4 2 6" xfId="6861"/>
    <cellStyle name="20% - Accent1 2 3 4 3" xfId="3308"/>
    <cellStyle name="20% - Accent1 2 3 4 3 2" xfId="5417"/>
    <cellStyle name="20% - Accent1 2 3 4 3 2 2" xfId="18030"/>
    <cellStyle name="20% - Accent1 2 3 4 3 2 2 2" xfId="29173"/>
    <cellStyle name="20% - Accent1 2 3 4 3 2 3" xfId="23604"/>
    <cellStyle name="20% - Accent1 2 3 4 3 2 4" xfId="9568"/>
    <cellStyle name="20% - Accent1 2 3 4 3 3" xfId="15961"/>
    <cellStyle name="20% - Accent1 2 3 4 3 3 2" xfId="27104"/>
    <cellStyle name="20% - Accent1 2 3 4 3 4" xfId="21535"/>
    <cellStyle name="20% - Accent1 2 3 4 3 5" xfId="7499"/>
    <cellStyle name="20% - Accent1 2 3 4 4" xfId="3987"/>
    <cellStyle name="20% - Accent1 2 3 4 4 2" xfId="16600"/>
    <cellStyle name="20% - Accent1 2 3 4 4 2 2" xfId="27743"/>
    <cellStyle name="20% - Accent1 2 3 4 4 3" xfId="22174"/>
    <cellStyle name="20% - Accent1 2 3 4 4 4" xfId="8138"/>
    <cellStyle name="20% - Accent1 2 3 4 5" xfId="10701"/>
    <cellStyle name="20% - Accent1 2 3 4 5 2" xfId="14684"/>
    <cellStyle name="20% - Accent1 2 3 4 5 2 2" xfId="25827"/>
    <cellStyle name="20% - Accent1 2 3 4 5 3" xfId="20258"/>
    <cellStyle name="20% - Accent1 2 3 4 6" xfId="13254"/>
    <cellStyle name="20% - Accent1 2 3 4 6 2" xfId="24397"/>
    <cellStyle name="20% - Accent1 2 3 4 7" xfId="18828"/>
    <cellStyle name="20% - Accent1 2 3 4 8" xfId="6222"/>
    <cellStyle name="20% - Accent1 2 3 5" xfId="2362"/>
    <cellStyle name="20% - Accent1 2 3 5 2" xfId="3003"/>
    <cellStyle name="20% - Accent1 2 3 5 2 2" xfId="5112"/>
    <cellStyle name="20% - Accent1 2 3 5 2 2 2" xfId="17725"/>
    <cellStyle name="20% - Accent1 2 3 5 2 2 2 2" xfId="28868"/>
    <cellStyle name="20% - Accent1 2 3 5 2 2 3" xfId="23299"/>
    <cellStyle name="20% - Accent1 2 3 5 2 2 4" xfId="9263"/>
    <cellStyle name="20% - Accent1 2 3 5 2 3" xfId="10824"/>
    <cellStyle name="20% - Accent1 2 3 5 2 3 2" xfId="15656"/>
    <cellStyle name="20% - Accent1 2 3 5 2 3 2 2" xfId="26799"/>
    <cellStyle name="20% - Accent1 2 3 5 2 3 3" xfId="21230"/>
    <cellStyle name="20% - Accent1 2 3 5 2 4" xfId="14226"/>
    <cellStyle name="20% - Accent1 2 3 5 2 4 2" xfId="25369"/>
    <cellStyle name="20% - Accent1 2 3 5 2 5" xfId="19800"/>
    <cellStyle name="20% - Accent1 2 3 5 2 6" xfId="7194"/>
    <cellStyle name="20% - Accent1 2 3 5 3" xfId="3641"/>
    <cellStyle name="20% - Accent1 2 3 5 3 2" xfId="5750"/>
    <cellStyle name="20% - Accent1 2 3 5 3 2 2" xfId="18363"/>
    <cellStyle name="20% - Accent1 2 3 5 3 2 2 2" xfId="29506"/>
    <cellStyle name="20% - Accent1 2 3 5 3 2 3" xfId="23937"/>
    <cellStyle name="20% - Accent1 2 3 5 3 2 4" xfId="9901"/>
    <cellStyle name="20% - Accent1 2 3 5 3 3" xfId="16294"/>
    <cellStyle name="20% - Accent1 2 3 5 3 3 2" xfId="27437"/>
    <cellStyle name="20% - Accent1 2 3 5 3 4" xfId="21868"/>
    <cellStyle name="20% - Accent1 2 3 5 3 5" xfId="7832"/>
    <cellStyle name="20% - Accent1 2 3 5 4" xfId="4320"/>
    <cellStyle name="20% - Accent1 2 3 5 4 2" xfId="16933"/>
    <cellStyle name="20% - Accent1 2 3 5 4 2 2" xfId="28076"/>
    <cellStyle name="20% - Accent1 2 3 5 4 3" xfId="22507"/>
    <cellStyle name="20% - Accent1 2 3 5 4 4" xfId="8471"/>
    <cellStyle name="20% - Accent1 2 3 5 5" xfId="11102"/>
    <cellStyle name="20% - Accent1 2 3 5 5 2" xfId="15017"/>
    <cellStyle name="20% - Accent1 2 3 5 5 2 2" xfId="26160"/>
    <cellStyle name="20% - Accent1 2 3 5 5 3" xfId="20591"/>
    <cellStyle name="20% - Accent1 2 3 5 6" xfId="13587"/>
    <cellStyle name="20% - Accent1 2 3 5 6 2" xfId="24730"/>
    <cellStyle name="20% - Accent1 2 3 5 7" xfId="19161"/>
    <cellStyle name="20% - Accent1 2 3 5 8" xfId="6555"/>
    <cellStyle name="20% - Accent1 2 3 6" xfId="1825"/>
    <cellStyle name="20% - Accent1 2 3 6 2" xfId="4473"/>
    <cellStyle name="20% - Accent1 2 3 6 2 2" xfId="17086"/>
    <cellStyle name="20% - Accent1 2 3 6 2 2 2" xfId="28229"/>
    <cellStyle name="20% - Accent1 2 3 6 2 3" xfId="22660"/>
    <cellStyle name="20% - Accent1 2 3 6 2 4" xfId="8624"/>
    <cellStyle name="20% - Accent1 2 3 6 3" xfId="10880"/>
    <cellStyle name="20% - Accent1 2 3 6 3 2" xfId="14532"/>
    <cellStyle name="20% - Accent1 2 3 6 3 2 2" xfId="25675"/>
    <cellStyle name="20% - Accent1 2 3 6 3 3" xfId="20106"/>
    <cellStyle name="20% - Accent1 2 3 6 4" xfId="13102"/>
    <cellStyle name="20% - Accent1 2 3 6 4 2" xfId="24245"/>
    <cellStyle name="20% - Accent1 2 3 6 5" xfId="18676"/>
    <cellStyle name="20% - Accent1 2 3 6 6" xfId="6070"/>
    <cellStyle name="20% - Accent1 2 3 7" xfId="2518"/>
    <cellStyle name="20% - Accent1 2 3 7 2" xfId="4627"/>
    <cellStyle name="20% - Accent1 2 3 7 2 2" xfId="17240"/>
    <cellStyle name="20% - Accent1 2 3 7 2 2 2" xfId="28383"/>
    <cellStyle name="20% - Accent1 2 3 7 2 3" xfId="22814"/>
    <cellStyle name="20% - Accent1 2 3 7 2 4" xfId="8778"/>
    <cellStyle name="20% - Accent1 2 3 7 3" xfId="11343"/>
    <cellStyle name="20% - Accent1 2 3 7 3 2" xfId="15171"/>
    <cellStyle name="20% - Accent1 2 3 7 3 2 2" xfId="26314"/>
    <cellStyle name="20% - Accent1 2 3 7 3 3" xfId="20745"/>
    <cellStyle name="20% - Accent1 2 3 7 4" xfId="13741"/>
    <cellStyle name="20% - Accent1 2 3 7 4 2" xfId="24884"/>
    <cellStyle name="20% - Accent1 2 3 7 5" xfId="19315"/>
    <cellStyle name="20% - Accent1 2 3 7 6" xfId="6709"/>
    <cellStyle name="20% - Accent1 2 3 8" xfId="3156"/>
    <cellStyle name="20% - Accent1 2 3 8 2" xfId="5265"/>
    <cellStyle name="20% - Accent1 2 3 8 2 2" xfId="17878"/>
    <cellStyle name="20% - Accent1 2 3 8 2 2 2" xfId="29021"/>
    <cellStyle name="20% - Accent1 2 3 8 2 3" xfId="23452"/>
    <cellStyle name="20% - Accent1 2 3 8 2 4" xfId="9416"/>
    <cellStyle name="20% - Accent1 2 3 8 3" xfId="15809"/>
    <cellStyle name="20% - Accent1 2 3 8 3 2" xfId="26952"/>
    <cellStyle name="20% - Accent1 2 3 8 4" xfId="21383"/>
    <cellStyle name="20% - Accent1 2 3 8 5" xfId="7347"/>
    <cellStyle name="20% - Accent1 2 3 9" xfId="3835"/>
    <cellStyle name="20% - Accent1 2 3 9 2" xfId="16448"/>
    <cellStyle name="20% - Accent1 2 3 9 2 2" xfId="27591"/>
    <cellStyle name="20% - Accent1 2 3 9 3" xfId="22022"/>
    <cellStyle name="20% - Accent1 2 3 9 4" xfId="7986"/>
    <cellStyle name="20% - Accent1 2 4" xfId="287"/>
    <cellStyle name="20% - Accent1 2 4 10" xfId="12986"/>
    <cellStyle name="20% - Accent1 2 4 10 2" xfId="24130"/>
    <cellStyle name="20% - Accent1 2 4 11" xfId="18561"/>
    <cellStyle name="20% - Accent1 2 4 12" xfId="5954"/>
    <cellStyle name="20% - Accent1 2 4 2" xfId="2245"/>
    <cellStyle name="20% - Accent1 2 4 2 2" xfId="2889"/>
    <cellStyle name="20% - Accent1 2 4 2 2 2" xfId="4998"/>
    <cellStyle name="20% - Accent1 2 4 2 2 2 2" xfId="17611"/>
    <cellStyle name="20% - Accent1 2 4 2 2 2 2 2" xfId="28754"/>
    <cellStyle name="20% - Accent1 2 4 2 2 2 3" xfId="23185"/>
    <cellStyle name="20% - Accent1 2 4 2 2 2 4" xfId="9149"/>
    <cellStyle name="20% - Accent1 2 4 2 2 3" xfId="10687"/>
    <cellStyle name="20% - Accent1 2 4 2 2 3 2" xfId="15542"/>
    <cellStyle name="20% - Accent1 2 4 2 2 3 2 2" xfId="26685"/>
    <cellStyle name="20% - Accent1 2 4 2 2 3 3" xfId="21116"/>
    <cellStyle name="20% - Accent1 2 4 2 2 4" xfId="14112"/>
    <cellStyle name="20% - Accent1 2 4 2 2 4 2" xfId="25255"/>
    <cellStyle name="20% - Accent1 2 4 2 2 5" xfId="19686"/>
    <cellStyle name="20% - Accent1 2 4 2 2 6" xfId="7080"/>
    <cellStyle name="20% - Accent1 2 4 2 3" xfId="3527"/>
    <cellStyle name="20% - Accent1 2 4 2 3 2" xfId="5636"/>
    <cellStyle name="20% - Accent1 2 4 2 3 2 2" xfId="18249"/>
    <cellStyle name="20% - Accent1 2 4 2 3 2 2 2" xfId="29392"/>
    <cellStyle name="20% - Accent1 2 4 2 3 2 3" xfId="23823"/>
    <cellStyle name="20% - Accent1 2 4 2 3 2 4" xfId="9787"/>
    <cellStyle name="20% - Accent1 2 4 2 3 3" xfId="16180"/>
    <cellStyle name="20% - Accent1 2 4 2 3 3 2" xfId="27323"/>
    <cellStyle name="20% - Accent1 2 4 2 3 4" xfId="21754"/>
    <cellStyle name="20% - Accent1 2 4 2 3 5" xfId="7718"/>
    <cellStyle name="20% - Accent1 2 4 2 4" xfId="4206"/>
    <cellStyle name="20% - Accent1 2 4 2 4 2" xfId="16819"/>
    <cellStyle name="20% - Accent1 2 4 2 4 2 2" xfId="27962"/>
    <cellStyle name="20% - Accent1 2 4 2 4 3" xfId="22393"/>
    <cellStyle name="20% - Accent1 2 4 2 4 4" xfId="8357"/>
    <cellStyle name="20% - Accent1 2 4 2 5" xfId="11200"/>
    <cellStyle name="20% - Accent1 2 4 2 5 2" xfId="14903"/>
    <cellStyle name="20% - Accent1 2 4 2 5 2 2" xfId="26046"/>
    <cellStyle name="20% - Accent1 2 4 2 5 3" xfId="20477"/>
    <cellStyle name="20% - Accent1 2 4 2 6" xfId="13473"/>
    <cellStyle name="20% - Accent1 2 4 2 6 2" xfId="24616"/>
    <cellStyle name="20% - Accent1 2 4 2 7" xfId="19047"/>
    <cellStyle name="20% - Accent1 2 4 2 8" xfId="6441"/>
    <cellStyle name="20% - Accent1 2 4 3" xfId="2053"/>
    <cellStyle name="20% - Accent1 2 4 3 2" xfId="2708"/>
    <cellStyle name="20% - Accent1 2 4 3 2 2" xfId="4817"/>
    <cellStyle name="20% - Accent1 2 4 3 2 2 2" xfId="17430"/>
    <cellStyle name="20% - Accent1 2 4 3 2 2 2 2" xfId="28573"/>
    <cellStyle name="20% - Accent1 2 4 3 2 2 3" xfId="23004"/>
    <cellStyle name="20% - Accent1 2 4 3 2 2 4" xfId="8968"/>
    <cellStyle name="20% - Accent1 2 4 3 2 3" xfId="10518"/>
    <cellStyle name="20% - Accent1 2 4 3 2 3 2" xfId="15361"/>
    <cellStyle name="20% - Accent1 2 4 3 2 3 2 2" xfId="26504"/>
    <cellStyle name="20% - Accent1 2 4 3 2 3 3" xfId="20935"/>
    <cellStyle name="20% - Accent1 2 4 3 2 4" xfId="13931"/>
    <cellStyle name="20% - Accent1 2 4 3 2 4 2" xfId="25074"/>
    <cellStyle name="20% - Accent1 2 4 3 2 5" xfId="19505"/>
    <cellStyle name="20% - Accent1 2 4 3 2 6" xfId="6899"/>
    <cellStyle name="20% - Accent1 2 4 3 3" xfId="3346"/>
    <cellStyle name="20% - Accent1 2 4 3 3 2" xfId="5455"/>
    <cellStyle name="20% - Accent1 2 4 3 3 2 2" xfId="18068"/>
    <cellStyle name="20% - Accent1 2 4 3 3 2 2 2" xfId="29211"/>
    <cellStyle name="20% - Accent1 2 4 3 3 2 3" xfId="23642"/>
    <cellStyle name="20% - Accent1 2 4 3 3 2 4" xfId="9606"/>
    <cellStyle name="20% - Accent1 2 4 3 3 3" xfId="15999"/>
    <cellStyle name="20% - Accent1 2 4 3 3 3 2" xfId="27142"/>
    <cellStyle name="20% - Accent1 2 4 3 3 4" xfId="21573"/>
    <cellStyle name="20% - Accent1 2 4 3 3 5" xfId="7537"/>
    <cellStyle name="20% - Accent1 2 4 3 4" xfId="4025"/>
    <cellStyle name="20% - Accent1 2 4 3 4 2" xfId="16638"/>
    <cellStyle name="20% - Accent1 2 4 3 4 2 2" xfId="27781"/>
    <cellStyle name="20% - Accent1 2 4 3 4 3" xfId="22212"/>
    <cellStyle name="20% - Accent1 2 4 3 4 4" xfId="8176"/>
    <cellStyle name="20% - Accent1 2 4 3 5" xfId="10497"/>
    <cellStyle name="20% - Accent1 2 4 3 5 2" xfId="14722"/>
    <cellStyle name="20% - Accent1 2 4 3 5 2 2" xfId="25865"/>
    <cellStyle name="20% - Accent1 2 4 3 5 3" xfId="20296"/>
    <cellStyle name="20% - Accent1 2 4 3 6" xfId="13292"/>
    <cellStyle name="20% - Accent1 2 4 3 6 2" xfId="24435"/>
    <cellStyle name="20% - Accent1 2 4 3 7" xfId="18866"/>
    <cellStyle name="20% - Accent1 2 4 3 8" xfId="6260"/>
    <cellStyle name="20% - Accent1 2 4 4" xfId="2400"/>
    <cellStyle name="20% - Accent1 2 4 4 2" xfId="3041"/>
    <cellStyle name="20% - Accent1 2 4 4 2 2" xfId="5150"/>
    <cellStyle name="20% - Accent1 2 4 4 2 2 2" xfId="17763"/>
    <cellStyle name="20% - Accent1 2 4 4 2 2 2 2" xfId="28906"/>
    <cellStyle name="20% - Accent1 2 4 4 2 2 3" xfId="23337"/>
    <cellStyle name="20% - Accent1 2 4 4 2 2 4" xfId="9301"/>
    <cellStyle name="20% - Accent1 2 4 4 2 3" xfId="10032"/>
    <cellStyle name="20% - Accent1 2 4 4 2 3 2" xfId="15694"/>
    <cellStyle name="20% - Accent1 2 4 4 2 3 2 2" xfId="26837"/>
    <cellStyle name="20% - Accent1 2 4 4 2 3 3" xfId="21268"/>
    <cellStyle name="20% - Accent1 2 4 4 2 4" xfId="14264"/>
    <cellStyle name="20% - Accent1 2 4 4 2 4 2" xfId="25407"/>
    <cellStyle name="20% - Accent1 2 4 4 2 5" xfId="19838"/>
    <cellStyle name="20% - Accent1 2 4 4 2 6" xfId="7232"/>
    <cellStyle name="20% - Accent1 2 4 4 3" xfId="3679"/>
    <cellStyle name="20% - Accent1 2 4 4 3 2" xfId="5788"/>
    <cellStyle name="20% - Accent1 2 4 4 3 2 2" xfId="18401"/>
    <cellStyle name="20% - Accent1 2 4 4 3 2 2 2" xfId="29544"/>
    <cellStyle name="20% - Accent1 2 4 4 3 2 3" xfId="23975"/>
    <cellStyle name="20% - Accent1 2 4 4 3 2 4" xfId="9939"/>
    <cellStyle name="20% - Accent1 2 4 4 3 3" xfId="16332"/>
    <cellStyle name="20% - Accent1 2 4 4 3 3 2" xfId="27475"/>
    <cellStyle name="20% - Accent1 2 4 4 3 4" xfId="21906"/>
    <cellStyle name="20% - Accent1 2 4 4 3 5" xfId="7870"/>
    <cellStyle name="20% - Accent1 2 4 4 4" xfId="4358"/>
    <cellStyle name="20% - Accent1 2 4 4 4 2" xfId="16971"/>
    <cellStyle name="20% - Accent1 2 4 4 4 2 2" xfId="28114"/>
    <cellStyle name="20% - Accent1 2 4 4 4 3" xfId="22545"/>
    <cellStyle name="20% - Accent1 2 4 4 4 4" xfId="8509"/>
    <cellStyle name="20% - Accent1 2 4 4 5" xfId="11116"/>
    <cellStyle name="20% - Accent1 2 4 4 5 2" xfId="15055"/>
    <cellStyle name="20% - Accent1 2 4 4 5 2 2" xfId="26198"/>
    <cellStyle name="20% - Accent1 2 4 4 5 3" xfId="20629"/>
    <cellStyle name="20% - Accent1 2 4 4 6" xfId="13625"/>
    <cellStyle name="20% - Accent1 2 4 4 6 2" xfId="24768"/>
    <cellStyle name="20% - Accent1 2 4 4 7" xfId="19199"/>
    <cellStyle name="20% - Accent1 2 4 4 8" xfId="6593"/>
    <cellStyle name="20% - Accent1 2 4 5" xfId="1863"/>
    <cellStyle name="20% - Accent1 2 4 5 2" xfId="4511"/>
    <cellStyle name="20% - Accent1 2 4 5 2 2" xfId="17124"/>
    <cellStyle name="20% - Accent1 2 4 5 2 2 2" xfId="28267"/>
    <cellStyle name="20% - Accent1 2 4 5 2 3" xfId="22698"/>
    <cellStyle name="20% - Accent1 2 4 5 2 4" xfId="8662"/>
    <cellStyle name="20% - Accent1 2 4 5 3" xfId="10098"/>
    <cellStyle name="20% - Accent1 2 4 5 3 2" xfId="14570"/>
    <cellStyle name="20% - Accent1 2 4 5 3 2 2" xfId="25713"/>
    <cellStyle name="20% - Accent1 2 4 5 3 3" xfId="20144"/>
    <cellStyle name="20% - Accent1 2 4 5 4" xfId="13140"/>
    <cellStyle name="20% - Accent1 2 4 5 4 2" xfId="24283"/>
    <cellStyle name="20% - Accent1 2 4 5 5" xfId="18714"/>
    <cellStyle name="20% - Accent1 2 4 5 6" xfId="6108"/>
    <cellStyle name="20% - Accent1 2 4 6" xfId="2556"/>
    <cellStyle name="20% - Accent1 2 4 6 2" xfId="4665"/>
    <cellStyle name="20% - Accent1 2 4 6 2 2" xfId="17278"/>
    <cellStyle name="20% - Accent1 2 4 6 2 2 2" xfId="28421"/>
    <cellStyle name="20% - Accent1 2 4 6 2 3" xfId="22852"/>
    <cellStyle name="20% - Accent1 2 4 6 2 4" xfId="8816"/>
    <cellStyle name="20% - Accent1 2 4 6 3" xfId="10356"/>
    <cellStyle name="20% - Accent1 2 4 6 3 2" xfId="15209"/>
    <cellStyle name="20% - Accent1 2 4 6 3 2 2" xfId="26352"/>
    <cellStyle name="20% - Accent1 2 4 6 3 3" xfId="20783"/>
    <cellStyle name="20% - Accent1 2 4 6 4" xfId="13779"/>
    <cellStyle name="20% - Accent1 2 4 6 4 2" xfId="24922"/>
    <cellStyle name="20% - Accent1 2 4 6 5" xfId="19353"/>
    <cellStyle name="20% - Accent1 2 4 6 6" xfId="6747"/>
    <cellStyle name="20% - Accent1 2 4 7" xfId="3194"/>
    <cellStyle name="20% - Accent1 2 4 7 2" xfId="5303"/>
    <cellStyle name="20% - Accent1 2 4 7 2 2" xfId="17916"/>
    <cellStyle name="20% - Accent1 2 4 7 2 2 2" xfId="29059"/>
    <cellStyle name="20% - Accent1 2 4 7 2 3" xfId="23490"/>
    <cellStyle name="20% - Accent1 2 4 7 2 4" xfId="9454"/>
    <cellStyle name="20% - Accent1 2 4 7 3" xfId="15847"/>
    <cellStyle name="20% - Accent1 2 4 7 3 2" xfId="26990"/>
    <cellStyle name="20% - Accent1 2 4 7 4" xfId="21421"/>
    <cellStyle name="20% - Accent1 2 4 7 5" xfId="7385"/>
    <cellStyle name="20% - Accent1 2 4 8" xfId="3873"/>
    <cellStyle name="20% - Accent1 2 4 8 2" xfId="16486"/>
    <cellStyle name="20% - Accent1 2 4 8 2 2" xfId="27629"/>
    <cellStyle name="20% - Accent1 2 4 8 3" xfId="22060"/>
    <cellStyle name="20% - Accent1 2 4 8 4" xfId="8024"/>
    <cellStyle name="20% - Accent1 2 4 9" xfId="11406"/>
    <cellStyle name="20% - Accent1 2 4 9 2" xfId="14417"/>
    <cellStyle name="20% - Accent1 2 4 9 2 2" xfId="25560"/>
    <cellStyle name="20% - Accent1 2 4 9 3" xfId="19991"/>
    <cellStyle name="20% - Accent1 2 5" xfId="2169"/>
    <cellStyle name="20% - Accent1 2 5 2" xfId="2813"/>
    <cellStyle name="20% - Accent1 2 5 2 2" xfId="4922"/>
    <cellStyle name="20% - Accent1 2 5 2 2 2" xfId="17535"/>
    <cellStyle name="20% - Accent1 2 5 2 2 2 2" xfId="28678"/>
    <cellStyle name="20% - Accent1 2 5 2 2 3" xfId="23109"/>
    <cellStyle name="20% - Accent1 2 5 2 2 4" xfId="9073"/>
    <cellStyle name="20% - Accent1 2 5 2 3" xfId="11108"/>
    <cellStyle name="20% - Accent1 2 5 2 3 2" xfId="15466"/>
    <cellStyle name="20% - Accent1 2 5 2 3 2 2" xfId="26609"/>
    <cellStyle name="20% - Accent1 2 5 2 3 3" xfId="21040"/>
    <cellStyle name="20% - Accent1 2 5 2 4" xfId="14036"/>
    <cellStyle name="20% - Accent1 2 5 2 4 2" xfId="25179"/>
    <cellStyle name="20% - Accent1 2 5 2 5" xfId="19610"/>
    <cellStyle name="20% - Accent1 2 5 2 6" xfId="7004"/>
    <cellStyle name="20% - Accent1 2 5 3" xfId="3451"/>
    <cellStyle name="20% - Accent1 2 5 3 2" xfId="5560"/>
    <cellStyle name="20% - Accent1 2 5 3 2 2" xfId="18173"/>
    <cellStyle name="20% - Accent1 2 5 3 2 2 2" xfId="29316"/>
    <cellStyle name="20% - Accent1 2 5 3 2 3" xfId="23747"/>
    <cellStyle name="20% - Accent1 2 5 3 2 4" xfId="9711"/>
    <cellStyle name="20% - Accent1 2 5 3 3" xfId="16104"/>
    <cellStyle name="20% - Accent1 2 5 3 3 2" xfId="27247"/>
    <cellStyle name="20% - Accent1 2 5 3 4" xfId="21678"/>
    <cellStyle name="20% - Accent1 2 5 3 5" xfId="7642"/>
    <cellStyle name="20% - Accent1 2 5 4" xfId="4130"/>
    <cellStyle name="20% - Accent1 2 5 4 2" xfId="16743"/>
    <cellStyle name="20% - Accent1 2 5 4 2 2" xfId="27886"/>
    <cellStyle name="20% - Accent1 2 5 4 3" xfId="22317"/>
    <cellStyle name="20% - Accent1 2 5 4 4" xfId="8281"/>
    <cellStyle name="20% - Accent1 2 5 5" xfId="11418"/>
    <cellStyle name="20% - Accent1 2 5 5 2" xfId="14827"/>
    <cellStyle name="20% - Accent1 2 5 5 2 2" xfId="25970"/>
    <cellStyle name="20% - Accent1 2 5 5 3" xfId="20401"/>
    <cellStyle name="20% - Accent1 2 5 6" xfId="13397"/>
    <cellStyle name="20% - Accent1 2 5 6 2" xfId="24540"/>
    <cellStyle name="20% - Accent1 2 5 7" xfId="18971"/>
    <cellStyle name="20% - Accent1 2 5 8" xfId="6365"/>
    <cellStyle name="20% - Accent1 2 6" xfId="1962"/>
    <cellStyle name="20% - Accent1 2 6 2" xfId="2632"/>
    <cellStyle name="20% - Accent1 2 6 2 2" xfId="4741"/>
    <cellStyle name="20% - Accent1 2 6 2 2 2" xfId="17354"/>
    <cellStyle name="20% - Accent1 2 6 2 2 2 2" xfId="28497"/>
    <cellStyle name="20% - Accent1 2 6 2 2 3" xfId="22928"/>
    <cellStyle name="20% - Accent1 2 6 2 2 4" xfId="8892"/>
    <cellStyle name="20% - Accent1 2 6 2 3" xfId="10393"/>
    <cellStyle name="20% - Accent1 2 6 2 3 2" xfId="15285"/>
    <cellStyle name="20% - Accent1 2 6 2 3 2 2" xfId="26428"/>
    <cellStyle name="20% - Accent1 2 6 2 3 3" xfId="20859"/>
    <cellStyle name="20% - Accent1 2 6 2 4" xfId="13855"/>
    <cellStyle name="20% - Accent1 2 6 2 4 2" xfId="24998"/>
    <cellStyle name="20% - Accent1 2 6 2 5" xfId="19429"/>
    <cellStyle name="20% - Accent1 2 6 2 6" xfId="6823"/>
    <cellStyle name="20% - Accent1 2 6 3" xfId="3270"/>
    <cellStyle name="20% - Accent1 2 6 3 2" xfId="5379"/>
    <cellStyle name="20% - Accent1 2 6 3 2 2" xfId="17992"/>
    <cellStyle name="20% - Accent1 2 6 3 2 2 2" xfId="29135"/>
    <cellStyle name="20% - Accent1 2 6 3 2 3" xfId="23566"/>
    <cellStyle name="20% - Accent1 2 6 3 2 4" xfId="9530"/>
    <cellStyle name="20% - Accent1 2 6 3 3" xfId="15923"/>
    <cellStyle name="20% - Accent1 2 6 3 3 2" xfId="27066"/>
    <cellStyle name="20% - Accent1 2 6 3 4" xfId="21497"/>
    <cellStyle name="20% - Accent1 2 6 3 5" xfId="7461"/>
    <cellStyle name="20% - Accent1 2 6 4" xfId="3949"/>
    <cellStyle name="20% - Accent1 2 6 4 2" xfId="16562"/>
    <cellStyle name="20% - Accent1 2 6 4 2 2" xfId="27705"/>
    <cellStyle name="20% - Accent1 2 6 4 3" xfId="22136"/>
    <cellStyle name="20% - Accent1 2 6 4 4" xfId="8100"/>
    <cellStyle name="20% - Accent1 2 6 5" xfId="10500"/>
    <cellStyle name="20% - Accent1 2 6 5 2" xfId="14646"/>
    <cellStyle name="20% - Accent1 2 6 5 2 2" xfId="25789"/>
    <cellStyle name="20% - Accent1 2 6 5 3" xfId="20220"/>
    <cellStyle name="20% - Accent1 2 6 6" xfId="13216"/>
    <cellStyle name="20% - Accent1 2 6 6 2" xfId="24359"/>
    <cellStyle name="20% - Accent1 2 6 7" xfId="18790"/>
    <cellStyle name="20% - Accent1 2 6 8" xfId="6184"/>
    <cellStyle name="20% - Accent1 2 7" xfId="2323"/>
    <cellStyle name="20% - Accent1 2 7 2" xfId="2965"/>
    <cellStyle name="20% - Accent1 2 7 2 2" xfId="5074"/>
    <cellStyle name="20% - Accent1 2 7 2 2 2" xfId="17687"/>
    <cellStyle name="20% - Accent1 2 7 2 2 2 2" xfId="28830"/>
    <cellStyle name="20% - Accent1 2 7 2 2 3" xfId="23261"/>
    <cellStyle name="20% - Accent1 2 7 2 2 4" xfId="9225"/>
    <cellStyle name="20% - Accent1 2 7 2 3" xfId="11277"/>
    <cellStyle name="20% - Accent1 2 7 2 3 2" xfId="15618"/>
    <cellStyle name="20% - Accent1 2 7 2 3 2 2" xfId="26761"/>
    <cellStyle name="20% - Accent1 2 7 2 3 3" xfId="21192"/>
    <cellStyle name="20% - Accent1 2 7 2 4" xfId="14188"/>
    <cellStyle name="20% - Accent1 2 7 2 4 2" xfId="25331"/>
    <cellStyle name="20% - Accent1 2 7 2 5" xfId="19762"/>
    <cellStyle name="20% - Accent1 2 7 2 6" xfId="7156"/>
    <cellStyle name="20% - Accent1 2 7 3" xfId="3603"/>
    <cellStyle name="20% - Accent1 2 7 3 2" xfId="5712"/>
    <cellStyle name="20% - Accent1 2 7 3 2 2" xfId="18325"/>
    <cellStyle name="20% - Accent1 2 7 3 2 2 2" xfId="29468"/>
    <cellStyle name="20% - Accent1 2 7 3 2 3" xfId="23899"/>
    <cellStyle name="20% - Accent1 2 7 3 2 4" xfId="9863"/>
    <cellStyle name="20% - Accent1 2 7 3 3" xfId="16256"/>
    <cellStyle name="20% - Accent1 2 7 3 3 2" xfId="27399"/>
    <cellStyle name="20% - Accent1 2 7 3 4" xfId="21830"/>
    <cellStyle name="20% - Accent1 2 7 3 5" xfId="7794"/>
    <cellStyle name="20% - Accent1 2 7 4" xfId="4282"/>
    <cellStyle name="20% - Accent1 2 7 4 2" xfId="16895"/>
    <cellStyle name="20% - Accent1 2 7 4 2 2" xfId="28038"/>
    <cellStyle name="20% - Accent1 2 7 4 3" xfId="22469"/>
    <cellStyle name="20% - Accent1 2 7 4 4" xfId="8433"/>
    <cellStyle name="20% - Accent1 2 7 5" xfId="10241"/>
    <cellStyle name="20% - Accent1 2 7 5 2" xfId="14979"/>
    <cellStyle name="20% - Accent1 2 7 5 2 2" xfId="26122"/>
    <cellStyle name="20% - Accent1 2 7 5 3" xfId="20553"/>
    <cellStyle name="20% - Accent1 2 7 6" xfId="13549"/>
    <cellStyle name="20% - Accent1 2 7 6 2" xfId="24692"/>
    <cellStyle name="20% - Accent1 2 7 7" xfId="19123"/>
    <cellStyle name="20% - Accent1 2 7 8" xfId="6517"/>
    <cellStyle name="20% - Accent1 2 8" xfId="1787"/>
    <cellStyle name="20% - Accent1 2 8 2" xfId="4435"/>
    <cellStyle name="20% - Accent1 2 8 2 2" xfId="17048"/>
    <cellStyle name="20% - Accent1 2 8 2 2 2" xfId="28191"/>
    <cellStyle name="20% - Accent1 2 8 2 3" xfId="22622"/>
    <cellStyle name="20% - Accent1 2 8 2 4" xfId="8586"/>
    <cellStyle name="20% - Accent1 2 8 3" xfId="10565"/>
    <cellStyle name="20% - Accent1 2 8 3 2" xfId="14494"/>
    <cellStyle name="20% - Accent1 2 8 3 2 2" xfId="25637"/>
    <cellStyle name="20% - Accent1 2 8 3 3" xfId="20068"/>
    <cellStyle name="20% - Accent1 2 8 4" xfId="13064"/>
    <cellStyle name="20% - Accent1 2 8 4 2" xfId="24207"/>
    <cellStyle name="20% - Accent1 2 8 5" xfId="18638"/>
    <cellStyle name="20% - Accent1 2 8 6" xfId="6032"/>
    <cellStyle name="20% - Accent1 2 9" xfId="2480"/>
    <cellStyle name="20% - Accent1 2 9 2" xfId="4589"/>
    <cellStyle name="20% - Accent1 2 9 2 2" xfId="17202"/>
    <cellStyle name="20% - Accent1 2 9 2 2 2" xfId="28345"/>
    <cellStyle name="20% - Accent1 2 9 2 3" xfId="22776"/>
    <cellStyle name="20% - Accent1 2 9 2 4" xfId="8740"/>
    <cellStyle name="20% - Accent1 2 9 3" xfId="11208"/>
    <cellStyle name="20% - Accent1 2 9 3 2" xfId="15133"/>
    <cellStyle name="20% - Accent1 2 9 3 2 2" xfId="26276"/>
    <cellStyle name="20% - Accent1 2 9 3 3" xfId="20707"/>
    <cellStyle name="20% - Accent1 2 9 4" xfId="13703"/>
    <cellStyle name="20% - Accent1 2 9 4 2" xfId="24846"/>
    <cellStyle name="20% - Accent1 2 9 5" xfId="19277"/>
    <cellStyle name="20% - Accent1 2 9 6" xfId="6671"/>
    <cellStyle name="20% - Accent1 3" xfId="135"/>
    <cellStyle name="20% - Accent1 3 2" xfId="385"/>
    <cellStyle name="20% - Accent1 3 2 2" xfId="564"/>
    <cellStyle name="20% - Accent1 3 2 2 2" xfId="947"/>
    <cellStyle name="20% - Accent1 3 2 2 2 2" xfId="1686"/>
    <cellStyle name="20% - Accent1 3 2 2 2 2 2" xfId="12782"/>
    <cellStyle name="20% - Accent1 3 2 2 2 3" xfId="12072"/>
    <cellStyle name="20% - Accent1 3 2 2 3" xfId="1331"/>
    <cellStyle name="20% - Accent1 3 2 2 3 2" xfId="12427"/>
    <cellStyle name="20% - Accent1 3 2 2 4" xfId="11717"/>
    <cellStyle name="20% - Accent1 3 2 3" xfId="769"/>
    <cellStyle name="20% - Accent1 3 2 3 2" xfId="1508"/>
    <cellStyle name="20% - Accent1 3 2 3 2 2" xfId="12604"/>
    <cellStyle name="20% - Accent1 3 2 3 3" xfId="11894"/>
    <cellStyle name="20% - Accent1 3 2 4" xfId="1153"/>
    <cellStyle name="20% - Accent1 3 2 4 2" xfId="12249"/>
    <cellStyle name="20% - Accent1 3 2 5" xfId="11539"/>
    <cellStyle name="20% - Accent1 3 3" xfId="440"/>
    <cellStyle name="20% - Accent1 3 3 2" xfId="619"/>
    <cellStyle name="20% - Accent1 3 3 2 2" xfId="1002"/>
    <cellStyle name="20% - Accent1 3 3 2 2 2" xfId="1741"/>
    <cellStyle name="20% - Accent1 3 3 2 2 2 2" xfId="12837"/>
    <cellStyle name="20% - Accent1 3 3 2 2 3" xfId="12127"/>
    <cellStyle name="20% - Accent1 3 3 2 3" xfId="1386"/>
    <cellStyle name="20% - Accent1 3 3 2 3 2" xfId="12482"/>
    <cellStyle name="20% - Accent1 3 3 2 4" xfId="11772"/>
    <cellStyle name="20% - Accent1 3 3 3" xfId="824"/>
    <cellStyle name="20% - Accent1 3 3 3 2" xfId="1563"/>
    <cellStyle name="20% - Accent1 3 3 3 2 2" xfId="12659"/>
    <cellStyle name="20% - Accent1 3 3 3 3" xfId="11949"/>
    <cellStyle name="20% - Accent1 3 3 4" xfId="1208"/>
    <cellStyle name="20% - Accent1 3 3 4 2" xfId="12304"/>
    <cellStyle name="20% - Accent1 3 3 5" xfId="11594"/>
    <cellStyle name="20% - Accent1 3 4" xfId="502"/>
    <cellStyle name="20% - Accent1 3 4 2" xfId="886"/>
    <cellStyle name="20% - Accent1 3 4 2 2" xfId="1625"/>
    <cellStyle name="20% - Accent1 3 4 2 2 2" xfId="12721"/>
    <cellStyle name="20% - Accent1 3 4 2 3" xfId="12011"/>
    <cellStyle name="20% - Accent1 3 4 3" xfId="1270"/>
    <cellStyle name="20% - Accent1 3 4 3 2" xfId="12366"/>
    <cellStyle name="20% - Accent1 3 4 4" xfId="11656"/>
    <cellStyle name="20% - Accent1 3 5" xfId="708"/>
    <cellStyle name="20% - Accent1 3 5 2" xfId="1447"/>
    <cellStyle name="20% - Accent1 3 5 2 2" xfId="12543"/>
    <cellStyle name="20% - Accent1 3 5 3" xfId="11833"/>
    <cellStyle name="20% - Accent1 3 6" xfId="1092"/>
    <cellStyle name="20% - Accent1 3 6 2" xfId="12188"/>
    <cellStyle name="20% - Accent1 3 7" xfId="11478"/>
    <cellStyle name="20% - Accent1 4" xfId="75"/>
    <cellStyle name="20% - Accent1 4 2" xfId="381"/>
    <cellStyle name="20% - Accent1 4 2 2" xfId="560"/>
    <cellStyle name="20% - Accent1 4 2 2 2" xfId="943"/>
    <cellStyle name="20% - Accent1 4 2 2 2 2" xfId="1682"/>
    <cellStyle name="20% - Accent1 4 2 2 2 2 2" xfId="12778"/>
    <cellStyle name="20% - Accent1 4 2 2 2 3" xfId="12068"/>
    <cellStyle name="20% - Accent1 4 2 2 3" xfId="1327"/>
    <cellStyle name="20% - Accent1 4 2 2 3 2" xfId="12423"/>
    <cellStyle name="20% - Accent1 4 2 2 4" xfId="11713"/>
    <cellStyle name="20% - Accent1 4 2 3" xfId="765"/>
    <cellStyle name="20% - Accent1 4 2 3 2" xfId="1504"/>
    <cellStyle name="20% - Accent1 4 2 3 2 2" xfId="12600"/>
    <cellStyle name="20% - Accent1 4 2 3 3" xfId="11890"/>
    <cellStyle name="20% - Accent1 4 2 4" xfId="1149"/>
    <cellStyle name="20% - Accent1 4 2 4 2" xfId="12245"/>
    <cellStyle name="20% - Accent1 4 2 5" xfId="11535"/>
    <cellStyle name="20% - Accent1 4 3" xfId="436"/>
    <cellStyle name="20% - Accent1 4 3 2" xfId="615"/>
    <cellStyle name="20% - Accent1 4 3 2 2" xfId="998"/>
    <cellStyle name="20% - Accent1 4 3 2 2 2" xfId="1737"/>
    <cellStyle name="20% - Accent1 4 3 2 2 2 2" xfId="12833"/>
    <cellStyle name="20% - Accent1 4 3 2 2 3" xfId="12123"/>
    <cellStyle name="20% - Accent1 4 3 2 3" xfId="1382"/>
    <cellStyle name="20% - Accent1 4 3 2 3 2" xfId="12478"/>
    <cellStyle name="20% - Accent1 4 3 2 4" xfId="11768"/>
    <cellStyle name="20% - Accent1 4 3 3" xfId="820"/>
    <cellStyle name="20% - Accent1 4 3 3 2" xfId="1559"/>
    <cellStyle name="20% - Accent1 4 3 3 2 2" xfId="12655"/>
    <cellStyle name="20% - Accent1 4 3 3 3" xfId="11945"/>
    <cellStyle name="20% - Accent1 4 3 4" xfId="1204"/>
    <cellStyle name="20% - Accent1 4 3 4 2" xfId="12300"/>
    <cellStyle name="20% - Accent1 4 3 5" xfId="11590"/>
    <cellStyle name="20% - Accent1 4 4" xfId="498"/>
    <cellStyle name="20% - Accent1 4 4 2" xfId="882"/>
    <cellStyle name="20% - Accent1 4 4 2 2" xfId="1621"/>
    <cellStyle name="20% - Accent1 4 4 2 2 2" xfId="12717"/>
    <cellStyle name="20% - Accent1 4 4 2 3" xfId="12007"/>
    <cellStyle name="20% - Accent1 4 4 3" xfId="1266"/>
    <cellStyle name="20% - Accent1 4 4 3 2" xfId="12362"/>
    <cellStyle name="20% - Accent1 4 4 4" xfId="11652"/>
    <cellStyle name="20% - Accent1 4 5" xfId="704"/>
    <cellStyle name="20% - Accent1 4 5 2" xfId="1443"/>
    <cellStyle name="20% - Accent1 4 5 2 2" xfId="12539"/>
    <cellStyle name="20% - Accent1 4 5 3" xfId="11829"/>
    <cellStyle name="20% - Accent1 4 6" xfId="1088"/>
    <cellStyle name="20% - Accent1 4 6 2" xfId="12184"/>
    <cellStyle name="20% - Accent1 4 7" xfId="11474"/>
    <cellStyle name="20% - Accent1 5" xfId="197"/>
    <cellStyle name="20% - Accent1 5 2" xfId="409"/>
    <cellStyle name="20% - Accent1 5 2 2" xfId="588"/>
    <cellStyle name="20% - Accent1 5 2 2 2" xfId="971"/>
    <cellStyle name="20% - Accent1 5 2 2 2 2" xfId="1710"/>
    <cellStyle name="20% - Accent1 5 2 2 2 2 2" xfId="12806"/>
    <cellStyle name="20% - Accent1 5 2 2 2 3" xfId="12096"/>
    <cellStyle name="20% - Accent1 5 2 2 3" xfId="1355"/>
    <cellStyle name="20% - Accent1 5 2 2 3 2" xfId="12451"/>
    <cellStyle name="20% - Accent1 5 2 2 4" xfId="11741"/>
    <cellStyle name="20% - Accent1 5 2 3" xfId="793"/>
    <cellStyle name="20% - Accent1 5 2 3 2" xfId="1532"/>
    <cellStyle name="20% - Accent1 5 2 3 2 2" xfId="12628"/>
    <cellStyle name="20% - Accent1 5 2 3 3" xfId="11918"/>
    <cellStyle name="20% - Accent1 5 2 4" xfId="1177"/>
    <cellStyle name="20% - Accent1 5 2 4 2" xfId="12273"/>
    <cellStyle name="20% - Accent1 5 2 5" xfId="11563"/>
    <cellStyle name="20% - Accent1 5 3" xfId="464"/>
    <cellStyle name="20% - Accent1 5 3 2" xfId="643"/>
    <cellStyle name="20% - Accent1 5 3 2 2" xfId="1026"/>
    <cellStyle name="20% - Accent1 5 3 2 2 2" xfId="1765"/>
    <cellStyle name="20% - Accent1 5 3 2 2 2 2" xfId="12861"/>
    <cellStyle name="20% - Accent1 5 3 2 2 3" xfId="12151"/>
    <cellStyle name="20% - Accent1 5 3 2 3" xfId="1410"/>
    <cellStyle name="20% - Accent1 5 3 2 3 2" xfId="12506"/>
    <cellStyle name="20% - Accent1 5 3 2 4" xfId="11796"/>
    <cellStyle name="20% - Accent1 5 3 3" xfId="848"/>
    <cellStyle name="20% - Accent1 5 3 3 2" xfId="1587"/>
    <cellStyle name="20% - Accent1 5 3 3 2 2" xfId="12683"/>
    <cellStyle name="20% - Accent1 5 3 3 3" xfId="11973"/>
    <cellStyle name="20% - Accent1 5 3 4" xfId="1232"/>
    <cellStyle name="20% - Accent1 5 3 4 2" xfId="12328"/>
    <cellStyle name="20% - Accent1 5 3 5" xfId="11618"/>
    <cellStyle name="20% - Accent1 5 4" xfId="527"/>
    <cellStyle name="20% - Accent1 5 4 2" xfId="910"/>
    <cellStyle name="20% - Accent1 5 4 2 2" xfId="1649"/>
    <cellStyle name="20% - Accent1 5 4 2 2 2" xfId="12745"/>
    <cellStyle name="20% - Accent1 5 4 2 3" xfId="12035"/>
    <cellStyle name="20% - Accent1 5 4 3" xfId="1294"/>
    <cellStyle name="20% - Accent1 5 4 3 2" xfId="12390"/>
    <cellStyle name="20% - Accent1 5 4 4" xfId="11680"/>
    <cellStyle name="20% - Accent1 5 5" xfId="732"/>
    <cellStyle name="20% - Accent1 5 5 2" xfId="1471"/>
    <cellStyle name="20% - Accent1 5 5 2 2" xfId="12567"/>
    <cellStyle name="20% - Accent1 5 5 3" xfId="11857"/>
    <cellStyle name="20% - Accent1 5 6" xfId="1116"/>
    <cellStyle name="20% - Accent1 5 6 2" xfId="12212"/>
    <cellStyle name="20% - Accent1 5 7" xfId="11502"/>
    <cellStyle name="20% - Accent1 6" xfId="59"/>
    <cellStyle name="20% - Accent1 6 2" xfId="366"/>
    <cellStyle name="20% - Accent1 6 2 2" xfId="545"/>
    <cellStyle name="20% - Accent1 6 2 2 2" xfId="928"/>
    <cellStyle name="20% - Accent1 6 2 2 2 2" xfId="1667"/>
    <cellStyle name="20% - Accent1 6 2 2 2 2 2" xfId="12763"/>
    <cellStyle name="20% - Accent1 6 2 2 2 3" xfId="12053"/>
    <cellStyle name="20% - Accent1 6 2 2 3" xfId="1312"/>
    <cellStyle name="20% - Accent1 6 2 2 3 2" xfId="12408"/>
    <cellStyle name="20% - Accent1 6 2 2 4" xfId="11698"/>
    <cellStyle name="20% - Accent1 6 2 3" xfId="750"/>
    <cellStyle name="20% - Accent1 6 2 3 2" xfId="1489"/>
    <cellStyle name="20% - Accent1 6 2 3 2 2" xfId="12585"/>
    <cellStyle name="20% - Accent1 6 2 3 3" xfId="11875"/>
    <cellStyle name="20% - Accent1 6 2 4" xfId="1134"/>
    <cellStyle name="20% - Accent1 6 2 4 2" xfId="12230"/>
    <cellStyle name="20% - Accent1 6 2 5" xfId="11520"/>
    <cellStyle name="20% - Accent1 6 3" xfId="492"/>
    <cellStyle name="20% - Accent1 6 3 2" xfId="876"/>
    <cellStyle name="20% - Accent1 6 3 2 2" xfId="1615"/>
    <cellStyle name="20% - Accent1 6 3 2 2 2" xfId="12711"/>
    <cellStyle name="20% - Accent1 6 3 2 3" xfId="12001"/>
    <cellStyle name="20% - Accent1 6 3 3" xfId="1260"/>
    <cellStyle name="20% - Accent1 6 3 3 2" xfId="12356"/>
    <cellStyle name="20% - Accent1 6 3 4" xfId="11646"/>
    <cellStyle name="20% - Accent1 6 4" xfId="698"/>
    <cellStyle name="20% - Accent1 6 4 2" xfId="1437"/>
    <cellStyle name="20% - Accent1 6 4 2 2" xfId="12533"/>
    <cellStyle name="20% - Accent1 6 4 3" xfId="11823"/>
    <cellStyle name="20% - Accent1 6 5" xfId="1082"/>
    <cellStyle name="20% - Accent1 6 5 2" xfId="12178"/>
    <cellStyle name="20% - Accent1 6 6" xfId="11468"/>
    <cellStyle name="20% - Accent1 7" xfId="421"/>
    <cellStyle name="20% - Accent1 7 2" xfId="600"/>
    <cellStyle name="20% - Accent1 7 2 2" xfId="983"/>
    <cellStyle name="20% - Accent1 7 2 2 2" xfId="1722"/>
    <cellStyle name="20% - Accent1 7 2 2 2 2" xfId="12818"/>
    <cellStyle name="20% - Accent1 7 2 2 3" xfId="12108"/>
    <cellStyle name="20% - Accent1 7 2 3" xfId="1367"/>
    <cellStyle name="20% - Accent1 7 2 3 2" xfId="12463"/>
    <cellStyle name="20% - Accent1 7 2 4" xfId="11753"/>
    <cellStyle name="20% - Accent1 7 3" xfId="805"/>
    <cellStyle name="20% - Accent1 7 3 2" xfId="1544"/>
    <cellStyle name="20% - Accent1 7 3 2 2" xfId="12640"/>
    <cellStyle name="20% - Accent1 7 3 3" xfId="11930"/>
    <cellStyle name="20% - Accent1 7 4" xfId="1189"/>
    <cellStyle name="20% - Accent1 7 4 2" xfId="12285"/>
    <cellStyle name="20% - Accent1 7 5" xfId="11575"/>
    <cellStyle name="20% - Accent1 8" xfId="477"/>
    <cellStyle name="20% - Accent1 8 2" xfId="861"/>
    <cellStyle name="20% - Accent1 8 2 2" xfId="1600"/>
    <cellStyle name="20% - Accent1 8 2 2 2" xfId="12696"/>
    <cellStyle name="20% - Accent1 8 2 3" xfId="11986"/>
    <cellStyle name="20% - Accent1 8 3" xfId="1245"/>
    <cellStyle name="20% - Accent1 8 3 2" xfId="12341"/>
    <cellStyle name="20% - Accent1 8 4" xfId="11631"/>
    <cellStyle name="20% - Accent1 9" xfId="672"/>
    <cellStyle name="20% - Accent1 9 2" xfId="1422"/>
    <cellStyle name="20% - Accent1 9 2 2" xfId="12518"/>
    <cellStyle name="20% - Accent1 9 3" xfId="11808"/>
    <cellStyle name="20% - Accent2" xfId="22" builtinId="34" customBuiltin="1"/>
    <cellStyle name="20% - Accent2 10" xfId="1060"/>
    <cellStyle name="20% - Accent2 10 2" xfId="12165"/>
    <cellStyle name="20% - Accent2 11" xfId="1937"/>
    <cellStyle name="20% - Accent2 11 2" xfId="12877"/>
    <cellStyle name="20% - Accent2 12" xfId="3768"/>
    <cellStyle name="20% - Accent2 12 2" xfId="11455"/>
    <cellStyle name="20% - Accent2 2" xfId="106"/>
    <cellStyle name="20% - Accent2 2 10" xfId="3110"/>
    <cellStyle name="20% - Accent2 2 10 2" xfId="5219"/>
    <cellStyle name="20% - Accent2 2 10 2 2" xfId="17832"/>
    <cellStyle name="20% - Accent2 2 10 2 2 2" xfId="28975"/>
    <cellStyle name="20% - Accent2 2 10 2 3" xfId="23406"/>
    <cellStyle name="20% - Accent2 2 10 2 4" xfId="9370"/>
    <cellStyle name="20% - Accent2 2 10 3" xfId="15763"/>
    <cellStyle name="20% - Accent2 2 10 3 2" xfId="26906"/>
    <cellStyle name="20% - Accent2 2 10 4" xfId="21337"/>
    <cellStyle name="20% - Accent2 2 10 5" xfId="7301"/>
    <cellStyle name="20% - Accent2 2 11" xfId="3789"/>
    <cellStyle name="20% - Accent2 2 11 2" xfId="16402"/>
    <cellStyle name="20% - Accent2 2 11 2 2" xfId="27545"/>
    <cellStyle name="20% - Accent2 2 11 3" xfId="21976"/>
    <cellStyle name="20% - Accent2 2 11 4" xfId="7940"/>
    <cellStyle name="20% - Accent2 2 12" xfId="11323"/>
    <cellStyle name="20% - Accent2 2 12 2" xfId="14333"/>
    <cellStyle name="20% - Accent2 2 12 2 2" xfId="25476"/>
    <cellStyle name="20% - Accent2 2 12 3" xfId="19907"/>
    <cellStyle name="20% - Accent2 2 13" xfId="12901"/>
    <cellStyle name="20% - Accent2 2 13 2" xfId="24045"/>
    <cellStyle name="20% - Accent2 2 14" xfId="18477"/>
    <cellStyle name="20% - Accent2 2 15" xfId="5870"/>
    <cellStyle name="20% - Accent2 2 2" xfId="222"/>
    <cellStyle name="20% - Accent2 2 2 10" xfId="3808"/>
    <cellStyle name="20% - Accent2 2 2 10 2" xfId="16421"/>
    <cellStyle name="20% - Accent2 2 2 10 2 2" xfId="27564"/>
    <cellStyle name="20% - Accent2 2 2 10 3" xfId="21995"/>
    <cellStyle name="20% - Accent2 2 2 10 4" xfId="7959"/>
    <cellStyle name="20% - Accent2 2 2 11" xfId="5865"/>
    <cellStyle name="20% - Accent2 2 2 11 2" xfId="14352"/>
    <cellStyle name="20% - Accent2 2 2 11 2 2" xfId="25495"/>
    <cellStyle name="20% - Accent2 2 2 11 3" xfId="19926"/>
    <cellStyle name="20% - Accent2 2 2 12" xfId="12921"/>
    <cellStyle name="20% - Accent2 2 2 12 2" xfId="24065"/>
    <cellStyle name="20% - Accent2 2 2 13" xfId="18496"/>
    <cellStyle name="20% - Accent2 2 2 14" xfId="5889"/>
    <cellStyle name="20% - Accent2 2 2 2" xfId="260"/>
    <cellStyle name="20% - Accent2 2 2 2 10" xfId="10387"/>
    <cellStyle name="20% - Accent2 2 2 2 10 2" xfId="14390"/>
    <cellStyle name="20% - Accent2 2 2 2 10 2 2" xfId="25533"/>
    <cellStyle name="20% - Accent2 2 2 2 10 3" xfId="19964"/>
    <cellStyle name="20% - Accent2 2 2 2 11" xfId="12959"/>
    <cellStyle name="20% - Accent2 2 2 2 11 2" xfId="24103"/>
    <cellStyle name="20% - Accent2 2 2 2 12" xfId="18534"/>
    <cellStyle name="20% - Accent2 2 2 2 13" xfId="5927"/>
    <cellStyle name="20% - Accent2 2 2 2 2" xfId="336"/>
    <cellStyle name="20% - Accent2 2 2 2 2 10" xfId="13035"/>
    <cellStyle name="20% - Accent2 2 2 2 2 10 2" xfId="24179"/>
    <cellStyle name="20% - Accent2 2 2 2 2 11" xfId="18610"/>
    <cellStyle name="20% - Accent2 2 2 2 2 12" xfId="6003"/>
    <cellStyle name="20% - Accent2 2 2 2 2 2" xfId="2294"/>
    <cellStyle name="20% - Accent2 2 2 2 2 2 2" xfId="2938"/>
    <cellStyle name="20% - Accent2 2 2 2 2 2 2 2" xfId="5047"/>
    <cellStyle name="20% - Accent2 2 2 2 2 2 2 2 2" xfId="17660"/>
    <cellStyle name="20% - Accent2 2 2 2 2 2 2 2 2 2" xfId="28803"/>
    <cellStyle name="20% - Accent2 2 2 2 2 2 2 2 3" xfId="23234"/>
    <cellStyle name="20% - Accent2 2 2 2 2 2 2 2 4" xfId="9198"/>
    <cellStyle name="20% - Accent2 2 2 2 2 2 2 3" xfId="5861"/>
    <cellStyle name="20% - Accent2 2 2 2 2 2 2 3 2" xfId="15591"/>
    <cellStyle name="20% - Accent2 2 2 2 2 2 2 3 2 2" xfId="26734"/>
    <cellStyle name="20% - Accent2 2 2 2 2 2 2 3 3" xfId="21165"/>
    <cellStyle name="20% - Accent2 2 2 2 2 2 2 4" xfId="14161"/>
    <cellStyle name="20% - Accent2 2 2 2 2 2 2 4 2" xfId="25304"/>
    <cellStyle name="20% - Accent2 2 2 2 2 2 2 5" xfId="19735"/>
    <cellStyle name="20% - Accent2 2 2 2 2 2 2 6" xfId="7129"/>
    <cellStyle name="20% - Accent2 2 2 2 2 2 3" xfId="3576"/>
    <cellStyle name="20% - Accent2 2 2 2 2 2 3 2" xfId="5685"/>
    <cellStyle name="20% - Accent2 2 2 2 2 2 3 2 2" xfId="18298"/>
    <cellStyle name="20% - Accent2 2 2 2 2 2 3 2 2 2" xfId="29441"/>
    <cellStyle name="20% - Accent2 2 2 2 2 2 3 2 3" xfId="23872"/>
    <cellStyle name="20% - Accent2 2 2 2 2 2 3 2 4" xfId="9836"/>
    <cellStyle name="20% - Accent2 2 2 2 2 2 3 3" xfId="16229"/>
    <cellStyle name="20% - Accent2 2 2 2 2 2 3 3 2" xfId="27372"/>
    <cellStyle name="20% - Accent2 2 2 2 2 2 3 4" xfId="21803"/>
    <cellStyle name="20% - Accent2 2 2 2 2 2 3 5" xfId="7767"/>
    <cellStyle name="20% - Accent2 2 2 2 2 2 4" xfId="4255"/>
    <cellStyle name="20% - Accent2 2 2 2 2 2 4 2" xfId="16868"/>
    <cellStyle name="20% - Accent2 2 2 2 2 2 4 2 2" xfId="28011"/>
    <cellStyle name="20% - Accent2 2 2 2 2 2 4 3" xfId="22442"/>
    <cellStyle name="20% - Accent2 2 2 2 2 2 4 4" xfId="8406"/>
    <cellStyle name="20% - Accent2 2 2 2 2 2 5" xfId="11164"/>
    <cellStyle name="20% - Accent2 2 2 2 2 2 5 2" xfId="14952"/>
    <cellStyle name="20% - Accent2 2 2 2 2 2 5 2 2" xfId="26095"/>
    <cellStyle name="20% - Accent2 2 2 2 2 2 5 3" xfId="20526"/>
    <cellStyle name="20% - Accent2 2 2 2 2 2 6" xfId="13522"/>
    <cellStyle name="20% - Accent2 2 2 2 2 2 6 2" xfId="24665"/>
    <cellStyle name="20% - Accent2 2 2 2 2 2 7" xfId="19096"/>
    <cellStyle name="20% - Accent2 2 2 2 2 2 8" xfId="6490"/>
    <cellStyle name="20% - Accent2 2 2 2 2 3" xfId="2102"/>
    <cellStyle name="20% - Accent2 2 2 2 2 3 2" xfId="2757"/>
    <cellStyle name="20% - Accent2 2 2 2 2 3 2 2" xfId="4866"/>
    <cellStyle name="20% - Accent2 2 2 2 2 3 2 2 2" xfId="17479"/>
    <cellStyle name="20% - Accent2 2 2 2 2 3 2 2 2 2" xfId="28622"/>
    <cellStyle name="20% - Accent2 2 2 2 2 3 2 2 3" xfId="23053"/>
    <cellStyle name="20% - Accent2 2 2 2 2 3 2 2 4" xfId="9017"/>
    <cellStyle name="20% - Accent2 2 2 2 2 3 2 3" xfId="11399"/>
    <cellStyle name="20% - Accent2 2 2 2 2 3 2 3 2" xfId="15410"/>
    <cellStyle name="20% - Accent2 2 2 2 2 3 2 3 2 2" xfId="26553"/>
    <cellStyle name="20% - Accent2 2 2 2 2 3 2 3 3" xfId="20984"/>
    <cellStyle name="20% - Accent2 2 2 2 2 3 2 4" xfId="13980"/>
    <cellStyle name="20% - Accent2 2 2 2 2 3 2 4 2" xfId="25123"/>
    <cellStyle name="20% - Accent2 2 2 2 2 3 2 5" xfId="19554"/>
    <cellStyle name="20% - Accent2 2 2 2 2 3 2 6" xfId="6948"/>
    <cellStyle name="20% - Accent2 2 2 2 2 3 3" xfId="3395"/>
    <cellStyle name="20% - Accent2 2 2 2 2 3 3 2" xfId="5504"/>
    <cellStyle name="20% - Accent2 2 2 2 2 3 3 2 2" xfId="18117"/>
    <cellStyle name="20% - Accent2 2 2 2 2 3 3 2 2 2" xfId="29260"/>
    <cellStyle name="20% - Accent2 2 2 2 2 3 3 2 3" xfId="23691"/>
    <cellStyle name="20% - Accent2 2 2 2 2 3 3 2 4" xfId="9655"/>
    <cellStyle name="20% - Accent2 2 2 2 2 3 3 3" xfId="16048"/>
    <cellStyle name="20% - Accent2 2 2 2 2 3 3 3 2" xfId="27191"/>
    <cellStyle name="20% - Accent2 2 2 2 2 3 3 4" xfId="21622"/>
    <cellStyle name="20% - Accent2 2 2 2 2 3 3 5" xfId="7586"/>
    <cellStyle name="20% - Accent2 2 2 2 2 3 4" xfId="4074"/>
    <cellStyle name="20% - Accent2 2 2 2 2 3 4 2" xfId="16687"/>
    <cellStyle name="20% - Accent2 2 2 2 2 3 4 2 2" xfId="27830"/>
    <cellStyle name="20% - Accent2 2 2 2 2 3 4 3" xfId="22261"/>
    <cellStyle name="20% - Accent2 2 2 2 2 3 4 4" xfId="8225"/>
    <cellStyle name="20% - Accent2 2 2 2 2 3 5" xfId="10795"/>
    <cellStyle name="20% - Accent2 2 2 2 2 3 5 2" xfId="14771"/>
    <cellStyle name="20% - Accent2 2 2 2 2 3 5 2 2" xfId="25914"/>
    <cellStyle name="20% - Accent2 2 2 2 2 3 5 3" xfId="20345"/>
    <cellStyle name="20% - Accent2 2 2 2 2 3 6" xfId="13341"/>
    <cellStyle name="20% - Accent2 2 2 2 2 3 6 2" xfId="24484"/>
    <cellStyle name="20% - Accent2 2 2 2 2 3 7" xfId="18915"/>
    <cellStyle name="20% - Accent2 2 2 2 2 3 8" xfId="6309"/>
    <cellStyle name="20% - Accent2 2 2 2 2 4" xfId="2449"/>
    <cellStyle name="20% - Accent2 2 2 2 2 4 2" xfId="3090"/>
    <cellStyle name="20% - Accent2 2 2 2 2 4 2 2" xfId="5199"/>
    <cellStyle name="20% - Accent2 2 2 2 2 4 2 2 2" xfId="17812"/>
    <cellStyle name="20% - Accent2 2 2 2 2 4 2 2 2 2" xfId="28955"/>
    <cellStyle name="20% - Accent2 2 2 2 2 4 2 2 3" xfId="23386"/>
    <cellStyle name="20% - Accent2 2 2 2 2 4 2 2 4" xfId="9350"/>
    <cellStyle name="20% - Accent2 2 2 2 2 4 2 3" xfId="11177"/>
    <cellStyle name="20% - Accent2 2 2 2 2 4 2 3 2" xfId="15743"/>
    <cellStyle name="20% - Accent2 2 2 2 2 4 2 3 2 2" xfId="26886"/>
    <cellStyle name="20% - Accent2 2 2 2 2 4 2 3 3" xfId="21317"/>
    <cellStyle name="20% - Accent2 2 2 2 2 4 2 4" xfId="14313"/>
    <cellStyle name="20% - Accent2 2 2 2 2 4 2 4 2" xfId="25456"/>
    <cellStyle name="20% - Accent2 2 2 2 2 4 2 5" xfId="19887"/>
    <cellStyle name="20% - Accent2 2 2 2 2 4 2 6" xfId="7281"/>
    <cellStyle name="20% - Accent2 2 2 2 2 4 3" xfId="3728"/>
    <cellStyle name="20% - Accent2 2 2 2 2 4 3 2" xfId="5837"/>
    <cellStyle name="20% - Accent2 2 2 2 2 4 3 2 2" xfId="18450"/>
    <cellStyle name="20% - Accent2 2 2 2 2 4 3 2 2 2" xfId="29593"/>
    <cellStyle name="20% - Accent2 2 2 2 2 4 3 2 3" xfId="24024"/>
    <cellStyle name="20% - Accent2 2 2 2 2 4 3 2 4" xfId="9988"/>
    <cellStyle name="20% - Accent2 2 2 2 2 4 3 3" xfId="16381"/>
    <cellStyle name="20% - Accent2 2 2 2 2 4 3 3 2" xfId="27524"/>
    <cellStyle name="20% - Accent2 2 2 2 2 4 3 4" xfId="21955"/>
    <cellStyle name="20% - Accent2 2 2 2 2 4 3 5" xfId="7919"/>
    <cellStyle name="20% - Accent2 2 2 2 2 4 4" xfId="4407"/>
    <cellStyle name="20% - Accent2 2 2 2 2 4 4 2" xfId="17020"/>
    <cellStyle name="20% - Accent2 2 2 2 2 4 4 2 2" xfId="28163"/>
    <cellStyle name="20% - Accent2 2 2 2 2 4 4 3" xfId="22594"/>
    <cellStyle name="20% - Accent2 2 2 2 2 4 4 4" xfId="8558"/>
    <cellStyle name="20% - Accent2 2 2 2 2 4 5" xfId="10483"/>
    <cellStyle name="20% - Accent2 2 2 2 2 4 5 2" xfId="15104"/>
    <cellStyle name="20% - Accent2 2 2 2 2 4 5 2 2" xfId="26247"/>
    <cellStyle name="20% - Accent2 2 2 2 2 4 5 3" xfId="20678"/>
    <cellStyle name="20% - Accent2 2 2 2 2 4 6" xfId="13674"/>
    <cellStyle name="20% - Accent2 2 2 2 2 4 6 2" xfId="24817"/>
    <cellStyle name="20% - Accent2 2 2 2 2 4 7" xfId="19248"/>
    <cellStyle name="20% - Accent2 2 2 2 2 4 8" xfId="6642"/>
    <cellStyle name="20% - Accent2 2 2 2 2 5" xfId="1912"/>
    <cellStyle name="20% - Accent2 2 2 2 2 5 2" xfId="4560"/>
    <cellStyle name="20% - Accent2 2 2 2 2 5 2 2" xfId="17173"/>
    <cellStyle name="20% - Accent2 2 2 2 2 5 2 2 2" xfId="28316"/>
    <cellStyle name="20% - Accent2 2 2 2 2 5 2 3" xfId="22747"/>
    <cellStyle name="20% - Accent2 2 2 2 2 5 2 4" xfId="8711"/>
    <cellStyle name="20% - Accent2 2 2 2 2 5 3" xfId="10495"/>
    <cellStyle name="20% - Accent2 2 2 2 2 5 3 2" xfId="14619"/>
    <cellStyle name="20% - Accent2 2 2 2 2 5 3 2 2" xfId="25762"/>
    <cellStyle name="20% - Accent2 2 2 2 2 5 3 3" xfId="20193"/>
    <cellStyle name="20% - Accent2 2 2 2 2 5 4" xfId="13189"/>
    <cellStyle name="20% - Accent2 2 2 2 2 5 4 2" xfId="24332"/>
    <cellStyle name="20% - Accent2 2 2 2 2 5 5" xfId="18763"/>
    <cellStyle name="20% - Accent2 2 2 2 2 5 6" xfId="6157"/>
    <cellStyle name="20% - Accent2 2 2 2 2 6" xfId="2605"/>
    <cellStyle name="20% - Accent2 2 2 2 2 6 2" xfId="4714"/>
    <cellStyle name="20% - Accent2 2 2 2 2 6 2 2" xfId="17327"/>
    <cellStyle name="20% - Accent2 2 2 2 2 6 2 2 2" xfId="28470"/>
    <cellStyle name="20% - Accent2 2 2 2 2 6 2 3" xfId="22901"/>
    <cellStyle name="20% - Accent2 2 2 2 2 6 2 4" xfId="8865"/>
    <cellStyle name="20% - Accent2 2 2 2 2 6 3" xfId="10670"/>
    <cellStyle name="20% - Accent2 2 2 2 2 6 3 2" xfId="15258"/>
    <cellStyle name="20% - Accent2 2 2 2 2 6 3 2 2" xfId="26401"/>
    <cellStyle name="20% - Accent2 2 2 2 2 6 3 3" xfId="20832"/>
    <cellStyle name="20% - Accent2 2 2 2 2 6 4" xfId="13828"/>
    <cellStyle name="20% - Accent2 2 2 2 2 6 4 2" xfId="24971"/>
    <cellStyle name="20% - Accent2 2 2 2 2 6 5" xfId="19402"/>
    <cellStyle name="20% - Accent2 2 2 2 2 6 6" xfId="6796"/>
    <cellStyle name="20% - Accent2 2 2 2 2 7" xfId="3243"/>
    <cellStyle name="20% - Accent2 2 2 2 2 7 2" xfId="5352"/>
    <cellStyle name="20% - Accent2 2 2 2 2 7 2 2" xfId="17965"/>
    <cellStyle name="20% - Accent2 2 2 2 2 7 2 2 2" xfId="29108"/>
    <cellStyle name="20% - Accent2 2 2 2 2 7 2 3" xfId="23539"/>
    <cellStyle name="20% - Accent2 2 2 2 2 7 2 4" xfId="9503"/>
    <cellStyle name="20% - Accent2 2 2 2 2 7 3" xfId="15896"/>
    <cellStyle name="20% - Accent2 2 2 2 2 7 3 2" xfId="27039"/>
    <cellStyle name="20% - Accent2 2 2 2 2 7 4" xfId="21470"/>
    <cellStyle name="20% - Accent2 2 2 2 2 7 5" xfId="7434"/>
    <cellStyle name="20% - Accent2 2 2 2 2 8" xfId="3922"/>
    <cellStyle name="20% - Accent2 2 2 2 2 8 2" xfId="16535"/>
    <cellStyle name="20% - Accent2 2 2 2 2 8 2 2" xfId="27678"/>
    <cellStyle name="20% - Accent2 2 2 2 2 8 3" xfId="22109"/>
    <cellStyle name="20% - Accent2 2 2 2 2 8 4" xfId="8073"/>
    <cellStyle name="20% - Accent2 2 2 2 2 9" xfId="10137"/>
    <cellStyle name="20% - Accent2 2 2 2 2 9 2" xfId="14466"/>
    <cellStyle name="20% - Accent2 2 2 2 2 9 2 2" xfId="25609"/>
    <cellStyle name="20% - Accent2 2 2 2 2 9 3" xfId="20040"/>
    <cellStyle name="20% - Accent2 2 2 2 3" xfId="2218"/>
    <cellStyle name="20% - Accent2 2 2 2 3 2" xfId="2862"/>
    <cellStyle name="20% - Accent2 2 2 2 3 2 2" xfId="4971"/>
    <cellStyle name="20% - Accent2 2 2 2 3 2 2 2" xfId="17584"/>
    <cellStyle name="20% - Accent2 2 2 2 3 2 2 2 2" xfId="28727"/>
    <cellStyle name="20% - Accent2 2 2 2 3 2 2 3" xfId="23158"/>
    <cellStyle name="20% - Accent2 2 2 2 3 2 2 4" xfId="9122"/>
    <cellStyle name="20% - Accent2 2 2 2 3 2 3" xfId="11069"/>
    <cellStyle name="20% - Accent2 2 2 2 3 2 3 2" xfId="15515"/>
    <cellStyle name="20% - Accent2 2 2 2 3 2 3 2 2" xfId="26658"/>
    <cellStyle name="20% - Accent2 2 2 2 3 2 3 3" xfId="21089"/>
    <cellStyle name="20% - Accent2 2 2 2 3 2 4" xfId="14085"/>
    <cellStyle name="20% - Accent2 2 2 2 3 2 4 2" xfId="25228"/>
    <cellStyle name="20% - Accent2 2 2 2 3 2 5" xfId="19659"/>
    <cellStyle name="20% - Accent2 2 2 2 3 2 6" xfId="7053"/>
    <cellStyle name="20% - Accent2 2 2 2 3 3" xfId="3500"/>
    <cellStyle name="20% - Accent2 2 2 2 3 3 2" xfId="5609"/>
    <cellStyle name="20% - Accent2 2 2 2 3 3 2 2" xfId="18222"/>
    <cellStyle name="20% - Accent2 2 2 2 3 3 2 2 2" xfId="29365"/>
    <cellStyle name="20% - Accent2 2 2 2 3 3 2 3" xfId="23796"/>
    <cellStyle name="20% - Accent2 2 2 2 3 3 2 4" xfId="9760"/>
    <cellStyle name="20% - Accent2 2 2 2 3 3 3" xfId="16153"/>
    <cellStyle name="20% - Accent2 2 2 2 3 3 3 2" xfId="27296"/>
    <cellStyle name="20% - Accent2 2 2 2 3 3 4" xfId="21727"/>
    <cellStyle name="20% - Accent2 2 2 2 3 3 5" xfId="7691"/>
    <cellStyle name="20% - Accent2 2 2 2 3 4" xfId="4179"/>
    <cellStyle name="20% - Accent2 2 2 2 3 4 2" xfId="16792"/>
    <cellStyle name="20% - Accent2 2 2 2 3 4 2 2" xfId="27935"/>
    <cellStyle name="20% - Accent2 2 2 2 3 4 3" xfId="22366"/>
    <cellStyle name="20% - Accent2 2 2 2 3 4 4" xfId="8330"/>
    <cellStyle name="20% - Accent2 2 2 2 3 5" xfId="10517"/>
    <cellStyle name="20% - Accent2 2 2 2 3 5 2" xfId="14876"/>
    <cellStyle name="20% - Accent2 2 2 2 3 5 2 2" xfId="26019"/>
    <cellStyle name="20% - Accent2 2 2 2 3 5 3" xfId="20450"/>
    <cellStyle name="20% - Accent2 2 2 2 3 6" xfId="13446"/>
    <cellStyle name="20% - Accent2 2 2 2 3 6 2" xfId="24589"/>
    <cellStyle name="20% - Accent2 2 2 2 3 7" xfId="19020"/>
    <cellStyle name="20% - Accent2 2 2 2 3 8" xfId="6414"/>
    <cellStyle name="20% - Accent2 2 2 2 4" xfId="2026"/>
    <cellStyle name="20% - Accent2 2 2 2 4 2" xfId="2681"/>
    <cellStyle name="20% - Accent2 2 2 2 4 2 2" xfId="4790"/>
    <cellStyle name="20% - Accent2 2 2 2 4 2 2 2" xfId="17403"/>
    <cellStyle name="20% - Accent2 2 2 2 4 2 2 2 2" xfId="28546"/>
    <cellStyle name="20% - Accent2 2 2 2 4 2 2 3" xfId="22977"/>
    <cellStyle name="20% - Accent2 2 2 2 4 2 2 4" xfId="8941"/>
    <cellStyle name="20% - Accent2 2 2 2 4 2 3" xfId="11142"/>
    <cellStyle name="20% - Accent2 2 2 2 4 2 3 2" xfId="15334"/>
    <cellStyle name="20% - Accent2 2 2 2 4 2 3 2 2" xfId="26477"/>
    <cellStyle name="20% - Accent2 2 2 2 4 2 3 3" xfId="20908"/>
    <cellStyle name="20% - Accent2 2 2 2 4 2 4" xfId="13904"/>
    <cellStyle name="20% - Accent2 2 2 2 4 2 4 2" xfId="25047"/>
    <cellStyle name="20% - Accent2 2 2 2 4 2 5" xfId="19478"/>
    <cellStyle name="20% - Accent2 2 2 2 4 2 6" xfId="6872"/>
    <cellStyle name="20% - Accent2 2 2 2 4 3" xfId="3319"/>
    <cellStyle name="20% - Accent2 2 2 2 4 3 2" xfId="5428"/>
    <cellStyle name="20% - Accent2 2 2 2 4 3 2 2" xfId="18041"/>
    <cellStyle name="20% - Accent2 2 2 2 4 3 2 2 2" xfId="29184"/>
    <cellStyle name="20% - Accent2 2 2 2 4 3 2 3" xfId="23615"/>
    <cellStyle name="20% - Accent2 2 2 2 4 3 2 4" xfId="9579"/>
    <cellStyle name="20% - Accent2 2 2 2 4 3 3" xfId="15972"/>
    <cellStyle name="20% - Accent2 2 2 2 4 3 3 2" xfId="27115"/>
    <cellStyle name="20% - Accent2 2 2 2 4 3 4" xfId="21546"/>
    <cellStyle name="20% - Accent2 2 2 2 4 3 5" xfId="7510"/>
    <cellStyle name="20% - Accent2 2 2 2 4 4" xfId="3998"/>
    <cellStyle name="20% - Accent2 2 2 2 4 4 2" xfId="16611"/>
    <cellStyle name="20% - Accent2 2 2 2 4 4 2 2" xfId="27754"/>
    <cellStyle name="20% - Accent2 2 2 2 4 4 3" xfId="22185"/>
    <cellStyle name="20% - Accent2 2 2 2 4 4 4" xfId="8149"/>
    <cellStyle name="20% - Accent2 2 2 2 4 5" xfId="10180"/>
    <cellStyle name="20% - Accent2 2 2 2 4 5 2" xfId="14695"/>
    <cellStyle name="20% - Accent2 2 2 2 4 5 2 2" xfId="25838"/>
    <cellStyle name="20% - Accent2 2 2 2 4 5 3" xfId="20269"/>
    <cellStyle name="20% - Accent2 2 2 2 4 6" xfId="13265"/>
    <cellStyle name="20% - Accent2 2 2 2 4 6 2" xfId="24408"/>
    <cellStyle name="20% - Accent2 2 2 2 4 7" xfId="18839"/>
    <cellStyle name="20% - Accent2 2 2 2 4 8" xfId="6233"/>
    <cellStyle name="20% - Accent2 2 2 2 5" xfId="2373"/>
    <cellStyle name="20% - Accent2 2 2 2 5 2" xfId="3014"/>
    <cellStyle name="20% - Accent2 2 2 2 5 2 2" xfId="5123"/>
    <cellStyle name="20% - Accent2 2 2 2 5 2 2 2" xfId="17736"/>
    <cellStyle name="20% - Accent2 2 2 2 5 2 2 2 2" xfId="28879"/>
    <cellStyle name="20% - Accent2 2 2 2 5 2 2 3" xfId="23310"/>
    <cellStyle name="20% - Accent2 2 2 2 5 2 2 4" xfId="9274"/>
    <cellStyle name="20% - Accent2 2 2 2 5 2 3" xfId="10080"/>
    <cellStyle name="20% - Accent2 2 2 2 5 2 3 2" xfId="15667"/>
    <cellStyle name="20% - Accent2 2 2 2 5 2 3 2 2" xfId="26810"/>
    <cellStyle name="20% - Accent2 2 2 2 5 2 3 3" xfId="21241"/>
    <cellStyle name="20% - Accent2 2 2 2 5 2 4" xfId="14237"/>
    <cellStyle name="20% - Accent2 2 2 2 5 2 4 2" xfId="25380"/>
    <cellStyle name="20% - Accent2 2 2 2 5 2 5" xfId="19811"/>
    <cellStyle name="20% - Accent2 2 2 2 5 2 6" xfId="7205"/>
    <cellStyle name="20% - Accent2 2 2 2 5 3" xfId="3652"/>
    <cellStyle name="20% - Accent2 2 2 2 5 3 2" xfId="5761"/>
    <cellStyle name="20% - Accent2 2 2 2 5 3 2 2" xfId="18374"/>
    <cellStyle name="20% - Accent2 2 2 2 5 3 2 2 2" xfId="29517"/>
    <cellStyle name="20% - Accent2 2 2 2 5 3 2 3" xfId="23948"/>
    <cellStyle name="20% - Accent2 2 2 2 5 3 2 4" xfId="9912"/>
    <cellStyle name="20% - Accent2 2 2 2 5 3 3" xfId="16305"/>
    <cellStyle name="20% - Accent2 2 2 2 5 3 3 2" xfId="27448"/>
    <cellStyle name="20% - Accent2 2 2 2 5 3 4" xfId="21879"/>
    <cellStyle name="20% - Accent2 2 2 2 5 3 5" xfId="7843"/>
    <cellStyle name="20% - Accent2 2 2 2 5 4" xfId="4331"/>
    <cellStyle name="20% - Accent2 2 2 2 5 4 2" xfId="16944"/>
    <cellStyle name="20% - Accent2 2 2 2 5 4 2 2" xfId="28087"/>
    <cellStyle name="20% - Accent2 2 2 2 5 4 3" xfId="22518"/>
    <cellStyle name="20% - Accent2 2 2 2 5 4 4" xfId="8482"/>
    <cellStyle name="20% - Accent2 2 2 2 5 5" xfId="10905"/>
    <cellStyle name="20% - Accent2 2 2 2 5 5 2" xfId="15028"/>
    <cellStyle name="20% - Accent2 2 2 2 5 5 2 2" xfId="26171"/>
    <cellStyle name="20% - Accent2 2 2 2 5 5 3" xfId="20602"/>
    <cellStyle name="20% - Accent2 2 2 2 5 6" xfId="13598"/>
    <cellStyle name="20% - Accent2 2 2 2 5 6 2" xfId="24741"/>
    <cellStyle name="20% - Accent2 2 2 2 5 7" xfId="19172"/>
    <cellStyle name="20% - Accent2 2 2 2 5 8" xfId="6566"/>
    <cellStyle name="20% - Accent2 2 2 2 6" xfId="1836"/>
    <cellStyle name="20% - Accent2 2 2 2 6 2" xfId="4484"/>
    <cellStyle name="20% - Accent2 2 2 2 6 2 2" xfId="17097"/>
    <cellStyle name="20% - Accent2 2 2 2 6 2 2 2" xfId="28240"/>
    <cellStyle name="20% - Accent2 2 2 2 6 2 3" xfId="22671"/>
    <cellStyle name="20% - Accent2 2 2 2 6 2 4" xfId="8635"/>
    <cellStyle name="20% - Accent2 2 2 2 6 3" xfId="10884"/>
    <cellStyle name="20% - Accent2 2 2 2 6 3 2" xfId="14543"/>
    <cellStyle name="20% - Accent2 2 2 2 6 3 2 2" xfId="25686"/>
    <cellStyle name="20% - Accent2 2 2 2 6 3 3" xfId="20117"/>
    <cellStyle name="20% - Accent2 2 2 2 6 4" xfId="13113"/>
    <cellStyle name="20% - Accent2 2 2 2 6 4 2" xfId="24256"/>
    <cellStyle name="20% - Accent2 2 2 2 6 5" xfId="18687"/>
    <cellStyle name="20% - Accent2 2 2 2 6 6" xfId="6081"/>
    <cellStyle name="20% - Accent2 2 2 2 7" xfId="2529"/>
    <cellStyle name="20% - Accent2 2 2 2 7 2" xfId="4638"/>
    <cellStyle name="20% - Accent2 2 2 2 7 2 2" xfId="17251"/>
    <cellStyle name="20% - Accent2 2 2 2 7 2 2 2" xfId="28394"/>
    <cellStyle name="20% - Accent2 2 2 2 7 2 3" xfId="22825"/>
    <cellStyle name="20% - Accent2 2 2 2 7 2 4" xfId="8789"/>
    <cellStyle name="20% - Accent2 2 2 2 7 3" xfId="11425"/>
    <cellStyle name="20% - Accent2 2 2 2 7 3 2" xfId="15182"/>
    <cellStyle name="20% - Accent2 2 2 2 7 3 2 2" xfId="26325"/>
    <cellStyle name="20% - Accent2 2 2 2 7 3 3" xfId="20756"/>
    <cellStyle name="20% - Accent2 2 2 2 7 4" xfId="13752"/>
    <cellStyle name="20% - Accent2 2 2 2 7 4 2" xfId="24895"/>
    <cellStyle name="20% - Accent2 2 2 2 7 5" xfId="19326"/>
    <cellStyle name="20% - Accent2 2 2 2 7 6" xfId="6720"/>
    <cellStyle name="20% - Accent2 2 2 2 8" xfId="3167"/>
    <cellStyle name="20% - Accent2 2 2 2 8 2" xfId="5276"/>
    <cellStyle name="20% - Accent2 2 2 2 8 2 2" xfId="17889"/>
    <cellStyle name="20% - Accent2 2 2 2 8 2 2 2" xfId="29032"/>
    <cellStyle name="20% - Accent2 2 2 2 8 2 3" xfId="23463"/>
    <cellStyle name="20% - Accent2 2 2 2 8 2 4" xfId="9427"/>
    <cellStyle name="20% - Accent2 2 2 2 8 3" xfId="15820"/>
    <cellStyle name="20% - Accent2 2 2 2 8 3 2" xfId="26963"/>
    <cellStyle name="20% - Accent2 2 2 2 8 4" xfId="21394"/>
    <cellStyle name="20% - Accent2 2 2 2 8 5" xfId="7358"/>
    <cellStyle name="20% - Accent2 2 2 2 9" xfId="3846"/>
    <cellStyle name="20% - Accent2 2 2 2 9 2" xfId="16459"/>
    <cellStyle name="20% - Accent2 2 2 2 9 2 2" xfId="27602"/>
    <cellStyle name="20% - Accent2 2 2 2 9 3" xfId="22033"/>
    <cellStyle name="20% - Accent2 2 2 2 9 4" xfId="7997"/>
    <cellStyle name="20% - Accent2 2 2 3" xfId="298"/>
    <cellStyle name="20% - Accent2 2 2 3 10" xfId="12997"/>
    <cellStyle name="20% - Accent2 2 2 3 10 2" xfId="24141"/>
    <cellStyle name="20% - Accent2 2 2 3 11" xfId="18572"/>
    <cellStyle name="20% - Accent2 2 2 3 12" xfId="5965"/>
    <cellStyle name="20% - Accent2 2 2 3 2" xfId="2256"/>
    <cellStyle name="20% - Accent2 2 2 3 2 2" xfId="2900"/>
    <cellStyle name="20% - Accent2 2 2 3 2 2 2" xfId="5009"/>
    <cellStyle name="20% - Accent2 2 2 3 2 2 2 2" xfId="17622"/>
    <cellStyle name="20% - Accent2 2 2 3 2 2 2 2 2" xfId="28765"/>
    <cellStyle name="20% - Accent2 2 2 3 2 2 2 3" xfId="23196"/>
    <cellStyle name="20% - Accent2 2 2 3 2 2 2 4" xfId="9160"/>
    <cellStyle name="20% - Accent2 2 2 3 2 2 3" xfId="10324"/>
    <cellStyle name="20% - Accent2 2 2 3 2 2 3 2" xfId="15553"/>
    <cellStyle name="20% - Accent2 2 2 3 2 2 3 2 2" xfId="26696"/>
    <cellStyle name="20% - Accent2 2 2 3 2 2 3 3" xfId="21127"/>
    <cellStyle name="20% - Accent2 2 2 3 2 2 4" xfId="14123"/>
    <cellStyle name="20% - Accent2 2 2 3 2 2 4 2" xfId="25266"/>
    <cellStyle name="20% - Accent2 2 2 3 2 2 5" xfId="19697"/>
    <cellStyle name="20% - Accent2 2 2 3 2 2 6" xfId="7091"/>
    <cellStyle name="20% - Accent2 2 2 3 2 3" xfId="3538"/>
    <cellStyle name="20% - Accent2 2 2 3 2 3 2" xfId="5647"/>
    <cellStyle name="20% - Accent2 2 2 3 2 3 2 2" xfId="18260"/>
    <cellStyle name="20% - Accent2 2 2 3 2 3 2 2 2" xfId="29403"/>
    <cellStyle name="20% - Accent2 2 2 3 2 3 2 3" xfId="23834"/>
    <cellStyle name="20% - Accent2 2 2 3 2 3 2 4" xfId="9798"/>
    <cellStyle name="20% - Accent2 2 2 3 2 3 3" xfId="16191"/>
    <cellStyle name="20% - Accent2 2 2 3 2 3 3 2" xfId="27334"/>
    <cellStyle name="20% - Accent2 2 2 3 2 3 4" xfId="21765"/>
    <cellStyle name="20% - Accent2 2 2 3 2 3 5" xfId="7729"/>
    <cellStyle name="20% - Accent2 2 2 3 2 4" xfId="4217"/>
    <cellStyle name="20% - Accent2 2 2 3 2 4 2" xfId="16830"/>
    <cellStyle name="20% - Accent2 2 2 3 2 4 2 2" xfId="27973"/>
    <cellStyle name="20% - Accent2 2 2 3 2 4 3" xfId="22404"/>
    <cellStyle name="20% - Accent2 2 2 3 2 4 4" xfId="8368"/>
    <cellStyle name="20% - Accent2 2 2 3 2 5" xfId="10259"/>
    <cellStyle name="20% - Accent2 2 2 3 2 5 2" xfId="14914"/>
    <cellStyle name="20% - Accent2 2 2 3 2 5 2 2" xfId="26057"/>
    <cellStyle name="20% - Accent2 2 2 3 2 5 3" xfId="20488"/>
    <cellStyle name="20% - Accent2 2 2 3 2 6" xfId="13484"/>
    <cellStyle name="20% - Accent2 2 2 3 2 6 2" xfId="24627"/>
    <cellStyle name="20% - Accent2 2 2 3 2 7" xfId="19058"/>
    <cellStyle name="20% - Accent2 2 2 3 2 8" xfId="6452"/>
    <cellStyle name="20% - Accent2 2 2 3 3" xfId="2064"/>
    <cellStyle name="20% - Accent2 2 2 3 3 2" xfId="2719"/>
    <cellStyle name="20% - Accent2 2 2 3 3 2 2" xfId="4828"/>
    <cellStyle name="20% - Accent2 2 2 3 3 2 2 2" xfId="17441"/>
    <cellStyle name="20% - Accent2 2 2 3 3 2 2 2 2" xfId="28584"/>
    <cellStyle name="20% - Accent2 2 2 3 3 2 2 3" xfId="23015"/>
    <cellStyle name="20% - Accent2 2 2 3 3 2 2 4" xfId="8979"/>
    <cellStyle name="20% - Accent2 2 2 3 3 2 3" xfId="10454"/>
    <cellStyle name="20% - Accent2 2 2 3 3 2 3 2" xfId="15372"/>
    <cellStyle name="20% - Accent2 2 2 3 3 2 3 2 2" xfId="26515"/>
    <cellStyle name="20% - Accent2 2 2 3 3 2 3 3" xfId="20946"/>
    <cellStyle name="20% - Accent2 2 2 3 3 2 4" xfId="13942"/>
    <cellStyle name="20% - Accent2 2 2 3 3 2 4 2" xfId="25085"/>
    <cellStyle name="20% - Accent2 2 2 3 3 2 5" xfId="19516"/>
    <cellStyle name="20% - Accent2 2 2 3 3 2 6" xfId="6910"/>
    <cellStyle name="20% - Accent2 2 2 3 3 3" xfId="3357"/>
    <cellStyle name="20% - Accent2 2 2 3 3 3 2" xfId="5466"/>
    <cellStyle name="20% - Accent2 2 2 3 3 3 2 2" xfId="18079"/>
    <cellStyle name="20% - Accent2 2 2 3 3 3 2 2 2" xfId="29222"/>
    <cellStyle name="20% - Accent2 2 2 3 3 3 2 3" xfId="23653"/>
    <cellStyle name="20% - Accent2 2 2 3 3 3 2 4" xfId="9617"/>
    <cellStyle name="20% - Accent2 2 2 3 3 3 3" xfId="16010"/>
    <cellStyle name="20% - Accent2 2 2 3 3 3 3 2" xfId="27153"/>
    <cellStyle name="20% - Accent2 2 2 3 3 3 4" xfId="21584"/>
    <cellStyle name="20% - Accent2 2 2 3 3 3 5" xfId="7548"/>
    <cellStyle name="20% - Accent2 2 2 3 3 4" xfId="4036"/>
    <cellStyle name="20% - Accent2 2 2 3 3 4 2" xfId="16649"/>
    <cellStyle name="20% - Accent2 2 2 3 3 4 2 2" xfId="27792"/>
    <cellStyle name="20% - Accent2 2 2 3 3 4 3" xfId="22223"/>
    <cellStyle name="20% - Accent2 2 2 3 3 4 4" xfId="8187"/>
    <cellStyle name="20% - Accent2 2 2 3 3 5" xfId="10741"/>
    <cellStyle name="20% - Accent2 2 2 3 3 5 2" xfId="14733"/>
    <cellStyle name="20% - Accent2 2 2 3 3 5 2 2" xfId="25876"/>
    <cellStyle name="20% - Accent2 2 2 3 3 5 3" xfId="20307"/>
    <cellStyle name="20% - Accent2 2 2 3 3 6" xfId="13303"/>
    <cellStyle name="20% - Accent2 2 2 3 3 6 2" xfId="24446"/>
    <cellStyle name="20% - Accent2 2 2 3 3 7" xfId="18877"/>
    <cellStyle name="20% - Accent2 2 2 3 3 8" xfId="6271"/>
    <cellStyle name="20% - Accent2 2 2 3 4" xfId="2411"/>
    <cellStyle name="20% - Accent2 2 2 3 4 2" xfId="3052"/>
    <cellStyle name="20% - Accent2 2 2 3 4 2 2" xfId="5161"/>
    <cellStyle name="20% - Accent2 2 2 3 4 2 2 2" xfId="17774"/>
    <cellStyle name="20% - Accent2 2 2 3 4 2 2 2 2" xfId="28917"/>
    <cellStyle name="20% - Accent2 2 2 3 4 2 2 3" xfId="23348"/>
    <cellStyle name="20% - Accent2 2 2 3 4 2 2 4" xfId="9312"/>
    <cellStyle name="20% - Accent2 2 2 3 4 2 3" xfId="10035"/>
    <cellStyle name="20% - Accent2 2 2 3 4 2 3 2" xfId="15705"/>
    <cellStyle name="20% - Accent2 2 2 3 4 2 3 2 2" xfId="26848"/>
    <cellStyle name="20% - Accent2 2 2 3 4 2 3 3" xfId="21279"/>
    <cellStyle name="20% - Accent2 2 2 3 4 2 4" xfId="14275"/>
    <cellStyle name="20% - Accent2 2 2 3 4 2 4 2" xfId="25418"/>
    <cellStyle name="20% - Accent2 2 2 3 4 2 5" xfId="19849"/>
    <cellStyle name="20% - Accent2 2 2 3 4 2 6" xfId="7243"/>
    <cellStyle name="20% - Accent2 2 2 3 4 3" xfId="3690"/>
    <cellStyle name="20% - Accent2 2 2 3 4 3 2" xfId="5799"/>
    <cellStyle name="20% - Accent2 2 2 3 4 3 2 2" xfId="18412"/>
    <cellStyle name="20% - Accent2 2 2 3 4 3 2 2 2" xfId="29555"/>
    <cellStyle name="20% - Accent2 2 2 3 4 3 2 3" xfId="23986"/>
    <cellStyle name="20% - Accent2 2 2 3 4 3 2 4" xfId="9950"/>
    <cellStyle name="20% - Accent2 2 2 3 4 3 3" xfId="16343"/>
    <cellStyle name="20% - Accent2 2 2 3 4 3 3 2" xfId="27486"/>
    <cellStyle name="20% - Accent2 2 2 3 4 3 4" xfId="21917"/>
    <cellStyle name="20% - Accent2 2 2 3 4 3 5" xfId="7881"/>
    <cellStyle name="20% - Accent2 2 2 3 4 4" xfId="4369"/>
    <cellStyle name="20% - Accent2 2 2 3 4 4 2" xfId="16982"/>
    <cellStyle name="20% - Accent2 2 2 3 4 4 2 2" xfId="28125"/>
    <cellStyle name="20% - Accent2 2 2 3 4 4 3" xfId="22556"/>
    <cellStyle name="20% - Accent2 2 2 3 4 4 4" xfId="8520"/>
    <cellStyle name="20% - Accent2 2 2 3 4 5" xfId="10550"/>
    <cellStyle name="20% - Accent2 2 2 3 4 5 2" xfId="15066"/>
    <cellStyle name="20% - Accent2 2 2 3 4 5 2 2" xfId="26209"/>
    <cellStyle name="20% - Accent2 2 2 3 4 5 3" xfId="20640"/>
    <cellStyle name="20% - Accent2 2 2 3 4 6" xfId="13636"/>
    <cellStyle name="20% - Accent2 2 2 3 4 6 2" xfId="24779"/>
    <cellStyle name="20% - Accent2 2 2 3 4 7" xfId="19210"/>
    <cellStyle name="20% - Accent2 2 2 3 4 8" xfId="6604"/>
    <cellStyle name="20% - Accent2 2 2 3 5" xfId="1874"/>
    <cellStyle name="20% - Accent2 2 2 3 5 2" xfId="4522"/>
    <cellStyle name="20% - Accent2 2 2 3 5 2 2" xfId="17135"/>
    <cellStyle name="20% - Accent2 2 2 3 5 2 2 2" xfId="28278"/>
    <cellStyle name="20% - Accent2 2 2 3 5 2 3" xfId="22709"/>
    <cellStyle name="20% - Accent2 2 2 3 5 2 4" xfId="8673"/>
    <cellStyle name="20% - Accent2 2 2 3 5 3" xfId="10494"/>
    <cellStyle name="20% - Accent2 2 2 3 5 3 2" xfId="14581"/>
    <cellStyle name="20% - Accent2 2 2 3 5 3 2 2" xfId="25724"/>
    <cellStyle name="20% - Accent2 2 2 3 5 3 3" xfId="20155"/>
    <cellStyle name="20% - Accent2 2 2 3 5 4" xfId="13151"/>
    <cellStyle name="20% - Accent2 2 2 3 5 4 2" xfId="24294"/>
    <cellStyle name="20% - Accent2 2 2 3 5 5" xfId="18725"/>
    <cellStyle name="20% - Accent2 2 2 3 5 6" xfId="6119"/>
    <cellStyle name="20% - Accent2 2 2 3 6" xfId="2567"/>
    <cellStyle name="20% - Accent2 2 2 3 6 2" xfId="4676"/>
    <cellStyle name="20% - Accent2 2 2 3 6 2 2" xfId="17289"/>
    <cellStyle name="20% - Accent2 2 2 3 6 2 2 2" xfId="28432"/>
    <cellStyle name="20% - Accent2 2 2 3 6 2 3" xfId="22863"/>
    <cellStyle name="20% - Accent2 2 2 3 6 2 4" xfId="8827"/>
    <cellStyle name="20% - Accent2 2 2 3 6 3" xfId="10694"/>
    <cellStyle name="20% - Accent2 2 2 3 6 3 2" xfId="15220"/>
    <cellStyle name="20% - Accent2 2 2 3 6 3 2 2" xfId="26363"/>
    <cellStyle name="20% - Accent2 2 2 3 6 3 3" xfId="20794"/>
    <cellStyle name="20% - Accent2 2 2 3 6 4" xfId="13790"/>
    <cellStyle name="20% - Accent2 2 2 3 6 4 2" xfId="24933"/>
    <cellStyle name="20% - Accent2 2 2 3 6 5" xfId="19364"/>
    <cellStyle name="20% - Accent2 2 2 3 6 6" xfId="6758"/>
    <cellStyle name="20% - Accent2 2 2 3 7" xfId="3205"/>
    <cellStyle name="20% - Accent2 2 2 3 7 2" xfId="5314"/>
    <cellStyle name="20% - Accent2 2 2 3 7 2 2" xfId="17927"/>
    <cellStyle name="20% - Accent2 2 2 3 7 2 2 2" xfId="29070"/>
    <cellStyle name="20% - Accent2 2 2 3 7 2 3" xfId="23501"/>
    <cellStyle name="20% - Accent2 2 2 3 7 2 4" xfId="9465"/>
    <cellStyle name="20% - Accent2 2 2 3 7 3" xfId="15858"/>
    <cellStyle name="20% - Accent2 2 2 3 7 3 2" xfId="27001"/>
    <cellStyle name="20% - Accent2 2 2 3 7 4" xfId="21432"/>
    <cellStyle name="20% - Accent2 2 2 3 7 5" xfId="7396"/>
    <cellStyle name="20% - Accent2 2 2 3 8" xfId="3884"/>
    <cellStyle name="20% - Accent2 2 2 3 8 2" xfId="16497"/>
    <cellStyle name="20% - Accent2 2 2 3 8 2 2" xfId="27640"/>
    <cellStyle name="20% - Accent2 2 2 3 8 3" xfId="22071"/>
    <cellStyle name="20% - Accent2 2 2 3 8 4" xfId="8035"/>
    <cellStyle name="20% - Accent2 2 2 3 9" xfId="10493"/>
    <cellStyle name="20% - Accent2 2 2 3 9 2" xfId="14428"/>
    <cellStyle name="20% - Accent2 2 2 3 9 2 2" xfId="25571"/>
    <cellStyle name="20% - Accent2 2 2 3 9 3" xfId="20002"/>
    <cellStyle name="20% - Accent2 2 2 4" xfId="2180"/>
    <cellStyle name="20% - Accent2 2 2 4 2" xfId="2824"/>
    <cellStyle name="20% - Accent2 2 2 4 2 2" xfId="4933"/>
    <cellStyle name="20% - Accent2 2 2 4 2 2 2" xfId="17546"/>
    <cellStyle name="20% - Accent2 2 2 4 2 2 2 2" xfId="28689"/>
    <cellStyle name="20% - Accent2 2 2 4 2 2 3" xfId="23120"/>
    <cellStyle name="20% - Accent2 2 2 4 2 2 4" xfId="9084"/>
    <cellStyle name="20% - Accent2 2 2 4 2 3" xfId="11274"/>
    <cellStyle name="20% - Accent2 2 2 4 2 3 2" xfId="15477"/>
    <cellStyle name="20% - Accent2 2 2 4 2 3 2 2" xfId="26620"/>
    <cellStyle name="20% - Accent2 2 2 4 2 3 3" xfId="21051"/>
    <cellStyle name="20% - Accent2 2 2 4 2 4" xfId="14047"/>
    <cellStyle name="20% - Accent2 2 2 4 2 4 2" xfId="25190"/>
    <cellStyle name="20% - Accent2 2 2 4 2 5" xfId="19621"/>
    <cellStyle name="20% - Accent2 2 2 4 2 6" xfId="7015"/>
    <cellStyle name="20% - Accent2 2 2 4 3" xfId="3462"/>
    <cellStyle name="20% - Accent2 2 2 4 3 2" xfId="5571"/>
    <cellStyle name="20% - Accent2 2 2 4 3 2 2" xfId="18184"/>
    <cellStyle name="20% - Accent2 2 2 4 3 2 2 2" xfId="29327"/>
    <cellStyle name="20% - Accent2 2 2 4 3 2 3" xfId="23758"/>
    <cellStyle name="20% - Accent2 2 2 4 3 2 4" xfId="9722"/>
    <cellStyle name="20% - Accent2 2 2 4 3 3" xfId="16115"/>
    <cellStyle name="20% - Accent2 2 2 4 3 3 2" xfId="27258"/>
    <cellStyle name="20% - Accent2 2 2 4 3 4" xfId="21689"/>
    <cellStyle name="20% - Accent2 2 2 4 3 5" xfId="7653"/>
    <cellStyle name="20% - Accent2 2 2 4 4" xfId="4141"/>
    <cellStyle name="20% - Accent2 2 2 4 4 2" xfId="16754"/>
    <cellStyle name="20% - Accent2 2 2 4 4 2 2" xfId="27897"/>
    <cellStyle name="20% - Accent2 2 2 4 4 3" xfId="22328"/>
    <cellStyle name="20% - Accent2 2 2 4 4 4" xfId="8292"/>
    <cellStyle name="20% - Accent2 2 2 4 5" xfId="10138"/>
    <cellStyle name="20% - Accent2 2 2 4 5 2" xfId="14838"/>
    <cellStyle name="20% - Accent2 2 2 4 5 2 2" xfId="25981"/>
    <cellStyle name="20% - Accent2 2 2 4 5 3" xfId="20412"/>
    <cellStyle name="20% - Accent2 2 2 4 6" xfId="13408"/>
    <cellStyle name="20% - Accent2 2 2 4 6 2" xfId="24551"/>
    <cellStyle name="20% - Accent2 2 2 4 7" xfId="18982"/>
    <cellStyle name="20% - Accent2 2 2 4 8" xfId="6376"/>
    <cellStyle name="20% - Accent2 2 2 5" xfId="1988"/>
    <cellStyle name="20% - Accent2 2 2 5 2" xfId="2643"/>
    <cellStyle name="20% - Accent2 2 2 5 2 2" xfId="4752"/>
    <cellStyle name="20% - Accent2 2 2 5 2 2 2" xfId="17365"/>
    <cellStyle name="20% - Accent2 2 2 5 2 2 2 2" xfId="28508"/>
    <cellStyle name="20% - Accent2 2 2 5 2 2 3" xfId="22939"/>
    <cellStyle name="20% - Accent2 2 2 5 2 2 4" xfId="8903"/>
    <cellStyle name="20% - Accent2 2 2 5 2 3" xfId="10770"/>
    <cellStyle name="20% - Accent2 2 2 5 2 3 2" xfId="15296"/>
    <cellStyle name="20% - Accent2 2 2 5 2 3 2 2" xfId="26439"/>
    <cellStyle name="20% - Accent2 2 2 5 2 3 3" xfId="20870"/>
    <cellStyle name="20% - Accent2 2 2 5 2 4" xfId="13866"/>
    <cellStyle name="20% - Accent2 2 2 5 2 4 2" xfId="25009"/>
    <cellStyle name="20% - Accent2 2 2 5 2 5" xfId="19440"/>
    <cellStyle name="20% - Accent2 2 2 5 2 6" xfId="6834"/>
    <cellStyle name="20% - Accent2 2 2 5 3" xfId="3281"/>
    <cellStyle name="20% - Accent2 2 2 5 3 2" xfId="5390"/>
    <cellStyle name="20% - Accent2 2 2 5 3 2 2" xfId="18003"/>
    <cellStyle name="20% - Accent2 2 2 5 3 2 2 2" xfId="29146"/>
    <cellStyle name="20% - Accent2 2 2 5 3 2 3" xfId="23577"/>
    <cellStyle name="20% - Accent2 2 2 5 3 2 4" xfId="9541"/>
    <cellStyle name="20% - Accent2 2 2 5 3 3" xfId="15934"/>
    <cellStyle name="20% - Accent2 2 2 5 3 3 2" xfId="27077"/>
    <cellStyle name="20% - Accent2 2 2 5 3 4" xfId="21508"/>
    <cellStyle name="20% - Accent2 2 2 5 3 5" xfId="7472"/>
    <cellStyle name="20% - Accent2 2 2 5 4" xfId="3960"/>
    <cellStyle name="20% - Accent2 2 2 5 4 2" xfId="16573"/>
    <cellStyle name="20% - Accent2 2 2 5 4 2 2" xfId="27716"/>
    <cellStyle name="20% - Accent2 2 2 5 4 3" xfId="22147"/>
    <cellStyle name="20% - Accent2 2 2 5 4 4" xfId="8111"/>
    <cellStyle name="20% - Accent2 2 2 5 5" xfId="11298"/>
    <cellStyle name="20% - Accent2 2 2 5 5 2" xfId="14657"/>
    <cellStyle name="20% - Accent2 2 2 5 5 2 2" xfId="25800"/>
    <cellStyle name="20% - Accent2 2 2 5 5 3" xfId="20231"/>
    <cellStyle name="20% - Accent2 2 2 5 6" xfId="13227"/>
    <cellStyle name="20% - Accent2 2 2 5 6 2" xfId="24370"/>
    <cellStyle name="20% - Accent2 2 2 5 7" xfId="18801"/>
    <cellStyle name="20% - Accent2 2 2 5 8" xfId="6195"/>
    <cellStyle name="20% - Accent2 2 2 6" xfId="2335"/>
    <cellStyle name="20% - Accent2 2 2 6 2" xfId="2976"/>
    <cellStyle name="20% - Accent2 2 2 6 2 2" xfId="5085"/>
    <cellStyle name="20% - Accent2 2 2 6 2 2 2" xfId="17698"/>
    <cellStyle name="20% - Accent2 2 2 6 2 2 2 2" xfId="28841"/>
    <cellStyle name="20% - Accent2 2 2 6 2 2 3" xfId="23272"/>
    <cellStyle name="20% - Accent2 2 2 6 2 2 4" xfId="9236"/>
    <cellStyle name="20% - Accent2 2 2 6 2 3" xfId="11057"/>
    <cellStyle name="20% - Accent2 2 2 6 2 3 2" xfId="15629"/>
    <cellStyle name="20% - Accent2 2 2 6 2 3 2 2" xfId="26772"/>
    <cellStyle name="20% - Accent2 2 2 6 2 3 3" xfId="21203"/>
    <cellStyle name="20% - Accent2 2 2 6 2 4" xfId="14199"/>
    <cellStyle name="20% - Accent2 2 2 6 2 4 2" xfId="25342"/>
    <cellStyle name="20% - Accent2 2 2 6 2 5" xfId="19773"/>
    <cellStyle name="20% - Accent2 2 2 6 2 6" xfId="7167"/>
    <cellStyle name="20% - Accent2 2 2 6 3" xfId="3614"/>
    <cellStyle name="20% - Accent2 2 2 6 3 2" xfId="5723"/>
    <cellStyle name="20% - Accent2 2 2 6 3 2 2" xfId="18336"/>
    <cellStyle name="20% - Accent2 2 2 6 3 2 2 2" xfId="29479"/>
    <cellStyle name="20% - Accent2 2 2 6 3 2 3" xfId="23910"/>
    <cellStyle name="20% - Accent2 2 2 6 3 2 4" xfId="9874"/>
    <cellStyle name="20% - Accent2 2 2 6 3 3" xfId="16267"/>
    <cellStyle name="20% - Accent2 2 2 6 3 3 2" xfId="27410"/>
    <cellStyle name="20% - Accent2 2 2 6 3 4" xfId="21841"/>
    <cellStyle name="20% - Accent2 2 2 6 3 5" xfId="7805"/>
    <cellStyle name="20% - Accent2 2 2 6 4" xfId="4293"/>
    <cellStyle name="20% - Accent2 2 2 6 4 2" xfId="16906"/>
    <cellStyle name="20% - Accent2 2 2 6 4 2 2" xfId="28049"/>
    <cellStyle name="20% - Accent2 2 2 6 4 3" xfId="22480"/>
    <cellStyle name="20% - Accent2 2 2 6 4 4" xfId="8444"/>
    <cellStyle name="20% - Accent2 2 2 6 5" xfId="11146"/>
    <cellStyle name="20% - Accent2 2 2 6 5 2" xfId="14990"/>
    <cellStyle name="20% - Accent2 2 2 6 5 2 2" xfId="26133"/>
    <cellStyle name="20% - Accent2 2 2 6 5 3" xfId="20564"/>
    <cellStyle name="20% - Accent2 2 2 6 6" xfId="13560"/>
    <cellStyle name="20% - Accent2 2 2 6 6 2" xfId="24703"/>
    <cellStyle name="20% - Accent2 2 2 6 7" xfId="19134"/>
    <cellStyle name="20% - Accent2 2 2 6 8" xfId="6528"/>
    <cellStyle name="20% - Accent2 2 2 7" xfId="1798"/>
    <cellStyle name="20% - Accent2 2 2 7 2" xfId="4446"/>
    <cellStyle name="20% - Accent2 2 2 7 2 2" xfId="17059"/>
    <cellStyle name="20% - Accent2 2 2 7 2 2 2" xfId="28202"/>
    <cellStyle name="20% - Accent2 2 2 7 2 3" xfId="22633"/>
    <cellStyle name="20% - Accent2 2 2 7 2 4" xfId="8597"/>
    <cellStyle name="20% - Accent2 2 2 7 3" xfId="10415"/>
    <cellStyle name="20% - Accent2 2 2 7 3 2" xfId="14505"/>
    <cellStyle name="20% - Accent2 2 2 7 3 2 2" xfId="25648"/>
    <cellStyle name="20% - Accent2 2 2 7 3 3" xfId="20079"/>
    <cellStyle name="20% - Accent2 2 2 7 4" xfId="13075"/>
    <cellStyle name="20% - Accent2 2 2 7 4 2" xfId="24218"/>
    <cellStyle name="20% - Accent2 2 2 7 5" xfId="18649"/>
    <cellStyle name="20% - Accent2 2 2 7 6" xfId="6043"/>
    <cellStyle name="20% - Accent2 2 2 8" xfId="2491"/>
    <cellStyle name="20% - Accent2 2 2 8 2" xfId="4600"/>
    <cellStyle name="20% - Accent2 2 2 8 2 2" xfId="17213"/>
    <cellStyle name="20% - Accent2 2 2 8 2 2 2" xfId="28356"/>
    <cellStyle name="20% - Accent2 2 2 8 2 3" xfId="22787"/>
    <cellStyle name="20% - Accent2 2 2 8 2 4" xfId="8751"/>
    <cellStyle name="20% - Accent2 2 2 8 3" xfId="10420"/>
    <cellStyle name="20% - Accent2 2 2 8 3 2" xfId="15144"/>
    <cellStyle name="20% - Accent2 2 2 8 3 2 2" xfId="26287"/>
    <cellStyle name="20% - Accent2 2 2 8 3 3" xfId="20718"/>
    <cellStyle name="20% - Accent2 2 2 8 4" xfId="13714"/>
    <cellStyle name="20% - Accent2 2 2 8 4 2" xfId="24857"/>
    <cellStyle name="20% - Accent2 2 2 8 5" xfId="19288"/>
    <cellStyle name="20% - Accent2 2 2 8 6" xfId="6682"/>
    <cellStyle name="20% - Accent2 2 2 9" xfId="3129"/>
    <cellStyle name="20% - Accent2 2 2 9 2" xfId="5238"/>
    <cellStyle name="20% - Accent2 2 2 9 2 2" xfId="17851"/>
    <cellStyle name="20% - Accent2 2 2 9 2 2 2" xfId="28994"/>
    <cellStyle name="20% - Accent2 2 2 9 2 3" xfId="23425"/>
    <cellStyle name="20% - Accent2 2 2 9 2 4" xfId="9389"/>
    <cellStyle name="20% - Accent2 2 2 9 3" xfId="15782"/>
    <cellStyle name="20% - Accent2 2 2 9 3 2" xfId="26925"/>
    <cellStyle name="20% - Accent2 2 2 9 4" xfId="21356"/>
    <cellStyle name="20% - Accent2 2 2 9 5" xfId="7320"/>
    <cellStyle name="20% - Accent2 2 3" xfId="241"/>
    <cellStyle name="20% - Accent2 2 3 10" xfId="10536"/>
    <cellStyle name="20% - Accent2 2 3 10 2" xfId="14371"/>
    <cellStyle name="20% - Accent2 2 3 10 2 2" xfId="25514"/>
    <cellStyle name="20% - Accent2 2 3 10 3" xfId="19945"/>
    <cellStyle name="20% - Accent2 2 3 11" xfId="12940"/>
    <cellStyle name="20% - Accent2 2 3 11 2" xfId="24084"/>
    <cellStyle name="20% - Accent2 2 3 12" xfId="18515"/>
    <cellStyle name="20% - Accent2 2 3 13" xfId="5908"/>
    <cellStyle name="20% - Accent2 2 3 2" xfId="317"/>
    <cellStyle name="20% - Accent2 2 3 2 10" xfId="13016"/>
    <cellStyle name="20% - Accent2 2 3 2 10 2" xfId="24160"/>
    <cellStyle name="20% - Accent2 2 3 2 11" xfId="18591"/>
    <cellStyle name="20% - Accent2 2 3 2 12" xfId="5984"/>
    <cellStyle name="20% - Accent2 2 3 2 2" xfId="2275"/>
    <cellStyle name="20% - Accent2 2 3 2 2 2" xfId="2919"/>
    <cellStyle name="20% - Accent2 2 3 2 2 2 2" xfId="5028"/>
    <cellStyle name="20% - Accent2 2 3 2 2 2 2 2" xfId="17641"/>
    <cellStyle name="20% - Accent2 2 3 2 2 2 2 2 2" xfId="28784"/>
    <cellStyle name="20% - Accent2 2 3 2 2 2 2 3" xfId="23215"/>
    <cellStyle name="20% - Accent2 2 3 2 2 2 2 4" xfId="9179"/>
    <cellStyle name="20% - Accent2 2 3 2 2 2 3" xfId="11265"/>
    <cellStyle name="20% - Accent2 2 3 2 2 2 3 2" xfId="15572"/>
    <cellStyle name="20% - Accent2 2 3 2 2 2 3 2 2" xfId="26715"/>
    <cellStyle name="20% - Accent2 2 3 2 2 2 3 3" xfId="21146"/>
    <cellStyle name="20% - Accent2 2 3 2 2 2 4" xfId="14142"/>
    <cellStyle name="20% - Accent2 2 3 2 2 2 4 2" xfId="25285"/>
    <cellStyle name="20% - Accent2 2 3 2 2 2 5" xfId="19716"/>
    <cellStyle name="20% - Accent2 2 3 2 2 2 6" xfId="7110"/>
    <cellStyle name="20% - Accent2 2 3 2 2 3" xfId="3557"/>
    <cellStyle name="20% - Accent2 2 3 2 2 3 2" xfId="5666"/>
    <cellStyle name="20% - Accent2 2 3 2 2 3 2 2" xfId="18279"/>
    <cellStyle name="20% - Accent2 2 3 2 2 3 2 2 2" xfId="29422"/>
    <cellStyle name="20% - Accent2 2 3 2 2 3 2 3" xfId="23853"/>
    <cellStyle name="20% - Accent2 2 3 2 2 3 2 4" xfId="9817"/>
    <cellStyle name="20% - Accent2 2 3 2 2 3 3" xfId="16210"/>
    <cellStyle name="20% - Accent2 2 3 2 2 3 3 2" xfId="27353"/>
    <cellStyle name="20% - Accent2 2 3 2 2 3 4" xfId="21784"/>
    <cellStyle name="20% - Accent2 2 3 2 2 3 5" xfId="7748"/>
    <cellStyle name="20% - Accent2 2 3 2 2 4" xfId="4236"/>
    <cellStyle name="20% - Accent2 2 3 2 2 4 2" xfId="16849"/>
    <cellStyle name="20% - Accent2 2 3 2 2 4 2 2" xfId="27992"/>
    <cellStyle name="20% - Accent2 2 3 2 2 4 3" xfId="22423"/>
    <cellStyle name="20% - Accent2 2 3 2 2 4 4" xfId="8387"/>
    <cellStyle name="20% - Accent2 2 3 2 2 5" xfId="11305"/>
    <cellStyle name="20% - Accent2 2 3 2 2 5 2" xfId="14933"/>
    <cellStyle name="20% - Accent2 2 3 2 2 5 2 2" xfId="26076"/>
    <cellStyle name="20% - Accent2 2 3 2 2 5 3" xfId="20507"/>
    <cellStyle name="20% - Accent2 2 3 2 2 6" xfId="13503"/>
    <cellStyle name="20% - Accent2 2 3 2 2 6 2" xfId="24646"/>
    <cellStyle name="20% - Accent2 2 3 2 2 7" xfId="19077"/>
    <cellStyle name="20% - Accent2 2 3 2 2 8" xfId="6471"/>
    <cellStyle name="20% - Accent2 2 3 2 3" xfId="2083"/>
    <cellStyle name="20% - Accent2 2 3 2 3 2" xfId="2738"/>
    <cellStyle name="20% - Accent2 2 3 2 3 2 2" xfId="4847"/>
    <cellStyle name="20% - Accent2 2 3 2 3 2 2 2" xfId="17460"/>
    <cellStyle name="20% - Accent2 2 3 2 3 2 2 2 2" xfId="28603"/>
    <cellStyle name="20% - Accent2 2 3 2 3 2 2 3" xfId="23034"/>
    <cellStyle name="20% - Accent2 2 3 2 3 2 2 4" xfId="8998"/>
    <cellStyle name="20% - Accent2 2 3 2 3 2 3" xfId="10020"/>
    <cellStyle name="20% - Accent2 2 3 2 3 2 3 2" xfId="15391"/>
    <cellStyle name="20% - Accent2 2 3 2 3 2 3 2 2" xfId="26534"/>
    <cellStyle name="20% - Accent2 2 3 2 3 2 3 3" xfId="20965"/>
    <cellStyle name="20% - Accent2 2 3 2 3 2 4" xfId="13961"/>
    <cellStyle name="20% - Accent2 2 3 2 3 2 4 2" xfId="25104"/>
    <cellStyle name="20% - Accent2 2 3 2 3 2 5" xfId="19535"/>
    <cellStyle name="20% - Accent2 2 3 2 3 2 6" xfId="6929"/>
    <cellStyle name="20% - Accent2 2 3 2 3 3" xfId="3376"/>
    <cellStyle name="20% - Accent2 2 3 2 3 3 2" xfId="5485"/>
    <cellStyle name="20% - Accent2 2 3 2 3 3 2 2" xfId="18098"/>
    <cellStyle name="20% - Accent2 2 3 2 3 3 2 2 2" xfId="29241"/>
    <cellStyle name="20% - Accent2 2 3 2 3 3 2 3" xfId="23672"/>
    <cellStyle name="20% - Accent2 2 3 2 3 3 2 4" xfId="9636"/>
    <cellStyle name="20% - Accent2 2 3 2 3 3 3" xfId="16029"/>
    <cellStyle name="20% - Accent2 2 3 2 3 3 3 2" xfId="27172"/>
    <cellStyle name="20% - Accent2 2 3 2 3 3 4" xfId="21603"/>
    <cellStyle name="20% - Accent2 2 3 2 3 3 5" xfId="7567"/>
    <cellStyle name="20% - Accent2 2 3 2 3 4" xfId="4055"/>
    <cellStyle name="20% - Accent2 2 3 2 3 4 2" xfId="16668"/>
    <cellStyle name="20% - Accent2 2 3 2 3 4 2 2" xfId="27811"/>
    <cellStyle name="20% - Accent2 2 3 2 3 4 3" xfId="22242"/>
    <cellStyle name="20% - Accent2 2 3 2 3 4 4" xfId="8206"/>
    <cellStyle name="20% - Accent2 2 3 2 3 5" xfId="10429"/>
    <cellStyle name="20% - Accent2 2 3 2 3 5 2" xfId="14752"/>
    <cellStyle name="20% - Accent2 2 3 2 3 5 2 2" xfId="25895"/>
    <cellStyle name="20% - Accent2 2 3 2 3 5 3" xfId="20326"/>
    <cellStyle name="20% - Accent2 2 3 2 3 6" xfId="13322"/>
    <cellStyle name="20% - Accent2 2 3 2 3 6 2" xfId="24465"/>
    <cellStyle name="20% - Accent2 2 3 2 3 7" xfId="18896"/>
    <cellStyle name="20% - Accent2 2 3 2 3 8" xfId="6290"/>
    <cellStyle name="20% - Accent2 2 3 2 4" xfId="2430"/>
    <cellStyle name="20% - Accent2 2 3 2 4 2" xfId="3071"/>
    <cellStyle name="20% - Accent2 2 3 2 4 2 2" xfId="5180"/>
    <cellStyle name="20% - Accent2 2 3 2 4 2 2 2" xfId="17793"/>
    <cellStyle name="20% - Accent2 2 3 2 4 2 2 2 2" xfId="28936"/>
    <cellStyle name="20% - Accent2 2 3 2 4 2 2 3" xfId="23367"/>
    <cellStyle name="20% - Accent2 2 3 2 4 2 2 4" xfId="9331"/>
    <cellStyle name="20% - Accent2 2 3 2 4 2 3" xfId="10508"/>
    <cellStyle name="20% - Accent2 2 3 2 4 2 3 2" xfId="15724"/>
    <cellStyle name="20% - Accent2 2 3 2 4 2 3 2 2" xfId="26867"/>
    <cellStyle name="20% - Accent2 2 3 2 4 2 3 3" xfId="21298"/>
    <cellStyle name="20% - Accent2 2 3 2 4 2 4" xfId="14294"/>
    <cellStyle name="20% - Accent2 2 3 2 4 2 4 2" xfId="25437"/>
    <cellStyle name="20% - Accent2 2 3 2 4 2 5" xfId="19868"/>
    <cellStyle name="20% - Accent2 2 3 2 4 2 6" xfId="7262"/>
    <cellStyle name="20% - Accent2 2 3 2 4 3" xfId="3709"/>
    <cellStyle name="20% - Accent2 2 3 2 4 3 2" xfId="5818"/>
    <cellStyle name="20% - Accent2 2 3 2 4 3 2 2" xfId="18431"/>
    <cellStyle name="20% - Accent2 2 3 2 4 3 2 2 2" xfId="29574"/>
    <cellStyle name="20% - Accent2 2 3 2 4 3 2 3" xfId="24005"/>
    <cellStyle name="20% - Accent2 2 3 2 4 3 2 4" xfId="9969"/>
    <cellStyle name="20% - Accent2 2 3 2 4 3 3" xfId="16362"/>
    <cellStyle name="20% - Accent2 2 3 2 4 3 3 2" xfId="27505"/>
    <cellStyle name="20% - Accent2 2 3 2 4 3 4" xfId="21936"/>
    <cellStyle name="20% - Accent2 2 3 2 4 3 5" xfId="7900"/>
    <cellStyle name="20% - Accent2 2 3 2 4 4" xfId="4388"/>
    <cellStyle name="20% - Accent2 2 3 2 4 4 2" xfId="17001"/>
    <cellStyle name="20% - Accent2 2 3 2 4 4 2 2" xfId="28144"/>
    <cellStyle name="20% - Accent2 2 3 2 4 4 3" xfId="22575"/>
    <cellStyle name="20% - Accent2 2 3 2 4 4 4" xfId="8539"/>
    <cellStyle name="20% - Accent2 2 3 2 4 5" xfId="10773"/>
    <cellStyle name="20% - Accent2 2 3 2 4 5 2" xfId="15085"/>
    <cellStyle name="20% - Accent2 2 3 2 4 5 2 2" xfId="26228"/>
    <cellStyle name="20% - Accent2 2 3 2 4 5 3" xfId="20659"/>
    <cellStyle name="20% - Accent2 2 3 2 4 6" xfId="13655"/>
    <cellStyle name="20% - Accent2 2 3 2 4 6 2" xfId="24798"/>
    <cellStyle name="20% - Accent2 2 3 2 4 7" xfId="19229"/>
    <cellStyle name="20% - Accent2 2 3 2 4 8" xfId="6623"/>
    <cellStyle name="20% - Accent2 2 3 2 5" xfId="1893"/>
    <cellStyle name="20% - Accent2 2 3 2 5 2" xfId="4541"/>
    <cellStyle name="20% - Accent2 2 3 2 5 2 2" xfId="17154"/>
    <cellStyle name="20% - Accent2 2 3 2 5 2 2 2" xfId="28297"/>
    <cellStyle name="20% - Accent2 2 3 2 5 2 3" xfId="22728"/>
    <cellStyle name="20% - Accent2 2 3 2 5 2 4" xfId="8692"/>
    <cellStyle name="20% - Accent2 2 3 2 5 3" xfId="10498"/>
    <cellStyle name="20% - Accent2 2 3 2 5 3 2" xfId="14600"/>
    <cellStyle name="20% - Accent2 2 3 2 5 3 2 2" xfId="25743"/>
    <cellStyle name="20% - Accent2 2 3 2 5 3 3" xfId="20174"/>
    <cellStyle name="20% - Accent2 2 3 2 5 4" xfId="13170"/>
    <cellStyle name="20% - Accent2 2 3 2 5 4 2" xfId="24313"/>
    <cellStyle name="20% - Accent2 2 3 2 5 5" xfId="18744"/>
    <cellStyle name="20% - Accent2 2 3 2 5 6" xfId="6138"/>
    <cellStyle name="20% - Accent2 2 3 2 6" xfId="2586"/>
    <cellStyle name="20% - Accent2 2 3 2 6 2" xfId="4695"/>
    <cellStyle name="20% - Accent2 2 3 2 6 2 2" xfId="17308"/>
    <cellStyle name="20% - Accent2 2 3 2 6 2 2 2" xfId="28451"/>
    <cellStyle name="20% - Accent2 2 3 2 6 2 3" xfId="22882"/>
    <cellStyle name="20% - Accent2 2 3 2 6 2 4" xfId="8846"/>
    <cellStyle name="20% - Accent2 2 3 2 6 3" xfId="10135"/>
    <cellStyle name="20% - Accent2 2 3 2 6 3 2" xfId="15239"/>
    <cellStyle name="20% - Accent2 2 3 2 6 3 2 2" xfId="26382"/>
    <cellStyle name="20% - Accent2 2 3 2 6 3 3" xfId="20813"/>
    <cellStyle name="20% - Accent2 2 3 2 6 4" xfId="13809"/>
    <cellStyle name="20% - Accent2 2 3 2 6 4 2" xfId="24952"/>
    <cellStyle name="20% - Accent2 2 3 2 6 5" xfId="19383"/>
    <cellStyle name="20% - Accent2 2 3 2 6 6" xfId="6777"/>
    <cellStyle name="20% - Accent2 2 3 2 7" xfId="3224"/>
    <cellStyle name="20% - Accent2 2 3 2 7 2" xfId="5333"/>
    <cellStyle name="20% - Accent2 2 3 2 7 2 2" xfId="17946"/>
    <cellStyle name="20% - Accent2 2 3 2 7 2 2 2" xfId="29089"/>
    <cellStyle name="20% - Accent2 2 3 2 7 2 3" xfId="23520"/>
    <cellStyle name="20% - Accent2 2 3 2 7 2 4" xfId="9484"/>
    <cellStyle name="20% - Accent2 2 3 2 7 3" xfId="15877"/>
    <cellStyle name="20% - Accent2 2 3 2 7 3 2" xfId="27020"/>
    <cellStyle name="20% - Accent2 2 3 2 7 4" xfId="21451"/>
    <cellStyle name="20% - Accent2 2 3 2 7 5" xfId="7415"/>
    <cellStyle name="20% - Accent2 2 3 2 8" xfId="3903"/>
    <cellStyle name="20% - Accent2 2 3 2 8 2" xfId="16516"/>
    <cellStyle name="20% - Accent2 2 3 2 8 2 2" xfId="27659"/>
    <cellStyle name="20% - Accent2 2 3 2 8 3" xfId="22090"/>
    <cellStyle name="20% - Accent2 2 3 2 8 4" xfId="8054"/>
    <cellStyle name="20% - Accent2 2 3 2 9" xfId="11100"/>
    <cellStyle name="20% - Accent2 2 3 2 9 2" xfId="14447"/>
    <cellStyle name="20% - Accent2 2 3 2 9 2 2" xfId="25590"/>
    <cellStyle name="20% - Accent2 2 3 2 9 3" xfId="20021"/>
    <cellStyle name="20% - Accent2 2 3 3" xfId="2199"/>
    <cellStyle name="20% - Accent2 2 3 3 2" xfId="2843"/>
    <cellStyle name="20% - Accent2 2 3 3 2 2" xfId="4952"/>
    <cellStyle name="20% - Accent2 2 3 3 2 2 2" xfId="17565"/>
    <cellStyle name="20% - Accent2 2 3 3 2 2 2 2" xfId="28708"/>
    <cellStyle name="20% - Accent2 2 3 3 2 2 3" xfId="23139"/>
    <cellStyle name="20% - Accent2 2 3 3 2 2 4" xfId="9103"/>
    <cellStyle name="20% - Accent2 2 3 3 2 3" xfId="10921"/>
    <cellStyle name="20% - Accent2 2 3 3 2 3 2" xfId="15496"/>
    <cellStyle name="20% - Accent2 2 3 3 2 3 2 2" xfId="26639"/>
    <cellStyle name="20% - Accent2 2 3 3 2 3 3" xfId="21070"/>
    <cellStyle name="20% - Accent2 2 3 3 2 4" xfId="14066"/>
    <cellStyle name="20% - Accent2 2 3 3 2 4 2" xfId="25209"/>
    <cellStyle name="20% - Accent2 2 3 3 2 5" xfId="19640"/>
    <cellStyle name="20% - Accent2 2 3 3 2 6" xfId="7034"/>
    <cellStyle name="20% - Accent2 2 3 3 3" xfId="3481"/>
    <cellStyle name="20% - Accent2 2 3 3 3 2" xfId="5590"/>
    <cellStyle name="20% - Accent2 2 3 3 3 2 2" xfId="18203"/>
    <cellStyle name="20% - Accent2 2 3 3 3 2 2 2" xfId="29346"/>
    <cellStyle name="20% - Accent2 2 3 3 3 2 3" xfId="23777"/>
    <cellStyle name="20% - Accent2 2 3 3 3 2 4" xfId="9741"/>
    <cellStyle name="20% - Accent2 2 3 3 3 3" xfId="16134"/>
    <cellStyle name="20% - Accent2 2 3 3 3 3 2" xfId="27277"/>
    <cellStyle name="20% - Accent2 2 3 3 3 4" xfId="21708"/>
    <cellStyle name="20% - Accent2 2 3 3 3 5" xfId="7672"/>
    <cellStyle name="20% - Accent2 2 3 3 4" xfId="4160"/>
    <cellStyle name="20% - Accent2 2 3 3 4 2" xfId="16773"/>
    <cellStyle name="20% - Accent2 2 3 3 4 2 2" xfId="27916"/>
    <cellStyle name="20% - Accent2 2 3 3 4 3" xfId="22347"/>
    <cellStyle name="20% - Accent2 2 3 3 4 4" xfId="8311"/>
    <cellStyle name="20% - Accent2 2 3 3 5" xfId="10705"/>
    <cellStyle name="20% - Accent2 2 3 3 5 2" xfId="14857"/>
    <cellStyle name="20% - Accent2 2 3 3 5 2 2" xfId="26000"/>
    <cellStyle name="20% - Accent2 2 3 3 5 3" xfId="20431"/>
    <cellStyle name="20% - Accent2 2 3 3 6" xfId="13427"/>
    <cellStyle name="20% - Accent2 2 3 3 6 2" xfId="24570"/>
    <cellStyle name="20% - Accent2 2 3 3 7" xfId="19001"/>
    <cellStyle name="20% - Accent2 2 3 3 8" xfId="6395"/>
    <cellStyle name="20% - Accent2 2 3 4" xfId="2007"/>
    <cellStyle name="20% - Accent2 2 3 4 2" xfId="2662"/>
    <cellStyle name="20% - Accent2 2 3 4 2 2" xfId="4771"/>
    <cellStyle name="20% - Accent2 2 3 4 2 2 2" xfId="17384"/>
    <cellStyle name="20% - Accent2 2 3 4 2 2 2 2" xfId="28527"/>
    <cellStyle name="20% - Accent2 2 3 4 2 2 3" xfId="22958"/>
    <cellStyle name="20% - Accent2 2 3 4 2 2 4" xfId="8922"/>
    <cellStyle name="20% - Accent2 2 3 4 2 3" xfId="11186"/>
    <cellStyle name="20% - Accent2 2 3 4 2 3 2" xfId="15315"/>
    <cellStyle name="20% - Accent2 2 3 4 2 3 2 2" xfId="26458"/>
    <cellStyle name="20% - Accent2 2 3 4 2 3 3" xfId="20889"/>
    <cellStyle name="20% - Accent2 2 3 4 2 4" xfId="13885"/>
    <cellStyle name="20% - Accent2 2 3 4 2 4 2" xfId="25028"/>
    <cellStyle name="20% - Accent2 2 3 4 2 5" xfId="19459"/>
    <cellStyle name="20% - Accent2 2 3 4 2 6" xfId="6853"/>
    <cellStyle name="20% - Accent2 2 3 4 3" xfId="3300"/>
    <cellStyle name="20% - Accent2 2 3 4 3 2" xfId="5409"/>
    <cellStyle name="20% - Accent2 2 3 4 3 2 2" xfId="18022"/>
    <cellStyle name="20% - Accent2 2 3 4 3 2 2 2" xfId="29165"/>
    <cellStyle name="20% - Accent2 2 3 4 3 2 3" xfId="23596"/>
    <cellStyle name="20% - Accent2 2 3 4 3 2 4" xfId="9560"/>
    <cellStyle name="20% - Accent2 2 3 4 3 3" xfId="15953"/>
    <cellStyle name="20% - Accent2 2 3 4 3 3 2" xfId="27096"/>
    <cellStyle name="20% - Accent2 2 3 4 3 4" xfId="21527"/>
    <cellStyle name="20% - Accent2 2 3 4 3 5" xfId="7491"/>
    <cellStyle name="20% - Accent2 2 3 4 4" xfId="3979"/>
    <cellStyle name="20% - Accent2 2 3 4 4 2" xfId="16592"/>
    <cellStyle name="20% - Accent2 2 3 4 4 2 2" xfId="27735"/>
    <cellStyle name="20% - Accent2 2 3 4 4 3" xfId="22166"/>
    <cellStyle name="20% - Accent2 2 3 4 4 4" xfId="8130"/>
    <cellStyle name="20% - Accent2 2 3 4 5" xfId="10314"/>
    <cellStyle name="20% - Accent2 2 3 4 5 2" xfId="14676"/>
    <cellStyle name="20% - Accent2 2 3 4 5 2 2" xfId="25819"/>
    <cellStyle name="20% - Accent2 2 3 4 5 3" xfId="20250"/>
    <cellStyle name="20% - Accent2 2 3 4 6" xfId="13246"/>
    <cellStyle name="20% - Accent2 2 3 4 6 2" xfId="24389"/>
    <cellStyle name="20% - Accent2 2 3 4 7" xfId="18820"/>
    <cellStyle name="20% - Accent2 2 3 4 8" xfId="6214"/>
    <cellStyle name="20% - Accent2 2 3 5" xfId="2354"/>
    <cellStyle name="20% - Accent2 2 3 5 2" xfId="2995"/>
    <cellStyle name="20% - Accent2 2 3 5 2 2" xfId="5104"/>
    <cellStyle name="20% - Accent2 2 3 5 2 2 2" xfId="17717"/>
    <cellStyle name="20% - Accent2 2 3 5 2 2 2 2" xfId="28860"/>
    <cellStyle name="20% - Accent2 2 3 5 2 2 3" xfId="23291"/>
    <cellStyle name="20% - Accent2 2 3 5 2 2 4" xfId="9255"/>
    <cellStyle name="20% - Accent2 2 3 5 2 3" xfId="10983"/>
    <cellStyle name="20% - Accent2 2 3 5 2 3 2" xfId="15648"/>
    <cellStyle name="20% - Accent2 2 3 5 2 3 2 2" xfId="26791"/>
    <cellStyle name="20% - Accent2 2 3 5 2 3 3" xfId="21222"/>
    <cellStyle name="20% - Accent2 2 3 5 2 4" xfId="14218"/>
    <cellStyle name="20% - Accent2 2 3 5 2 4 2" xfId="25361"/>
    <cellStyle name="20% - Accent2 2 3 5 2 5" xfId="19792"/>
    <cellStyle name="20% - Accent2 2 3 5 2 6" xfId="7186"/>
    <cellStyle name="20% - Accent2 2 3 5 3" xfId="3633"/>
    <cellStyle name="20% - Accent2 2 3 5 3 2" xfId="5742"/>
    <cellStyle name="20% - Accent2 2 3 5 3 2 2" xfId="18355"/>
    <cellStyle name="20% - Accent2 2 3 5 3 2 2 2" xfId="29498"/>
    <cellStyle name="20% - Accent2 2 3 5 3 2 3" xfId="23929"/>
    <cellStyle name="20% - Accent2 2 3 5 3 2 4" xfId="9893"/>
    <cellStyle name="20% - Accent2 2 3 5 3 3" xfId="16286"/>
    <cellStyle name="20% - Accent2 2 3 5 3 3 2" xfId="27429"/>
    <cellStyle name="20% - Accent2 2 3 5 3 4" xfId="21860"/>
    <cellStyle name="20% - Accent2 2 3 5 3 5" xfId="7824"/>
    <cellStyle name="20% - Accent2 2 3 5 4" xfId="4312"/>
    <cellStyle name="20% - Accent2 2 3 5 4 2" xfId="16925"/>
    <cellStyle name="20% - Accent2 2 3 5 4 2 2" xfId="28068"/>
    <cellStyle name="20% - Accent2 2 3 5 4 3" xfId="22499"/>
    <cellStyle name="20% - Accent2 2 3 5 4 4" xfId="8463"/>
    <cellStyle name="20% - Accent2 2 3 5 5" xfId="11251"/>
    <cellStyle name="20% - Accent2 2 3 5 5 2" xfId="15009"/>
    <cellStyle name="20% - Accent2 2 3 5 5 2 2" xfId="26152"/>
    <cellStyle name="20% - Accent2 2 3 5 5 3" xfId="20583"/>
    <cellStyle name="20% - Accent2 2 3 5 6" xfId="13579"/>
    <cellStyle name="20% - Accent2 2 3 5 6 2" xfId="24722"/>
    <cellStyle name="20% - Accent2 2 3 5 7" xfId="19153"/>
    <cellStyle name="20% - Accent2 2 3 5 8" xfId="6547"/>
    <cellStyle name="20% - Accent2 2 3 6" xfId="1817"/>
    <cellStyle name="20% - Accent2 2 3 6 2" xfId="4465"/>
    <cellStyle name="20% - Accent2 2 3 6 2 2" xfId="17078"/>
    <cellStyle name="20% - Accent2 2 3 6 2 2 2" xfId="28221"/>
    <cellStyle name="20% - Accent2 2 3 6 2 3" xfId="22652"/>
    <cellStyle name="20% - Accent2 2 3 6 2 4" xfId="8616"/>
    <cellStyle name="20% - Accent2 2 3 6 3" xfId="10253"/>
    <cellStyle name="20% - Accent2 2 3 6 3 2" xfId="14524"/>
    <cellStyle name="20% - Accent2 2 3 6 3 2 2" xfId="25667"/>
    <cellStyle name="20% - Accent2 2 3 6 3 3" xfId="20098"/>
    <cellStyle name="20% - Accent2 2 3 6 4" xfId="13094"/>
    <cellStyle name="20% - Accent2 2 3 6 4 2" xfId="24237"/>
    <cellStyle name="20% - Accent2 2 3 6 5" xfId="18668"/>
    <cellStyle name="20% - Accent2 2 3 6 6" xfId="6062"/>
    <cellStyle name="20% - Accent2 2 3 7" xfId="2510"/>
    <cellStyle name="20% - Accent2 2 3 7 2" xfId="4619"/>
    <cellStyle name="20% - Accent2 2 3 7 2 2" xfId="17232"/>
    <cellStyle name="20% - Accent2 2 3 7 2 2 2" xfId="28375"/>
    <cellStyle name="20% - Accent2 2 3 7 2 3" xfId="22806"/>
    <cellStyle name="20% - Accent2 2 3 7 2 4" xfId="8770"/>
    <cellStyle name="20% - Accent2 2 3 7 3" xfId="10959"/>
    <cellStyle name="20% - Accent2 2 3 7 3 2" xfId="15163"/>
    <cellStyle name="20% - Accent2 2 3 7 3 2 2" xfId="26306"/>
    <cellStyle name="20% - Accent2 2 3 7 3 3" xfId="20737"/>
    <cellStyle name="20% - Accent2 2 3 7 4" xfId="13733"/>
    <cellStyle name="20% - Accent2 2 3 7 4 2" xfId="24876"/>
    <cellStyle name="20% - Accent2 2 3 7 5" xfId="19307"/>
    <cellStyle name="20% - Accent2 2 3 7 6" xfId="6701"/>
    <cellStyle name="20% - Accent2 2 3 8" xfId="3148"/>
    <cellStyle name="20% - Accent2 2 3 8 2" xfId="5257"/>
    <cellStyle name="20% - Accent2 2 3 8 2 2" xfId="17870"/>
    <cellStyle name="20% - Accent2 2 3 8 2 2 2" xfId="29013"/>
    <cellStyle name="20% - Accent2 2 3 8 2 3" xfId="23444"/>
    <cellStyle name="20% - Accent2 2 3 8 2 4" xfId="9408"/>
    <cellStyle name="20% - Accent2 2 3 8 3" xfId="15801"/>
    <cellStyle name="20% - Accent2 2 3 8 3 2" xfId="26944"/>
    <cellStyle name="20% - Accent2 2 3 8 4" xfId="21375"/>
    <cellStyle name="20% - Accent2 2 3 8 5" xfId="7339"/>
    <cellStyle name="20% - Accent2 2 3 9" xfId="3827"/>
    <cellStyle name="20% - Accent2 2 3 9 2" xfId="16440"/>
    <cellStyle name="20% - Accent2 2 3 9 2 2" xfId="27583"/>
    <cellStyle name="20% - Accent2 2 3 9 3" xfId="22014"/>
    <cellStyle name="20% - Accent2 2 3 9 4" xfId="7978"/>
    <cellStyle name="20% - Accent2 2 4" xfId="279"/>
    <cellStyle name="20% - Accent2 2 4 10" xfId="12978"/>
    <cellStyle name="20% - Accent2 2 4 10 2" xfId="24122"/>
    <cellStyle name="20% - Accent2 2 4 11" xfId="18553"/>
    <cellStyle name="20% - Accent2 2 4 12" xfId="5946"/>
    <cellStyle name="20% - Accent2 2 4 2" xfId="2237"/>
    <cellStyle name="20% - Accent2 2 4 2 2" xfId="2881"/>
    <cellStyle name="20% - Accent2 2 4 2 2 2" xfId="4990"/>
    <cellStyle name="20% - Accent2 2 4 2 2 2 2" xfId="17603"/>
    <cellStyle name="20% - Accent2 2 4 2 2 2 2 2" xfId="28746"/>
    <cellStyle name="20% - Accent2 2 4 2 2 2 3" xfId="23177"/>
    <cellStyle name="20% - Accent2 2 4 2 2 2 4" xfId="9141"/>
    <cellStyle name="20% - Accent2 2 4 2 2 3" xfId="11060"/>
    <cellStyle name="20% - Accent2 2 4 2 2 3 2" xfId="15534"/>
    <cellStyle name="20% - Accent2 2 4 2 2 3 2 2" xfId="26677"/>
    <cellStyle name="20% - Accent2 2 4 2 2 3 3" xfId="21108"/>
    <cellStyle name="20% - Accent2 2 4 2 2 4" xfId="14104"/>
    <cellStyle name="20% - Accent2 2 4 2 2 4 2" xfId="25247"/>
    <cellStyle name="20% - Accent2 2 4 2 2 5" xfId="19678"/>
    <cellStyle name="20% - Accent2 2 4 2 2 6" xfId="7072"/>
    <cellStyle name="20% - Accent2 2 4 2 3" xfId="3519"/>
    <cellStyle name="20% - Accent2 2 4 2 3 2" xfId="5628"/>
    <cellStyle name="20% - Accent2 2 4 2 3 2 2" xfId="18241"/>
    <cellStyle name="20% - Accent2 2 4 2 3 2 2 2" xfId="29384"/>
    <cellStyle name="20% - Accent2 2 4 2 3 2 3" xfId="23815"/>
    <cellStyle name="20% - Accent2 2 4 2 3 2 4" xfId="9779"/>
    <cellStyle name="20% - Accent2 2 4 2 3 3" xfId="16172"/>
    <cellStyle name="20% - Accent2 2 4 2 3 3 2" xfId="27315"/>
    <cellStyle name="20% - Accent2 2 4 2 3 4" xfId="21746"/>
    <cellStyle name="20% - Accent2 2 4 2 3 5" xfId="7710"/>
    <cellStyle name="20% - Accent2 2 4 2 4" xfId="4198"/>
    <cellStyle name="20% - Accent2 2 4 2 4 2" xfId="16811"/>
    <cellStyle name="20% - Accent2 2 4 2 4 2 2" xfId="27954"/>
    <cellStyle name="20% - Accent2 2 4 2 4 3" xfId="22385"/>
    <cellStyle name="20% - Accent2 2 4 2 4 4" xfId="8349"/>
    <cellStyle name="20% - Accent2 2 4 2 5" xfId="10184"/>
    <cellStyle name="20% - Accent2 2 4 2 5 2" xfId="14895"/>
    <cellStyle name="20% - Accent2 2 4 2 5 2 2" xfId="26038"/>
    <cellStyle name="20% - Accent2 2 4 2 5 3" xfId="20469"/>
    <cellStyle name="20% - Accent2 2 4 2 6" xfId="13465"/>
    <cellStyle name="20% - Accent2 2 4 2 6 2" xfId="24608"/>
    <cellStyle name="20% - Accent2 2 4 2 7" xfId="19039"/>
    <cellStyle name="20% - Accent2 2 4 2 8" xfId="6433"/>
    <cellStyle name="20% - Accent2 2 4 3" xfId="2045"/>
    <cellStyle name="20% - Accent2 2 4 3 2" xfId="2700"/>
    <cellStyle name="20% - Accent2 2 4 3 2 2" xfId="4809"/>
    <cellStyle name="20% - Accent2 2 4 3 2 2 2" xfId="17422"/>
    <cellStyle name="20% - Accent2 2 4 3 2 2 2 2" xfId="28565"/>
    <cellStyle name="20% - Accent2 2 4 3 2 2 3" xfId="22996"/>
    <cellStyle name="20% - Accent2 2 4 3 2 2 4" xfId="8960"/>
    <cellStyle name="20% - Accent2 2 4 3 2 3" xfId="10803"/>
    <cellStyle name="20% - Accent2 2 4 3 2 3 2" xfId="15353"/>
    <cellStyle name="20% - Accent2 2 4 3 2 3 2 2" xfId="26496"/>
    <cellStyle name="20% - Accent2 2 4 3 2 3 3" xfId="20927"/>
    <cellStyle name="20% - Accent2 2 4 3 2 4" xfId="13923"/>
    <cellStyle name="20% - Accent2 2 4 3 2 4 2" xfId="25066"/>
    <cellStyle name="20% - Accent2 2 4 3 2 5" xfId="19497"/>
    <cellStyle name="20% - Accent2 2 4 3 2 6" xfId="6891"/>
    <cellStyle name="20% - Accent2 2 4 3 3" xfId="3338"/>
    <cellStyle name="20% - Accent2 2 4 3 3 2" xfId="5447"/>
    <cellStyle name="20% - Accent2 2 4 3 3 2 2" xfId="18060"/>
    <cellStyle name="20% - Accent2 2 4 3 3 2 2 2" xfId="29203"/>
    <cellStyle name="20% - Accent2 2 4 3 3 2 3" xfId="23634"/>
    <cellStyle name="20% - Accent2 2 4 3 3 2 4" xfId="9598"/>
    <cellStyle name="20% - Accent2 2 4 3 3 3" xfId="15991"/>
    <cellStyle name="20% - Accent2 2 4 3 3 3 2" xfId="27134"/>
    <cellStyle name="20% - Accent2 2 4 3 3 4" xfId="21565"/>
    <cellStyle name="20% - Accent2 2 4 3 3 5" xfId="7529"/>
    <cellStyle name="20% - Accent2 2 4 3 4" xfId="4017"/>
    <cellStyle name="20% - Accent2 2 4 3 4 2" xfId="16630"/>
    <cellStyle name="20% - Accent2 2 4 3 4 2 2" xfId="27773"/>
    <cellStyle name="20% - Accent2 2 4 3 4 3" xfId="22204"/>
    <cellStyle name="20% - Accent2 2 4 3 4 4" xfId="8168"/>
    <cellStyle name="20% - Accent2 2 4 3 5" xfId="11322"/>
    <cellStyle name="20% - Accent2 2 4 3 5 2" xfId="14714"/>
    <cellStyle name="20% - Accent2 2 4 3 5 2 2" xfId="25857"/>
    <cellStyle name="20% - Accent2 2 4 3 5 3" xfId="20288"/>
    <cellStyle name="20% - Accent2 2 4 3 6" xfId="13284"/>
    <cellStyle name="20% - Accent2 2 4 3 6 2" xfId="24427"/>
    <cellStyle name="20% - Accent2 2 4 3 7" xfId="18858"/>
    <cellStyle name="20% - Accent2 2 4 3 8" xfId="6252"/>
    <cellStyle name="20% - Accent2 2 4 4" xfId="2392"/>
    <cellStyle name="20% - Accent2 2 4 4 2" xfId="3033"/>
    <cellStyle name="20% - Accent2 2 4 4 2 2" xfId="5142"/>
    <cellStyle name="20% - Accent2 2 4 4 2 2 2" xfId="17755"/>
    <cellStyle name="20% - Accent2 2 4 4 2 2 2 2" xfId="28898"/>
    <cellStyle name="20% - Accent2 2 4 4 2 2 3" xfId="23329"/>
    <cellStyle name="20% - Accent2 2 4 4 2 2 4" xfId="9293"/>
    <cellStyle name="20% - Accent2 2 4 4 2 3" xfId="10249"/>
    <cellStyle name="20% - Accent2 2 4 4 2 3 2" xfId="15686"/>
    <cellStyle name="20% - Accent2 2 4 4 2 3 2 2" xfId="26829"/>
    <cellStyle name="20% - Accent2 2 4 4 2 3 3" xfId="21260"/>
    <cellStyle name="20% - Accent2 2 4 4 2 4" xfId="14256"/>
    <cellStyle name="20% - Accent2 2 4 4 2 4 2" xfId="25399"/>
    <cellStyle name="20% - Accent2 2 4 4 2 5" xfId="19830"/>
    <cellStyle name="20% - Accent2 2 4 4 2 6" xfId="7224"/>
    <cellStyle name="20% - Accent2 2 4 4 3" xfId="3671"/>
    <cellStyle name="20% - Accent2 2 4 4 3 2" xfId="5780"/>
    <cellStyle name="20% - Accent2 2 4 4 3 2 2" xfId="18393"/>
    <cellStyle name="20% - Accent2 2 4 4 3 2 2 2" xfId="29536"/>
    <cellStyle name="20% - Accent2 2 4 4 3 2 3" xfId="23967"/>
    <cellStyle name="20% - Accent2 2 4 4 3 2 4" xfId="9931"/>
    <cellStyle name="20% - Accent2 2 4 4 3 3" xfId="16324"/>
    <cellStyle name="20% - Accent2 2 4 4 3 3 2" xfId="27467"/>
    <cellStyle name="20% - Accent2 2 4 4 3 4" xfId="21898"/>
    <cellStyle name="20% - Accent2 2 4 4 3 5" xfId="7862"/>
    <cellStyle name="20% - Accent2 2 4 4 4" xfId="4350"/>
    <cellStyle name="20% - Accent2 2 4 4 4 2" xfId="16963"/>
    <cellStyle name="20% - Accent2 2 4 4 4 2 2" xfId="28106"/>
    <cellStyle name="20% - Accent2 2 4 4 4 3" xfId="22537"/>
    <cellStyle name="20% - Accent2 2 4 4 4 4" xfId="8501"/>
    <cellStyle name="20% - Accent2 2 4 4 5" xfId="11440"/>
    <cellStyle name="20% - Accent2 2 4 4 5 2" xfId="15047"/>
    <cellStyle name="20% - Accent2 2 4 4 5 2 2" xfId="26190"/>
    <cellStyle name="20% - Accent2 2 4 4 5 3" xfId="20621"/>
    <cellStyle name="20% - Accent2 2 4 4 6" xfId="13617"/>
    <cellStyle name="20% - Accent2 2 4 4 6 2" xfId="24760"/>
    <cellStyle name="20% - Accent2 2 4 4 7" xfId="19191"/>
    <cellStyle name="20% - Accent2 2 4 4 8" xfId="6585"/>
    <cellStyle name="20% - Accent2 2 4 5" xfId="1855"/>
    <cellStyle name="20% - Accent2 2 4 5 2" xfId="4503"/>
    <cellStyle name="20% - Accent2 2 4 5 2 2" xfId="17116"/>
    <cellStyle name="20% - Accent2 2 4 5 2 2 2" xfId="28259"/>
    <cellStyle name="20% - Accent2 2 4 5 2 3" xfId="22690"/>
    <cellStyle name="20% - Accent2 2 4 5 2 4" xfId="8654"/>
    <cellStyle name="20% - Accent2 2 4 5 3" xfId="11245"/>
    <cellStyle name="20% - Accent2 2 4 5 3 2" xfId="14562"/>
    <cellStyle name="20% - Accent2 2 4 5 3 2 2" xfId="25705"/>
    <cellStyle name="20% - Accent2 2 4 5 3 3" xfId="20136"/>
    <cellStyle name="20% - Accent2 2 4 5 4" xfId="13132"/>
    <cellStyle name="20% - Accent2 2 4 5 4 2" xfId="24275"/>
    <cellStyle name="20% - Accent2 2 4 5 5" xfId="18706"/>
    <cellStyle name="20% - Accent2 2 4 5 6" xfId="6100"/>
    <cellStyle name="20% - Accent2 2 4 6" xfId="2548"/>
    <cellStyle name="20% - Accent2 2 4 6 2" xfId="4657"/>
    <cellStyle name="20% - Accent2 2 4 6 2 2" xfId="17270"/>
    <cellStyle name="20% - Accent2 2 4 6 2 2 2" xfId="28413"/>
    <cellStyle name="20% - Accent2 2 4 6 2 3" xfId="22844"/>
    <cellStyle name="20% - Accent2 2 4 6 2 4" xfId="8808"/>
    <cellStyle name="20% - Accent2 2 4 6 3" xfId="11311"/>
    <cellStyle name="20% - Accent2 2 4 6 3 2" xfId="15201"/>
    <cellStyle name="20% - Accent2 2 4 6 3 2 2" xfId="26344"/>
    <cellStyle name="20% - Accent2 2 4 6 3 3" xfId="20775"/>
    <cellStyle name="20% - Accent2 2 4 6 4" xfId="13771"/>
    <cellStyle name="20% - Accent2 2 4 6 4 2" xfId="24914"/>
    <cellStyle name="20% - Accent2 2 4 6 5" xfId="19345"/>
    <cellStyle name="20% - Accent2 2 4 6 6" xfId="6739"/>
    <cellStyle name="20% - Accent2 2 4 7" xfId="3186"/>
    <cellStyle name="20% - Accent2 2 4 7 2" xfId="5295"/>
    <cellStyle name="20% - Accent2 2 4 7 2 2" xfId="17908"/>
    <cellStyle name="20% - Accent2 2 4 7 2 2 2" xfId="29051"/>
    <cellStyle name="20% - Accent2 2 4 7 2 3" xfId="23482"/>
    <cellStyle name="20% - Accent2 2 4 7 2 4" xfId="9446"/>
    <cellStyle name="20% - Accent2 2 4 7 3" xfId="15839"/>
    <cellStyle name="20% - Accent2 2 4 7 3 2" xfId="26982"/>
    <cellStyle name="20% - Accent2 2 4 7 4" xfId="21413"/>
    <cellStyle name="20% - Accent2 2 4 7 5" xfId="7377"/>
    <cellStyle name="20% - Accent2 2 4 8" xfId="3865"/>
    <cellStyle name="20% - Accent2 2 4 8 2" xfId="16478"/>
    <cellStyle name="20% - Accent2 2 4 8 2 2" xfId="27621"/>
    <cellStyle name="20% - Accent2 2 4 8 3" xfId="22052"/>
    <cellStyle name="20% - Accent2 2 4 8 4" xfId="8016"/>
    <cellStyle name="20% - Accent2 2 4 9" xfId="11345"/>
    <cellStyle name="20% - Accent2 2 4 9 2" xfId="14409"/>
    <cellStyle name="20% - Accent2 2 4 9 2 2" xfId="25552"/>
    <cellStyle name="20% - Accent2 2 4 9 3" xfId="19983"/>
    <cellStyle name="20% - Accent2 2 5" xfId="2161"/>
    <cellStyle name="20% - Accent2 2 5 2" xfId="2805"/>
    <cellStyle name="20% - Accent2 2 5 2 2" xfId="4914"/>
    <cellStyle name="20% - Accent2 2 5 2 2 2" xfId="17527"/>
    <cellStyle name="20% - Accent2 2 5 2 2 2 2" xfId="28670"/>
    <cellStyle name="20% - Accent2 2 5 2 2 3" xfId="23101"/>
    <cellStyle name="20% - Accent2 2 5 2 2 4" xfId="9065"/>
    <cellStyle name="20% - Accent2 2 5 2 3" xfId="10811"/>
    <cellStyle name="20% - Accent2 2 5 2 3 2" xfId="15458"/>
    <cellStyle name="20% - Accent2 2 5 2 3 2 2" xfId="26601"/>
    <cellStyle name="20% - Accent2 2 5 2 3 3" xfId="21032"/>
    <cellStyle name="20% - Accent2 2 5 2 4" xfId="14028"/>
    <cellStyle name="20% - Accent2 2 5 2 4 2" xfId="25171"/>
    <cellStyle name="20% - Accent2 2 5 2 5" xfId="19602"/>
    <cellStyle name="20% - Accent2 2 5 2 6" xfId="6996"/>
    <cellStyle name="20% - Accent2 2 5 3" xfId="3443"/>
    <cellStyle name="20% - Accent2 2 5 3 2" xfId="5552"/>
    <cellStyle name="20% - Accent2 2 5 3 2 2" xfId="18165"/>
    <cellStyle name="20% - Accent2 2 5 3 2 2 2" xfId="29308"/>
    <cellStyle name="20% - Accent2 2 5 3 2 3" xfId="23739"/>
    <cellStyle name="20% - Accent2 2 5 3 2 4" xfId="9703"/>
    <cellStyle name="20% - Accent2 2 5 3 3" xfId="16096"/>
    <cellStyle name="20% - Accent2 2 5 3 3 2" xfId="27239"/>
    <cellStyle name="20% - Accent2 2 5 3 4" xfId="21670"/>
    <cellStyle name="20% - Accent2 2 5 3 5" xfId="7634"/>
    <cellStyle name="20% - Accent2 2 5 4" xfId="4122"/>
    <cellStyle name="20% - Accent2 2 5 4 2" xfId="16735"/>
    <cellStyle name="20% - Accent2 2 5 4 2 2" xfId="27878"/>
    <cellStyle name="20% - Accent2 2 5 4 3" xfId="22309"/>
    <cellStyle name="20% - Accent2 2 5 4 4" xfId="8273"/>
    <cellStyle name="20% - Accent2 2 5 5" xfId="11289"/>
    <cellStyle name="20% - Accent2 2 5 5 2" xfId="14819"/>
    <cellStyle name="20% - Accent2 2 5 5 2 2" xfId="25962"/>
    <cellStyle name="20% - Accent2 2 5 5 3" xfId="20393"/>
    <cellStyle name="20% - Accent2 2 5 6" xfId="13389"/>
    <cellStyle name="20% - Accent2 2 5 6 2" xfId="24532"/>
    <cellStyle name="20% - Accent2 2 5 7" xfId="18963"/>
    <cellStyle name="20% - Accent2 2 5 8" xfId="6357"/>
    <cellStyle name="20% - Accent2 2 6" xfId="1954"/>
    <cellStyle name="20% - Accent2 2 6 2" xfId="2624"/>
    <cellStyle name="20% - Accent2 2 6 2 2" xfId="4733"/>
    <cellStyle name="20% - Accent2 2 6 2 2 2" xfId="17346"/>
    <cellStyle name="20% - Accent2 2 6 2 2 2 2" xfId="28489"/>
    <cellStyle name="20% - Accent2 2 6 2 2 3" xfId="22920"/>
    <cellStyle name="20% - Accent2 2 6 2 2 4" xfId="8884"/>
    <cellStyle name="20% - Accent2 2 6 2 3" xfId="11079"/>
    <cellStyle name="20% - Accent2 2 6 2 3 2" xfId="15277"/>
    <cellStyle name="20% - Accent2 2 6 2 3 2 2" xfId="26420"/>
    <cellStyle name="20% - Accent2 2 6 2 3 3" xfId="20851"/>
    <cellStyle name="20% - Accent2 2 6 2 4" xfId="13847"/>
    <cellStyle name="20% - Accent2 2 6 2 4 2" xfId="24990"/>
    <cellStyle name="20% - Accent2 2 6 2 5" xfId="19421"/>
    <cellStyle name="20% - Accent2 2 6 2 6" xfId="6815"/>
    <cellStyle name="20% - Accent2 2 6 3" xfId="3262"/>
    <cellStyle name="20% - Accent2 2 6 3 2" xfId="5371"/>
    <cellStyle name="20% - Accent2 2 6 3 2 2" xfId="17984"/>
    <cellStyle name="20% - Accent2 2 6 3 2 2 2" xfId="29127"/>
    <cellStyle name="20% - Accent2 2 6 3 2 3" xfId="23558"/>
    <cellStyle name="20% - Accent2 2 6 3 2 4" xfId="9522"/>
    <cellStyle name="20% - Accent2 2 6 3 3" xfId="15915"/>
    <cellStyle name="20% - Accent2 2 6 3 3 2" xfId="27058"/>
    <cellStyle name="20% - Accent2 2 6 3 4" xfId="21489"/>
    <cellStyle name="20% - Accent2 2 6 3 5" xfId="7453"/>
    <cellStyle name="20% - Accent2 2 6 4" xfId="3941"/>
    <cellStyle name="20% - Accent2 2 6 4 2" xfId="16554"/>
    <cellStyle name="20% - Accent2 2 6 4 2 2" xfId="27697"/>
    <cellStyle name="20% - Accent2 2 6 4 3" xfId="22128"/>
    <cellStyle name="20% - Accent2 2 6 4 4" xfId="8092"/>
    <cellStyle name="20% - Accent2 2 6 5" xfId="10169"/>
    <cellStyle name="20% - Accent2 2 6 5 2" xfId="14638"/>
    <cellStyle name="20% - Accent2 2 6 5 2 2" xfId="25781"/>
    <cellStyle name="20% - Accent2 2 6 5 3" xfId="20212"/>
    <cellStyle name="20% - Accent2 2 6 6" xfId="13208"/>
    <cellStyle name="20% - Accent2 2 6 6 2" xfId="24351"/>
    <cellStyle name="20% - Accent2 2 6 7" xfId="18782"/>
    <cellStyle name="20% - Accent2 2 6 8" xfId="6176"/>
    <cellStyle name="20% - Accent2 2 7" xfId="2315"/>
    <cellStyle name="20% - Accent2 2 7 2" xfId="2957"/>
    <cellStyle name="20% - Accent2 2 7 2 2" xfId="5066"/>
    <cellStyle name="20% - Accent2 2 7 2 2 2" xfId="17679"/>
    <cellStyle name="20% - Accent2 2 7 2 2 2 2" xfId="28822"/>
    <cellStyle name="20% - Accent2 2 7 2 2 3" xfId="23253"/>
    <cellStyle name="20% - Accent2 2 7 2 2 4" xfId="9217"/>
    <cellStyle name="20% - Accent2 2 7 2 3" xfId="10505"/>
    <cellStyle name="20% - Accent2 2 7 2 3 2" xfId="15610"/>
    <cellStyle name="20% - Accent2 2 7 2 3 2 2" xfId="26753"/>
    <cellStyle name="20% - Accent2 2 7 2 3 3" xfId="21184"/>
    <cellStyle name="20% - Accent2 2 7 2 4" xfId="14180"/>
    <cellStyle name="20% - Accent2 2 7 2 4 2" xfId="25323"/>
    <cellStyle name="20% - Accent2 2 7 2 5" xfId="19754"/>
    <cellStyle name="20% - Accent2 2 7 2 6" xfId="7148"/>
    <cellStyle name="20% - Accent2 2 7 3" xfId="3595"/>
    <cellStyle name="20% - Accent2 2 7 3 2" xfId="5704"/>
    <cellStyle name="20% - Accent2 2 7 3 2 2" xfId="18317"/>
    <cellStyle name="20% - Accent2 2 7 3 2 2 2" xfId="29460"/>
    <cellStyle name="20% - Accent2 2 7 3 2 3" xfId="23891"/>
    <cellStyle name="20% - Accent2 2 7 3 2 4" xfId="9855"/>
    <cellStyle name="20% - Accent2 2 7 3 3" xfId="16248"/>
    <cellStyle name="20% - Accent2 2 7 3 3 2" xfId="27391"/>
    <cellStyle name="20% - Accent2 2 7 3 4" xfId="21822"/>
    <cellStyle name="20% - Accent2 2 7 3 5" xfId="7786"/>
    <cellStyle name="20% - Accent2 2 7 4" xfId="4274"/>
    <cellStyle name="20% - Accent2 2 7 4 2" xfId="16887"/>
    <cellStyle name="20% - Accent2 2 7 4 2 2" xfId="28030"/>
    <cellStyle name="20% - Accent2 2 7 4 3" xfId="22461"/>
    <cellStyle name="20% - Accent2 2 7 4 4" xfId="8425"/>
    <cellStyle name="20% - Accent2 2 7 5" xfId="10913"/>
    <cellStyle name="20% - Accent2 2 7 5 2" xfId="14971"/>
    <cellStyle name="20% - Accent2 2 7 5 2 2" xfId="26114"/>
    <cellStyle name="20% - Accent2 2 7 5 3" xfId="20545"/>
    <cellStyle name="20% - Accent2 2 7 6" xfId="13541"/>
    <cellStyle name="20% - Accent2 2 7 6 2" xfId="24684"/>
    <cellStyle name="20% - Accent2 2 7 7" xfId="19115"/>
    <cellStyle name="20% - Accent2 2 7 8" xfId="6509"/>
    <cellStyle name="20% - Accent2 2 8" xfId="1779"/>
    <cellStyle name="20% - Accent2 2 8 2" xfId="4427"/>
    <cellStyle name="20% - Accent2 2 8 2 2" xfId="17040"/>
    <cellStyle name="20% - Accent2 2 8 2 2 2" xfId="28183"/>
    <cellStyle name="20% - Accent2 2 8 2 3" xfId="22614"/>
    <cellStyle name="20% - Accent2 2 8 2 4" xfId="8578"/>
    <cellStyle name="20% - Accent2 2 8 3" xfId="11193"/>
    <cellStyle name="20% - Accent2 2 8 3 2" xfId="14486"/>
    <cellStyle name="20% - Accent2 2 8 3 2 2" xfId="25629"/>
    <cellStyle name="20% - Accent2 2 8 3 3" xfId="20060"/>
    <cellStyle name="20% - Accent2 2 8 4" xfId="13056"/>
    <cellStyle name="20% - Accent2 2 8 4 2" xfId="24199"/>
    <cellStyle name="20% - Accent2 2 8 5" xfId="18630"/>
    <cellStyle name="20% - Accent2 2 8 6" xfId="6024"/>
    <cellStyle name="20% - Accent2 2 9" xfId="2472"/>
    <cellStyle name="20% - Accent2 2 9 2" xfId="4581"/>
    <cellStyle name="20% - Accent2 2 9 2 2" xfId="17194"/>
    <cellStyle name="20% - Accent2 2 9 2 2 2" xfId="28337"/>
    <cellStyle name="20% - Accent2 2 9 2 3" xfId="22768"/>
    <cellStyle name="20% - Accent2 2 9 2 4" xfId="8732"/>
    <cellStyle name="20% - Accent2 2 9 3" xfId="10335"/>
    <cellStyle name="20% - Accent2 2 9 3 2" xfId="15125"/>
    <cellStyle name="20% - Accent2 2 9 3 2 2" xfId="26268"/>
    <cellStyle name="20% - Accent2 2 9 3 3" xfId="20699"/>
    <cellStyle name="20% - Accent2 2 9 4" xfId="13695"/>
    <cellStyle name="20% - Accent2 2 9 4 2" xfId="24838"/>
    <cellStyle name="20% - Accent2 2 9 5" xfId="19269"/>
    <cellStyle name="20% - Accent2 2 9 6" xfId="6663"/>
    <cellStyle name="20% - Accent2 3" xfId="137"/>
    <cellStyle name="20% - Accent2 3 2" xfId="387"/>
    <cellStyle name="20% - Accent2 3 2 2" xfId="566"/>
    <cellStyle name="20% - Accent2 3 2 2 2" xfId="949"/>
    <cellStyle name="20% - Accent2 3 2 2 2 2" xfId="1688"/>
    <cellStyle name="20% - Accent2 3 2 2 2 2 2" xfId="12784"/>
    <cellStyle name="20% - Accent2 3 2 2 2 3" xfId="12074"/>
    <cellStyle name="20% - Accent2 3 2 2 3" xfId="1333"/>
    <cellStyle name="20% - Accent2 3 2 2 3 2" xfId="12429"/>
    <cellStyle name="20% - Accent2 3 2 2 4" xfId="11719"/>
    <cellStyle name="20% - Accent2 3 2 3" xfId="771"/>
    <cellStyle name="20% - Accent2 3 2 3 2" xfId="1510"/>
    <cellStyle name="20% - Accent2 3 2 3 2 2" xfId="12606"/>
    <cellStyle name="20% - Accent2 3 2 3 3" xfId="11896"/>
    <cellStyle name="20% - Accent2 3 2 4" xfId="1155"/>
    <cellStyle name="20% - Accent2 3 2 4 2" xfId="12251"/>
    <cellStyle name="20% - Accent2 3 2 5" xfId="11541"/>
    <cellStyle name="20% - Accent2 3 3" xfId="442"/>
    <cellStyle name="20% - Accent2 3 3 2" xfId="621"/>
    <cellStyle name="20% - Accent2 3 3 2 2" xfId="1004"/>
    <cellStyle name="20% - Accent2 3 3 2 2 2" xfId="1743"/>
    <cellStyle name="20% - Accent2 3 3 2 2 2 2" xfId="12839"/>
    <cellStyle name="20% - Accent2 3 3 2 2 3" xfId="12129"/>
    <cellStyle name="20% - Accent2 3 3 2 3" xfId="1388"/>
    <cellStyle name="20% - Accent2 3 3 2 3 2" xfId="12484"/>
    <cellStyle name="20% - Accent2 3 3 2 4" xfId="11774"/>
    <cellStyle name="20% - Accent2 3 3 3" xfId="826"/>
    <cellStyle name="20% - Accent2 3 3 3 2" xfId="1565"/>
    <cellStyle name="20% - Accent2 3 3 3 2 2" xfId="12661"/>
    <cellStyle name="20% - Accent2 3 3 3 3" xfId="11951"/>
    <cellStyle name="20% - Accent2 3 3 4" xfId="1210"/>
    <cellStyle name="20% - Accent2 3 3 4 2" xfId="12306"/>
    <cellStyle name="20% - Accent2 3 3 5" xfId="11596"/>
    <cellStyle name="20% - Accent2 3 4" xfId="504"/>
    <cellStyle name="20% - Accent2 3 4 2" xfId="888"/>
    <cellStyle name="20% - Accent2 3 4 2 2" xfId="1627"/>
    <cellStyle name="20% - Accent2 3 4 2 2 2" xfId="12723"/>
    <cellStyle name="20% - Accent2 3 4 2 3" xfId="12013"/>
    <cellStyle name="20% - Accent2 3 4 3" xfId="1272"/>
    <cellStyle name="20% - Accent2 3 4 3 2" xfId="12368"/>
    <cellStyle name="20% - Accent2 3 4 4" xfId="11658"/>
    <cellStyle name="20% - Accent2 3 5" xfId="710"/>
    <cellStyle name="20% - Accent2 3 5 2" xfId="1449"/>
    <cellStyle name="20% - Accent2 3 5 2 2" xfId="12545"/>
    <cellStyle name="20% - Accent2 3 5 3" xfId="11835"/>
    <cellStyle name="20% - Accent2 3 6" xfId="1094"/>
    <cellStyle name="20% - Accent2 3 6 2" xfId="12190"/>
    <cellStyle name="20% - Accent2 3 7" xfId="11480"/>
    <cellStyle name="20% - Accent2 4" xfId="159"/>
    <cellStyle name="20% - Accent2 4 2" xfId="399"/>
    <cellStyle name="20% - Accent2 4 2 2" xfId="578"/>
    <cellStyle name="20% - Accent2 4 2 2 2" xfId="961"/>
    <cellStyle name="20% - Accent2 4 2 2 2 2" xfId="1700"/>
    <cellStyle name="20% - Accent2 4 2 2 2 2 2" xfId="12796"/>
    <cellStyle name="20% - Accent2 4 2 2 2 3" xfId="12086"/>
    <cellStyle name="20% - Accent2 4 2 2 3" xfId="1345"/>
    <cellStyle name="20% - Accent2 4 2 2 3 2" xfId="12441"/>
    <cellStyle name="20% - Accent2 4 2 2 4" xfId="11731"/>
    <cellStyle name="20% - Accent2 4 2 3" xfId="783"/>
    <cellStyle name="20% - Accent2 4 2 3 2" xfId="1522"/>
    <cellStyle name="20% - Accent2 4 2 3 2 2" xfId="12618"/>
    <cellStyle name="20% - Accent2 4 2 3 3" xfId="11908"/>
    <cellStyle name="20% - Accent2 4 2 4" xfId="1167"/>
    <cellStyle name="20% - Accent2 4 2 4 2" xfId="12263"/>
    <cellStyle name="20% - Accent2 4 2 5" xfId="11553"/>
    <cellStyle name="20% - Accent2 4 3" xfId="454"/>
    <cellStyle name="20% - Accent2 4 3 2" xfId="633"/>
    <cellStyle name="20% - Accent2 4 3 2 2" xfId="1016"/>
    <cellStyle name="20% - Accent2 4 3 2 2 2" xfId="1755"/>
    <cellStyle name="20% - Accent2 4 3 2 2 2 2" xfId="12851"/>
    <cellStyle name="20% - Accent2 4 3 2 2 3" xfId="12141"/>
    <cellStyle name="20% - Accent2 4 3 2 3" xfId="1400"/>
    <cellStyle name="20% - Accent2 4 3 2 3 2" xfId="12496"/>
    <cellStyle name="20% - Accent2 4 3 2 4" xfId="11786"/>
    <cellStyle name="20% - Accent2 4 3 3" xfId="838"/>
    <cellStyle name="20% - Accent2 4 3 3 2" xfId="1577"/>
    <cellStyle name="20% - Accent2 4 3 3 2 2" xfId="12673"/>
    <cellStyle name="20% - Accent2 4 3 3 3" xfId="11963"/>
    <cellStyle name="20% - Accent2 4 3 4" xfId="1222"/>
    <cellStyle name="20% - Accent2 4 3 4 2" xfId="12318"/>
    <cellStyle name="20% - Accent2 4 3 5" xfId="11608"/>
    <cellStyle name="20% - Accent2 4 4" xfId="517"/>
    <cellStyle name="20% - Accent2 4 4 2" xfId="900"/>
    <cellStyle name="20% - Accent2 4 4 2 2" xfId="1639"/>
    <cellStyle name="20% - Accent2 4 4 2 2 2" xfId="12735"/>
    <cellStyle name="20% - Accent2 4 4 2 3" xfId="12025"/>
    <cellStyle name="20% - Accent2 4 4 3" xfId="1284"/>
    <cellStyle name="20% - Accent2 4 4 3 2" xfId="12380"/>
    <cellStyle name="20% - Accent2 4 4 4" xfId="11670"/>
    <cellStyle name="20% - Accent2 4 5" xfId="722"/>
    <cellStyle name="20% - Accent2 4 5 2" xfId="1461"/>
    <cellStyle name="20% - Accent2 4 5 2 2" xfId="12557"/>
    <cellStyle name="20% - Accent2 4 5 3" xfId="11847"/>
    <cellStyle name="20% - Accent2 4 6" xfId="1106"/>
    <cellStyle name="20% - Accent2 4 6 2" xfId="12202"/>
    <cellStyle name="20% - Accent2 4 7" xfId="11492"/>
    <cellStyle name="20% - Accent2 5" xfId="201"/>
    <cellStyle name="20% - Accent2 5 2" xfId="411"/>
    <cellStyle name="20% - Accent2 5 2 2" xfId="590"/>
    <cellStyle name="20% - Accent2 5 2 2 2" xfId="973"/>
    <cellStyle name="20% - Accent2 5 2 2 2 2" xfId="1712"/>
    <cellStyle name="20% - Accent2 5 2 2 2 2 2" xfId="12808"/>
    <cellStyle name="20% - Accent2 5 2 2 2 3" xfId="12098"/>
    <cellStyle name="20% - Accent2 5 2 2 3" xfId="1357"/>
    <cellStyle name="20% - Accent2 5 2 2 3 2" xfId="12453"/>
    <cellStyle name="20% - Accent2 5 2 2 4" xfId="11743"/>
    <cellStyle name="20% - Accent2 5 2 3" xfId="795"/>
    <cellStyle name="20% - Accent2 5 2 3 2" xfId="1534"/>
    <cellStyle name="20% - Accent2 5 2 3 2 2" xfId="12630"/>
    <cellStyle name="20% - Accent2 5 2 3 3" xfId="11920"/>
    <cellStyle name="20% - Accent2 5 2 4" xfId="1179"/>
    <cellStyle name="20% - Accent2 5 2 4 2" xfId="12275"/>
    <cellStyle name="20% - Accent2 5 2 5" xfId="11565"/>
    <cellStyle name="20% - Accent2 5 3" xfId="466"/>
    <cellStyle name="20% - Accent2 5 3 2" xfId="645"/>
    <cellStyle name="20% - Accent2 5 3 2 2" xfId="1028"/>
    <cellStyle name="20% - Accent2 5 3 2 2 2" xfId="1767"/>
    <cellStyle name="20% - Accent2 5 3 2 2 2 2" xfId="12863"/>
    <cellStyle name="20% - Accent2 5 3 2 2 3" xfId="12153"/>
    <cellStyle name="20% - Accent2 5 3 2 3" xfId="1412"/>
    <cellStyle name="20% - Accent2 5 3 2 3 2" xfId="12508"/>
    <cellStyle name="20% - Accent2 5 3 2 4" xfId="11798"/>
    <cellStyle name="20% - Accent2 5 3 3" xfId="850"/>
    <cellStyle name="20% - Accent2 5 3 3 2" xfId="1589"/>
    <cellStyle name="20% - Accent2 5 3 3 2 2" xfId="12685"/>
    <cellStyle name="20% - Accent2 5 3 3 3" xfId="11975"/>
    <cellStyle name="20% - Accent2 5 3 4" xfId="1234"/>
    <cellStyle name="20% - Accent2 5 3 4 2" xfId="12330"/>
    <cellStyle name="20% - Accent2 5 3 5" xfId="11620"/>
    <cellStyle name="20% - Accent2 5 4" xfId="529"/>
    <cellStyle name="20% - Accent2 5 4 2" xfId="912"/>
    <cellStyle name="20% - Accent2 5 4 2 2" xfId="1651"/>
    <cellStyle name="20% - Accent2 5 4 2 2 2" xfId="12747"/>
    <cellStyle name="20% - Accent2 5 4 2 3" xfId="12037"/>
    <cellStyle name="20% - Accent2 5 4 3" xfId="1296"/>
    <cellStyle name="20% - Accent2 5 4 3 2" xfId="12392"/>
    <cellStyle name="20% - Accent2 5 4 4" xfId="11682"/>
    <cellStyle name="20% - Accent2 5 5" xfId="734"/>
    <cellStyle name="20% - Accent2 5 5 2" xfId="1473"/>
    <cellStyle name="20% - Accent2 5 5 2 2" xfId="12569"/>
    <cellStyle name="20% - Accent2 5 5 3" xfId="11859"/>
    <cellStyle name="20% - Accent2 5 6" xfId="1118"/>
    <cellStyle name="20% - Accent2 5 6 2" xfId="12214"/>
    <cellStyle name="20% - Accent2 5 7" xfId="11504"/>
    <cellStyle name="20% - Accent2 6" xfId="66"/>
    <cellStyle name="20% - Accent2 6 2" xfId="368"/>
    <cellStyle name="20% - Accent2 6 2 2" xfId="547"/>
    <cellStyle name="20% - Accent2 6 2 2 2" xfId="930"/>
    <cellStyle name="20% - Accent2 6 2 2 2 2" xfId="1669"/>
    <cellStyle name="20% - Accent2 6 2 2 2 2 2" xfId="12765"/>
    <cellStyle name="20% - Accent2 6 2 2 2 3" xfId="12055"/>
    <cellStyle name="20% - Accent2 6 2 2 3" xfId="1314"/>
    <cellStyle name="20% - Accent2 6 2 2 3 2" xfId="12410"/>
    <cellStyle name="20% - Accent2 6 2 2 4" xfId="11700"/>
    <cellStyle name="20% - Accent2 6 2 3" xfId="752"/>
    <cellStyle name="20% - Accent2 6 2 3 2" xfId="1491"/>
    <cellStyle name="20% - Accent2 6 2 3 2 2" xfId="12587"/>
    <cellStyle name="20% - Accent2 6 2 3 3" xfId="11877"/>
    <cellStyle name="20% - Accent2 6 2 4" xfId="1136"/>
    <cellStyle name="20% - Accent2 6 2 4 2" xfId="12232"/>
    <cellStyle name="20% - Accent2 6 2 5" xfId="11522"/>
    <cellStyle name="20% - Accent2 6 3" xfId="494"/>
    <cellStyle name="20% - Accent2 6 3 2" xfId="878"/>
    <cellStyle name="20% - Accent2 6 3 2 2" xfId="1617"/>
    <cellStyle name="20% - Accent2 6 3 2 2 2" xfId="12713"/>
    <cellStyle name="20% - Accent2 6 3 2 3" xfId="12003"/>
    <cellStyle name="20% - Accent2 6 3 3" xfId="1262"/>
    <cellStyle name="20% - Accent2 6 3 3 2" xfId="12358"/>
    <cellStyle name="20% - Accent2 6 3 4" xfId="11648"/>
    <cellStyle name="20% - Accent2 6 4" xfId="700"/>
    <cellStyle name="20% - Accent2 6 4 2" xfId="1439"/>
    <cellStyle name="20% - Accent2 6 4 2 2" xfId="12535"/>
    <cellStyle name="20% - Accent2 6 4 3" xfId="11825"/>
    <cellStyle name="20% - Accent2 6 5" xfId="1084"/>
    <cellStyle name="20% - Accent2 6 5 2" xfId="12180"/>
    <cellStyle name="20% - Accent2 6 6" xfId="11470"/>
    <cellStyle name="20% - Accent2 7" xfId="423"/>
    <cellStyle name="20% - Accent2 7 2" xfId="602"/>
    <cellStyle name="20% - Accent2 7 2 2" xfId="985"/>
    <cellStyle name="20% - Accent2 7 2 2 2" xfId="1724"/>
    <cellStyle name="20% - Accent2 7 2 2 2 2" xfId="12820"/>
    <cellStyle name="20% - Accent2 7 2 2 3" xfId="12110"/>
    <cellStyle name="20% - Accent2 7 2 3" xfId="1369"/>
    <cellStyle name="20% - Accent2 7 2 3 2" xfId="12465"/>
    <cellStyle name="20% - Accent2 7 2 4" xfId="11755"/>
    <cellStyle name="20% - Accent2 7 3" xfId="807"/>
    <cellStyle name="20% - Accent2 7 3 2" xfId="1546"/>
    <cellStyle name="20% - Accent2 7 3 2 2" xfId="12642"/>
    <cellStyle name="20% - Accent2 7 3 3" xfId="11932"/>
    <cellStyle name="20% - Accent2 7 4" xfId="1191"/>
    <cellStyle name="20% - Accent2 7 4 2" xfId="12287"/>
    <cellStyle name="20% - Accent2 7 5" xfId="11577"/>
    <cellStyle name="20% - Accent2 8" xfId="479"/>
    <cellStyle name="20% - Accent2 8 2" xfId="863"/>
    <cellStyle name="20% - Accent2 8 2 2" xfId="1602"/>
    <cellStyle name="20% - Accent2 8 2 2 2" xfId="12698"/>
    <cellStyle name="20% - Accent2 8 2 3" xfId="11988"/>
    <cellStyle name="20% - Accent2 8 3" xfId="1247"/>
    <cellStyle name="20% - Accent2 8 3 2" xfId="12343"/>
    <cellStyle name="20% - Accent2 8 4" xfId="11633"/>
    <cellStyle name="20% - Accent2 9" xfId="676"/>
    <cellStyle name="20% - Accent2 9 2" xfId="1424"/>
    <cellStyle name="20% - Accent2 9 2 2" xfId="12520"/>
    <cellStyle name="20% - Accent2 9 3" xfId="11810"/>
    <cellStyle name="20% - Accent3" xfId="26" builtinId="38" customBuiltin="1"/>
    <cellStyle name="20% - Accent3 10" xfId="1064"/>
    <cellStyle name="20% - Accent3 10 2" xfId="12167"/>
    <cellStyle name="20% - Accent3 11" xfId="1951"/>
    <cellStyle name="20% - Accent3 11 2" xfId="12880"/>
    <cellStyle name="20% - Accent3 12" xfId="3772"/>
    <cellStyle name="20% - Accent3 12 2" xfId="11457"/>
    <cellStyle name="20% - Accent3 2" xfId="117"/>
    <cellStyle name="20% - Accent3 2 10" xfId="3115"/>
    <cellStyle name="20% - Accent3 2 10 2" xfId="5224"/>
    <cellStyle name="20% - Accent3 2 10 2 2" xfId="17837"/>
    <cellStyle name="20% - Accent3 2 10 2 2 2" xfId="28980"/>
    <cellStyle name="20% - Accent3 2 10 2 3" xfId="23411"/>
    <cellStyle name="20% - Accent3 2 10 2 4" xfId="9375"/>
    <cellStyle name="20% - Accent3 2 10 3" xfId="15768"/>
    <cellStyle name="20% - Accent3 2 10 3 2" xfId="26911"/>
    <cellStyle name="20% - Accent3 2 10 4" xfId="21342"/>
    <cellStyle name="20% - Accent3 2 10 5" xfId="7306"/>
    <cellStyle name="20% - Accent3 2 11" xfId="3794"/>
    <cellStyle name="20% - Accent3 2 11 2" xfId="16407"/>
    <cellStyle name="20% - Accent3 2 11 2 2" xfId="27550"/>
    <cellStyle name="20% - Accent3 2 11 3" xfId="21981"/>
    <cellStyle name="20% - Accent3 2 11 4" xfId="7945"/>
    <cellStyle name="20% - Accent3 2 12" xfId="10302"/>
    <cellStyle name="20% - Accent3 2 12 2" xfId="14338"/>
    <cellStyle name="20% - Accent3 2 12 2 2" xfId="25481"/>
    <cellStyle name="20% - Accent3 2 12 3" xfId="19912"/>
    <cellStyle name="20% - Accent3 2 13" xfId="12906"/>
    <cellStyle name="20% - Accent3 2 13 2" xfId="24050"/>
    <cellStyle name="20% - Accent3 2 14" xfId="18482"/>
    <cellStyle name="20% - Accent3 2 15" xfId="5875"/>
    <cellStyle name="20% - Accent3 2 2" xfId="227"/>
    <cellStyle name="20% - Accent3 2 2 10" xfId="3813"/>
    <cellStyle name="20% - Accent3 2 2 10 2" xfId="16426"/>
    <cellStyle name="20% - Accent3 2 2 10 2 2" xfId="27569"/>
    <cellStyle name="20% - Accent3 2 2 10 3" xfId="22000"/>
    <cellStyle name="20% - Accent3 2 2 10 4" xfId="7964"/>
    <cellStyle name="20% - Accent3 2 2 11" xfId="10055"/>
    <cellStyle name="20% - Accent3 2 2 11 2" xfId="14357"/>
    <cellStyle name="20% - Accent3 2 2 11 2 2" xfId="25500"/>
    <cellStyle name="20% - Accent3 2 2 11 3" xfId="19931"/>
    <cellStyle name="20% - Accent3 2 2 12" xfId="12926"/>
    <cellStyle name="20% - Accent3 2 2 12 2" xfId="24070"/>
    <cellStyle name="20% - Accent3 2 2 13" xfId="18501"/>
    <cellStyle name="20% - Accent3 2 2 14" xfId="5894"/>
    <cellStyle name="20% - Accent3 2 2 2" xfId="265"/>
    <cellStyle name="20% - Accent3 2 2 2 10" xfId="11159"/>
    <cellStyle name="20% - Accent3 2 2 2 10 2" xfId="14395"/>
    <cellStyle name="20% - Accent3 2 2 2 10 2 2" xfId="25538"/>
    <cellStyle name="20% - Accent3 2 2 2 10 3" xfId="19969"/>
    <cellStyle name="20% - Accent3 2 2 2 11" xfId="12964"/>
    <cellStyle name="20% - Accent3 2 2 2 11 2" xfId="24108"/>
    <cellStyle name="20% - Accent3 2 2 2 12" xfId="18539"/>
    <cellStyle name="20% - Accent3 2 2 2 13" xfId="5932"/>
    <cellStyle name="20% - Accent3 2 2 2 2" xfId="341"/>
    <cellStyle name="20% - Accent3 2 2 2 2 10" xfId="13040"/>
    <cellStyle name="20% - Accent3 2 2 2 2 10 2" xfId="24184"/>
    <cellStyle name="20% - Accent3 2 2 2 2 11" xfId="18615"/>
    <cellStyle name="20% - Accent3 2 2 2 2 12" xfId="6008"/>
    <cellStyle name="20% - Accent3 2 2 2 2 2" xfId="2299"/>
    <cellStyle name="20% - Accent3 2 2 2 2 2 2" xfId="2943"/>
    <cellStyle name="20% - Accent3 2 2 2 2 2 2 2" xfId="5052"/>
    <cellStyle name="20% - Accent3 2 2 2 2 2 2 2 2" xfId="17665"/>
    <cellStyle name="20% - Accent3 2 2 2 2 2 2 2 2 2" xfId="28808"/>
    <cellStyle name="20% - Accent3 2 2 2 2 2 2 2 3" xfId="23239"/>
    <cellStyle name="20% - Accent3 2 2 2 2 2 2 2 4" xfId="9203"/>
    <cellStyle name="20% - Accent3 2 2 2 2 2 2 3" xfId="11347"/>
    <cellStyle name="20% - Accent3 2 2 2 2 2 2 3 2" xfId="15596"/>
    <cellStyle name="20% - Accent3 2 2 2 2 2 2 3 2 2" xfId="26739"/>
    <cellStyle name="20% - Accent3 2 2 2 2 2 2 3 3" xfId="21170"/>
    <cellStyle name="20% - Accent3 2 2 2 2 2 2 4" xfId="14166"/>
    <cellStyle name="20% - Accent3 2 2 2 2 2 2 4 2" xfId="25309"/>
    <cellStyle name="20% - Accent3 2 2 2 2 2 2 5" xfId="19740"/>
    <cellStyle name="20% - Accent3 2 2 2 2 2 2 6" xfId="7134"/>
    <cellStyle name="20% - Accent3 2 2 2 2 2 3" xfId="3581"/>
    <cellStyle name="20% - Accent3 2 2 2 2 2 3 2" xfId="5690"/>
    <cellStyle name="20% - Accent3 2 2 2 2 2 3 2 2" xfId="18303"/>
    <cellStyle name="20% - Accent3 2 2 2 2 2 3 2 2 2" xfId="29446"/>
    <cellStyle name="20% - Accent3 2 2 2 2 2 3 2 3" xfId="23877"/>
    <cellStyle name="20% - Accent3 2 2 2 2 2 3 2 4" xfId="9841"/>
    <cellStyle name="20% - Accent3 2 2 2 2 2 3 3" xfId="16234"/>
    <cellStyle name="20% - Accent3 2 2 2 2 2 3 3 2" xfId="27377"/>
    <cellStyle name="20% - Accent3 2 2 2 2 2 3 4" xfId="21808"/>
    <cellStyle name="20% - Accent3 2 2 2 2 2 3 5" xfId="7772"/>
    <cellStyle name="20% - Accent3 2 2 2 2 2 4" xfId="4260"/>
    <cellStyle name="20% - Accent3 2 2 2 2 2 4 2" xfId="16873"/>
    <cellStyle name="20% - Accent3 2 2 2 2 2 4 2 2" xfId="28016"/>
    <cellStyle name="20% - Accent3 2 2 2 2 2 4 3" xfId="22447"/>
    <cellStyle name="20% - Accent3 2 2 2 2 2 4 4" xfId="8411"/>
    <cellStyle name="20% - Accent3 2 2 2 2 2 5" xfId="10418"/>
    <cellStyle name="20% - Accent3 2 2 2 2 2 5 2" xfId="14957"/>
    <cellStyle name="20% - Accent3 2 2 2 2 2 5 2 2" xfId="26100"/>
    <cellStyle name="20% - Accent3 2 2 2 2 2 5 3" xfId="20531"/>
    <cellStyle name="20% - Accent3 2 2 2 2 2 6" xfId="13527"/>
    <cellStyle name="20% - Accent3 2 2 2 2 2 6 2" xfId="24670"/>
    <cellStyle name="20% - Accent3 2 2 2 2 2 7" xfId="19101"/>
    <cellStyle name="20% - Accent3 2 2 2 2 2 8" xfId="6495"/>
    <cellStyle name="20% - Accent3 2 2 2 2 3" xfId="2107"/>
    <cellStyle name="20% - Accent3 2 2 2 2 3 2" xfId="2762"/>
    <cellStyle name="20% - Accent3 2 2 2 2 3 2 2" xfId="4871"/>
    <cellStyle name="20% - Accent3 2 2 2 2 3 2 2 2" xfId="17484"/>
    <cellStyle name="20% - Accent3 2 2 2 2 3 2 2 2 2" xfId="28627"/>
    <cellStyle name="20% - Accent3 2 2 2 2 3 2 2 3" xfId="23058"/>
    <cellStyle name="20% - Accent3 2 2 2 2 3 2 2 4" xfId="9022"/>
    <cellStyle name="20% - Accent3 2 2 2 2 3 2 3" xfId="11068"/>
    <cellStyle name="20% - Accent3 2 2 2 2 3 2 3 2" xfId="15415"/>
    <cellStyle name="20% - Accent3 2 2 2 2 3 2 3 2 2" xfId="26558"/>
    <cellStyle name="20% - Accent3 2 2 2 2 3 2 3 3" xfId="20989"/>
    <cellStyle name="20% - Accent3 2 2 2 2 3 2 4" xfId="13985"/>
    <cellStyle name="20% - Accent3 2 2 2 2 3 2 4 2" xfId="25128"/>
    <cellStyle name="20% - Accent3 2 2 2 2 3 2 5" xfId="19559"/>
    <cellStyle name="20% - Accent3 2 2 2 2 3 2 6" xfId="6953"/>
    <cellStyle name="20% - Accent3 2 2 2 2 3 3" xfId="3400"/>
    <cellStyle name="20% - Accent3 2 2 2 2 3 3 2" xfId="5509"/>
    <cellStyle name="20% - Accent3 2 2 2 2 3 3 2 2" xfId="18122"/>
    <cellStyle name="20% - Accent3 2 2 2 2 3 3 2 2 2" xfId="29265"/>
    <cellStyle name="20% - Accent3 2 2 2 2 3 3 2 3" xfId="23696"/>
    <cellStyle name="20% - Accent3 2 2 2 2 3 3 2 4" xfId="9660"/>
    <cellStyle name="20% - Accent3 2 2 2 2 3 3 3" xfId="16053"/>
    <cellStyle name="20% - Accent3 2 2 2 2 3 3 3 2" xfId="27196"/>
    <cellStyle name="20% - Accent3 2 2 2 2 3 3 4" xfId="21627"/>
    <cellStyle name="20% - Accent3 2 2 2 2 3 3 5" xfId="7591"/>
    <cellStyle name="20% - Accent3 2 2 2 2 3 4" xfId="4079"/>
    <cellStyle name="20% - Accent3 2 2 2 2 3 4 2" xfId="16692"/>
    <cellStyle name="20% - Accent3 2 2 2 2 3 4 2 2" xfId="27835"/>
    <cellStyle name="20% - Accent3 2 2 2 2 3 4 3" xfId="22266"/>
    <cellStyle name="20% - Accent3 2 2 2 2 3 4 4" xfId="8230"/>
    <cellStyle name="20% - Accent3 2 2 2 2 3 5" xfId="10804"/>
    <cellStyle name="20% - Accent3 2 2 2 2 3 5 2" xfId="14776"/>
    <cellStyle name="20% - Accent3 2 2 2 2 3 5 2 2" xfId="25919"/>
    <cellStyle name="20% - Accent3 2 2 2 2 3 5 3" xfId="20350"/>
    <cellStyle name="20% - Accent3 2 2 2 2 3 6" xfId="13346"/>
    <cellStyle name="20% - Accent3 2 2 2 2 3 6 2" xfId="24489"/>
    <cellStyle name="20% - Accent3 2 2 2 2 3 7" xfId="18920"/>
    <cellStyle name="20% - Accent3 2 2 2 2 3 8" xfId="6314"/>
    <cellStyle name="20% - Accent3 2 2 2 2 4" xfId="2454"/>
    <cellStyle name="20% - Accent3 2 2 2 2 4 2" xfId="3095"/>
    <cellStyle name="20% - Accent3 2 2 2 2 4 2 2" xfId="5204"/>
    <cellStyle name="20% - Accent3 2 2 2 2 4 2 2 2" xfId="17817"/>
    <cellStyle name="20% - Accent3 2 2 2 2 4 2 2 2 2" xfId="28960"/>
    <cellStyle name="20% - Accent3 2 2 2 2 4 2 2 3" xfId="23391"/>
    <cellStyle name="20% - Accent3 2 2 2 2 4 2 2 4" xfId="9355"/>
    <cellStyle name="20% - Accent3 2 2 2 2 4 2 3" xfId="10653"/>
    <cellStyle name="20% - Accent3 2 2 2 2 4 2 3 2" xfId="15748"/>
    <cellStyle name="20% - Accent3 2 2 2 2 4 2 3 2 2" xfId="26891"/>
    <cellStyle name="20% - Accent3 2 2 2 2 4 2 3 3" xfId="21322"/>
    <cellStyle name="20% - Accent3 2 2 2 2 4 2 4" xfId="14318"/>
    <cellStyle name="20% - Accent3 2 2 2 2 4 2 4 2" xfId="25461"/>
    <cellStyle name="20% - Accent3 2 2 2 2 4 2 5" xfId="19892"/>
    <cellStyle name="20% - Accent3 2 2 2 2 4 2 6" xfId="7286"/>
    <cellStyle name="20% - Accent3 2 2 2 2 4 3" xfId="3733"/>
    <cellStyle name="20% - Accent3 2 2 2 2 4 3 2" xfId="5842"/>
    <cellStyle name="20% - Accent3 2 2 2 2 4 3 2 2" xfId="18455"/>
    <cellStyle name="20% - Accent3 2 2 2 2 4 3 2 2 2" xfId="29598"/>
    <cellStyle name="20% - Accent3 2 2 2 2 4 3 2 3" xfId="24029"/>
    <cellStyle name="20% - Accent3 2 2 2 2 4 3 2 4" xfId="9993"/>
    <cellStyle name="20% - Accent3 2 2 2 2 4 3 3" xfId="16386"/>
    <cellStyle name="20% - Accent3 2 2 2 2 4 3 3 2" xfId="27529"/>
    <cellStyle name="20% - Accent3 2 2 2 2 4 3 4" xfId="21960"/>
    <cellStyle name="20% - Accent3 2 2 2 2 4 3 5" xfId="7924"/>
    <cellStyle name="20% - Accent3 2 2 2 2 4 4" xfId="4412"/>
    <cellStyle name="20% - Accent3 2 2 2 2 4 4 2" xfId="17025"/>
    <cellStyle name="20% - Accent3 2 2 2 2 4 4 2 2" xfId="28168"/>
    <cellStyle name="20% - Accent3 2 2 2 2 4 4 3" xfId="22599"/>
    <cellStyle name="20% - Accent3 2 2 2 2 4 4 4" xfId="8563"/>
    <cellStyle name="20% - Accent3 2 2 2 2 4 5" xfId="10797"/>
    <cellStyle name="20% - Accent3 2 2 2 2 4 5 2" xfId="15109"/>
    <cellStyle name="20% - Accent3 2 2 2 2 4 5 2 2" xfId="26252"/>
    <cellStyle name="20% - Accent3 2 2 2 2 4 5 3" xfId="20683"/>
    <cellStyle name="20% - Accent3 2 2 2 2 4 6" xfId="13679"/>
    <cellStyle name="20% - Accent3 2 2 2 2 4 6 2" xfId="24822"/>
    <cellStyle name="20% - Accent3 2 2 2 2 4 7" xfId="19253"/>
    <cellStyle name="20% - Accent3 2 2 2 2 4 8" xfId="6647"/>
    <cellStyle name="20% - Accent3 2 2 2 2 5" xfId="1917"/>
    <cellStyle name="20% - Accent3 2 2 2 2 5 2" xfId="4565"/>
    <cellStyle name="20% - Accent3 2 2 2 2 5 2 2" xfId="17178"/>
    <cellStyle name="20% - Accent3 2 2 2 2 5 2 2 2" xfId="28321"/>
    <cellStyle name="20% - Accent3 2 2 2 2 5 2 3" xfId="22752"/>
    <cellStyle name="20% - Accent3 2 2 2 2 5 2 4" xfId="8716"/>
    <cellStyle name="20% - Accent3 2 2 2 2 5 3" xfId="10641"/>
    <cellStyle name="20% - Accent3 2 2 2 2 5 3 2" xfId="14624"/>
    <cellStyle name="20% - Accent3 2 2 2 2 5 3 2 2" xfId="25767"/>
    <cellStyle name="20% - Accent3 2 2 2 2 5 3 3" xfId="20198"/>
    <cellStyle name="20% - Accent3 2 2 2 2 5 4" xfId="13194"/>
    <cellStyle name="20% - Accent3 2 2 2 2 5 4 2" xfId="24337"/>
    <cellStyle name="20% - Accent3 2 2 2 2 5 5" xfId="18768"/>
    <cellStyle name="20% - Accent3 2 2 2 2 5 6" xfId="6162"/>
    <cellStyle name="20% - Accent3 2 2 2 2 6" xfId="2610"/>
    <cellStyle name="20% - Accent3 2 2 2 2 6 2" xfId="4719"/>
    <cellStyle name="20% - Accent3 2 2 2 2 6 2 2" xfId="17332"/>
    <cellStyle name="20% - Accent3 2 2 2 2 6 2 2 2" xfId="28475"/>
    <cellStyle name="20% - Accent3 2 2 2 2 6 2 3" xfId="22906"/>
    <cellStyle name="20% - Accent3 2 2 2 2 6 2 4" xfId="8870"/>
    <cellStyle name="20% - Accent3 2 2 2 2 6 3" xfId="11105"/>
    <cellStyle name="20% - Accent3 2 2 2 2 6 3 2" xfId="15263"/>
    <cellStyle name="20% - Accent3 2 2 2 2 6 3 2 2" xfId="26406"/>
    <cellStyle name="20% - Accent3 2 2 2 2 6 3 3" xfId="20837"/>
    <cellStyle name="20% - Accent3 2 2 2 2 6 4" xfId="13833"/>
    <cellStyle name="20% - Accent3 2 2 2 2 6 4 2" xfId="24976"/>
    <cellStyle name="20% - Accent3 2 2 2 2 6 5" xfId="19407"/>
    <cellStyle name="20% - Accent3 2 2 2 2 6 6" xfId="6801"/>
    <cellStyle name="20% - Accent3 2 2 2 2 7" xfId="3248"/>
    <cellStyle name="20% - Accent3 2 2 2 2 7 2" xfId="5357"/>
    <cellStyle name="20% - Accent3 2 2 2 2 7 2 2" xfId="17970"/>
    <cellStyle name="20% - Accent3 2 2 2 2 7 2 2 2" xfId="29113"/>
    <cellStyle name="20% - Accent3 2 2 2 2 7 2 3" xfId="23544"/>
    <cellStyle name="20% - Accent3 2 2 2 2 7 2 4" xfId="9508"/>
    <cellStyle name="20% - Accent3 2 2 2 2 7 3" xfId="15901"/>
    <cellStyle name="20% - Accent3 2 2 2 2 7 3 2" xfId="27044"/>
    <cellStyle name="20% - Accent3 2 2 2 2 7 4" xfId="21475"/>
    <cellStyle name="20% - Accent3 2 2 2 2 7 5" xfId="7439"/>
    <cellStyle name="20% - Accent3 2 2 2 2 8" xfId="3927"/>
    <cellStyle name="20% - Accent3 2 2 2 2 8 2" xfId="16540"/>
    <cellStyle name="20% - Accent3 2 2 2 2 8 2 2" xfId="27683"/>
    <cellStyle name="20% - Accent3 2 2 2 2 8 3" xfId="22114"/>
    <cellStyle name="20% - Accent3 2 2 2 2 8 4" xfId="8078"/>
    <cellStyle name="20% - Accent3 2 2 2 2 9" xfId="10203"/>
    <cellStyle name="20% - Accent3 2 2 2 2 9 2" xfId="14471"/>
    <cellStyle name="20% - Accent3 2 2 2 2 9 2 2" xfId="25614"/>
    <cellStyle name="20% - Accent3 2 2 2 2 9 3" xfId="20045"/>
    <cellStyle name="20% - Accent3 2 2 2 3" xfId="2223"/>
    <cellStyle name="20% - Accent3 2 2 2 3 2" xfId="2867"/>
    <cellStyle name="20% - Accent3 2 2 2 3 2 2" xfId="4976"/>
    <cellStyle name="20% - Accent3 2 2 2 3 2 2 2" xfId="17589"/>
    <cellStyle name="20% - Accent3 2 2 2 3 2 2 2 2" xfId="28732"/>
    <cellStyle name="20% - Accent3 2 2 2 3 2 2 3" xfId="23163"/>
    <cellStyle name="20% - Accent3 2 2 2 3 2 2 4" xfId="9127"/>
    <cellStyle name="20% - Accent3 2 2 2 3 2 3" xfId="10676"/>
    <cellStyle name="20% - Accent3 2 2 2 3 2 3 2" xfId="15520"/>
    <cellStyle name="20% - Accent3 2 2 2 3 2 3 2 2" xfId="26663"/>
    <cellStyle name="20% - Accent3 2 2 2 3 2 3 3" xfId="21094"/>
    <cellStyle name="20% - Accent3 2 2 2 3 2 4" xfId="14090"/>
    <cellStyle name="20% - Accent3 2 2 2 3 2 4 2" xfId="25233"/>
    <cellStyle name="20% - Accent3 2 2 2 3 2 5" xfId="19664"/>
    <cellStyle name="20% - Accent3 2 2 2 3 2 6" xfId="7058"/>
    <cellStyle name="20% - Accent3 2 2 2 3 3" xfId="3505"/>
    <cellStyle name="20% - Accent3 2 2 2 3 3 2" xfId="5614"/>
    <cellStyle name="20% - Accent3 2 2 2 3 3 2 2" xfId="18227"/>
    <cellStyle name="20% - Accent3 2 2 2 3 3 2 2 2" xfId="29370"/>
    <cellStyle name="20% - Accent3 2 2 2 3 3 2 3" xfId="23801"/>
    <cellStyle name="20% - Accent3 2 2 2 3 3 2 4" xfId="9765"/>
    <cellStyle name="20% - Accent3 2 2 2 3 3 3" xfId="16158"/>
    <cellStyle name="20% - Accent3 2 2 2 3 3 3 2" xfId="27301"/>
    <cellStyle name="20% - Accent3 2 2 2 3 3 4" xfId="21732"/>
    <cellStyle name="20% - Accent3 2 2 2 3 3 5" xfId="7696"/>
    <cellStyle name="20% - Accent3 2 2 2 3 4" xfId="4184"/>
    <cellStyle name="20% - Accent3 2 2 2 3 4 2" xfId="16797"/>
    <cellStyle name="20% - Accent3 2 2 2 3 4 2 2" xfId="27940"/>
    <cellStyle name="20% - Accent3 2 2 2 3 4 3" xfId="22371"/>
    <cellStyle name="20% - Accent3 2 2 2 3 4 4" xfId="8335"/>
    <cellStyle name="20% - Accent3 2 2 2 3 5" xfId="10026"/>
    <cellStyle name="20% - Accent3 2 2 2 3 5 2" xfId="14881"/>
    <cellStyle name="20% - Accent3 2 2 2 3 5 2 2" xfId="26024"/>
    <cellStyle name="20% - Accent3 2 2 2 3 5 3" xfId="20455"/>
    <cellStyle name="20% - Accent3 2 2 2 3 6" xfId="13451"/>
    <cellStyle name="20% - Accent3 2 2 2 3 6 2" xfId="24594"/>
    <cellStyle name="20% - Accent3 2 2 2 3 7" xfId="19025"/>
    <cellStyle name="20% - Accent3 2 2 2 3 8" xfId="6419"/>
    <cellStyle name="20% - Accent3 2 2 2 4" xfId="2031"/>
    <cellStyle name="20% - Accent3 2 2 2 4 2" xfId="2686"/>
    <cellStyle name="20% - Accent3 2 2 2 4 2 2" xfId="4795"/>
    <cellStyle name="20% - Accent3 2 2 2 4 2 2 2" xfId="17408"/>
    <cellStyle name="20% - Accent3 2 2 2 4 2 2 2 2" xfId="28551"/>
    <cellStyle name="20% - Accent3 2 2 2 4 2 2 3" xfId="22982"/>
    <cellStyle name="20% - Accent3 2 2 2 4 2 2 4" xfId="8946"/>
    <cellStyle name="20% - Accent3 2 2 2 4 2 3" xfId="11442"/>
    <cellStyle name="20% - Accent3 2 2 2 4 2 3 2" xfId="15339"/>
    <cellStyle name="20% - Accent3 2 2 2 4 2 3 2 2" xfId="26482"/>
    <cellStyle name="20% - Accent3 2 2 2 4 2 3 3" xfId="20913"/>
    <cellStyle name="20% - Accent3 2 2 2 4 2 4" xfId="13909"/>
    <cellStyle name="20% - Accent3 2 2 2 4 2 4 2" xfId="25052"/>
    <cellStyle name="20% - Accent3 2 2 2 4 2 5" xfId="19483"/>
    <cellStyle name="20% - Accent3 2 2 2 4 2 6" xfId="6877"/>
    <cellStyle name="20% - Accent3 2 2 2 4 3" xfId="3324"/>
    <cellStyle name="20% - Accent3 2 2 2 4 3 2" xfId="5433"/>
    <cellStyle name="20% - Accent3 2 2 2 4 3 2 2" xfId="18046"/>
    <cellStyle name="20% - Accent3 2 2 2 4 3 2 2 2" xfId="29189"/>
    <cellStyle name="20% - Accent3 2 2 2 4 3 2 3" xfId="23620"/>
    <cellStyle name="20% - Accent3 2 2 2 4 3 2 4" xfId="9584"/>
    <cellStyle name="20% - Accent3 2 2 2 4 3 3" xfId="15977"/>
    <cellStyle name="20% - Accent3 2 2 2 4 3 3 2" xfId="27120"/>
    <cellStyle name="20% - Accent3 2 2 2 4 3 4" xfId="21551"/>
    <cellStyle name="20% - Accent3 2 2 2 4 3 5" xfId="7515"/>
    <cellStyle name="20% - Accent3 2 2 2 4 4" xfId="4003"/>
    <cellStyle name="20% - Accent3 2 2 2 4 4 2" xfId="16616"/>
    <cellStyle name="20% - Accent3 2 2 2 4 4 2 2" xfId="27759"/>
    <cellStyle name="20% - Accent3 2 2 2 4 4 3" xfId="22190"/>
    <cellStyle name="20% - Accent3 2 2 2 4 4 4" xfId="8154"/>
    <cellStyle name="20% - Accent3 2 2 2 4 5" xfId="10443"/>
    <cellStyle name="20% - Accent3 2 2 2 4 5 2" xfId="14700"/>
    <cellStyle name="20% - Accent3 2 2 2 4 5 2 2" xfId="25843"/>
    <cellStyle name="20% - Accent3 2 2 2 4 5 3" xfId="20274"/>
    <cellStyle name="20% - Accent3 2 2 2 4 6" xfId="13270"/>
    <cellStyle name="20% - Accent3 2 2 2 4 6 2" xfId="24413"/>
    <cellStyle name="20% - Accent3 2 2 2 4 7" xfId="18844"/>
    <cellStyle name="20% - Accent3 2 2 2 4 8" xfId="6238"/>
    <cellStyle name="20% - Accent3 2 2 2 5" xfId="2378"/>
    <cellStyle name="20% - Accent3 2 2 2 5 2" xfId="3019"/>
    <cellStyle name="20% - Accent3 2 2 2 5 2 2" xfId="5128"/>
    <cellStyle name="20% - Accent3 2 2 2 5 2 2 2" xfId="17741"/>
    <cellStyle name="20% - Accent3 2 2 2 5 2 2 2 2" xfId="28884"/>
    <cellStyle name="20% - Accent3 2 2 2 5 2 2 3" xfId="23315"/>
    <cellStyle name="20% - Accent3 2 2 2 5 2 2 4" xfId="9279"/>
    <cellStyle name="20% - Accent3 2 2 2 5 2 3" xfId="10211"/>
    <cellStyle name="20% - Accent3 2 2 2 5 2 3 2" xfId="15672"/>
    <cellStyle name="20% - Accent3 2 2 2 5 2 3 2 2" xfId="26815"/>
    <cellStyle name="20% - Accent3 2 2 2 5 2 3 3" xfId="21246"/>
    <cellStyle name="20% - Accent3 2 2 2 5 2 4" xfId="14242"/>
    <cellStyle name="20% - Accent3 2 2 2 5 2 4 2" xfId="25385"/>
    <cellStyle name="20% - Accent3 2 2 2 5 2 5" xfId="19816"/>
    <cellStyle name="20% - Accent3 2 2 2 5 2 6" xfId="7210"/>
    <cellStyle name="20% - Accent3 2 2 2 5 3" xfId="3657"/>
    <cellStyle name="20% - Accent3 2 2 2 5 3 2" xfId="5766"/>
    <cellStyle name="20% - Accent3 2 2 2 5 3 2 2" xfId="18379"/>
    <cellStyle name="20% - Accent3 2 2 2 5 3 2 2 2" xfId="29522"/>
    <cellStyle name="20% - Accent3 2 2 2 5 3 2 3" xfId="23953"/>
    <cellStyle name="20% - Accent3 2 2 2 5 3 2 4" xfId="9917"/>
    <cellStyle name="20% - Accent3 2 2 2 5 3 3" xfId="16310"/>
    <cellStyle name="20% - Accent3 2 2 2 5 3 3 2" xfId="27453"/>
    <cellStyle name="20% - Accent3 2 2 2 5 3 4" xfId="21884"/>
    <cellStyle name="20% - Accent3 2 2 2 5 3 5" xfId="7848"/>
    <cellStyle name="20% - Accent3 2 2 2 5 4" xfId="4336"/>
    <cellStyle name="20% - Accent3 2 2 2 5 4 2" xfId="16949"/>
    <cellStyle name="20% - Accent3 2 2 2 5 4 2 2" xfId="28092"/>
    <cellStyle name="20% - Accent3 2 2 2 5 4 3" xfId="22523"/>
    <cellStyle name="20% - Accent3 2 2 2 5 4 4" xfId="8487"/>
    <cellStyle name="20% - Accent3 2 2 2 5 5" xfId="10555"/>
    <cellStyle name="20% - Accent3 2 2 2 5 5 2" xfId="15033"/>
    <cellStyle name="20% - Accent3 2 2 2 5 5 2 2" xfId="26176"/>
    <cellStyle name="20% - Accent3 2 2 2 5 5 3" xfId="20607"/>
    <cellStyle name="20% - Accent3 2 2 2 5 6" xfId="13603"/>
    <cellStyle name="20% - Accent3 2 2 2 5 6 2" xfId="24746"/>
    <cellStyle name="20% - Accent3 2 2 2 5 7" xfId="19177"/>
    <cellStyle name="20% - Accent3 2 2 2 5 8" xfId="6571"/>
    <cellStyle name="20% - Accent3 2 2 2 6" xfId="1841"/>
    <cellStyle name="20% - Accent3 2 2 2 6 2" xfId="4489"/>
    <cellStyle name="20% - Accent3 2 2 2 6 2 2" xfId="17102"/>
    <cellStyle name="20% - Accent3 2 2 2 6 2 2 2" xfId="28245"/>
    <cellStyle name="20% - Accent3 2 2 2 6 2 3" xfId="22676"/>
    <cellStyle name="20% - Accent3 2 2 2 6 2 4" xfId="8640"/>
    <cellStyle name="20% - Accent3 2 2 2 6 3" xfId="10153"/>
    <cellStyle name="20% - Accent3 2 2 2 6 3 2" xfId="14548"/>
    <cellStyle name="20% - Accent3 2 2 2 6 3 2 2" xfId="25691"/>
    <cellStyle name="20% - Accent3 2 2 2 6 3 3" xfId="20122"/>
    <cellStyle name="20% - Accent3 2 2 2 6 4" xfId="13118"/>
    <cellStyle name="20% - Accent3 2 2 2 6 4 2" xfId="24261"/>
    <cellStyle name="20% - Accent3 2 2 2 6 5" xfId="18692"/>
    <cellStyle name="20% - Accent3 2 2 2 6 6" xfId="6086"/>
    <cellStyle name="20% - Accent3 2 2 2 7" xfId="2534"/>
    <cellStyle name="20% - Accent3 2 2 2 7 2" xfId="4643"/>
    <cellStyle name="20% - Accent3 2 2 2 7 2 2" xfId="17256"/>
    <cellStyle name="20% - Accent3 2 2 2 7 2 2 2" xfId="28399"/>
    <cellStyle name="20% - Accent3 2 2 2 7 2 3" xfId="22830"/>
    <cellStyle name="20% - Accent3 2 2 2 7 2 4" xfId="8794"/>
    <cellStyle name="20% - Accent3 2 2 2 7 3" xfId="10472"/>
    <cellStyle name="20% - Accent3 2 2 2 7 3 2" xfId="15187"/>
    <cellStyle name="20% - Accent3 2 2 2 7 3 2 2" xfId="26330"/>
    <cellStyle name="20% - Accent3 2 2 2 7 3 3" xfId="20761"/>
    <cellStyle name="20% - Accent3 2 2 2 7 4" xfId="13757"/>
    <cellStyle name="20% - Accent3 2 2 2 7 4 2" xfId="24900"/>
    <cellStyle name="20% - Accent3 2 2 2 7 5" xfId="19331"/>
    <cellStyle name="20% - Accent3 2 2 2 7 6" xfId="6725"/>
    <cellStyle name="20% - Accent3 2 2 2 8" xfId="3172"/>
    <cellStyle name="20% - Accent3 2 2 2 8 2" xfId="5281"/>
    <cellStyle name="20% - Accent3 2 2 2 8 2 2" xfId="17894"/>
    <cellStyle name="20% - Accent3 2 2 2 8 2 2 2" xfId="29037"/>
    <cellStyle name="20% - Accent3 2 2 2 8 2 3" xfId="23468"/>
    <cellStyle name="20% - Accent3 2 2 2 8 2 4" xfId="9432"/>
    <cellStyle name="20% - Accent3 2 2 2 8 3" xfId="15825"/>
    <cellStyle name="20% - Accent3 2 2 2 8 3 2" xfId="26968"/>
    <cellStyle name="20% - Accent3 2 2 2 8 4" xfId="21399"/>
    <cellStyle name="20% - Accent3 2 2 2 8 5" xfId="7363"/>
    <cellStyle name="20% - Accent3 2 2 2 9" xfId="3851"/>
    <cellStyle name="20% - Accent3 2 2 2 9 2" xfId="16464"/>
    <cellStyle name="20% - Accent3 2 2 2 9 2 2" xfId="27607"/>
    <cellStyle name="20% - Accent3 2 2 2 9 3" xfId="22038"/>
    <cellStyle name="20% - Accent3 2 2 2 9 4" xfId="8002"/>
    <cellStyle name="20% - Accent3 2 2 3" xfId="303"/>
    <cellStyle name="20% - Accent3 2 2 3 10" xfId="13002"/>
    <cellStyle name="20% - Accent3 2 2 3 10 2" xfId="24146"/>
    <cellStyle name="20% - Accent3 2 2 3 11" xfId="18577"/>
    <cellStyle name="20% - Accent3 2 2 3 12" xfId="5970"/>
    <cellStyle name="20% - Accent3 2 2 3 2" xfId="2261"/>
    <cellStyle name="20% - Accent3 2 2 3 2 2" xfId="2905"/>
    <cellStyle name="20% - Accent3 2 2 3 2 2 2" xfId="5014"/>
    <cellStyle name="20% - Accent3 2 2 3 2 2 2 2" xfId="17627"/>
    <cellStyle name="20% - Accent3 2 2 3 2 2 2 2 2" xfId="28770"/>
    <cellStyle name="20% - Accent3 2 2 3 2 2 2 3" xfId="23201"/>
    <cellStyle name="20% - Accent3 2 2 3 2 2 2 4" xfId="9165"/>
    <cellStyle name="20% - Accent3 2 2 3 2 2 3" xfId="10044"/>
    <cellStyle name="20% - Accent3 2 2 3 2 2 3 2" xfId="15558"/>
    <cellStyle name="20% - Accent3 2 2 3 2 2 3 2 2" xfId="26701"/>
    <cellStyle name="20% - Accent3 2 2 3 2 2 3 3" xfId="21132"/>
    <cellStyle name="20% - Accent3 2 2 3 2 2 4" xfId="14128"/>
    <cellStyle name="20% - Accent3 2 2 3 2 2 4 2" xfId="25271"/>
    <cellStyle name="20% - Accent3 2 2 3 2 2 5" xfId="19702"/>
    <cellStyle name="20% - Accent3 2 2 3 2 2 6" xfId="7096"/>
    <cellStyle name="20% - Accent3 2 2 3 2 3" xfId="3543"/>
    <cellStyle name="20% - Accent3 2 2 3 2 3 2" xfId="5652"/>
    <cellStyle name="20% - Accent3 2 2 3 2 3 2 2" xfId="18265"/>
    <cellStyle name="20% - Accent3 2 2 3 2 3 2 2 2" xfId="29408"/>
    <cellStyle name="20% - Accent3 2 2 3 2 3 2 3" xfId="23839"/>
    <cellStyle name="20% - Accent3 2 2 3 2 3 2 4" xfId="9803"/>
    <cellStyle name="20% - Accent3 2 2 3 2 3 3" xfId="16196"/>
    <cellStyle name="20% - Accent3 2 2 3 2 3 3 2" xfId="27339"/>
    <cellStyle name="20% - Accent3 2 2 3 2 3 4" xfId="21770"/>
    <cellStyle name="20% - Accent3 2 2 3 2 3 5" xfId="7734"/>
    <cellStyle name="20% - Accent3 2 2 3 2 4" xfId="4222"/>
    <cellStyle name="20% - Accent3 2 2 3 2 4 2" xfId="16835"/>
    <cellStyle name="20% - Accent3 2 2 3 2 4 2 2" xfId="27978"/>
    <cellStyle name="20% - Accent3 2 2 3 2 4 3" xfId="22409"/>
    <cellStyle name="20% - Accent3 2 2 3 2 4 4" xfId="8373"/>
    <cellStyle name="20% - Accent3 2 2 3 2 5" xfId="11352"/>
    <cellStyle name="20% - Accent3 2 2 3 2 5 2" xfId="14919"/>
    <cellStyle name="20% - Accent3 2 2 3 2 5 2 2" xfId="26062"/>
    <cellStyle name="20% - Accent3 2 2 3 2 5 3" xfId="20493"/>
    <cellStyle name="20% - Accent3 2 2 3 2 6" xfId="13489"/>
    <cellStyle name="20% - Accent3 2 2 3 2 6 2" xfId="24632"/>
    <cellStyle name="20% - Accent3 2 2 3 2 7" xfId="19063"/>
    <cellStyle name="20% - Accent3 2 2 3 2 8" xfId="6457"/>
    <cellStyle name="20% - Accent3 2 2 3 3" xfId="2069"/>
    <cellStyle name="20% - Accent3 2 2 3 3 2" xfId="2724"/>
    <cellStyle name="20% - Accent3 2 2 3 3 2 2" xfId="4833"/>
    <cellStyle name="20% - Accent3 2 2 3 3 2 2 2" xfId="17446"/>
    <cellStyle name="20% - Accent3 2 2 3 3 2 2 2 2" xfId="28589"/>
    <cellStyle name="20% - Accent3 2 2 3 3 2 2 3" xfId="23020"/>
    <cellStyle name="20% - Accent3 2 2 3 3 2 2 4" xfId="8984"/>
    <cellStyle name="20% - Accent3 2 2 3 3 2 3" xfId="10451"/>
    <cellStyle name="20% - Accent3 2 2 3 3 2 3 2" xfId="15377"/>
    <cellStyle name="20% - Accent3 2 2 3 3 2 3 2 2" xfId="26520"/>
    <cellStyle name="20% - Accent3 2 2 3 3 2 3 3" xfId="20951"/>
    <cellStyle name="20% - Accent3 2 2 3 3 2 4" xfId="13947"/>
    <cellStyle name="20% - Accent3 2 2 3 3 2 4 2" xfId="25090"/>
    <cellStyle name="20% - Accent3 2 2 3 3 2 5" xfId="19521"/>
    <cellStyle name="20% - Accent3 2 2 3 3 2 6" xfId="6915"/>
    <cellStyle name="20% - Accent3 2 2 3 3 3" xfId="3362"/>
    <cellStyle name="20% - Accent3 2 2 3 3 3 2" xfId="5471"/>
    <cellStyle name="20% - Accent3 2 2 3 3 3 2 2" xfId="18084"/>
    <cellStyle name="20% - Accent3 2 2 3 3 3 2 2 2" xfId="29227"/>
    <cellStyle name="20% - Accent3 2 2 3 3 3 2 3" xfId="23658"/>
    <cellStyle name="20% - Accent3 2 2 3 3 3 2 4" xfId="9622"/>
    <cellStyle name="20% - Accent3 2 2 3 3 3 3" xfId="16015"/>
    <cellStyle name="20% - Accent3 2 2 3 3 3 3 2" xfId="27158"/>
    <cellStyle name="20% - Accent3 2 2 3 3 3 4" xfId="21589"/>
    <cellStyle name="20% - Accent3 2 2 3 3 3 5" xfId="7553"/>
    <cellStyle name="20% - Accent3 2 2 3 3 4" xfId="4041"/>
    <cellStyle name="20% - Accent3 2 2 3 3 4 2" xfId="16654"/>
    <cellStyle name="20% - Accent3 2 2 3 3 4 2 2" xfId="27797"/>
    <cellStyle name="20% - Accent3 2 2 3 3 4 3" xfId="22228"/>
    <cellStyle name="20% - Accent3 2 2 3 3 4 4" xfId="8192"/>
    <cellStyle name="20% - Accent3 2 2 3 3 5" xfId="10873"/>
    <cellStyle name="20% - Accent3 2 2 3 3 5 2" xfId="14738"/>
    <cellStyle name="20% - Accent3 2 2 3 3 5 2 2" xfId="25881"/>
    <cellStyle name="20% - Accent3 2 2 3 3 5 3" xfId="20312"/>
    <cellStyle name="20% - Accent3 2 2 3 3 6" xfId="13308"/>
    <cellStyle name="20% - Accent3 2 2 3 3 6 2" xfId="24451"/>
    <cellStyle name="20% - Accent3 2 2 3 3 7" xfId="18882"/>
    <cellStyle name="20% - Accent3 2 2 3 3 8" xfId="6276"/>
    <cellStyle name="20% - Accent3 2 2 3 4" xfId="2416"/>
    <cellStyle name="20% - Accent3 2 2 3 4 2" xfId="3057"/>
    <cellStyle name="20% - Accent3 2 2 3 4 2 2" xfId="5166"/>
    <cellStyle name="20% - Accent3 2 2 3 4 2 2 2" xfId="17779"/>
    <cellStyle name="20% - Accent3 2 2 3 4 2 2 2 2" xfId="28922"/>
    <cellStyle name="20% - Accent3 2 2 3 4 2 2 3" xfId="23353"/>
    <cellStyle name="20% - Accent3 2 2 3 4 2 2 4" xfId="9317"/>
    <cellStyle name="20% - Accent3 2 2 3 4 2 3" xfId="10403"/>
    <cellStyle name="20% - Accent3 2 2 3 4 2 3 2" xfId="15710"/>
    <cellStyle name="20% - Accent3 2 2 3 4 2 3 2 2" xfId="26853"/>
    <cellStyle name="20% - Accent3 2 2 3 4 2 3 3" xfId="21284"/>
    <cellStyle name="20% - Accent3 2 2 3 4 2 4" xfId="14280"/>
    <cellStyle name="20% - Accent3 2 2 3 4 2 4 2" xfId="25423"/>
    <cellStyle name="20% - Accent3 2 2 3 4 2 5" xfId="19854"/>
    <cellStyle name="20% - Accent3 2 2 3 4 2 6" xfId="7248"/>
    <cellStyle name="20% - Accent3 2 2 3 4 3" xfId="3695"/>
    <cellStyle name="20% - Accent3 2 2 3 4 3 2" xfId="5804"/>
    <cellStyle name="20% - Accent3 2 2 3 4 3 2 2" xfId="18417"/>
    <cellStyle name="20% - Accent3 2 2 3 4 3 2 2 2" xfId="29560"/>
    <cellStyle name="20% - Accent3 2 2 3 4 3 2 3" xfId="23991"/>
    <cellStyle name="20% - Accent3 2 2 3 4 3 2 4" xfId="9955"/>
    <cellStyle name="20% - Accent3 2 2 3 4 3 3" xfId="16348"/>
    <cellStyle name="20% - Accent3 2 2 3 4 3 3 2" xfId="27491"/>
    <cellStyle name="20% - Accent3 2 2 3 4 3 4" xfId="21922"/>
    <cellStyle name="20% - Accent3 2 2 3 4 3 5" xfId="7886"/>
    <cellStyle name="20% - Accent3 2 2 3 4 4" xfId="4374"/>
    <cellStyle name="20% - Accent3 2 2 3 4 4 2" xfId="16987"/>
    <cellStyle name="20% - Accent3 2 2 3 4 4 2 2" xfId="28130"/>
    <cellStyle name="20% - Accent3 2 2 3 4 4 3" xfId="22561"/>
    <cellStyle name="20% - Accent3 2 2 3 4 4 4" xfId="8525"/>
    <cellStyle name="20% - Accent3 2 2 3 4 5" xfId="10981"/>
    <cellStyle name="20% - Accent3 2 2 3 4 5 2" xfId="15071"/>
    <cellStyle name="20% - Accent3 2 2 3 4 5 2 2" xfId="26214"/>
    <cellStyle name="20% - Accent3 2 2 3 4 5 3" xfId="20645"/>
    <cellStyle name="20% - Accent3 2 2 3 4 6" xfId="13641"/>
    <cellStyle name="20% - Accent3 2 2 3 4 6 2" xfId="24784"/>
    <cellStyle name="20% - Accent3 2 2 3 4 7" xfId="19215"/>
    <cellStyle name="20% - Accent3 2 2 3 4 8" xfId="6609"/>
    <cellStyle name="20% - Accent3 2 2 3 5" xfId="1879"/>
    <cellStyle name="20% - Accent3 2 2 3 5 2" xfId="4527"/>
    <cellStyle name="20% - Accent3 2 2 3 5 2 2" xfId="17140"/>
    <cellStyle name="20% - Accent3 2 2 3 5 2 2 2" xfId="28283"/>
    <cellStyle name="20% - Accent3 2 2 3 5 2 3" xfId="22714"/>
    <cellStyle name="20% - Accent3 2 2 3 5 2 4" xfId="8678"/>
    <cellStyle name="20% - Accent3 2 2 3 5 3" xfId="10115"/>
    <cellStyle name="20% - Accent3 2 2 3 5 3 2" xfId="14586"/>
    <cellStyle name="20% - Accent3 2 2 3 5 3 2 2" xfId="25729"/>
    <cellStyle name="20% - Accent3 2 2 3 5 3 3" xfId="20160"/>
    <cellStyle name="20% - Accent3 2 2 3 5 4" xfId="13156"/>
    <cellStyle name="20% - Accent3 2 2 3 5 4 2" xfId="24299"/>
    <cellStyle name="20% - Accent3 2 2 3 5 5" xfId="18730"/>
    <cellStyle name="20% - Accent3 2 2 3 5 6" xfId="6124"/>
    <cellStyle name="20% - Accent3 2 2 3 6" xfId="2572"/>
    <cellStyle name="20% - Accent3 2 2 3 6 2" xfId="4681"/>
    <cellStyle name="20% - Accent3 2 2 3 6 2 2" xfId="17294"/>
    <cellStyle name="20% - Accent3 2 2 3 6 2 2 2" xfId="28437"/>
    <cellStyle name="20% - Accent3 2 2 3 6 2 3" xfId="22868"/>
    <cellStyle name="20% - Accent3 2 2 3 6 2 4" xfId="8832"/>
    <cellStyle name="20% - Accent3 2 2 3 6 3" xfId="10017"/>
    <cellStyle name="20% - Accent3 2 2 3 6 3 2" xfId="15225"/>
    <cellStyle name="20% - Accent3 2 2 3 6 3 2 2" xfId="26368"/>
    <cellStyle name="20% - Accent3 2 2 3 6 3 3" xfId="20799"/>
    <cellStyle name="20% - Accent3 2 2 3 6 4" xfId="13795"/>
    <cellStyle name="20% - Accent3 2 2 3 6 4 2" xfId="24938"/>
    <cellStyle name="20% - Accent3 2 2 3 6 5" xfId="19369"/>
    <cellStyle name="20% - Accent3 2 2 3 6 6" xfId="6763"/>
    <cellStyle name="20% - Accent3 2 2 3 7" xfId="3210"/>
    <cellStyle name="20% - Accent3 2 2 3 7 2" xfId="5319"/>
    <cellStyle name="20% - Accent3 2 2 3 7 2 2" xfId="17932"/>
    <cellStyle name="20% - Accent3 2 2 3 7 2 2 2" xfId="29075"/>
    <cellStyle name="20% - Accent3 2 2 3 7 2 3" xfId="23506"/>
    <cellStyle name="20% - Accent3 2 2 3 7 2 4" xfId="9470"/>
    <cellStyle name="20% - Accent3 2 2 3 7 3" xfId="15863"/>
    <cellStyle name="20% - Accent3 2 2 3 7 3 2" xfId="27006"/>
    <cellStyle name="20% - Accent3 2 2 3 7 4" xfId="21437"/>
    <cellStyle name="20% - Accent3 2 2 3 7 5" xfId="7401"/>
    <cellStyle name="20% - Accent3 2 2 3 8" xfId="3889"/>
    <cellStyle name="20% - Accent3 2 2 3 8 2" xfId="16502"/>
    <cellStyle name="20% - Accent3 2 2 3 8 2 2" xfId="27645"/>
    <cellStyle name="20% - Accent3 2 2 3 8 3" xfId="22076"/>
    <cellStyle name="20% - Accent3 2 2 3 8 4" xfId="8040"/>
    <cellStyle name="20% - Accent3 2 2 3 9" xfId="11292"/>
    <cellStyle name="20% - Accent3 2 2 3 9 2" xfId="14433"/>
    <cellStyle name="20% - Accent3 2 2 3 9 2 2" xfId="25576"/>
    <cellStyle name="20% - Accent3 2 2 3 9 3" xfId="20007"/>
    <cellStyle name="20% - Accent3 2 2 4" xfId="2185"/>
    <cellStyle name="20% - Accent3 2 2 4 2" xfId="2829"/>
    <cellStyle name="20% - Accent3 2 2 4 2 2" xfId="4938"/>
    <cellStyle name="20% - Accent3 2 2 4 2 2 2" xfId="17551"/>
    <cellStyle name="20% - Accent3 2 2 4 2 2 2 2" xfId="28694"/>
    <cellStyle name="20% - Accent3 2 2 4 2 2 3" xfId="23125"/>
    <cellStyle name="20% - Accent3 2 2 4 2 2 4" xfId="9089"/>
    <cellStyle name="20% - Accent3 2 2 4 2 3" xfId="10428"/>
    <cellStyle name="20% - Accent3 2 2 4 2 3 2" xfId="15482"/>
    <cellStyle name="20% - Accent3 2 2 4 2 3 2 2" xfId="26625"/>
    <cellStyle name="20% - Accent3 2 2 4 2 3 3" xfId="21056"/>
    <cellStyle name="20% - Accent3 2 2 4 2 4" xfId="14052"/>
    <cellStyle name="20% - Accent3 2 2 4 2 4 2" xfId="25195"/>
    <cellStyle name="20% - Accent3 2 2 4 2 5" xfId="19626"/>
    <cellStyle name="20% - Accent3 2 2 4 2 6" xfId="7020"/>
    <cellStyle name="20% - Accent3 2 2 4 3" xfId="3467"/>
    <cellStyle name="20% - Accent3 2 2 4 3 2" xfId="5576"/>
    <cellStyle name="20% - Accent3 2 2 4 3 2 2" xfId="18189"/>
    <cellStyle name="20% - Accent3 2 2 4 3 2 2 2" xfId="29332"/>
    <cellStyle name="20% - Accent3 2 2 4 3 2 3" xfId="23763"/>
    <cellStyle name="20% - Accent3 2 2 4 3 2 4" xfId="9727"/>
    <cellStyle name="20% - Accent3 2 2 4 3 3" xfId="16120"/>
    <cellStyle name="20% - Accent3 2 2 4 3 3 2" xfId="27263"/>
    <cellStyle name="20% - Accent3 2 2 4 3 4" xfId="21694"/>
    <cellStyle name="20% - Accent3 2 2 4 3 5" xfId="7658"/>
    <cellStyle name="20% - Accent3 2 2 4 4" xfId="4146"/>
    <cellStyle name="20% - Accent3 2 2 4 4 2" xfId="16759"/>
    <cellStyle name="20% - Accent3 2 2 4 4 2 2" xfId="27902"/>
    <cellStyle name="20% - Accent3 2 2 4 4 3" xfId="22333"/>
    <cellStyle name="20% - Accent3 2 2 4 4 4" xfId="8297"/>
    <cellStyle name="20% - Accent3 2 2 4 5" xfId="10228"/>
    <cellStyle name="20% - Accent3 2 2 4 5 2" xfId="14843"/>
    <cellStyle name="20% - Accent3 2 2 4 5 2 2" xfId="25986"/>
    <cellStyle name="20% - Accent3 2 2 4 5 3" xfId="20417"/>
    <cellStyle name="20% - Accent3 2 2 4 6" xfId="13413"/>
    <cellStyle name="20% - Accent3 2 2 4 6 2" xfId="24556"/>
    <cellStyle name="20% - Accent3 2 2 4 7" xfId="18987"/>
    <cellStyle name="20% - Accent3 2 2 4 8" xfId="6381"/>
    <cellStyle name="20% - Accent3 2 2 5" xfId="1993"/>
    <cellStyle name="20% - Accent3 2 2 5 2" xfId="2648"/>
    <cellStyle name="20% - Accent3 2 2 5 2 2" xfId="4757"/>
    <cellStyle name="20% - Accent3 2 2 5 2 2 2" xfId="17370"/>
    <cellStyle name="20% - Accent3 2 2 5 2 2 2 2" xfId="28513"/>
    <cellStyle name="20% - Accent3 2 2 5 2 2 3" xfId="22944"/>
    <cellStyle name="20% - Accent3 2 2 5 2 2 4" xfId="8908"/>
    <cellStyle name="20% - Accent3 2 2 5 2 3" xfId="10496"/>
    <cellStyle name="20% - Accent3 2 2 5 2 3 2" xfId="15301"/>
    <cellStyle name="20% - Accent3 2 2 5 2 3 2 2" xfId="26444"/>
    <cellStyle name="20% - Accent3 2 2 5 2 3 3" xfId="20875"/>
    <cellStyle name="20% - Accent3 2 2 5 2 4" xfId="13871"/>
    <cellStyle name="20% - Accent3 2 2 5 2 4 2" xfId="25014"/>
    <cellStyle name="20% - Accent3 2 2 5 2 5" xfId="19445"/>
    <cellStyle name="20% - Accent3 2 2 5 2 6" xfId="6839"/>
    <cellStyle name="20% - Accent3 2 2 5 3" xfId="3286"/>
    <cellStyle name="20% - Accent3 2 2 5 3 2" xfId="5395"/>
    <cellStyle name="20% - Accent3 2 2 5 3 2 2" xfId="18008"/>
    <cellStyle name="20% - Accent3 2 2 5 3 2 2 2" xfId="29151"/>
    <cellStyle name="20% - Accent3 2 2 5 3 2 3" xfId="23582"/>
    <cellStyle name="20% - Accent3 2 2 5 3 2 4" xfId="9546"/>
    <cellStyle name="20% - Accent3 2 2 5 3 3" xfId="15939"/>
    <cellStyle name="20% - Accent3 2 2 5 3 3 2" xfId="27082"/>
    <cellStyle name="20% - Accent3 2 2 5 3 4" xfId="21513"/>
    <cellStyle name="20% - Accent3 2 2 5 3 5" xfId="7477"/>
    <cellStyle name="20% - Accent3 2 2 5 4" xfId="3965"/>
    <cellStyle name="20% - Accent3 2 2 5 4 2" xfId="16578"/>
    <cellStyle name="20% - Accent3 2 2 5 4 2 2" xfId="27721"/>
    <cellStyle name="20% - Accent3 2 2 5 4 3" xfId="22152"/>
    <cellStyle name="20% - Accent3 2 2 5 4 4" xfId="8116"/>
    <cellStyle name="20% - Accent3 2 2 5 5" xfId="5859"/>
    <cellStyle name="20% - Accent3 2 2 5 5 2" xfId="14662"/>
    <cellStyle name="20% - Accent3 2 2 5 5 2 2" xfId="25805"/>
    <cellStyle name="20% - Accent3 2 2 5 5 3" xfId="20236"/>
    <cellStyle name="20% - Accent3 2 2 5 6" xfId="13232"/>
    <cellStyle name="20% - Accent3 2 2 5 6 2" xfId="24375"/>
    <cellStyle name="20% - Accent3 2 2 5 7" xfId="18806"/>
    <cellStyle name="20% - Accent3 2 2 5 8" xfId="6200"/>
    <cellStyle name="20% - Accent3 2 2 6" xfId="2340"/>
    <cellStyle name="20% - Accent3 2 2 6 2" xfId="2981"/>
    <cellStyle name="20% - Accent3 2 2 6 2 2" xfId="5090"/>
    <cellStyle name="20% - Accent3 2 2 6 2 2 2" xfId="17703"/>
    <cellStyle name="20% - Accent3 2 2 6 2 2 2 2" xfId="28846"/>
    <cellStyle name="20% - Accent3 2 2 6 2 2 3" xfId="23277"/>
    <cellStyle name="20% - Accent3 2 2 6 2 2 4" xfId="9241"/>
    <cellStyle name="20% - Accent3 2 2 6 2 3" xfId="10340"/>
    <cellStyle name="20% - Accent3 2 2 6 2 3 2" xfId="15634"/>
    <cellStyle name="20% - Accent3 2 2 6 2 3 2 2" xfId="26777"/>
    <cellStyle name="20% - Accent3 2 2 6 2 3 3" xfId="21208"/>
    <cellStyle name="20% - Accent3 2 2 6 2 4" xfId="14204"/>
    <cellStyle name="20% - Accent3 2 2 6 2 4 2" xfId="25347"/>
    <cellStyle name="20% - Accent3 2 2 6 2 5" xfId="19778"/>
    <cellStyle name="20% - Accent3 2 2 6 2 6" xfId="7172"/>
    <cellStyle name="20% - Accent3 2 2 6 3" xfId="3619"/>
    <cellStyle name="20% - Accent3 2 2 6 3 2" xfId="5728"/>
    <cellStyle name="20% - Accent3 2 2 6 3 2 2" xfId="18341"/>
    <cellStyle name="20% - Accent3 2 2 6 3 2 2 2" xfId="29484"/>
    <cellStyle name="20% - Accent3 2 2 6 3 2 3" xfId="23915"/>
    <cellStyle name="20% - Accent3 2 2 6 3 2 4" xfId="9879"/>
    <cellStyle name="20% - Accent3 2 2 6 3 3" xfId="16272"/>
    <cellStyle name="20% - Accent3 2 2 6 3 3 2" xfId="27415"/>
    <cellStyle name="20% - Accent3 2 2 6 3 4" xfId="21846"/>
    <cellStyle name="20% - Accent3 2 2 6 3 5" xfId="7810"/>
    <cellStyle name="20% - Accent3 2 2 6 4" xfId="4298"/>
    <cellStyle name="20% - Accent3 2 2 6 4 2" xfId="16911"/>
    <cellStyle name="20% - Accent3 2 2 6 4 2 2" xfId="28054"/>
    <cellStyle name="20% - Accent3 2 2 6 4 3" xfId="22485"/>
    <cellStyle name="20% - Accent3 2 2 6 4 4" xfId="8449"/>
    <cellStyle name="20% - Accent3 2 2 6 5" xfId="10307"/>
    <cellStyle name="20% - Accent3 2 2 6 5 2" xfId="14995"/>
    <cellStyle name="20% - Accent3 2 2 6 5 2 2" xfId="26138"/>
    <cellStyle name="20% - Accent3 2 2 6 5 3" xfId="20569"/>
    <cellStyle name="20% - Accent3 2 2 6 6" xfId="13565"/>
    <cellStyle name="20% - Accent3 2 2 6 6 2" xfId="24708"/>
    <cellStyle name="20% - Accent3 2 2 6 7" xfId="19139"/>
    <cellStyle name="20% - Accent3 2 2 6 8" xfId="6533"/>
    <cellStyle name="20% - Accent3 2 2 7" xfId="1803"/>
    <cellStyle name="20% - Accent3 2 2 7 2" xfId="4451"/>
    <cellStyle name="20% - Accent3 2 2 7 2 2" xfId="17064"/>
    <cellStyle name="20% - Accent3 2 2 7 2 2 2" xfId="28207"/>
    <cellStyle name="20% - Accent3 2 2 7 2 3" xfId="22638"/>
    <cellStyle name="20% - Accent3 2 2 7 2 4" xfId="8602"/>
    <cellStyle name="20% - Accent3 2 2 7 3" xfId="11199"/>
    <cellStyle name="20% - Accent3 2 2 7 3 2" xfId="14510"/>
    <cellStyle name="20% - Accent3 2 2 7 3 2 2" xfId="25653"/>
    <cellStyle name="20% - Accent3 2 2 7 3 3" xfId="20084"/>
    <cellStyle name="20% - Accent3 2 2 7 4" xfId="13080"/>
    <cellStyle name="20% - Accent3 2 2 7 4 2" xfId="24223"/>
    <cellStyle name="20% - Accent3 2 2 7 5" xfId="18654"/>
    <cellStyle name="20% - Accent3 2 2 7 6" xfId="6048"/>
    <cellStyle name="20% - Accent3 2 2 8" xfId="2496"/>
    <cellStyle name="20% - Accent3 2 2 8 2" xfId="4605"/>
    <cellStyle name="20% - Accent3 2 2 8 2 2" xfId="17218"/>
    <cellStyle name="20% - Accent3 2 2 8 2 2 2" xfId="28361"/>
    <cellStyle name="20% - Accent3 2 2 8 2 3" xfId="22792"/>
    <cellStyle name="20% - Accent3 2 2 8 2 4" xfId="8756"/>
    <cellStyle name="20% - Accent3 2 2 8 3" xfId="10751"/>
    <cellStyle name="20% - Accent3 2 2 8 3 2" xfId="15149"/>
    <cellStyle name="20% - Accent3 2 2 8 3 2 2" xfId="26292"/>
    <cellStyle name="20% - Accent3 2 2 8 3 3" xfId="20723"/>
    <cellStyle name="20% - Accent3 2 2 8 4" xfId="13719"/>
    <cellStyle name="20% - Accent3 2 2 8 4 2" xfId="24862"/>
    <cellStyle name="20% - Accent3 2 2 8 5" xfId="19293"/>
    <cellStyle name="20% - Accent3 2 2 8 6" xfId="6687"/>
    <cellStyle name="20% - Accent3 2 2 9" xfId="3134"/>
    <cellStyle name="20% - Accent3 2 2 9 2" xfId="5243"/>
    <cellStyle name="20% - Accent3 2 2 9 2 2" xfId="17856"/>
    <cellStyle name="20% - Accent3 2 2 9 2 2 2" xfId="28999"/>
    <cellStyle name="20% - Accent3 2 2 9 2 3" xfId="23430"/>
    <cellStyle name="20% - Accent3 2 2 9 2 4" xfId="9394"/>
    <cellStyle name="20% - Accent3 2 2 9 3" xfId="15787"/>
    <cellStyle name="20% - Accent3 2 2 9 3 2" xfId="26930"/>
    <cellStyle name="20% - Accent3 2 2 9 4" xfId="21361"/>
    <cellStyle name="20% - Accent3 2 2 9 5" xfId="7325"/>
    <cellStyle name="20% - Accent3 2 3" xfId="246"/>
    <cellStyle name="20% - Accent3 2 3 10" xfId="10221"/>
    <cellStyle name="20% - Accent3 2 3 10 2" xfId="14376"/>
    <cellStyle name="20% - Accent3 2 3 10 2 2" xfId="25519"/>
    <cellStyle name="20% - Accent3 2 3 10 3" xfId="19950"/>
    <cellStyle name="20% - Accent3 2 3 11" xfId="12945"/>
    <cellStyle name="20% - Accent3 2 3 11 2" xfId="24089"/>
    <cellStyle name="20% - Accent3 2 3 12" xfId="18520"/>
    <cellStyle name="20% - Accent3 2 3 13" xfId="5913"/>
    <cellStyle name="20% - Accent3 2 3 2" xfId="322"/>
    <cellStyle name="20% - Accent3 2 3 2 10" xfId="13021"/>
    <cellStyle name="20% - Accent3 2 3 2 10 2" xfId="24165"/>
    <cellStyle name="20% - Accent3 2 3 2 11" xfId="18596"/>
    <cellStyle name="20% - Accent3 2 3 2 12" xfId="5989"/>
    <cellStyle name="20% - Accent3 2 3 2 2" xfId="2280"/>
    <cellStyle name="20% - Accent3 2 3 2 2 2" xfId="2924"/>
    <cellStyle name="20% - Accent3 2 3 2 2 2 2" xfId="5033"/>
    <cellStyle name="20% - Accent3 2 3 2 2 2 2 2" xfId="17646"/>
    <cellStyle name="20% - Accent3 2 3 2 2 2 2 2 2" xfId="28789"/>
    <cellStyle name="20% - Accent3 2 3 2 2 2 2 3" xfId="23220"/>
    <cellStyle name="20% - Accent3 2 3 2 2 2 2 4" xfId="9184"/>
    <cellStyle name="20% - Accent3 2 3 2 2 2 3" xfId="11232"/>
    <cellStyle name="20% - Accent3 2 3 2 2 2 3 2" xfId="15577"/>
    <cellStyle name="20% - Accent3 2 3 2 2 2 3 2 2" xfId="26720"/>
    <cellStyle name="20% - Accent3 2 3 2 2 2 3 3" xfId="21151"/>
    <cellStyle name="20% - Accent3 2 3 2 2 2 4" xfId="14147"/>
    <cellStyle name="20% - Accent3 2 3 2 2 2 4 2" xfId="25290"/>
    <cellStyle name="20% - Accent3 2 3 2 2 2 5" xfId="19721"/>
    <cellStyle name="20% - Accent3 2 3 2 2 2 6" xfId="7115"/>
    <cellStyle name="20% - Accent3 2 3 2 2 3" xfId="3562"/>
    <cellStyle name="20% - Accent3 2 3 2 2 3 2" xfId="5671"/>
    <cellStyle name="20% - Accent3 2 3 2 2 3 2 2" xfId="18284"/>
    <cellStyle name="20% - Accent3 2 3 2 2 3 2 2 2" xfId="29427"/>
    <cellStyle name="20% - Accent3 2 3 2 2 3 2 3" xfId="23858"/>
    <cellStyle name="20% - Accent3 2 3 2 2 3 2 4" xfId="9822"/>
    <cellStyle name="20% - Accent3 2 3 2 2 3 3" xfId="16215"/>
    <cellStyle name="20% - Accent3 2 3 2 2 3 3 2" xfId="27358"/>
    <cellStyle name="20% - Accent3 2 3 2 2 3 4" xfId="21789"/>
    <cellStyle name="20% - Accent3 2 3 2 2 3 5" xfId="7753"/>
    <cellStyle name="20% - Accent3 2 3 2 2 4" xfId="4241"/>
    <cellStyle name="20% - Accent3 2 3 2 2 4 2" xfId="16854"/>
    <cellStyle name="20% - Accent3 2 3 2 2 4 2 2" xfId="27997"/>
    <cellStyle name="20% - Accent3 2 3 2 2 4 3" xfId="22428"/>
    <cellStyle name="20% - Accent3 2 3 2 2 4 4" xfId="8392"/>
    <cellStyle name="20% - Accent3 2 3 2 2 5" xfId="10800"/>
    <cellStyle name="20% - Accent3 2 3 2 2 5 2" xfId="14938"/>
    <cellStyle name="20% - Accent3 2 3 2 2 5 2 2" xfId="26081"/>
    <cellStyle name="20% - Accent3 2 3 2 2 5 3" xfId="20512"/>
    <cellStyle name="20% - Accent3 2 3 2 2 6" xfId="13508"/>
    <cellStyle name="20% - Accent3 2 3 2 2 6 2" xfId="24651"/>
    <cellStyle name="20% - Accent3 2 3 2 2 7" xfId="19082"/>
    <cellStyle name="20% - Accent3 2 3 2 2 8" xfId="6476"/>
    <cellStyle name="20% - Accent3 2 3 2 3" xfId="2088"/>
    <cellStyle name="20% - Accent3 2 3 2 3 2" xfId="2743"/>
    <cellStyle name="20% - Accent3 2 3 2 3 2 2" xfId="4852"/>
    <cellStyle name="20% - Accent3 2 3 2 3 2 2 2" xfId="17465"/>
    <cellStyle name="20% - Accent3 2 3 2 3 2 2 2 2" xfId="28608"/>
    <cellStyle name="20% - Accent3 2 3 2 3 2 2 3" xfId="23039"/>
    <cellStyle name="20% - Accent3 2 3 2 3 2 2 4" xfId="9003"/>
    <cellStyle name="20% - Accent3 2 3 2 3 2 3" xfId="11188"/>
    <cellStyle name="20% - Accent3 2 3 2 3 2 3 2" xfId="15396"/>
    <cellStyle name="20% - Accent3 2 3 2 3 2 3 2 2" xfId="26539"/>
    <cellStyle name="20% - Accent3 2 3 2 3 2 3 3" xfId="20970"/>
    <cellStyle name="20% - Accent3 2 3 2 3 2 4" xfId="13966"/>
    <cellStyle name="20% - Accent3 2 3 2 3 2 4 2" xfId="25109"/>
    <cellStyle name="20% - Accent3 2 3 2 3 2 5" xfId="19540"/>
    <cellStyle name="20% - Accent3 2 3 2 3 2 6" xfId="6934"/>
    <cellStyle name="20% - Accent3 2 3 2 3 3" xfId="3381"/>
    <cellStyle name="20% - Accent3 2 3 2 3 3 2" xfId="5490"/>
    <cellStyle name="20% - Accent3 2 3 2 3 3 2 2" xfId="18103"/>
    <cellStyle name="20% - Accent3 2 3 2 3 3 2 2 2" xfId="29246"/>
    <cellStyle name="20% - Accent3 2 3 2 3 3 2 3" xfId="23677"/>
    <cellStyle name="20% - Accent3 2 3 2 3 3 2 4" xfId="9641"/>
    <cellStyle name="20% - Accent3 2 3 2 3 3 3" xfId="16034"/>
    <cellStyle name="20% - Accent3 2 3 2 3 3 3 2" xfId="27177"/>
    <cellStyle name="20% - Accent3 2 3 2 3 3 4" xfId="21608"/>
    <cellStyle name="20% - Accent3 2 3 2 3 3 5" xfId="7572"/>
    <cellStyle name="20% - Accent3 2 3 2 3 4" xfId="4060"/>
    <cellStyle name="20% - Accent3 2 3 2 3 4 2" xfId="16673"/>
    <cellStyle name="20% - Accent3 2 3 2 3 4 2 2" xfId="27816"/>
    <cellStyle name="20% - Accent3 2 3 2 3 4 3" xfId="22247"/>
    <cellStyle name="20% - Accent3 2 3 2 3 4 4" xfId="8211"/>
    <cellStyle name="20% - Accent3 2 3 2 3 5" xfId="10685"/>
    <cellStyle name="20% - Accent3 2 3 2 3 5 2" xfId="14757"/>
    <cellStyle name="20% - Accent3 2 3 2 3 5 2 2" xfId="25900"/>
    <cellStyle name="20% - Accent3 2 3 2 3 5 3" xfId="20331"/>
    <cellStyle name="20% - Accent3 2 3 2 3 6" xfId="13327"/>
    <cellStyle name="20% - Accent3 2 3 2 3 6 2" xfId="24470"/>
    <cellStyle name="20% - Accent3 2 3 2 3 7" xfId="18901"/>
    <cellStyle name="20% - Accent3 2 3 2 3 8" xfId="6295"/>
    <cellStyle name="20% - Accent3 2 3 2 4" xfId="2435"/>
    <cellStyle name="20% - Accent3 2 3 2 4 2" xfId="3076"/>
    <cellStyle name="20% - Accent3 2 3 2 4 2 2" xfId="5185"/>
    <cellStyle name="20% - Accent3 2 3 2 4 2 2 2" xfId="17798"/>
    <cellStyle name="20% - Accent3 2 3 2 4 2 2 2 2" xfId="28941"/>
    <cellStyle name="20% - Accent3 2 3 2 4 2 2 3" xfId="23372"/>
    <cellStyle name="20% - Accent3 2 3 2 4 2 2 4" xfId="9336"/>
    <cellStyle name="20% - Accent3 2 3 2 4 2 3" xfId="11391"/>
    <cellStyle name="20% - Accent3 2 3 2 4 2 3 2" xfId="15729"/>
    <cellStyle name="20% - Accent3 2 3 2 4 2 3 2 2" xfId="26872"/>
    <cellStyle name="20% - Accent3 2 3 2 4 2 3 3" xfId="21303"/>
    <cellStyle name="20% - Accent3 2 3 2 4 2 4" xfId="14299"/>
    <cellStyle name="20% - Accent3 2 3 2 4 2 4 2" xfId="25442"/>
    <cellStyle name="20% - Accent3 2 3 2 4 2 5" xfId="19873"/>
    <cellStyle name="20% - Accent3 2 3 2 4 2 6" xfId="7267"/>
    <cellStyle name="20% - Accent3 2 3 2 4 3" xfId="3714"/>
    <cellStyle name="20% - Accent3 2 3 2 4 3 2" xfId="5823"/>
    <cellStyle name="20% - Accent3 2 3 2 4 3 2 2" xfId="18436"/>
    <cellStyle name="20% - Accent3 2 3 2 4 3 2 2 2" xfId="29579"/>
    <cellStyle name="20% - Accent3 2 3 2 4 3 2 3" xfId="24010"/>
    <cellStyle name="20% - Accent3 2 3 2 4 3 2 4" xfId="9974"/>
    <cellStyle name="20% - Accent3 2 3 2 4 3 3" xfId="16367"/>
    <cellStyle name="20% - Accent3 2 3 2 4 3 3 2" xfId="27510"/>
    <cellStyle name="20% - Accent3 2 3 2 4 3 4" xfId="21941"/>
    <cellStyle name="20% - Accent3 2 3 2 4 3 5" xfId="7905"/>
    <cellStyle name="20% - Accent3 2 3 2 4 4" xfId="4393"/>
    <cellStyle name="20% - Accent3 2 3 2 4 4 2" xfId="17006"/>
    <cellStyle name="20% - Accent3 2 3 2 4 4 2 2" xfId="28149"/>
    <cellStyle name="20% - Accent3 2 3 2 4 4 3" xfId="22580"/>
    <cellStyle name="20% - Accent3 2 3 2 4 4 4" xfId="8544"/>
    <cellStyle name="20% - Accent3 2 3 2 4 5" xfId="10310"/>
    <cellStyle name="20% - Accent3 2 3 2 4 5 2" xfId="15090"/>
    <cellStyle name="20% - Accent3 2 3 2 4 5 2 2" xfId="26233"/>
    <cellStyle name="20% - Accent3 2 3 2 4 5 3" xfId="20664"/>
    <cellStyle name="20% - Accent3 2 3 2 4 6" xfId="13660"/>
    <cellStyle name="20% - Accent3 2 3 2 4 6 2" xfId="24803"/>
    <cellStyle name="20% - Accent3 2 3 2 4 7" xfId="19234"/>
    <cellStyle name="20% - Accent3 2 3 2 4 8" xfId="6628"/>
    <cellStyle name="20% - Accent3 2 3 2 5" xfId="1898"/>
    <cellStyle name="20% - Accent3 2 3 2 5 2" xfId="4546"/>
    <cellStyle name="20% - Accent3 2 3 2 5 2 2" xfId="17159"/>
    <cellStyle name="20% - Accent3 2 3 2 5 2 2 2" xfId="28302"/>
    <cellStyle name="20% - Accent3 2 3 2 5 2 3" xfId="22733"/>
    <cellStyle name="20% - Accent3 2 3 2 5 2 4" xfId="8697"/>
    <cellStyle name="20% - Accent3 2 3 2 5 3" xfId="10317"/>
    <cellStyle name="20% - Accent3 2 3 2 5 3 2" xfId="14605"/>
    <cellStyle name="20% - Accent3 2 3 2 5 3 2 2" xfId="25748"/>
    <cellStyle name="20% - Accent3 2 3 2 5 3 3" xfId="20179"/>
    <cellStyle name="20% - Accent3 2 3 2 5 4" xfId="13175"/>
    <cellStyle name="20% - Accent3 2 3 2 5 4 2" xfId="24318"/>
    <cellStyle name="20% - Accent3 2 3 2 5 5" xfId="18749"/>
    <cellStyle name="20% - Accent3 2 3 2 5 6" xfId="6143"/>
    <cellStyle name="20% - Accent3 2 3 2 6" xfId="2591"/>
    <cellStyle name="20% - Accent3 2 3 2 6 2" xfId="4700"/>
    <cellStyle name="20% - Accent3 2 3 2 6 2 2" xfId="17313"/>
    <cellStyle name="20% - Accent3 2 3 2 6 2 2 2" xfId="28456"/>
    <cellStyle name="20% - Accent3 2 3 2 6 2 3" xfId="22887"/>
    <cellStyle name="20% - Accent3 2 3 2 6 2 4" xfId="8851"/>
    <cellStyle name="20% - Accent3 2 3 2 6 3" xfId="10260"/>
    <cellStyle name="20% - Accent3 2 3 2 6 3 2" xfId="15244"/>
    <cellStyle name="20% - Accent3 2 3 2 6 3 2 2" xfId="26387"/>
    <cellStyle name="20% - Accent3 2 3 2 6 3 3" xfId="20818"/>
    <cellStyle name="20% - Accent3 2 3 2 6 4" xfId="13814"/>
    <cellStyle name="20% - Accent3 2 3 2 6 4 2" xfId="24957"/>
    <cellStyle name="20% - Accent3 2 3 2 6 5" xfId="19388"/>
    <cellStyle name="20% - Accent3 2 3 2 6 6" xfId="6782"/>
    <cellStyle name="20% - Accent3 2 3 2 7" xfId="3229"/>
    <cellStyle name="20% - Accent3 2 3 2 7 2" xfId="5338"/>
    <cellStyle name="20% - Accent3 2 3 2 7 2 2" xfId="17951"/>
    <cellStyle name="20% - Accent3 2 3 2 7 2 2 2" xfId="29094"/>
    <cellStyle name="20% - Accent3 2 3 2 7 2 3" xfId="23525"/>
    <cellStyle name="20% - Accent3 2 3 2 7 2 4" xfId="9489"/>
    <cellStyle name="20% - Accent3 2 3 2 7 3" xfId="15882"/>
    <cellStyle name="20% - Accent3 2 3 2 7 3 2" xfId="27025"/>
    <cellStyle name="20% - Accent3 2 3 2 7 4" xfId="21456"/>
    <cellStyle name="20% - Accent3 2 3 2 7 5" xfId="7420"/>
    <cellStyle name="20% - Accent3 2 3 2 8" xfId="3908"/>
    <cellStyle name="20% - Accent3 2 3 2 8 2" xfId="16521"/>
    <cellStyle name="20% - Accent3 2 3 2 8 2 2" xfId="27664"/>
    <cellStyle name="20% - Accent3 2 3 2 8 3" xfId="22095"/>
    <cellStyle name="20% - Accent3 2 3 2 8 4" xfId="8059"/>
    <cellStyle name="20% - Accent3 2 3 2 9" xfId="11350"/>
    <cellStyle name="20% - Accent3 2 3 2 9 2" xfId="14452"/>
    <cellStyle name="20% - Accent3 2 3 2 9 2 2" xfId="25595"/>
    <cellStyle name="20% - Accent3 2 3 2 9 3" xfId="20026"/>
    <cellStyle name="20% - Accent3 2 3 3" xfId="2204"/>
    <cellStyle name="20% - Accent3 2 3 3 2" xfId="2848"/>
    <cellStyle name="20% - Accent3 2 3 3 2 2" xfId="4957"/>
    <cellStyle name="20% - Accent3 2 3 3 2 2 2" xfId="17570"/>
    <cellStyle name="20% - Accent3 2 3 3 2 2 2 2" xfId="28713"/>
    <cellStyle name="20% - Accent3 2 3 3 2 2 3" xfId="23144"/>
    <cellStyle name="20% - Accent3 2 3 3 2 2 4" xfId="9108"/>
    <cellStyle name="20% - Accent3 2 3 3 2 3" xfId="11191"/>
    <cellStyle name="20% - Accent3 2 3 3 2 3 2" xfId="15501"/>
    <cellStyle name="20% - Accent3 2 3 3 2 3 2 2" xfId="26644"/>
    <cellStyle name="20% - Accent3 2 3 3 2 3 3" xfId="21075"/>
    <cellStyle name="20% - Accent3 2 3 3 2 4" xfId="14071"/>
    <cellStyle name="20% - Accent3 2 3 3 2 4 2" xfId="25214"/>
    <cellStyle name="20% - Accent3 2 3 3 2 5" xfId="19645"/>
    <cellStyle name="20% - Accent3 2 3 3 2 6" xfId="7039"/>
    <cellStyle name="20% - Accent3 2 3 3 3" xfId="3486"/>
    <cellStyle name="20% - Accent3 2 3 3 3 2" xfId="5595"/>
    <cellStyle name="20% - Accent3 2 3 3 3 2 2" xfId="18208"/>
    <cellStyle name="20% - Accent3 2 3 3 3 2 2 2" xfId="29351"/>
    <cellStyle name="20% - Accent3 2 3 3 3 2 3" xfId="23782"/>
    <cellStyle name="20% - Accent3 2 3 3 3 2 4" xfId="9746"/>
    <cellStyle name="20% - Accent3 2 3 3 3 3" xfId="16139"/>
    <cellStyle name="20% - Accent3 2 3 3 3 3 2" xfId="27282"/>
    <cellStyle name="20% - Accent3 2 3 3 3 4" xfId="21713"/>
    <cellStyle name="20% - Accent3 2 3 3 3 5" xfId="7677"/>
    <cellStyle name="20% - Accent3 2 3 3 4" xfId="4165"/>
    <cellStyle name="20% - Accent3 2 3 3 4 2" xfId="16778"/>
    <cellStyle name="20% - Accent3 2 3 3 4 2 2" xfId="27921"/>
    <cellStyle name="20% - Accent3 2 3 3 4 3" xfId="22352"/>
    <cellStyle name="20% - Accent3 2 3 3 4 4" xfId="8316"/>
    <cellStyle name="20% - Accent3 2 3 3 5" xfId="10768"/>
    <cellStyle name="20% - Accent3 2 3 3 5 2" xfId="14862"/>
    <cellStyle name="20% - Accent3 2 3 3 5 2 2" xfId="26005"/>
    <cellStyle name="20% - Accent3 2 3 3 5 3" xfId="20436"/>
    <cellStyle name="20% - Accent3 2 3 3 6" xfId="13432"/>
    <cellStyle name="20% - Accent3 2 3 3 6 2" xfId="24575"/>
    <cellStyle name="20% - Accent3 2 3 3 7" xfId="19006"/>
    <cellStyle name="20% - Accent3 2 3 3 8" xfId="6400"/>
    <cellStyle name="20% - Accent3 2 3 4" xfId="2012"/>
    <cellStyle name="20% - Accent3 2 3 4 2" xfId="2667"/>
    <cellStyle name="20% - Accent3 2 3 4 2 2" xfId="4776"/>
    <cellStyle name="20% - Accent3 2 3 4 2 2 2" xfId="17389"/>
    <cellStyle name="20% - Accent3 2 3 4 2 2 2 2" xfId="28532"/>
    <cellStyle name="20% - Accent3 2 3 4 2 2 3" xfId="22963"/>
    <cellStyle name="20% - Accent3 2 3 4 2 2 4" xfId="8927"/>
    <cellStyle name="20% - Accent3 2 3 4 2 3" xfId="10045"/>
    <cellStyle name="20% - Accent3 2 3 4 2 3 2" xfId="15320"/>
    <cellStyle name="20% - Accent3 2 3 4 2 3 2 2" xfId="26463"/>
    <cellStyle name="20% - Accent3 2 3 4 2 3 3" xfId="20894"/>
    <cellStyle name="20% - Accent3 2 3 4 2 4" xfId="13890"/>
    <cellStyle name="20% - Accent3 2 3 4 2 4 2" xfId="25033"/>
    <cellStyle name="20% - Accent3 2 3 4 2 5" xfId="19464"/>
    <cellStyle name="20% - Accent3 2 3 4 2 6" xfId="6858"/>
    <cellStyle name="20% - Accent3 2 3 4 3" xfId="3305"/>
    <cellStyle name="20% - Accent3 2 3 4 3 2" xfId="5414"/>
    <cellStyle name="20% - Accent3 2 3 4 3 2 2" xfId="18027"/>
    <cellStyle name="20% - Accent3 2 3 4 3 2 2 2" xfId="29170"/>
    <cellStyle name="20% - Accent3 2 3 4 3 2 3" xfId="23601"/>
    <cellStyle name="20% - Accent3 2 3 4 3 2 4" xfId="9565"/>
    <cellStyle name="20% - Accent3 2 3 4 3 3" xfId="15958"/>
    <cellStyle name="20% - Accent3 2 3 4 3 3 2" xfId="27101"/>
    <cellStyle name="20% - Accent3 2 3 4 3 4" xfId="21532"/>
    <cellStyle name="20% - Accent3 2 3 4 3 5" xfId="7496"/>
    <cellStyle name="20% - Accent3 2 3 4 4" xfId="3984"/>
    <cellStyle name="20% - Accent3 2 3 4 4 2" xfId="16597"/>
    <cellStyle name="20% - Accent3 2 3 4 4 2 2" xfId="27740"/>
    <cellStyle name="20% - Accent3 2 3 4 4 3" xfId="22171"/>
    <cellStyle name="20% - Accent3 2 3 4 4 4" xfId="8135"/>
    <cellStyle name="20% - Accent3 2 3 4 5" xfId="11285"/>
    <cellStyle name="20% - Accent3 2 3 4 5 2" xfId="14681"/>
    <cellStyle name="20% - Accent3 2 3 4 5 2 2" xfId="25824"/>
    <cellStyle name="20% - Accent3 2 3 4 5 3" xfId="20255"/>
    <cellStyle name="20% - Accent3 2 3 4 6" xfId="13251"/>
    <cellStyle name="20% - Accent3 2 3 4 6 2" xfId="24394"/>
    <cellStyle name="20% - Accent3 2 3 4 7" xfId="18825"/>
    <cellStyle name="20% - Accent3 2 3 4 8" xfId="6219"/>
    <cellStyle name="20% - Accent3 2 3 5" xfId="2359"/>
    <cellStyle name="20% - Accent3 2 3 5 2" xfId="3000"/>
    <cellStyle name="20% - Accent3 2 3 5 2 2" xfId="5109"/>
    <cellStyle name="20% - Accent3 2 3 5 2 2 2" xfId="17722"/>
    <cellStyle name="20% - Accent3 2 3 5 2 2 2 2" xfId="28865"/>
    <cellStyle name="20% - Accent3 2 3 5 2 2 3" xfId="23296"/>
    <cellStyle name="20% - Accent3 2 3 5 2 2 4" xfId="9260"/>
    <cellStyle name="20% - Accent3 2 3 5 2 3" xfId="10951"/>
    <cellStyle name="20% - Accent3 2 3 5 2 3 2" xfId="15653"/>
    <cellStyle name="20% - Accent3 2 3 5 2 3 2 2" xfId="26796"/>
    <cellStyle name="20% - Accent3 2 3 5 2 3 3" xfId="21227"/>
    <cellStyle name="20% - Accent3 2 3 5 2 4" xfId="14223"/>
    <cellStyle name="20% - Accent3 2 3 5 2 4 2" xfId="25366"/>
    <cellStyle name="20% - Accent3 2 3 5 2 5" xfId="19797"/>
    <cellStyle name="20% - Accent3 2 3 5 2 6" xfId="7191"/>
    <cellStyle name="20% - Accent3 2 3 5 3" xfId="3638"/>
    <cellStyle name="20% - Accent3 2 3 5 3 2" xfId="5747"/>
    <cellStyle name="20% - Accent3 2 3 5 3 2 2" xfId="18360"/>
    <cellStyle name="20% - Accent3 2 3 5 3 2 2 2" xfId="29503"/>
    <cellStyle name="20% - Accent3 2 3 5 3 2 3" xfId="23934"/>
    <cellStyle name="20% - Accent3 2 3 5 3 2 4" xfId="9898"/>
    <cellStyle name="20% - Accent3 2 3 5 3 3" xfId="16291"/>
    <cellStyle name="20% - Accent3 2 3 5 3 3 2" xfId="27434"/>
    <cellStyle name="20% - Accent3 2 3 5 3 4" xfId="21865"/>
    <cellStyle name="20% - Accent3 2 3 5 3 5" xfId="7829"/>
    <cellStyle name="20% - Accent3 2 3 5 4" xfId="4317"/>
    <cellStyle name="20% - Accent3 2 3 5 4 2" xfId="16930"/>
    <cellStyle name="20% - Accent3 2 3 5 4 2 2" xfId="28073"/>
    <cellStyle name="20% - Accent3 2 3 5 4 3" xfId="22504"/>
    <cellStyle name="20% - Accent3 2 3 5 4 4" xfId="8468"/>
    <cellStyle name="20% - Accent3 2 3 5 5" xfId="10039"/>
    <cellStyle name="20% - Accent3 2 3 5 5 2" xfId="15014"/>
    <cellStyle name="20% - Accent3 2 3 5 5 2 2" xfId="26157"/>
    <cellStyle name="20% - Accent3 2 3 5 5 3" xfId="20588"/>
    <cellStyle name="20% - Accent3 2 3 5 6" xfId="13584"/>
    <cellStyle name="20% - Accent3 2 3 5 6 2" xfId="24727"/>
    <cellStyle name="20% - Accent3 2 3 5 7" xfId="19158"/>
    <cellStyle name="20% - Accent3 2 3 5 8" xfId="6552"/>
    <cellStyle name="20% - Accent3 2 3 6" xfId="1822"/>
    <cellStyle name="20% - Accent3 2 3 6 2" xfId="4470"/>
    <cellStyle name="20% - Accent3 2 3 6 2 2" xfId="17083"/>
    <cellStyle name="20% - Accent3 2 3 6 2 2 2" xfId="28226"/>
    <cellStyle name="20% - Accent3 2 3 6 2 3" xfId="22657"/>
    <cellStyle name="20% - Accent3 2 3 6 2 4" xfId="8621"/>
    <cellStyle name="20% - Accent3 2 3 6 3" xfId="11239"/>
    <cellStyle name="20% - Accent3 2 3 6 3 2" xfId="14529"/>
    <cellStyle name="20% - Accent3 2 3 6 3 2 2" xfId="25672"/>
    <cellStyle name="20% - Accent3 2 3 6 3 3" xfId="20103"/>
    <cellStyle name="20% - Accent3 2 3 6 4" xfId="13099"/>
    <cellStyle name="20% - Accent3 2 3 6 4 2" xfId="24242"/>
    <cellStyle name="20% - Accent3 2 3 6 5" xfId="18673"/>
    <cellStyle name="20% - Accent3 2 3 6 6" xfId="6067"/>
    <cellStyle name="20% - Accent3 2 3 7" xfId="2515"/>
    <cellStyle name="20% - Accent3 2 3 7 2" xfId="4624"/>
    <cellStyle name="20% - Accent3 2 3 7 2 2" xfId="17237"/>
    <cellStyle name="20% - Accent3 2 3 7 2 2 2" xfId="28380"/>
    <cellStyle name="20% - Accent3 2 3 7 2 3" xfId="22811"/>
    <cellStyle name="20% - Accent3 2 3 7 2 4" xfId="8775"/>
    <cellStyle name="20% - Accent3 2 3 7 3" xfId="10439"/>
    <cellStyle name="20% - Accent3 2 3 7 3 2" xfId="15168"/>
    <cellStyle name="20% - Accent3 2 3 7 3 2 2" xfId="26311"/>
    <cellStyle name="20% - Accent3 2 3 7 3 3" xfId="20742"/>
    <cellStyle name="20% - Accent3 2 3 7 4" xfId="13738"/>
    <cellStyle name="20% - Accent3 2 3 7 4 2" xfId="24881"/>
    <cellStyle name="20% - Accent3 2 3 7 5" xfId="19312"/>
    <cellStyle name="20% - Accent3 2 3 7 6" xfId="6706"/>
    <cellStyle name="20% - Accent3 2 3 8" xfId="3153"/>
    <cellStyle name="20% - Accent3 2 3 8 2" xfId="5262"/>
    <cellStyle name="20% - Accent3 2 3 8 2 2" xfId="17875"/>
    <cellStyle name="20% - Accent3 2 3 8 2 2 2" xfId="29018"/>
    <cellStyle name="20% - Accent3 2 3 8 2 3" xfId="23449"/>
    <cellStyle name="20% - Accent3 2 3 8 2 4" xfId="9413"/>
    <cellStyle name="20% - Accent3 2 3 8 3" xfId="15806"/>
    <cellStyle name="20% - Accent3 2 3 8 3 2" xfId="26949"/>
    <cellStyle name="20% - Accent3 2 3 8 4" xfId="21380"/>
    <cellStyle name="20% - Accent3 2 3 8 5" xfId="7344"/>
    <cellStyle name="20% - Accent3 2 3 9" xfId="3832"/>
    <cellStyle name="20% - Accent3 2 3 9 2" xfId="16445"/>
    <cellStyle name="20% - Accent3 2 3 9 2 2" xfId="27588"/>
    <cellStyle name="20% - Accent3 2 3 9 3" xfId="22019"/>
    <cellStyle name="20% - Accent3 2 3 9 4" xfId="7983"/>
    <cellStyle name="20% - Accent3 2 4" xfId="284"/>
    <cellStyle name="20% - Accent3 2 4 10" xfId="12983"/>
    <cellStyle name="20% - Accent3 2 4 10 2" xfId="24127"/>
    <cellStyle name="20% - Accent3 2 4 11" xfId="18558"/>
    <cellStyle name="20% - Accent3 2 4 12" xfId="5951"/>
    <cellStyle name="20% - Accent3 2 4 2" xfId="2242"/>
    <cellStyle name="20% - Accent3 2 4 2 2" xfId="2886"/>
    <cellStyle name="20% - Accent3 2 4 2 2 2" xfId="4995"/>
    <cellStyle name="20% - Accent3 2 4 2 2 2 2" xfId="17608"/>
    <cellStyle name="20% - Accent3 2 4 2 2 2 2 2" xfId="28751"/>
    <cellStyle name="20% - Accent3 2 4 2 2 2 3" xfId="23182"/>
    <cellStyle name="20% - Accent3 2 4 2 2 2 4" xfId="9146"/>
    <cellStyle name="20% - Accent3 2 4 2 2 3" xfId="10894"/>
    <cellStyle name="20% - Accent3 2 4 2 2 3 2" xfId="15539"/>
    <cellStyle name="20% - Accent3 2 4 2 2 3 2 2" xfId="26682"/>
    <cellStyle name="20% - Accent3 2 4 2 2 3 3" xfId="21113"/>
    <cellStyle name="20% - Accent3 2 4 2 2 4" xfId="14109"/>
    <cellStyle name="20% - Accent3 2 4 2 2 4 2" xfId="25252"/>
    <cellStyle name="20% - Accent3 2 4 2 2 5" xfId="19683"/>
    <cellStyle name="20% - Accent3 2 4 2 2 6" xfId="7077"/>
    <cellStyle name="20% - Accent3 2 4 2 3" xfId="3524"/>
    <cellStyle name="20% - Accent3 2 4 2 3 2" xfId="5633"/>
    <cellStyle name="20% - Accent3 2 4 2 3 2 2" xfId="18246"/>
    <cellStyle name="20% - Accent3 2 4 2 3 2 2 2" xfId="29389"/>
    <cellStyle name="20% - Accent3 2 4 2 3 2 3" xfId="23820"/>
    <cellStyle name="20% - Accent3 2 4 2 3 2 4" xfId="9784"/>
    <cellStyle name="20% - Accent3 2 4 2 3 3" xfId="16177"/>
    <cellStyle name="20% - Accent3 2 4 2 3 3 2" xfId="27320"/>
    <cellStyle name="20% - Accent3 2 4 2 3 4" xfId="21751"/>
    <cellStyle name="20% - Accent3 2 4 2 3 5" xfId="7715"/>
    <cellStyle name="20% - Accent3 2 4 2 4" xfId="4203"/>
    <cellStyle name="20% - Accent3 2 4 2 4 2" xfId="16816"/>
    <cellStyle name="20% - Accent3 2 4 2 4 2 2" xfId="27959"/>
    <cellStyle name="20% - Accent3 2 4 2 4 3" xfId="22390"/>
    <cellStyle name="20% - Accent3 2 4 2 4 4" xfId="8354"/>
    <cellStyle name="20% - Accent3 2 4 2 5" xfId="10780"/>
    <cellStyle name="20% - Accent3 2 4 2 5 2" xfId="14900"/>
    <cellStyle name="20% - Accent3 2 4 2 5 2 2" xfId="26043"/>
    <cellStyle name="20% - Accent3 2 4 2 5 3" xfId="20474"/>
    <cellStyle name="20% - Accent3 2 4 2 6" xfId="13470"/>
    <cellStyle name="20% - Accent3 2 4 2 6 2" xfId="24613"/>
    <cellStyle name="20% - Accent3 2 4 2 7" xfId="19044"/>
    <cellStyle name="20% - Accent3 2 4 2 8" xfId="6438"/>
    <cellStyle name="20% - Accent3 2 4 3" xfId="2050"/>
    <cellStyle name="20% - Accent3 2 4 3 2" xfId="2705"/>
    <cellStyle name="20% - Accent3 2 4 3 2 2" xfId="4814"/>
    <cellStyle name="20% - Accent3 2 4 3 2 2 2" xfId="17427"/>
    <cellStyle name="20% - Accent3 2 4 3 2 2 2 2" xfId="28570"/>
    <cellStyle name="20% - Accent3 2 4 3 2 2 3" xfId="23001"/>
    <cellStyle name="20% - Accent3 2 4 3 2 2 4" xfId="8965"/>
    <cellStyle name="20% - Accent3 2 4 3 2 3" xfId="11212"/>
    <cellStyle name="20% - Accent3 2 4 3 2 3 2" xfId="15358"/>
    <cellStyle name="20% - Accent3 2 4 3 2 3 2 2" xfId="26501"/>
    <cellStyle name="20% - Accent3 2 4 3 2 3 3" xfId="20932"/>
    <cellStyle name="20% - Accent3 2 4 3 2 4" xfId="13928"/>
    <cellStyle name="20% - Accent3 2 4 3 2 4 2" xfId="25071"/>
    <cellStyle name="20% - Accent3 2 4 3 2 5" xfId="19502"/>
    <cellStyle name="20% - Accent3 2 4 3 2 6" xfId="6896"/>
    <cellStyle name="20% - Accent3 2 4 3 3" xfId="3343"/>
    <cellStyle name="20% - Accent3 2 4 3 3 2" xfId="5452"/>
    <cellStyle name="20% - Accent3 2 4 3 3 2 2" xfId="18065"/>
    <cellStyle name="20% - Accent3 2 4 3 3 2 2 2" xfId="29208"/>
    <cellStyle name="20% - Accent3 2 4 3 3 2 3" xfId="23639"/>
    <cellStyle name="20% - Accent3 2 4 3 3 2 4" xfId="9603"/>
    <cellStyle name="20% - Accent3 2 4 3 3 3" xfId="15996"/>
    <cellStyle name="20% - Accent3 2 4 3 3 3 2" xfId="27139"/>
    <cellStyle name="20% - Accent3 2 4 3 3 4" xfId="21570"/>
    <cellStyle name="20% - Accent3 2 4 3 3 5" xfId="7534"/>
    <cellStyle name="20% - Accent3 2 4 3 4" xfId="4022"/>
    <cellStyle name="20% - Accent3 2 4 3 4 2" xfId="16635"/>
    <cellStyle name="20% - Accent3 2 4 3 4 2 2" xfId="27778"/>
    <cellStyle name="20% - Accent3 2 4 3 4 3" xfId="22209"/>
    <cellStyle name="20% - Accent3 2 4 3 4 4" xfId="8173"/>
    <cellStyle name="20% - Accent3 2 4 3 5" xfId="11103"/>
    <cellStyle name="20% - Accent3 2 4 3 5 2" xfId="14719"/>
    <cellStyle name="20% - Accent3 2 4 3 5 2 2" xfId="25862"/>
    <cellStyle name="20% - Accent3 2 4 3 5 3" xfId="20293"/>
    <cellStyle name="20% - Accent3 2 4 3 6" xfId="13289"/>
    <cellStyle name="20% - Accent3 2 4 3 6 2" xfId="24432"/>
    <cellStyle name="20% - Accent3 2 4 3 7" xfId="18863"/>
    <cellStyle name="20% - Accent3 2 4 3 8" xfId="6257"/>
    <cellStyle name="20% - Accent3 2 4 4" xfId="2397"/>
    <cellStyle name="20% - Accent3 2 4 4 2" xfId="3038"/>
    <cellStyle name="20% - Accent3 2 4 4 2 2" xfId="5147"/>
    <cellStyle name="20% - Accent3 2 4 4 2 2 2" xfId="17760"/>
    <cellStyle name="20% - Accent3 2 4 4 2 2 2 2" xfId="28903"/>
    <cellStyle name="20% - Accent3 2 4 4 2 2 3" xfId="23334"/>
    <cellStyle name="20% - Accent3 2 4 4 2 2 4" xfId="9298"/>
    <cellStyle name="20% - Accent3 2 4 4 2 3" xfId="10377"/>
    <cellStyle name="20% - Accent3 2 4 4 2 3 2" xfId="15691"/>
    <cellStyle name="20% - Accent3 2 4 4 2 3 2 2" xfId="26834"/>
    <cellStyle name="20% - Accent3 2 4 4 2 3 3" xfId="21265"/>
    <cellStyle name="20% - Accent3 2 4 4 2 4" xfId="14261"/>
    <cellStyle name="20% - Accent3 2 4 4 2 4 2" xfId="25404"/>
    <cellStyle name="20% - Accent3 2 4 4 2 5" xfId="19835"/>
    <cellStyle name="20% - Accent3 2 4 4 2 6" xfId="7229"/>
    <cellStyle name="20% - Accent3 2 4 4 3" xfId="3676"/>
    <cellStyle name="20% - Accent3 2 4 4 3 2" xfId="5785"/>
    <cellStyle name="20% - Accent3 2 4 4 3 2 2" xfId="18398"/>
    <cellStyle name="20% - Accent3 2 4 4 3 2 2 2" xfId="29541"/>
    <cellStyle name="20% - Accent3 2 4 4 3 2 3" xfId="23972"/>
    <cellStyle name="20% - Accent3 2 4 4 3 2 4" xfId="9936"/>
    <cellStyle name="20% - Accent3 2 4 4 3 3" xfId="16329"/>
    <cellStyle name="20% - Accent3 2 4 4 3 3 2" xfId="27472"/>
    <cellStyle name="20% - Accent3 2 4 4 3 4" xfId="21903"/>
    <cellStyle name="20% - Accent3 2 4 4 3 5" xfId="7867"/>
    <cellStyle name="20% - Accent3 2 4 4 4" xfId="4355"/>
    <cellStyle name="20% - Accent3 2 4 4 4 2" xfId="16968"/>
    <cellStyle name="20% - Accent3 2 4 4 4 2 2" xfId="28111"/>
    <cellStyle name="20% - Accent3 2 4 4 4 3" xfId="22542"/>
    <cellStyle name="20% - Accent3 2 4 4 4 4" xfId="8506"/>
    <cellStyle name="20% - Accent3 2 4 4 5" xfId="11228"/>
    <cellStyle name="20% - Accent3 2 4 4 5 2" xfId="15052"/>
    <cellStyle name="20% - Accent3 2 4 4 5 2 2" xfId="26195"/>
    <cellStyle name="20% - Accent3 2 4 4 5 3" xfId="20626"/>
    <cellStyle name="20% - Accent3 2 4 4 6" xfId="13622"/>
    <cellStyle name="20% - Accent3 2 4 4 6 2" xfId="24765"/>
    <cellStyle name="20% - Accent3 2 4 4 7" xfId="19196"/>
    <cellStyle name="20% - Accent3 2 4 4 8" xfId="6590"/>
    <cellStyle name="20% - Accent3 2 4 5" xfId="1860"/>
    <cellStyle name="20% - Accent3 2 4 5 2" xfId="4508"/>
    <cellStyle name="20% - Accent3 2 4 5 2 2" xfId="17121"/>
    <cellStyle name="20% - Accent3 2 4 5 2 2 2" xfId="28264"/>
    <cellStyle name="20% - Accent3 2 4 5 2 3" xfId="22695"/>
    <cellStyle name="20% - Accent3 2 4 5 2 4" xfId="8659"/>
    <cellStyle name="20% - Accent3 2 4 5 3" xfId="10195"/>
    <cellStyle name="20% - Accent3 2 4 5 3 2" xfId="14567"/>
    <cellStyle name="20% - Accent3 2 4 5 3 2 2" xfId="25710"/>
    <cellStyle name="20% - Accent3 2 4 5 3 3" xfId="20141"/>
    <cellStyle name="20% - Accent3 2 4 5 4" xfId="13137"/>
    <cellStyle name="20% - Accent3 2 4 5 4 2" xfId="24280"/>
    <cellStyle name="20% - Accent3 2 4 5 5" xfId="18711"/>
    <cellStyle name="20% - Accent3 2 4 5 6" xfId="6105"/>
    <cellStyle name="20% - Accent3 2 4 6" xfId="2553"/>
    <cellStyle name="20% - Accent3 2 4 6 2" xfId="4662"/>
    <cellStyle name="20% - Accent3 2 4 6 2 2" xfId="17275"/>
    <cellStyle name="20% - Accent3 2 4 6 2 2 2" xfId="28418"/>
    <cellStyle name="20% - Accent3 2 4 6 2 3" xfId="22849"/>
    <cellStyle name="20% - Accent3 2 4 6 2 4" xfId="8813"/>
    <cellStyle name="20% - Accent3 2 4 6 3" xfId="11059"/>
    <cellStyle name="20% - Accent3 2 4 6 3 2" xfId="15206"/>
    <cellStyle name="20% - Accent3 2 4 6 3 2 2" xfId="26349"/>
    <cellStyle name="20% - Accent3 2 4 6 3 3" xfId="20780"/>
    <cellStyle name="20% - Accent3 2 4 6 4" xfId="13776"/>
    <cellStyle name="20% - Accent3 2 4 6 4 2" xfId="24919"/>
    <cellStyle name="20% - Accent3 2 4 6 5" xfId="19350"/>
    <cellStyle name="20% - Accent3 2 4 6 6" xfId="6744"/>
    <cellStyle name="20% - Accent3 2 4 7" xfId="3191"/>
    <cellStyle name="20% - Accent3 2 4 7 2" xfId="5300"/>
    <cellStyle name="20% - Accent3 2 4 7 2 2" xfId="17913"/>
    <cellStyle name="20% - Accent3 2 4 7 2 2 2" xfId="29056"/>
    <cellStyle name="20% - Accent3 2 4 7 2 3" xfId="23487"/>
    <cellStyle name="20% - Accent3 2 4 7 2 4" xfId="9451"/>
    <cellStyle name="20% - Accent3 2 4 7 3" xfId="15844"/>
    <cellStyle name="20% - Accent3 2 4 7 3 2" xfId="26987"/>
    <cellStyle name="20% - Accent3 2 4 7 4" xfId="21418"/>
    <cellStyle name="20% - Accent3 2 4 7 5" xfId="7382"/>
    <cellStyle name="20% - Accent3 2 4 8" xfId="3870"/>
    <cellStyle name="20% - Accent3 2 4 8 2" xfId="16483"/>
    <cellStyle name="20% - Accent3 2 4 8 2 2" xfId="27626"/>
    <cellStyle name="20% - Accent3 2 4 8 3" xfId="22057"/>
    <cellStyle name="20% - Accent3 2 4 8 4" xfId="8021"/>
    <cellStyle name="20% - Accent3 2 4 9" xfId="10371"/>
    <cellStyle name="20% - Accent3 2 4 9 2" xfId="14414"/>
    <cellStyle name="20% - Accent3 2 4 9 2 2" xfId="25557"/>
    <cellStyle name="20% - Accent3 2 4 9 3" xfId="19988"/>
    <cellStyle name="20% - Accent3 2 5" xfId="2166"/>
    <cellStyle name="20% - Accent3 2 5 2" xfId="2810"/>
    <cellStyle name="20% - Accent3 2 5 2 2" xfId="4919"/>
    <cellStyle name="20% - Accent3 2 5 2 2 2" xfId="17532"/>
    <cellStyle name="20% - Accent3 2 5 2 2 2 2" xfId="28675"/>
    <cellStyle name="20% - Accent3 2 5 2 2 3" xfId="23106"/>
    <cellStyle name="20% - Accent3 2 5 2 2 4" xfId="9070"/>
    <cellStyle name="20% - Accent3 2 5 2 3" xfId="10191"/>
    <cellStyle name="20% - Accent3 2 5 2 3 2" xfId="15463"/>
    <cellStyle name="20% - Accent3 2 5 2 3 2 2" xfId="26606"/>
    <cellStyle name="20% - Accent3 2 5 2 3 3" xfId="21037"/>
    <cellStyle name="20% - Accent3 2 5 2 4" xfId="14033"/>
    <cellStyle name="20% - Accent3 2 5 2 4 2" xfId="25176"/>
    <cellStyle name="20% - Accent3 2 5 2 5" xfId="19607"/>
    <cellStyle name="20% - Accent3 2 5 2 6" xfId="7001"/>
    <cellStyle name="20% - Accent3 2 5 3" xfId="3448"/>
    <cellStyle name="20% - Accent3 2 5 3 2" xfId="5557"/>
    <cellStyle name="20% - Accent3 2 5 3 2 2" xfId="18170"/>
    <cellStyle name="20% - Accent3 2 5 3 2 2 2" xfId="29313"/>
    <cellStyle name="20% - Accent3 2 5 3 2 3" xfId="23744"/>
    <cellStyle name="20% - Accent3 2 5 3 2 4" xfId="9708"/>
    <cellStyle name="20% - Accent3 2 5 3 3" xfId="16101"/>
    <cellStyle name="20% - Accent3 2 5 3 3 2" xfId="27244"/>
    <cellStyle name="20% - Accent3 2 5 3 4" xfId="21675"/>
    <cellStyle name="20% - Accent3 2 5 3 5" xfId="7639"/>
    <cellStyle name="20% - Accent3 2 5 4" xfId="4127"/>
    <cellStyle name="20% - Accent3 2 5 4 2" xfId="16740"/>
    <cellStyle name="20% - Accent3 2 5 4 2 2" xfId="27883"/>
    <cellStyle name="20% - Accent3 2 5 4 3" xfId="22314"/>
    <cellStyle name="20% - Accent3 2 5 4 4" xfId="8278"/>
    <cellStyle name="20% - Accent3 2 5 5" xfId="10190"/>
    <cellStyle name="20% - Accent3 2 5 5 2" xfId="14824"/>
    <cellStyle name="20% - Accent3 2 5 5 2 2" xfId="25967"/>
    <cellStyle name="20% - Accent3 2 5 5 3" xfId="20398"/>
    <cellStyle name="20% - Accent3 2 5 6" xfId="13394"/>
    <cellStyle name="20% - Accent3 2 5 6 2" xfId="24537"/>
    <cellStyle name="20% - Accent3 2 5 7" xfId="18968"/>
    <cellStyle name="20% - Accent3 2 5 8" xfId="6362"/>
    <cellStyle name="20% - Accent3 2 6" xfId="1959"/>
    <cellStyle name="20% - Accent3 2 6 2" xfId="2629"/>
    <cellStyle name="20% - Accent3 2 6 2 2" xfId="4738"/>
    <cellStyle name="20% - Accent3 2 6 2 2 2" xfId="17351"/>
    <cellStyle name="20% - Accent3 2 6 2 2 2 2" xfId="28494"/>
    <cellStyle name="20% - Accent3 2 6 2 2 3" xfId="22925"/>
    <cellStyle name="20% - Accent3 2 6 2 2 4" xfId="8889"/>
    <cellStyle name="20% - Accent3 2 6 2 3" xfId="11296"/>
    <cellStyle name="20% - Accent3 2 6 2 3 2" xfId="15282"/>
    <cellStyle name="20% - Accent3 2 6 2 3 2 2" xfId="26425"/>
    <cellStyle name="20% - Accent3 2 6 2 3 3" xfId="20856"/>
    <cellStyle name="20% - Accent3 2 6 2 4" xfId="13852"/>
    <cellStyle name="20% - Accent3 2 6 2 4 2" xfId="24995"/>
    <cellStyle name="20% - Accent3 2 6 2 5" xfId="19426"/>
    <cellStyle name="20% - Accent3 2 6 2 6" xfId="6820"/>
    <cellStyle name="20% - Accent3 2 6 3" xfId="3267"/>
    <cellStyle name="20% - Accent3 2 6 3 2" xfId="5376"/>
    <cellStyle name="20% - Accent3 2 6 3 2 2" xfId="17989"/>
    <cellStyle name="20% - Accent3 2 6 3 2 2 2" xfId="29132"/>
    <cellStyle name="20% - Accent3 2 6 3 2 3" xfId="23563"/>
    <cellStyle name="20% - Accent3 2 6 3 2 4" xfId="9527"/>
    <cellStyle name="20% - Accent3 2 6 3 3" xfId="15920"/>
    <cellStyle name="20% - Accent3 2 6 3 3 2" xfId="27063"/>
    <cellStyle name="20% - Accent3 2 6 3 4" xfId="21494"/>
    <cellStyle name="20% - Accent3 2 6 3 5" xfId="7458"/>
    <cellStyle name="20% - Accent3 2 6 4" xfId="3946"/>
    <cellStyle name="20% - Accent3 2 6 4 2" xfId="16559"/>
    <cellStyle name="20% - Accent3 2 6 4 2 2" xfId="27702"/>
    <cellStyle name="20% - Accent3 2 6 4 3" xfId="22133"/>
    <cellStyle name="20% - Accent3 2 6 4 4" xfId="8097"/>
    <cellStyle name="20% - Accent3 2 6 5" xfId="10634"/>
    <cellStyle name="20% - Accent3 2 6 5 2" xfId="14643"/>
    <cellStyle name="20% - Accent3 2 6 5 2 2" xfId="25786"/>
    <cellStyle name="20% - Accent3 2 6 5 3" xfId="20217"/>
    <cellStyle name="20% - Accent3 2 6 6" xfId="13213"/>
    <cellStyle name="20% - Accent3 2 6 6 2" xfId="24356"/>
    <cellStyle name="20% - Accent3 2 6 7" xfId="18787"/>
    <cellStyle name="20% - Accent3 2 6 8" xfId="6181"/>
    <cellStyle name="20% - Accent3 2 7" xfId="2320"/>
    <cellStyle name="20% - Accent3 2 7 2" xfId="2962"/>
    <cellStyle name="20% - Accent3 2 7 2 2" xfId="5071"/>
    <cellStyle name="20% - Accent3 2 7 2 2 2" xfId="17684"/>
    <cellStyle name="20% - Accent3 2 7 2 2 2 2" xfId="28827"/>
    <cellStyle name="20% - Accent3 2 7 2 2 3" xfId="23258"/>
    <cellStyle name="20% - Accent3 2 7 2 2 4" xfId="9222"/>
    <cellStyle name="20% - Accent3 2 7 2 3" xfId="10389"/>
    <cellStyle name="20% - Accent3 2 7 2 3 2" xfId="15615"/>
    <cellStyle name="20% - Accent3 2 7 2 3 2 2" xfId="26758"/>
    <cellStyle name="20% - Accent3 2 7 2 3 3" xfId="21189"/>
    <cellStyle name="20% - Accent3 2 7 2 4" xfId="14185"/>
    <cellStyle name="20% - Accent3 2 7 2 4 2" xfId="25328"/>
    <cellStyle name="20% - Accent3 2 7 2 5" xfId="19759"/>
    <cellStyle name="20% - Accent3 2 7 2 6" xfId="7153"/>
    <cellStyle name="20% - Accent3 2 7 3" xfId="3600"/>
    <cellStyle name="20% - Accent3 2 7 3 2" xfId="5709"/>
    <cellStyle name="20% - Accent3 2 7 3 2 2" xfId="18322"/>
    <cellStyle name="20% - Accent3 2 7 3 2 2 2" xfId="29465"/>
    <cellStyle name="20% - Accent3 2 7 3 2 3" xfId="23896"/>
    <cellStyle name="20% - Accent3 2 7 3 2 4" xfId="9860"/>
    <cellStyle name="20% - Accent3 2 7 3 3" xfId="16253"/>
    <cellStyle name="20% - Accent3 2 7 3 3 2" xfId="27396"/>
    <cellStyle name="20% - Accent3 2 7 3 4" xfId="21827"/>
    <cellStyle name="20% - Accent3 2 7 3 5" xfId="7791"/>
    <cellStyle name="20% - Accent3 2 7 4" xfId="4279"/>
    <cellStyle name="20% - Accent3 2 7 4 2" xfId="16892"/>
    <cellStyle name="20% - Accent3 2 7 4 2 2" xfId="28035"/>
    <cellStyle name="20% - Accent3 2 7 4 3" xfId="22466"/>
    <cellStyle name="20% - Accent3 2 7 4 4" xfId="8430"/>
    <cellStyle name="20% - Accent3 2 7 5" xfId="11001"/>
    <cellStyle name="20% - Accent3 2 7 5 2" xfId="14976"/>
    <cellStyle name="20% - Accent3 2 7 5 2 2" xfId="26119"/>
    <cellStyle name="20% - Accent3 2 7 5 3" xfId="20550"/>
    <cellStyle name="20% - Accent3 2 7 6" xfId="13546"/>
    <cellStyle name="20% - Accent3 2 7 6 2" xfId="24689"/>
    <cellStyle name="20% - Accent3 2 7 7" xfId="19120"/>
    <cellStyle name="20% - Accent3 2 7 8" xfId="6514"/>
    <cellStyle name="20% - Accent3 2 8" xfId="1784"/>
    <cellStyle name="20% - Accent3 2 8 2" xfId="4432"/>
    <cellStyle name="20% - Accent3 2 8 2 2" xfId="17045"/>
    <cellStyle name="20% - Accent3 2 8 2 2 2" xfId="28188"/>
    <cellStyle name="20% - Accent3 2 8 2 3" xfId="22619"/>
    <cellStyle name="20% - Accent3 2 8 2 4" xfId="8583"/>
    <cellStyle name="20% - Accent3 2 8 3" xfId="11215"/>
    <cellStyle name="20% - Accent3 2 8 3 2" xfId="14491"/>
    <cellStyle name="20% - Accent3 2 8 3 2 2" xfId="25634"/>
    <cellStyle name="20% - Accent3 2 8 3 3" xfId="20065"/>
    <cellStyle name="20% - Accent3 2 8 4" xfId="13061"/>
    <cellStyle name="20% - Accent3 2 8 4 2" xfId="24204"/>
    <cellStyle name="20% - Accent3 2 8 5" xfId="18635"/>
    <cellStyle name="20% - Accent3 2 8 6" xfId="6029"/>
    <cellStyle name="20% - Accent3 2 9" xfId="2477"/>
    <cellStyle name="20% - Accent3 2 9 2" xfId="4586"/>
    <cellStyle name="20% - Accent3 2 9 2 2" xfId="17199"/>
    <cellStyle name="20% - Accent3 2 9 2 2 2" xfId="28342"/>
    <cellStyle name="20% - Accent3 2 9 2 3" xfId="22773"/>
    <cellStyle name="20% - Accent3 2 9 2 4" xfId="8737"/>
    <cellStyle name="20% - Accent3 2 9 3" xfId="10171"/>
    <cellStyle name="20% - Accent3 2 9 3 2" xfId="15130"/>
    <cellStyle name="20% - Accent3 2 9 3 2 2" xfId="26273"/>
    <cellStyle name="20% - Accent3 2 9 3 3" xfId="20704"/>
    <cellStyle name="20% - Accent3 2 9 4" xfId="13700"/>
    <cellStyle name="20% - Accent3 2 9 4 2" xfId="24843"/>
    <cellStyle name="20% - Accent3 2 9 5" xfId="19274"/>
    <cellStyle name="20% - Accent3 2 9 6" xfId="6668"/>
    <cellStyle name="20% - Accent3 3" xfId="139"/>
    <cellStyle name="20% - Accent3 3 2" xfId="389"/>
    <cellStyle name="20% - Accent3 3 2 2" xfId="568"/>
    <cellStyle name="20% - Accent3 3 2 2 2" xfId="951"/>
    <cellStyle name="20% - Accent3 3 2 2 2 2" xfId="1690"/>
    <cellStyle name="20% - Accent3 3 2 2 2 2 2" xfId="12786"/>
    <cellStyle name="20% - Accent3 3 2 2 2 3" xfId="12076"/>
    <cellStyle name="20% - Accent3 3 2 2 3" xfId="1335"/>
    <cellStyle name="20% - Accent3 3 2 2 3 2" xfId="12431"/>
    <cellStyle name="20% - Accent3 3 2 2 4" xfId="11721"/>
    <cellStyle name="20% - Accent3 3 2 3" xfId="773"/>
    <cellStyle name="20% - Accent3 3 2 3 2" xfId="1512"/>
    <cellStyle name="20% - Accent3 3 2 3 2 2" xfId="12608"/>
    <cellStyle name="20% - Accent3 3 2 3 3" xfId="11898"/>
    <cellStyle name="20% - Accent3 3 2 4" xfId="1157"/>
    <cellStyle name="20% - Accent3 3 2 4 2" xfId="12253"/>
    <cellStyle name="20% - Accent3 3 2 5" xfId="11543"/>
    <cellStyle name="20% - Accent3 3 3" xfId="444"/>
    <cellStyle name="20% - Accent3 3 3 2" xfId="623"/>
    <cellStyle name="20% - Accent3 3 3 2 2" xfId="1006"/>
    <cellStyle name="20% - Accent3 3 3 2 2 2" xfId="1745"/>
    <cellStyle name="20% - Accent3 3 3 2 2 2 2" xfId="12841"/>
    <cellStyle name="20% - Accent3 3 3 2 2 3" xfId="12131"/>
    <cellStyle name="20% - Accent3 3 3 2 3" xfId="1390"/>
    <cellStyle name="20% - Accent3 3 3 2 3 2" xfId="12486"/>
    <cellStyle name="20% - Accent3 3 3 2 4" xfId="11776"/>
    <cellStyle name="20% - Accent3 3 3 3" xfId="828"/>
    <cellStyle name="20% - Accent3 3 3 3 2" xfId="1567"/>
    <cellStyle name="20% - Accent3 3 3 3 2 2" xfId="12663"/>
    <cellStyle name="20% - Accent3 3 3 3 3" xfId="11953"/>
    <cellStyle name="20% - Accent3 3 3 4" xfId="1212"/>
    <cellStyle name="20% - Accent3 3 3 4 2" xfId="12308"/>
    <cellStyle name="20% - Accent3 3 3 5" xfId="11598"/>
    <cellStyle name="20% - Accent3 3 4" xfId="506"/>
    <cellStyle name="20% - Accent3 3 4 2" xfId="890"/>
    <cellStyle name="20% - Accent3 3 4 2 2" xfId="1629"/>
    <cellStyle name="20% - Accent3 3 4 2 2 2" xfId="12725"/>
    <cellStyle name="20% - Accent3 3 4 2 3" xfId="12015"/>
    <cellStyle name="20% - Accent3 3 4 3" xfId="1274"/>
    <cellStyle name="20% - Accent3 3 4 3 2" xfId="12370"/>
    <cellStyle name="20% - Accent3 3 4 4" xfId="11660"/>
    <cellStyle name="20% - Accent3 3 5" xfId="712"/>
    <cellStyle name="20% - Accent3 3 5 2" xfId="1451"/>
    <cellStyle name="20% - Accent3 3 5 2 2" xfId="12547"/>
    <cellStyle name="20% - Accent3 3 5 3" xfId="11837"/>
    <cellStyle name="20% - Accent3 3 6" xfId="1096"/>
    <cellStyle name="20% - Accent3 3 6 2" xfId="12192"/>
    <cellStyle name="20% - Accent3 3 7" xfId="11482"/>
    <cellStyle name="20% - Accent3 4" xfId="163"/>
    <cellStyle name="20% - Accent3 4 2" xfId="401"/>
    <cellStyle name="20% - Accent3 4 2 2" xfId="580"/>
    <cellStyle name="20% - Accent3 4 2 2 2" xfId="963"/>
    <cellStyle name="20% - Accent3 4 2 2 2 2" xfId="1702"/>
    <cellStyle name="20% - Accent3 4 2 2 2 2 2" xfId="12798"/>
    <cellStyle name="20% - Accent3 4 2 2 2 3" xfId="12088"/>
    <cellStyle name="20% - Accent3 4 2 2 3" xfId="1347"/>
    <cellStyle name="20% - Accent3 4 2 2 3 2" xfId="12443"/>
    <cellStyle name="20% - Accent3 4 2 2 4" xfId="11733"/>
    <cellStyle name="20% - Accent3 4 2 3" xfId="785"/>
    <cellStyle name="20% - Accent3 4 2 3 2" xfId="1524"/>
    <cellStyle name="20% - Accent3 4 2 3 2 2" xfId="12620"/>
    <cellStyle name="20% - Accent3 4 2 3 3" xfId="11910"/>
    <cellStyle name="20% - Accent3 4 2 4" xfId="1169"/>
    <cellStyle name="20% - Accent3 4 2 4 2" xfId="12265"/>
    <cellStyle name="20% - Accent3 4 2 5" xfId="11555"/>
    <cellStyle name="20% - Accent3 4 3" xfId="456"/>
    <cellStyle name="20% - Accent3 4 3 2" xfId="635"/>
    <cellStyle name="20% - Accent3 4 3 2 2" xfId="1018"/>
    <cellStyle name="20% - Accent3 4 3 2 2 2" xfId="1757"/>
    <cellStyle name="20% - Accent3 4 3 2 2 2 2" xfId="12853"/>
    <cellStyle name="20% - Accent3 4 3 2 2 3" xfId="12143"/>
    <cellStyle name="20% - Accent3 4 3 2 3" xfId="1402"/>
    <cellStyle name="20% - Accent3 4 3 2 3 2" xfId="12498"/>
    <cellStyle name="20% - Accent3 4 3 2 4" xfId="11788"/>
    <cellStyle name="20% - Accent3 4 3 3" xfId="840"/>
    <cellStyle name="20% - Accent3 4 3 3 2" xfId="1579"/>
    <cellStyle name="20% - Accent3 4 3 3 2 2" xfId="12675"/>
    <cellStyle name="20% - Accent3 4 3 3 3" xfId="11965"/>
    <cellStyle name="20% - Accent3 4 3 4" xfId="1224"/>
    <cellStyle name="20% - Accent3 4 3 4 2" xfId="12320"/>
    <cellStyle name="20% - Accent3 4 3 5" xfId="11610"/>
    <cellStyle name="20% - Accent3 4 4" xfId="519"/>
    <cellStyle name="20% - Accent3 4 4 2" xfId="902"/>
    <cellStyle name="20% - Accent3 4 4 2 2" xfId="1641"/>
    <cellStyle name="20% - Accent3 4 4 2 2 2" xfId="12737"/>
    <cellStyle name="20% - Accent3 4 4 2 3" xfId="12027"/>
    <cellStyle name="20% - Accent3 4 4 3" xfId="1286"/>
    <cellStyle name="20% - Accent3 4 4 3 2" xfId="12382"/>
    <cellStyle name="20% - Accent3 4 4 4" xfId="11672"/>
    <cellStyle name="20% - Accent3 4 5" xfId="724"/>
    <cellStyle name="20% - Accent3 4 5 2" xfId="1463"/>
    <cellStyle name="20% - Accent3 4 5 2 2" xfId="12559"/>
    <cellStyle name="20% - Accent3 4 5 3" xfId="11849"/>
    <cellStyle name="20% - Accent3 4 6" xfId="1108"/>
    <cellStyle name="20% - Accent3 4 6 2" xfId="12204"/>
    <cellStyle name="20% - Accent3 4 7" xfId="11494"/>
    <cellStyle name="20% - Accent3 5" xfId="205"/>
    <cellStyle name="20% - Accent3 5 2" xfId="413"/>
    <cellStyle name="20% - Accent3 5 2 2" xfId="592"/>
    <cellStyle name="20% - Accent3 5 2 2 2" xfId="975"/>
    <cellStyle name="20% - Accent3 5 2 2 2 2" xfId="1714"/>
    <cellStyle name="20% - Accent3 5 2 2 2 2 2" xfId="12810"/>
    <cellStyle name="20% - Accent3 5 2 2 2 3" xfId="12100"/>
    <cellStyle name="20% - Accent3 5 2 2 3" xfId="1359"/>
    <cellStyle name="20% - Accent3 5 2 2 3 2" xfId="12455"/>
    <cellStyle name="20% - Accent3 5 2 2 4" xfId="11745"/>
    <cellStyle name="20% - Accent3 5 2 3" xfId="797"/>
    <cellStyle name="20% - Accent3 5 2 3 2" xfId="1536"/>
    <cellStyle name="20% - Accent3 5 2 3 2 2" xfId="12632"/>
    <cellStyle name="20% - Accent3 5 2 3 3" xfId="11922"/>
    <cellStyle name="20% - Accent3 5 2 4" xfId="1181"/>
    <cellStyle name="20% - Accent3 5 2 4 2" xfId="12277"/>
    <cellStyle name="20% - Accent3 5 2 5" xfId="11567"/>
    <cellStyle name="20% - Accent3 5 3" xfId="468"/>
    <cellStyle name="20% - Accent3 5 3 2" xfId="647"/>
    <cellStyle name="20% - Accent3 5 3 2 2" xfId="1030"/>
    <cellStyle name="20% - Accent3 5 3 2 2 2" xfId="1769"/>
    <cellStyle name="20% - Accent3 5 3 2 2 2 2" xfId="12865"/>
    <cellStyle name="20% - Accent3 5 3 2 2 3" xfId="12155"/>
    <cellStyle name="20% - Accent3 5 3 2 3" xfId="1414"/>
    <cellStyle name="20% - Accent3 5 3 2 3 2" xfId="12510"/>
    <cellStyle name="20% - Accent3 5 3 2 4" xfId="11800"/>
    <cellStyle name="20% - Accent3 5 3 3" xfId="852"/>
    <cellStyle name="20% - Accent3 5 3 3 2" xfId="1591"/>
    <cellStyle name="20% - Accent3 5 3 3 2 2" xfId="12687"/>
    <cellStyle name="20% - Accent3 5 3 3 3" xfId="11977"/>
    <cellStyle name="20% - Accent3 5 3 4" xfId="1236"/>
    <cellStyle name="20% - Accent3 5 3 4 2" xfId="12332"/>
    <cellStyle name="20% - Accent3 5 3 5" xfId="11622"/>
    <cellStyle name="20% - Accent3 5 4" xfId="531"/>
    <cellStyle name="20% - Accent3 5 4 2" xfId="914"/>
    <cellStyle name="20% - Accent3 5 4 2 2" xfId="1653"/>
    <cellStyle name="20% - Accent3 5 4 2 2 2" xfId="12749"/>
    <cellStyle name="20% - Accent3 5 4 2 3" xfId="12039"/>
    <cellStyle name="20% - Accent3 5 4 3" xfId="1298"/>
    <cellStyle name="20% - Accent3 5 4 3 2" xfId="12394"/>
    <cellStyle name="20% - Accent3 5 4 4" xfId="11684"/>
    <cellStyle name="20% - Accent3 5 5" xfId="736"/>
    <cellStyle name="20% - Accent3 5 5 2" xfId="1475"/>
    <cellStyle name="20% - Accent3 5 5 2 2" xfId="12571"/>
    <cellStyle name="20% - Accent3 5 5 3" xfId="11861"/>
    <cellStyle name="20% - Accent3 5 6" xfId="1120"/>
    <cellStyle name="20% - Accent3 5 6 2" xfId="12216"/>
    <cellStyle name="20% - Accent3 5 7" xfId="11506"/>
    <cellStyle name="20% - Accent3 6" xfId="50"/>
    <cellStyle name="20% - Accent3 6 2" xfId="370"/>
    <cellStyle name="20% - Accent3 6 2 2" xfId="549"/>
    <cellStyle name="20% - Accent3 6 2 2 2" xfId="932"/>
    <cellStyle name="20% - Accent3 6 2 2 2 2" xfId="1671"/>
    <cellStyle name="20% - Accent3 6 2 2 2 2 2" xfId="12767"/>
    <cellStyle name="20% - Accent3 6 2 2 2 3" xfId="12057"/>
    <cellStyle name="20% - Accent3 6 2 2 3" xfId="1316"/>
    <cellStyle name="20% - Accent3 6 2 2 3 2" xfId="12412"/>
    <cellStyle name="20% - Accent3 6 2 2 4" xfId="11702"/>
    <cellStyle name="20% - Accent3 6 2 3" xfId="754"/>
    <cellStyle name="20% - Accent3 6 2 3 2" xfId="1493"/>
    <cellStyle name="20% - Accent3 6 2 3 2 2" xfId="12589"/>
    <cellStyle name="20% - Accent3 6 2 3 3" xfId="11879"/>
    <cellStyle name="20% - Accent3 6 2 4" xfId="1138"/>
    <cellStyle name="20% - Accent3 6 2 4 2" xfId="12234"/>
    <cellStyle name="20% - Accent3 6 2 5" xfId="11524"/>
    <cellStyle name="20% - Accent3 6 3" xfId="490"/>
    <cellStyle name="20% - Accent3 6 3 2" xfId="874"/>
    <cellStyle name="20% - Accent3 6 3 2 2" xfId="1613"/>
    <cellStyle name="20% - Accent3 6 3 2 2 2" xfId="12709"/>
    <cellStyle name="20% - Accent3 6 3 2 3" xfId="11999"/>
    <cellStyle name="20% - Accent3 6 3 3" xfId="1258"/>
    <cellStyle name="20% - Accent3 6 3 3 2" xfId="12354"/>
    <cellStyle name="20% - Accent3 6 3 4" xfId="11644"/>
    <cellStyle name="20% - Accent3 6 4" xfId="696"/>
    <cellStyle name="20% - Accent3 6 4 2" xfId="1435"/>
    <cellStyle name="20% - Accent3 6 4 2 2" xfId="12531"/>
    <cellStyle name="20% - Accent3 6 4 3" xfId="11821"/>
    <cellStyle name="20% - Accent3 6 5" xfId="1080"/>
    <cellStyle name="20% - Accent3 6 5 2" xfId="12176"/>
    <cellStyle name="20% - Accent3 6 6" xfId="11466"/>
    <cellStyle name="20% - Accent3 7" xfId="425"/>
    <cellStyle name="20% - Accent3 7 2" xfId="604"/>
    <cellStyle name="20% - Accent3 7 2 2" xfId="987"/>
    <cellStyle name="20% - Accent3 7 2 2 2" xfId="1726"/>
    <cellStyle name="20% - Accent3 7 2 2 2 2" xfId="12822"/>
    <cellStyle name="20% - Accent3 7 2 2 3" xfId="12112"/>
    <cellStyle name="20% - Accent3 7 2 3" xfId="1371"/>
    <cellStyle name="20% - Accent3 7 2 3 2" xfId="12467"/>
    <cellStyle name="20% - Accent3 7 2 4" xfId="11757"/>
    <cellStyle name="20% - Accent3 7 3" xfId="809"/>
    <cellStyle name="20% - Accent3 7 3 2" xfId="1548"/>
    <cellStyle name="20% - Accent3 7 3 2 2" xfId="12644"/>
    <cellStyle name="20% - Accent3 7 3 3" xfId="11934"/>
    <cellStyle name="20% - Accent3 7 4" xfId="1193"/>
    <cellStyle name="20% - Accent3 7 4 2" xfId="12289"/>
    <cellStyle name="20% - Accent3 7 5" xfId="11579"/>
    <cellStyle name="20% - Accent3 8" xfId="481"/>
    <cellStyle name="20% - Accent3 8 2" xfId="865"/>
    <cellStyle name="20% - Accent3 8 2 2" xfId="1604"/>
    <cellStyle name="20% - Accent3 8 2 2 2" xfId="12700"/>
    <cellStyle name="20% - Accent3 8 2 3" xfId="11990"/>
    <cellStyle name="20% - Accent3 8 3" xfId="1249"/>
    <cellStyle name="20% - Accent3 8 3 2" xfId="12345"/>
    <cellStyle name="20% - Accent3 8 4" xfId="11635"/>
    <cellStyle name="20% - Accent3 9" xfId="680"/>
    <cellStyle name="20% - Accent3 9 2" xfId="1426"/>
    <cellStyle name="20% - Accent3 9 2 2" xfId="12522"/>
    <cellStyle name="20% - Accent3 9 3" xfId="11812"/>
    <cellStyle name="20% - Accent4" xfId="30" builtinId="42" customBuiltin="1"/>
    <cellStyle name="20% - Accent4 10" xfId="1068"/>
    <cellStyle name="20% - Accent4 10 2" xfId="12169"/>
    <cellStyle name="20% - Accent4 11" xfId="1946"/>
    <cellStyle name="20% - Accent4 11 2" xfId="12879"/>
    <cellStyle name="20% - Accent4 12" xfId="3776"/>
    <cellStyle name="20% - Accent4 12 2" xfId="11459"/>
    <cellStyle name="20% - Accent4 2" xfId="124"/>
    <cellStyle name="20% - Accent4 2 10" xfId="3119"/>
    <cellStyle name="20% - Accent4 2 10 2" xfId="5228"/>
    <cellStyle name="20% - Accent4 2 10 2 2" xfId="17841"/>
    <cellStyle name="20% - Accent4 2 10 2 2 2" xfId="28984"/>
    <cellStyle name="20% - Accent4 2 10 2 3" xfId="23415"/>
    <cellStyle name="20% - Accent4 2 10 2 4" xfId="9379"/>
    <cellStyle name="20% - Accent4 2 10 3" xfId="15772"/>
    <cellStyle name="20% - Accent4 2 10 3 2" xfId="26915"/>
    <cellStyle name="20% - Accent4 2 10 4" xfId="21346"/>
    <cellStyle name="20% - Accent4 2 10 5" xfId="7310"/>
    <cellStyle name="20% - Accent4 2 11" xfId="3798"/>
    <cellStyle name="20% - Accent4 2 11 2" xfId="16411"/>
    <cellStyle name="20% - Accent4 2 11 2 2" xfId="27554"/>
    <cellStyle name="20% - Accent4 2 11 3" xfId="21985"/>
    <cellStyle name="20% - Accent4 2 11 4" xfId="7949"/>
    <cellStyle name="20% - Accent4 2 12" xfId="10359"/>
    <cellStyle name="20% - Accent4 2 12 2" xfId="14342"/>
    <cellStyle name="20% - Accent4 2 12 2 2" xfId="25485"/>
    <cellStyle name="20% - Accent4 2 12 3" xfId="19916"/>
    <cellStyle name="20% - Accent4 2 13" xfId="12910"/>
    <cellStyle name="20% - Accent4 2 13 2" xfId="24054"/>
    <cellStyle name="20% - Accent4 2 14" xfId="18486"/>
    <cellStyle name="20% - Accent4 2 15" xfId="5879"/>
    <cellStyle name="20% - Accent4 2 2" xfId="231"/>
    <cellStyle name="20% - Accent4 2 2 10" xfId="3817"/>
    <cellStyle name="20% - Accent4 2 2 10 2" xfId="16430"/>
    <cellStyle name="20% - Accent4 2 2 10 2 2" xfId="27573"/>
    <cellStyle name="20% - Accent4 2 2 10 3" xfId="22004"/>
    <cellStyle name="20% - Accent4 2 2 10 4" xfId="7968"/>
    <cellStyle name="20% - Accent4 2 2 11" xfId="10591"/>
    <cellStyle name="20% - Accent4 2 2 11 2" xfId="14361"/>
    <cellStyle name="20% - Accent4 2 2 11 2 2" xfId="25504"/>
    <cellStyle name="20% - Accent4 2 2 11 3" xfId="19935"/>
    <cellStyle name="20% - Accent4 2 2 12" xfId="12930"/>
    <cellStyle name="20% - Accent4 2 2 12 2" xfId="24074"/>
    <cellStyle name="20% - Accent4 2 2 13" xfId="18505"/>
    <cellStyle name="20% - Accent4 2 2 14" xfId="5898"/>
    <cellStyle name="20% - Accent4 2 2 2" xfId="269"/>
    <cellStyle name="20% - Accent4 2 2 2 10" xfId="10042"/>
    <cellStyle name="20% - Accent4 2 2 2 10 2" xfId="14399"/>
    <cellStyle name="20% - Accent4 2 2 2 10 2 2" xfId="25542"/>
    <cellStyle name="20% - Accent4 2 2 2 10 3" xfId="19973"/>
    <cellStyle name="20% - Accent4 2 2 2 11" xfId="12968"/>
    <cellStyle name="20% - Accent4 2 2 2 11 2" xfId="24112"/>
    <cellStyle name="20% - Accent4 2 2 2 12" xfId="18543"/>
    <cellStyle name="20% - Accent4 2 2 2 13" xfId="5936"/>
    <cellStyle name="20% - Accent4 2 2 2 2" xfId="345"/>
    <cellStyle name="20% - Accent4 2 2 2 2 10" xfId="13044"/>
    <cellStyle name="20% - Accent4 2 2 2 2 10 2" xfId="24188"/>
    <cellStyle name="20% - Accent4 2 2 2 2 11" xfId="18619"/>
    <cellStyle name="20% - Accent4 2 2 2 2 12" xfId="6012"/>
    <cellStyle name="20% - Accent4 2 2 2 2 2" xfId="2303"/>
    <cellStyle name="20% - Accent4 2 2 2 2 2 2" xfId="2947"/>
    <cellStyle name="20% - Accent4 2 2 2 2 2 2 2" xfId="5056"/>
    <cellStyle name="20% - Accent4 2 2 2 2 2 2 2 2" xfId="17669"/>
    <cellStyle name="20% - Accent4 2 2 2 2 2 2 2 2 2" xfId="28812"/>
    <cellStyle name="20% - Accent4 2 2 2 2 2 2 2 3" xfId="23243"/>
    <cellStyle name="20% - Accent4 2 2 2 2 2 2 2 4" xfId="9207"/>
    <cellStyle name="20% - Accent4 2 2 2 2 2 2 3" xfId="10423"/>
    <cellStyle name="20% - Accent4 2 2 2 2 2 2 3 2" xfId="15600"/>
    <cellStyle name="20% - Accent4 2 2 2 2 2 2 3 2 2" xfId="26743"/>
    <cellStyle name="20% - Accent4 2 2 2 2 2 2 3 3" xfId="21174"/>
    <cellStyle name="20% - Accent4 2 2 2 2 2 2 4" xfId="14170"/>
    <cellStyle name="20% - Accent4 2 2 2 2 2 2 4 2" xfId="25313"/>
    <cellStyle name="20% - Accent4 2 2 2 2 2 2 5" xfId="19744"/>
    <cellStyle name="20% - Accent4 2 2 2 2 2 2 6" xfId="7138"/>
    <cellStyle name="20% - Accent4 2 2 2 2 2 3" xfId="3585"/>
    <cellStyle name="20% - Accent4 2 2 2 2 2 3 2" xfId="5694"/>
    <cellStyle name="20% - Accent4 2 2 2 2 2 3 2 2" xfId="18307"/>
    <cellStyle name="20% - Accent4 2 2 2 2 2 3 2 2 2" xfId="29450"/>
    <cellStyle name="20% - Accent4 2 2 2 2 2 3 2 3" xfId="23881"/>
    <cellStyle name="20% - Accent4 2 2 2 2 2 3 2 4" xfId="9845"/>
    <cellStyle name="20% - Accent4 2 2 2 2 2 3 3" xfId="16238"/>
    <cellStyle name="20% - Accent4 2 2 2 2 2 3 3 2" xfId="27381"/>
    <cellStyle name="20% - Accent4 2 2 2 2 2 3 4" xfId="21812"/>
    <cellStyle name="20% - Accent4 2 2 2 2 2 3 5" xfId="7776"/>
    <cellStyle name="20% - Accent4 2 2 2 2 2 4" xfId="4264"/>
    <cellStyle name="20% - Accent4 2 2 2 2 2 4 2" xfId="16877"/>
    <cellStyle name="20% - Accent4 2 2 2 2 2 4 2 2" xfId="28020"/>
    <cellStyle name="20% - Accent4 2 2 2 2 2 4 3" xfId="22451"/>
    <cellStyle name="20% - Accent4 2 2 2 2 2 4 4" xfId="8415"/>
    <cellStyle name="20% - Accent4 2 2 2 2 2 5" xfId="11250"/>
    <cellStyle name="20% - Accent4 2 2 2 2 2 5 2" xfId="14961"/>
    <cellStyle name="20% - Accent4 2 2 2 2 2 5 2 2" xfId="26104"/>
    <cellStyle name="20% - Accent4 2 2 2 2 2 5 3" xfId="20535"/>
    <cellStyle name="20% - Accent4 2 2 2 2 2 6" xfId="13531"/>
    <cellStyle name="20% - Accent4 2 2 2 2 2 6 2" xfId="24674"/>
    <cellStyle name="20% - Accent4 2 2 2 2 2 7" xfId="19105"/>
    <cellStyle name="20% - Accent4 2 2 2 2 2 8" xfId="6499"/>
    <cellStyle name="20% - Accent4 2 2 2 2 3" xfId="2111"/>
    <cellStyle name="20% - Accent4 2 2 2 2 3 2" xfId="2766"/>
    <cellStyle name="20% - Accent4 2 2 2 2 3 2 2" xfId="4875"/>
    <cellStyle name="20% - Accent4 2 2 2 2 3 2 2 2" xfId="17488"/>
    <cellStyle name="20% - Accent4 2 2 2 2 3 2 2 2 2" xfId="28631"/>
    <cellStyle name="20% - Accent4 2 2 2 2 3 2 2 3" xfId="23062"/>
    <cellStyle name="20% - Accent4 2 2 2 2 3 2 2 4" xfId="9026"/>
    <cellStyle name="20% - Accent4 2 2 2 2 3 2 3" xfId="10015"/>
    <cellStyle name="20% - Accent4 2 2 2 2 3 2 3 2" xfId="15419"/>
    <cellStyle name="20% - Accent4 2 2 2 2 3 2 3 2 2" xfId="26562"/>
    <cellStyle name="20% - Accent4 2 2 2 2 3 2 3 3" xfId="20993"/>
    <cellStyle name="20% - Accent4 2 2 2 2 3 2 4" xfId="13989"/>
    <cellStyle name="20% - Accent4 2 2 2 2 3 2 4 2" xfId="25132"/>
    <cellStyle name="20% - Accent4 2 2 2 2 3 2 5" xfId="19563"/>
    <cellStyle name="20% - Accent4 2 2 2 2 3 2 6" xfId="6957"/>
    <cellStyle name="20% - Accent4 2 2 2 2 3 3" xfId="3404"/>
    <cellStyle name="20% - Accent4 2 2 2 2 3 3 2" xfId="5513"/>
    <cellStyle name="20% - Accent4 2 2 2 2 3 3 2 2" xfId="18126"/>
    <cellStyle name="20% - Accent4 2 2 2 2 3 3 2 2 2" xfId="29269"/>
    <cellStyle name="20% - Accent4 2 2 2 2 3 3 2 3" xfId="23700"/>
    <cellStyle name="20% - Accent4 2 2 2 2 3 3 2 4" xfId="9664"/>
    <cellStyle name="20% - Accent4 2 2 2 2 3 3 3" xfId="16057"/>
    <cellStyle name="20% - Accent4 2 2 2 2 3 3 3 2" xfId="27200"/>
    <cellStyle name="20% - Accent4 2 2 2 2 3 3 4" xfId="21631"/>
    <cellStyle name="20% - Accent4 2 2 2 2 3 3 5" xfId="7595"/>
    <cellStyle name="20% - Accent4 2 2 2 2 3 4" xfId="4083"/>
    <cellStyle name="20% - Accent4 2 2 2 2 3 4 2" xfId="16696"/>
    <cellStyle name="20% - Accent4 2 2 2 2 3 4 2 2" xfId="27839"/>
    <cellStyle name="20% - Accent4 2 2 2 2 3 4 3" xfId="22270"/>
    <cellStyle name="20% - Accent4 2 2 2 2 3 4 4" xfId="8234"/>
    <cellStyle name="20% - Accent4 2 2 2 2 3 5" xfId="10784"/>
    <cellStyle name="20% - Accent4 2 2 2 2 3 5 2" xfId="14780"/>
    <cellStyle name="20% - Accent4 2 2 2 2 3 5 2 2" xfId="25923"/>
    <cellStyle name="20% - Accent4 2 2 2 2 3 5 3" xfId="20354"/>
    <cellStyle name="20% - Accent4 2 2 2 2 3 6" xfId="13350"/>
    <cellStyle name="20% - Accent4 2 2 2 2 3 6 2" xfId="24493"/>
    <cellStyle name="20% - Accent4 2 2 2 2 3 7" xfId="18924"/>
    <cellStyle name="20% - Accent4 2 2 2 2 3 8" xfId="6318"/>
    <cellStyle name="20% - Accent4 2 2 2 2 4" xfId="2458"/>
    <cellStyle name="20% - Accent4 2 2 2 2 4 2" xfId="3099"/>
    <cellStyle name="20% - Accent4 2 2 2 2 4 2 2" xfId="5208"/>
    <cellStyle name="20% - Accent4 2 2 2 2 4 2 2 2" xfId="17821"/>
    <cellStyle name="20% - Accent4 2 2 2 2 4 2 2 2 2" xfId="28964"/>
    <cellStyle name="20% - Accent4 2 2 2 2 4 2 2 3" xfId="23395"/>
    <cellStyle name="20% - Accent4 2 2 2 2 4 2 2 4" xfId="9359"/>
    <cellStyle name="20% - Accent4 2 2 2 2 4 2 3" xfId="11385"/>
    <cellStyle name="20% - Accent4 2 2 2 2 4 2 3 2" xfId="15752"/>
    <cellStyle name="20% - Accent4 2 2 2 2 4 2 3 2 2" xfId="26895"/>
    <cellStyle name="20% - Accent4 2 2 2 2 4 2 3 3" xfId="21326"/>
    <cellStyle name="20% - Accent4 2 2 2 2 4 2 4" xfId="14322"/>
    <cellStyle name="20% - Accent4 2 2 2 2 4 2 4 2" xfId="25465"/>
    <cellStyle name="20% - Accent4 2 2 2 2 4 2 5" xfId="19896"/>
    <cellStyle name="20% - Accent4 2 2 2 2 4 2 6" xfId="7290"/>
    <cellStyle name="20% - Accent4 2 2 2 2 4 3" xfId="3737"/>
    <cellStyle name="20% - Accent4 2 2 2 2 4 3 2" xfId="5846"/>
    <cellStyle name="20% - Accent4 2 2 2 2 4 3 2 2" xfId="18459"/>
    <cellStyle name="20% - Accent4 2 2 2 2 4 3 2 2 2" xfId="29602"/>
    <cellStyle name="20% - Accent4 2 2 2 2 4 3 2 3" xfId="24033"/>
    <cellStyle name="20% - Accent4 2 2 2 2 4 3 2 4" xfId="9997"/>
    <cellStyle name="20% - Accent4 2 2 2 2 4 3 3" xfId="16390"/>
    <cellStyle name="20% - Accent4 2 2 2 2 4 3 3 2" xfId="27533"/>
    <cellStyle name="20% - Accent4 2 2 2 2 4 3 4" xfId="21964"/>
    <cellStyle name="20% - Accent4 2 2 2 2 4 3 5" xfId="7928"/>
    <cellStyle name="20% - Accent4 2 2 2 2 4 4" xfId="4416"/>
    <cellStyle name="20% - Accent4 2 2 2 2 4 4 2" xfId="17029"/>
    <cellStyle name="20% - Accent4 2 2 2 2 4 4 2 2" xfId="28172"/>
    <cellStyle name="20% - Accent4 2 2 2 2 4 4 3" xfId="22603"/>
    <cellStyle name="20% - Accent4 2 2 2 2 4 4 4" xfId="8567"/>
    <cellStyle name="20% - Accent4 2 2 2 2 4 5" xfId="11087"/>
    <cellStyle name="20% - Accent4 2 2 2 2 4 5 2" xfId="15113"/>
    <cellStyle name="20% - Accent4 2 2 2 2 4 5 2 2" xfId="26256"/>
    <cellStyle name="20% - Accent4 2 2 2 2 4 5 3" xfId="20687"/>
    <cellStyle name="20% - Accent4 2 2 2 2 4 6" xfId="13683"/>
    <cellStyle name="20% - Accent4 2 2 2 2 4 6 2" xfId="24826"/>
    <cellStyle name="20% - Accent4 2 2 2 2 4 7" xfId="19257"/>
    <cellStyle name="20% - Accent4 2 2 2 2 4 8" xfId="6651"/>
    <cellStyle name="20% - Accent4 2 2 2 2 5" xfId="1921"/>
    <cellStyle name="20% - Accent4 2 2 2 2 5 2" xfId="4569"/>
    <cellStyle name="20% - Accent4 2 2 2 2 5 2 2" xfId="17182"/>
    <cellStyle name="20% - Accent4 2 2 2 2 5 2 2 2" xfId="28325"/>
    <cellStyle name="20% - Accent4 2 2 2 2 5 2 3" xfId="22756"/>
    <cellStyle name="20% - Accent4 2 2 2 2 5 2 4" xfId="8720"/>
    <cellStyle name="20% - Accent4 2 2 2 2 5 3" xfId="10776"/>
    <cellStyle name="20% - Accent4 2 2 2 2 5 3 2" xfId="14628"/>
    <cellStyle name="20% - Accent4 2 2 2 2 5 3 2 2" xfId="25771"/>
    <cellStyle name="20% - Accent4 2 2 2 2 5 3 3" xfId="20202"/>
    <cellStyle name="20% - Accent4 2 2 2 2 5 4" xfId="13198"/>
    <cellStyle name="20% - Accent4 2 2 2 2 5 4 2" xfId="24341"/>
    <cellStyle name="20% - Accent4 2 2 2 2 5 5" xfId="18772"/>
    <cellStyle name="20% - Accent4 2 2 2 2 5 6" xfId="6166"/>
    <cellStyle name="20% - Accent4 2 2 2 2 6" xfId="2614"/>
    <cellStyle name="20% - Accent4 2 2 2 2 6 2" xfId="4723"/>
    <cellStyle name="20% - Accent4 2 2 2 2 6 2 2" xfId="17336"/>
    <cellStyle name="20% - Accent4 2 2 2 2 6 2 2 2" xfId="28479"/>
    <cellStyle name="20% - Accent4 2 2 2 2 6 2 3" xfId="22910"/>
    <cellStyle name="20% - Accent4 2 2 2 2 6 2 4" xfId="8874"/>
    <cellStyle name="20% - Accent4 2 2 2 2 6 3" xfId="11257"/>
    <cellStyle name="20% - Accent4 2 2 2 2 6 3 2" xfId="15267"/>
    <cellStyle name="20% - Accent4 2 2 2 2 6 3 2 2" xfId="26410"/>
    <cellStyle name="20% - Accent4 2 2 2 2 6 3 3" xfId="20841"/>
    <cellStyle name="20% - Accent4 2 2 2 2 6 4" xfId="13837"/>
    <cellStyle name="20% - Accent4 2 2 2 2 6 4 2" xfId="24980"/>
    <cellStyle name="20% - Accent4 2 2 2 2 6 5" xfId="19411"/>
    <cellStyle name="20% - Accent4 2 2 2 2 6 6" xfId="6805"/>
    <cellStyle name="20% - Accent4 2 2 2 2 7" xfId="3252"/>
    <cellStyle name="20% - Accent4 2 2 2 2 7 2" xfId="5361"/>
    <cellStyle name="20% - Accent4 2 2 2 2 7 2 2" xfId="17974"/>
    <cellStyle name="20% - Accent4 2 2 2 2 7 2 2 2" xfId="29117"/>
    <cellStyle name="20% - Accent4 2 2 2 2 7 2 3" xfId="23548"/>
    <cellStyle name="20% - Accent4 2 2 2 2 7 2 4" xfId="9512"/>
    <cellStyle name="20% - Accent4 2 2 2 2 7 3" xfId="15905"/>
    <cellStyle name="20% - Accent4 2 2 2 2 7 3 2" xfId="27048"/>
    <cellStyle name="20% - Accent4 2 2 2 2 7 4" xfId="21479"/>
    <cellStyle name="20% - Accent4 2 2 2 2 7 5" xfId="7443"/>
    <cellStyle name="20% - Accent4 2 2 2 2 8" xfId="3931"/>
    <cellStyle name="20% - Accent4 2 2 2 2 8 2" xfId="16544"/>
    <cellStyle name="20% - Accent4 2 2 2 2 8 2 2" xfId="27687"/>
    <cellStyle name="20% - Accent4 2 2 2 2 8 3" xfId="22118"/>
    <cellStyle name="20% - Accent4 2 2 2 2 8 4" xfId="8082"/>
    <cellStyle name="20% - Accent4 2 2 2 2 9" xfId="10096"/>
    <cellStyle name="20% - Accent4 2 2 2 2 9 2" xfId="14475"/>
    <cellStyle name="20% - Accent4 2 2 2 2 9 2 2" xfId="25618"/>
    <cellStyle name="20% - Accent4 2 2 2 2 9 3" xfId="20049"/>
    <cellStyle name="20% - Accent4 2 2 2 3" xfId="2227"/>
    <cellStyle name="20% - Accent4 2 2 2 3 2" xfId="2871"/>
    <cellStyle name="20% - Accent4 2 2 2 3 2 2" xfId="4980"/>
    <cellStyle name="20% - Accent4 2 2 2 3 2 2 2" xfId="17593"/>
    <cellStyle name="20% - Accent4 2 2 2 3 2 2 2 2" xfId="28736"/>
    <cellStyle name="20% - Accent4 2 2 2 3 2 2 3" xfId="23167"/>
    <cellStyle name="20% - Accent4 2 2 2 3 2 2 4" xfId="9131"/>
    <cellStyle name="20% - Accent4 2 2 2 3 2 3" xfId="10431"/>
    <cellStyle name="20% - Accent4 2 2 2 3 2 3 2" xfId="15524"/>
    <cellStyle name="20% - Accent4 2 2 2 3 2 3 2 2" xfId="26667"/>
    <cellStyle name="20% - Accent4 2 2 2 3 2 3 3" xfId="21098"/>
    <cellStyle name="20% - Accent4 2 2 2 3 2 4" xfId="14094"/>
    <cellStyle name="20% - Accent4 2 2 2 3 2 4 2" xfId="25237"/>
    <cellStyle name="20% - Accent4 2 2 2 3 2 5" xfId="19668"/>
    <cellStyle name="20% - Accent4 2 2 2 3 2 6" xfId="7062"/>
    <cellStyle name="20% - Accent4 2 2 2 3 3" xfId="3509"/>
    <cellStyle name="20% - Accent4 2 2 2 3 3 2" xfId="5618"/>
    <cellStyle name="20% - Accent4 2 2 2 3 3 2 2" xfId="18231"/>
    <cellStyle name="20% - Accent4 2 2 2 3 3 2 2 2" xfId="29374"/>
    <cellStyle name="20% - Accent4 2 2 2 3 3 2 3" xfId="23805"/>
    <cellStyle name="20% - Accent4 2 2 2 3 3 2 4" xfId="9769"/>
    <cellStyle name="20% - Accent4 2 2 2 3 3 3" xfId="16162"/>
    <cellStyle name="20% - Accent4 2 2 2 3 3 3 2" xfId="27305"/>
    <cellStyle name="20% - Accent4 2 2 2 3 3 4" xfId="21736"/>
    <cellStyle name="20% - Accent4 2 2 2 3 3 5" xfId="7700"/>
    <cellStyle name="20% - Accent4 2 2 2 3 4" xfId="4188"/>
    <cellStyle name="20% - Accent4 2 2 2 3 4 2" xfId="16801"/>
    <cellStyle name="20% - Accent4 2 2 2 3 4 2 2" xfId="27944"/>
    <cellStyle name="20% - Accent4 2 2 2 3 4 3" xfId="22375"/>
    <cellStyle name="20% - Accent4 2 2 2 3 4 4" xfId="8339"/>
    <cellStyle name="20% - Accent4 2 2 2 3 5" xfId="10626"/>
    <cellStyle name="20% - Accent4 2 2 2 3 5 2" xfId="14885"/>
    <cellStyle name="20% - Accent4 2 2 2 3 5 2 2" xfId="26028"/>
    <cellStyle name="20% - Accent4 2 2 2 3 5 3" xfId="20459"/>
    <cellStyle name="20% - Accent4 2 2 2 3 6" xfId="13455"/>
    <cellStyle name="20% - Accent4 2 2 2 3 6 2" xfId="24598"/>
    <cellStyle name="20% - Accent4 2 2 2 3 7" xfId="19029"/>
    <cellStyle name="20% - Accent4 2 2 2 3 8" xfId="6423"/>
    <cellStyle name="20% - Accent4 2 2 2 4" xfId="2035"/>
    <cellStyle name="20% - Accent4 2 2 2 4 2" xfId="2690"/>
    <cellStyle name="20% - Accent4 2 2 2 4 2 2" xfId="4799"/>
    <cellStyle name="20% - Accent4 2 2 2 4 2 2 2" xfId="17412"/>
    <cellStyle name="20% - Accent4 2 2 2 4 2 2 2 2" xfId="28555"/>
    <cellStyle name="20% - Accent4 2 2 2 4 2 2 3" xfId="22986"/>
    <cellStyle name="20% - Accent4 2 2 2 4 2 2 4" xfId="8950"/>
    <cellStyle name="20% - Accent4 2 2 2 4 2 3" xfId="10903"/>
    <cellStyle name="20% - Accent4 2 2 2 4 2 3 2" xfId="15343"/>
    <cellStyle name="20% - Accent4 2 2 2 4 2 3 2 2" xfId="26486"/>
    <cellStyle name="20% - Accent4 2 2 2 4 2 3 3" xfId="20917"/>
    <cellStyle name="20% - Accent4 2 2 2 4 2 4" xfId="13913"/>
    <cellStyle name="20% - Accent4 2 2 2 4 2 4 2" xfId="25056"/>
    <cellStyle name="20% - Accent4 2 2 2 4 2 5" xfId="19487"/>
    <cellStyle name="20% - Accent4 2 2 2 4 2 6" xfId="6881"/>
    <cellStyle name="20% - Accent4 2 2 2 4 3" xfId="3328"/>
    <cellStyle name="20% - Accent4 2 2 2 4 3 2" xfId="5437"/>
    <cellStyle name="20% - Accent4 2 2 2 4 3 2 2" xfId="18050"/>
    <cellStyle name="20% - Accent4 2 2 2 4 3 2 2 2" xfId="29193"/>
    <cellStyle name="20% - Accent4 2 2 2 4 3 2 3" xfId="23624"/>
    <cellStyle name="20% - Accent4 2 2 2 4 3 2 4" xfId="9588"/>
    <cellStyle name="20% - Accent4 2 2 2 4 3 3" xfId="15981"/>
    <cellStyle name="20% - Accent4 2 2 2 4 3 3 2" xfId="27124"/>
    <cellStyle name="20% - Accent4 2 2 2 4 3 4" xfId="21555"/>
    <cellStyle name="20% - Accent4 2 2 2 4 3 5" xfId="7519"/>
    <cellStyle name="20% - Accent4 2 2 2 4 4" xfId="4007"/>
    <cellStyle name="20% - Accent4 2 2 2 4 4 2" xfId="16620"/>
    <cellStyle name="20% - Accent4 2 2 2 4 4 2 2" xfId="27763"/>
    <cellStyle name="20% - Accent4 2 2 2 4 4 3" xfId="22194"/>
    <cellStyle name="20% - Accent4 2 2 2 4 4 4" xfId="8158"/>
    <cellStyle name="20% - Accent4 2 2 2 4 5" xfId="10886"/>
    <cellStyle name="20% - Accent4 2 2 2 4 5 2" xfId="14704"/>
    <cellStyle name="20% - Accent4 2 2 2 4 5 2 2" xfId="25847"/>
    <cellStyle name="20% - Accent4 2 2 2 4 5 3" xfId="20278"/>
    <cellStyle name="20% - Accent4 2 2 2 4 6" xfId="13274"/>
    <cellStyle name="20% - Accent4 2 2 2 4 6 2" xfId="24417"/>
    <cellStyle name="20% - Accent4 2 2 2 4 7" xfId="18848"/>
    <cellStyle name="20% - Accent4 2 2 2 4 8" xfId="6242"/>
    <cellStyle name="20% - Accent4 2 2 2 5" xfId="2382"/>
    <cellStyle name="20% - Accent4 2 2 2 5 2" xfId="3023"/>
    <cellStyle name="20% - Accent4 2 2 2 5 2 2" xfId="5132"/>
    <cellStyle name="20% - Accent4 2 2 2 5 2 2 2" xfId="17745"/>
    <cellStyle name="20% - Accent4 2 2 2 5 2 2 2 2" xfId="28888"/>
    <cellStyle name="20% - Accent4 2 2 2 5 2 2 3" xfId="23319"/>
    <cellStyle name="20% - Accent4 2 2 2 5 2 2 4" xfId="9283"/>
    <cellStyle name="20% - Accent4 2 2 2 5 2 3" xfId="10823"/>
    <cellStyle name="20% - Accent4 2 2 2 5 2 3 2" xfId="15676"/>
    <cellStyle name="20% - Accent4 2 2 2 5 2 3 2 2" xfId="26819"/>
    <cellStyle name="20% - Accent4 2 2 2 5 2 3 3" xfId="21250"/>
    <cellStyle name="20% - Accent4 2 2 2 5 2 4" xfId="14246"/>
    <cellStyle name="20% - Accent4 2 2 2 5 2 4 2" xfId="25389"/>
    <cellStyle name="20% - Accent4 2 2 2 5 2 5" xfId="19820"/>
    <cellStyle name="20% - Accent4 2 2 2 5 2 6" xfId="7214"/>
    <cellStyle name="20% - Accent4 2 2 2 5 3" xfId="3661"/>
    <cellStyle name="20% - Accent4 2 2 2 5 3 2" xfId="5770"/>
    <cellStyle name="20% - Accent4 2 2 2 5 3 2 2" xfId="18383"/>
    <cellStyle name="20% - Accent4 2 2 2 5 3 2 2 2" xfId="29526"/>
    <cellStyle name="20% - Accent4 2 2 2 5 3 2 3" xfId="23957"/>
    <cellStyle name="20% - Accent4 2 2 2 5 3 2 4" xfId="9921"/>
    <cellStyle name="20% - Accent4 2 2 2 5 3 3" xfId="16314"/>
    <cellStyle name="20% - Accent4 2 2 2 5 3 3 2" xfId="27457"/>
    <cellStyle name="20% - Accent4 2 2 2 5 3 4" xfId="21888"/>
    <cellStyle name="20% - Accent4 2 2 2 5 3 5" xfId="7852"/>
    <cellStyle name="20% - Accent4 2 2 2 5 4" xfId="4340"/>
    <cellStyle name="20% - Accent4 2 2 2 5 4 2" xfId="16953"/>
    <cellStyle name="20% - Accent4 2 2 2 5 4 2 2" xfId="28096"/>
    <cellStyle name="20% - Accent4 2 2 2 5 4 3" xfId="22527"/>
    <cellStyle name="20% - Accent4 2 2 2 5 4 4" xfId="8491"/>
    <cellStyle name="20% - Accent4 2 2 2 5 5" xfId="10490"/>
    <cellStyle name="20% - Accent4 2 2 2 5 5 2" xfId="15037"/>
    <cellStyle name="20% - Accent4 2 2 2 5 5 2 2" xfId="26180"/>
    <cellStyle name="20% - Accent4 2 2 2 5 5 3" xfId="20611"/>
    <cellStyle name="20% - Accent4 2 2 2 5 6" xfId="13607"/>
    <cellStyle name="20% - Accent4 2 2 2 5 6 2" xfId="24750"/>
    <cellStyle name="20% - Accent4 2 2 2 5 7" xfId="19181"/>
    <cellStyle name="20% - Accent4 2 2 2 5 8" xfId="6575"/>
    <cellStyle name="20% - Accent4 2 2 2 6" xfId="1845"/>
    <cellStyle name="20% - Accent4 2 2 2 6 2" xfId="4493"/>
    <cellStyle name="20% - Accent4 2 2 2 6 2 2" xfId="17106"/>
    <cellStyle name="20% - Accent4 2 2 2 6 2 2 2" xfId="28249"/>
    <cellStyle name="20% - Accent4 2 2 2 6 2 3" xfId="22680"/>
    <cellStyle name="20% - Accent4 2 2 2 6 2 4" xfId="8644"/>
    <cellStyle name="20% - Accent4 2 2 2 6 3" xfId="11314"/>
    <cellStyle name="20% - Accent4 2 2 2 6 3 2" xfId="14552"/>
    <cellStyle name="20% - Accent4 2 2 2 6 3 2 2" xfId="25695"/>
    <cellStyle name="20% - Accent4 2 2 2 6 3 3" xfId="20126"/>
    <cellStyle name="20% - Accent4 2 2 2 6 4" xfId="13122"/>
    <cellStyle name="20% - Accent4 2 2 2 6 4 2" xfId="24265"/>
    <cellStyle name="20% - Accent4 2 2 2 6 5" xfId="18696"/>
    <cellStyle name="20% - Accent4 2 2 2 6 6" xfId="6090"/>
    <cellStyle name="20% - Accent4 2 2 2 7" xfId="2538"/>
    <cellStyle name="20% - Accent4 2 2 2 7 2" xfId="4647"/>
    <cellStyle name="20% - Accent4 2 2 2 7 2 2" xfId="17260"/>
    <cellStyle name="20% - Accent4 2 2 2 7 2 2 2" xfId="28403"/>
    <cellStyle name="20% - Accent4 2 2 2 7 2 3" xfId="22834"/>
    <cellStyle name="20% - Accent4 2 2 2 7 2 4" xfId="8798"/>
    <cellStyle name="20% - Accent4 2 2 2 7 3" xfId="10197"/>
    <cellStyle name="20% - Accent4 2 2 2 7 3 2" xfId="15191"/>
    <cellStyle name="20% - Accent4 2 2 2 7 3 2 2" xfId="26334"/>
    <cellStyle name="20% - Accent4 2 2 2 7 3 3" xfId="20765"/>
    <cellStyle name="20% - Accent4 2 2 2 7 4" xfId="13761"/>
    <cellStyle name="20% - Accent4 2 2 2 7 4 2" xfId="24904"/>
    <cellStyle name="20% - Accent4 2 2 2 7 5" xfId="19335"/>
    <cellStyle name="20% - Accent4 2 2 2 7 6" xfId="6729"/>
    <cellStyle name="20% - Accent4 2 2 2 8" xfId="3176"/>
    <cellStyle name="20% - Accent4 2 2 2 8 2" xfId="5285"/>
    <cellStyle name="20% - Accent4 2 2 2 8 2 2" xfId="17898"/>
    <cellStyle name="20% - Accent4 2 2 2 8 2 2 2" xfId="29041"/>
    <cellStyle name="20% - Accent4 2 2 2 8 2 3" xfId="23472"/>
    <cellStyle name="20% - Accent4 2 2 2 8 2 4" xfId="9436"/>
    <cellStyle name="20% - Accent4 2 2 2 8 3" xfId="15829"/>
    <cellStyle name="20% - Accent4 2 2 2 8 3 2" xfId="26972"/>
    <cellStyle name="20% - Accent4 2 2 2 8 4" xfId="21403"/>
    <cellStyle name="20% - Accent4 2 2 2 8 5" xfId="7367"/>
    <cellStyle name="20% - Accent4 2 2 2 9" xfId="3855"/>
    <cellStyle name="20% - Accent4 2 2 2 9 2" xfId="16468"/>
    <cellStyle name="20% - Accent4 2 2 2 9 2 2" xfId="27611"/>
    <cellStyle name="20% - Accent4 2 2 2 9 3" xfId="22042"/>
    <cellStyle name="20% - Accent4 2 2 2 9 4" xfId="8006"/>
    <cellStyle name="20% - Accent4 2 2 3" xfId="307"/>
    <cellStyle name="20% - Accent4 2 2 3 10" xfId="13006"/>
    <cellStyle name="20% - Accent4 2 2 3 10 2" xfId="24150"/>
    <cellStyle name="20% - Accent4 2 2 3 11" xfId="18581"/>
    <cellStyle name="20% - Accent4 2 2 3 12" xfId="5974"/>
    <cellStyle name="20% - Accent4 2 2 3 2" xfId="2265"/>
    <cellStyle name="20% - Accent4 2 2 3 2 2" xfId="2909"/>
    <cellStyle name="20% - Accent4 2 2 3 2 2 2" xfId="5018"/>
    <cellStyle name="20% - Accent4 2 2 3 2 2 2 2" xfId="17631"/>
    <cellStyle name="20% - Accent4 2 2 3 2 2 2 2 2" xfId="28774"/>
    <cellStyle name="20% - Accent4 2 2 3 2 2 2 3" xfId="23205"/>
    <cellStyle name="20% - Accent4 2 2 3 2 2 2 4" xfId="9169"/>
    <cellStyle name="20% - Accent4 2 2 3 2 2 3" xfId="11346"/>
    <cellStyle name="20% - Accent4 2 2 3 2 2 3 2" xfId="15562"/>
    <cellStyle name="20% - Accent4 2 2 3 2 2 3 2 2" xfId="26705"/>
    <cellStyle name="20% - Accent4 2 2 3 2 2 3 3" xfId="21136"/>
    <cellStyle name="20% - Accent4 2 2 3 2 2 4" xfId="14132"/>
    <cellStyle name="20% - Accent4 2 2 3 2 2 4 2" xfId="25275"/>
    <cellStyle name="20% - Accent4 2 2 3 2 2 5" xfId="19706"/>
    <cellStyle name="20% - Accent4 2 2 3 2 2 6" xfId="7100"/>
    <cellStyle name="20% - Accent4 2 2 3 2 3" xfId="3547"/>
    <cellStyle name="20% - Accent4 2 2 3 2 3 2" xfId="5656"/>
    <cellStyle name="20% - Accent4 2 2 3 2 3 2 2" xfId="18269"/>
    <cellStyle name="20% - Accent4 2 2 3 2 3 2 2 2" xfId="29412"/>
    <cellStyle name="20% - Accent4 2 2 3 2 3 2 3" xfId="23843"/>
    <cellStyle name="20% - Accent4 2 2 3 2 3 2 4" xfId="9807"/>
    <cellStyle name="20% - Accent4 2 2 3 2 3 3" xfId="16200"/>
    <cellStyle name="20% - Accent4 2 2 3 2 3 3 2" xfId="27343"/>
    <cellStyle name="20% - Accent4 2 2 3 2 3 4" xfId="21774"/>
    <cellStyle name="20% - Accent4 2 2 3 2 3 5" xfId="7738"/>
    <cellStyle name="20% - Accent4 2 2 3 2 4" xfId="4226"/>
    <cellStyle name="20% - Accent4 2 2 3 2 4 2" xfId="16839"/>
    <cellStyle name="20% - Accent4 2 2 3 2 4 2 2" xfId="27982"/>
    <cellStyle name="20% - Accent4 2 2 3 2 4 3" xfId="22413"/>
    <cellStyle name="20% - Accent4 2 2 3 2 4 4" xfId="8377"/>
    <cellStyle name="20% - Accent4 2 2 3 2 5" xfId="10891"/>
    <cellStyle name="20% - Accent4 2 2 3 2 5 2" xfId="14923"/>
    <cellStyle name="20% - Accent4 2 2 3 2 5 2 2" xfId="26066"/>
    <cellStyle name="20% - Accent4 2 2 3 2 5 3" xfId="20497"/>
    <cellStyle name="20% - Accent4 2 2 3 2 6" xfId="13493"/>
    <cellStyle name="20% - Accent4 2 2 3 2 6 2" xfId="24636"/>
    <cellStyle name="20% - Accent4 2 2 3 2 7" xfId="19067"/>
    <cellStyle name="20% - Accent4 2 2 3 2 8" xfId="6461"/>
    <cellStyle name="20% - Accent4 2 2 3 3" xfId="2073"/>
    <cellStyle name="20% - Accent4 2 2 3 3 2" xfId="2728"/>
    <cellStyle name="20% - Accent4 2 2 3 3 2 2" xfId="4837"/>
    <cellStyle name="20% - Accent4 2 2 3 3 2 2 2" xfId="17450"/>
    <cellStyle name="20% - Accent4 2 2 3 3 2 2 2 2" xfId="28593"/>
    <cellStyle name="20% - Accent4 2 2 3 3 2 2 3" xfId="23024"/>
    <cellStyle name="20% - Accent4 2 2 3 3 2 2 4" xfId="8988"/>
    <cellStyle name="20% - Accent4 2 2 3 3 2 3" xfId="10588"/>
    <cellStyle name="20% - Accent4 2 2 3 3 2 3 2" xfId="15381"/>
    <cellStyle name="20% - Accent4 2 2 3 3 2 3 2 2" xfId="26524"/>
    <cellStyle name="20% - Accent4 2 2 3 3 2 3 3" xfId="20955"/>
    <cellStyle name="20% - Accent4 2 2 3 3 2 4" xfId="13951"/>
    <cellStyle name="20% - Accent4 2 2 3 3 2 4 2" xfId="25094"/>
    <cellStyle name="20% - Accent4 2 2 3 3 2 5" xfId="19525"/>
    <cellStyle name="20% - Accent4 2 2 3 3 2 6" xfId="6919"/>
    <cellStyle name="20% - Accent4 2 2 3 3 3" xfId="3366"/>
    <cellStyle name="20% - Accent4 2 2 3 3 3 2" xfId="5475"/>
    <cellStyle name="20% - Accent4 2 2 3 3 3 2 2" xfId="18088"/>
    <cellStyle name="20% - Accent4 2 2 3 3 3 2 2 2" xfId="29231"/>
    <cellStyle name="20% - Accent4 2 2 3 3 3 2 3" xfId="23662"/>
    <cellStyle name="20% - Accent4 2 2 3 3 3 2 4" xfId="9626"/>
    <cellStyle name="20% - Accent4 2 2 3 3 3 3" xfId="16019"/>
    <cellStyle name="20% - Accent4 2 2 3 3 3 3 2" xfId="27162"/>
    <cellStyle name="20% - Accent4 2 2 3 3 3 4" xfId="21593"/>
    <cellStyle name="20% - Accent4 2 2 3 3 3 5" xfId="7557"/>
    <cellStyle name="20% - Accent4 2 2 3 3 4" xfId="4045"/>
    <cellStyle name="20% - Accent4 2 2 3 3 4 2" xfId="16658"/>
    <cellStyle name="20% - Accent4 2 2 3 3 4 2 2" xfId="27801"/>
    <cellStyle name="20% - Accent4 2 2 3 3 4 3" xfId="22232"/>
    <cellStyle name="20% - Accent4 2 2 3 3 4 4" xfId="8196"/>
    <cellStyle name="20% - Accent4 2 2 3 3 5" xfId="10829"/>
    <cellStyle name="20% - Accent4 2 2 3 3 5 2" xfId="14742"/>
    <cellStyle name="20% - Accent4 2 2 3 3 5 2 2" xfId="25885"/>
    <cellStyle name="20% - Accent4 2 2 3 3 5 3" xfId="20316"/>
    <cellStyle name="20% - Accent4 2 2 3 3 6" xfId="13312"/>
    <cellStyle name="20% - Accent4 2 2 3 3 6 2" xfId="24455"/>
    <cellStyle name="20% - Accent4 2 2 3 3 7" xfId="18886"/>
    <cellStyle name="20% - Accent4 2 2 3 3 8" xfId="6280"/>
    <cellStyle name="20% - Accent4 2 2 3 4" xfId="2420"/>
    <cellStyle name="20% - Accent4 2 2 3 4 2" xfId="3061"/>
    <cellStyle name="20% - Accent4 2 2 3 4 2 2" xfId="5170"/>
    <cellStyle name="20% - Accent4 2 2 3 4 2 2 2" xfId="17783"/>
    <cellStyle name="20% - Accent4 2 2 3 4 2 2 2 2" xfId="28926"/>
    <cellStyle name="20% - Accent4 2 2 3 4 2 2 3" xfId="23357"/>
    <cellStyle name="20% - Accent4 2 2 3 4 2 2 4" xfId="9321"/>
    <cellStyle name="20% - Accent4 2 2 3 4 2 3" xfId="10281"/>
    <cellStyle name="20% - Accent4 2 2 3 4 2 3 2" xfId="15714"/>
    <cellStyle name="20% - Accent4 2 2 3 4 2 3 2 2" xfId="26857"/>
    <cellStyle name="20% - Accent4 2 2 3 4 2 3 3" xfId="21288"/>
    <cellStyle name="20% - Accent4 2 2 3 4 2 4" xfId="14284"/>
    <cellStyle name="20% - Accent4 2 2 3 4 2 4 2" xfId="25427"/>
    <cellStyle name="20% - Accent4 2 2 3 4 2 5" xfId="19858"/>
    <cellStyle name="20% - Accent4 2 2 3 4 2 6" xfId="7252"/>
    <cellStyle name="20% - Accent4 2 2 3 4 3" xfId="3699"/>
    <cellStyle name="20% - Accent4 2 2 3 4 3 2" xfId="5808"/>
    <cellStyle name="20% - Accent4 2 2 3 4 3 2 2" xfId="18421"/>
    <cellStyle name="20% - Accent4 2 2 3 4 3 2 2 2" xfId="29564"/>
    <cellStyle name="20% - Accent4 2 2 3 4 3 2 3" xfId="23995"/>
    <cellStyle name="20% - Accent4 2 2 3 4 3 2 4" xfId="9959"/>
    <cellStyle name="20% - Accent4 2 2 3 4 3 3" xfId="16352"/>
    <cellStyle name="20% - Accent4 2 2 3 4 3 3 2" xfId="27495"/>
    <cellStyle name="20% - Accent4 2 2 3 4 3 4" xfId="21926"/>
    <cellStyle name="20% - Accent4 2 2 3 4 3 5" xfId="7890"/>
    <cellStyle name="20% - Accent4 2 2 3 4 4" xfId="4378"/>
    <cellStyle name="20% - Accent4 2 2 3 4 4 2" xfId="16991"/>
    <cellStyle name="20% - Accent4 2 2 3 4 4 2 2" xfId="28134"/>
    <cellStyle name="20% - Accent4 2 2 3 4 4 3" xfId="22565"/>
    <cellStyle name="20% - Accent4 2 2 3 4 4 4" xfId="8529"/>
    <cellStyle name="20% - Accent4 2 2 3 4 5" xfId="11360"/>
    <cellStyle name="20% - Accent4 2 2 3 4 5 2" xfId="15075"/>
    <cellStyle name="20% - Accent4 2 2 3 4 5 2 2" xfId="26218"/>
    <cellStyle name="20% - Accent4 2 2 3 4 5 3" xfId="20649"/>
    <cellStyle name="20% - Accent4 2 2 3 4 6" xfId="13645"/>
    <cellStyle name="20% - Accent4 2 2 3 4 6 2" xfId="24788"/>
    <cellStyle name="20% - Accent4 2 2 3 4 7" xfId="19219"/>
    <cellStyle name="20% - Accent4 2 2 3 4 8" xfId="6613"/>
    <cellStyle name="20% - Accent4 2 2 3 5" xfId="1883"/>
    <cellStyle name="20% - Accent4 2 2 3 5 2" xfId="4531"/>
    <cellStyle name="20% - Accent4 2 2 3 5 2 2" xfId="17144"/>
    <cellStyle name="20% - Accent4 2 2 3 5 2 2 2" xfId="28287"/>
    <cellStyle name="20% - Accent4 2 2 3 5 2 3" xfId="22718"/>
    <cellStyle name="20% - Accent4 2 2 3 5 2 4" xfId="8682"/>
    <cellStyle name="20% - Accent4 2 2 3 5 3" xfId="10041"/>
    <cellStyle name="20% - Accent4 2 2 3 5 3 2" xfId="14590"/>
    <cellStyle name="20% - Accent4 2 2 3 5 3 2 2" xfId="25733"/>
    <cellStyle name="20% - Accent4 2 2 3 5 3 3" xfId="20164"/>
    <cellStyle name="20% - Accent4 2 2 3 5 4" xfId="13160"/>
    <cellStyle name="20% - Accent4 2 2 3 5 4 2" xfId="24303"/>
    <cellStyle name="20% - Accent4 2 2 3 5 5" xfId="18734"/>
    <cellStyle name="20% - Accent4 2 2 3 5 6" xfId="6128"/>
    <cellStyle name="20% - Accent4 2 2 3 6" xfId="2576"/>
    <cellStyle name="20% - Accent4 2 2 3 6 2" xfId="4685"/>
    <cellStyle name="20% - Accent4 2 2 3 6 2 2" xfId="17298"/>
    <cellStyle name="20% - Accent4 2 2 3 6 2 2 2" xfId="28441"/>
    <cellStyle name="20% - Accent4 2 2 3 6 2 3" xfId="22872"/>
    <cellStyle name="20% - Accent4 2 2 3 6 2 4" xfId="8836"/>
    <cellStyle name="20% - Accent4 2 2 3 6 3" xfId="10695"/>
    <cellStyle name="20% - Accent4 2 2 3 6 3 2" xfId="15229"/>
    <cellStyle name="20% - Accent4 2 2 3 6 3 2 2" xfId="26372"/>
    <cellStyle name="20% - Accent4 2 2 3 6 3 3" xfId="20803"/>
    <cellStyle name="20% - Accent4 2 2 3 6 4" xfId="13799"/>
    <cellStyle name="20% - Accent4 2 2 3 6 4 2" xfId="24942"/>
    <cellStyle name="20% - Accent4 2 2 3 6 5" xfId="19373"/>
    <cellStyle name="20% - Accent4 2 2 3 6 6" xfId="6767"/>
    <cellStyle name="20% - Accent4 2 2 3 7" xfId="3214"/>
    <cellStyle name="20% - Accent4 2 2 3 7 2" xfId="5323"/>
    <cellStyle name="20% - Accent4 2 2 3 7 2 2" xfId="17936"/>
    <cellStyle name="20% - Accent4 2 2 3 7 2 2 2" xfId="29079"/>
    <cellStyle name="20% - Accent4 2 2 3 7 2 3" xfId="23510"/>
    <cellStyle name="20% - Accent4 2 2 3 7 2 4" xfId="9474"/>
    <cellStyle name="20% - Accent4 2 2 3 7 3" xfId="15867"/>
    <cellStyle name="20% - Accent4 2 2 3 7 3 2" xfId="27010"/>
    <cellStyle name="20% - Accent4 2 2 3 7 4" xfId="21441"/>
    <cellStyle name="20% - Accent4 2 2 3 7 5" xfId="7405"/>
    <cellStyle name="20% - Accent4 2 2 3 8" xfId="3893"/>
    <cellStyle name="20% - Accent4 2 2 3 8 2" xfId="16506"/>
    <cellStyle name="20% - Accent4 2 2 3 8 2 2" xfId="27649"/>
    <cellStyle name="20% - Accent4 2 2 3 8 3" xfId="22080"/>
    <cellStyle name="20% - Accent4 2 2 3 8 4" xfId="8044"/>
    <cellStyle name="20% - Accent4 2 2 3 9" xfId="10961"/>
    <cellStyle name="20% - Accent4 2 2 3 9 2" xfId="14437"/>
    <cellStyle name="20% - Accent4 2 2 3 9 2 2" xfId="25580"/>
    <cellStyle name="20% - Accent4 2 2 3 9 3" xfId="20011"/>
    <cellStyle name="20% - Accent4 2 2 4" xfId="2189"/>
    <cellStyle name="20% - Accent4 2 2 4 2" xfId="2833"/>
    <cellStyle name="20% - Accent4 2 2 4 2 2" xfId="4942"/>
    <cellStyle name="20% - Accent4 2 2 4 2 2 2" xfId="17555"/>
    <cellStyle name="20% - Accent4 2 2 4 2 2 2 2" xfId="28698"/>
    <cellStyle name="20% - Accent4 2 2 4 2 2 3" xfId="23129"/>
    <cellStyle name="20% - Accent4 2 2 4 2 2 4" xfId="9093"/>
    <cellStyle name="20% - Accent4 2 2 4 2 3" xfId="11214"/>
    <cellStyle name="20% - Accent4 2 2 4 2 3 2" xfId="15486"/>
    <cellStyle name="20% - Accent4 2 2 4 2 3 2 2" xfId="26629"/>
    <cellStyle name="20% - Accent4 2 2 4 2 3 3" xfId="21060"/>
    <cellStyle name="20% - Accent4 2 2 4 2 4" xfId="14056"/>
    <cellStyle name="20% - Accent4 2 2 4 2 4 2" xfId="25199"/>
    <cellStyle name="20% - Accent4 2 2 4 2 5" xfId="19630"/>
    <cellStyle name="20% - Accent4 2 2 4 2 6" xfId="7024"/>
    <cellStyle name="20% - Accent4 2 2 4 3" xfId="3471"/>
    <cellStyle name="20% - Accent4 2 2 4 3 2" xfId="5580"/>
    <cellStyle name="20% - Accent4 2 2 4 3 2 2" xfId="18193"/>
    <cellStyle name="20% - Accent4 2 2 4 3 2 2 2" xfId="29336"/>
    <cellStyle name="20% - Accent4 2 2 4 3 2 3" xfId="23767"/>
    <cellStyle name="20% - Accent4 2 2 4 3 2 4" xfId="9731"/>
    <cellStyle name="20% - Accent4 2 2 4 3 3" xfId="16124"/>
    <cellStyle name="20% - Accent4 2 2 4 3 3 2" xfId="27267"/>
    <cellStyle name="20% - Accent4 2 2 4 3 4" xfId="21698"/>
    <cellStyle name="20% - Accent4 2 2 4 3 5" xfId="7662"/>
    <cellStyle name="20% - Accent4 2 2 4 4" xfId="4150"/>
    <cellStyle name="20% - Accent4 2 2 4 4 2" xfId="16763"/>
    <cellStyle name="20% - Accent4 2 2 4 4 2 2" xfId="27906"/>
    <cellStyle name="20% - Accent4 2 2 4 4 3" xfId="22337"/>
    <cellStyle name="20% - Accent4 2 2 4 4 4" xfId="8301"/>
    <cellStyle name="20% - Accent4 2 2 4 5" xfId="10786"/>
    <cellStyle name="20% - Accent4 2 2 4 5 2" xfId="14847"/>
    <cellStyle name="20% - Accent4 2 2 4 5 2 2" xfId="25990"/>
    <cellStyle name="20% - Accent4 2 2 4 5 3" xfId="20421"/>
    <cellStyle name="20% - Accent4 2 2 4 6" xfId="13417"/>
    <cellStyle name="20% - Accent4 2 2 4 6 2" xfId="24560"/>
    <cellStyle name="20% - Accent4 2 2 4 7" xfId="18991"/>
    <cellStyle name="20% - Accent4 2 2 4 8" xfId="6385"/>
    <cellStyle name="20% - Accent4 2 2 5" xfId="1997"/>
    <cellStyle name="20% - Accent4 2 2 5 2" xfId="2652"/>
    <cellStyle name="20% - Accent4 2 2 5 2 2" xfId="4761"/>
    <cellStyle name="20% - Accent4 2 2 5 2 2 2" xfId="17374"/>
    <cellStyle name="20% - Accent4 2 2 5 2 2 2 2" xfId="28517"/>
    <cellStyle name="20% - Accent4 2 2 5 2 2 3" xfId="22948"/>
    <cellStyle name="20% - Accent4 2 2 5 2 2 4" xfId="8912"/>
    <cellStyle name="20% - Accent4 2 2 5 2 3" xfId="10816"/>
    <cellStyle name="20% - Accent4 2 2 5 2 3 2" xfId="15305"/>
    <cellStyle name="20% - Accent4 2 2 5 2 3 2 2" xfId="26448"/>
    <cellStyle name="20% - Accent4 2 2 5 2 3 3" xfId="20879"/>
    <cellStyle name="20% - Accent4 2 2 5 2 4" xfId="13875"/>
    <cellStyle name="20% - Accent4 2 2 5 2 4 2" xfId="25018"/>
    <cellStyle name="20% - Accent4 2 2 5 2 5" xfId="19449"/>
    <cellStyle name="20% - Accent4 2 2 5 2 6" xfId="6843"/>
    <cellStyle name="20% - Accent4 2 2 5 3" xfId="3290"/>
    <cellStyle name="20% - Accent4 2 2 5 3 2" xfId="5399"/>
    <cellStyle name="20% - Accent4 2 2 5 3 2 2" xfId="18012"/>
    <cellStyle name="20% - Accent4 2 2 5 3 2 2 2" xfId="29155"/>
    <cellStyle name="20% - Accent4 2 2 5 3 2 3" xfId="23586"/>
    <cellStyle name="20% - Accent4 2 2 5 3 2 4" xfId="9550"/>
    <cellStyle name="20% - Accent4 2 2 5 3 3" xfId="15943"/>
    <cellStyle name="20% - Accent4 2 2 5 3 3 2" xfId="27086"/>
    <cellStyle name="20% - Accent4 2 2 5 3 4" xfId="21517"/>
    <cellStyle name="20% - Accent4 2 2 5 3 5" xfId="7481"/>
    <cellStyle name="20% - Accent4 2 2 5 4" xfId="3969"/>
    <cellStyle name="20% - Accent4 2 2 5 4 2" xfId="16582"/>
    <cellStyle name="20% - Accent4 2 2 5 4 2 2" xfId="27725"/>
    <cellStyle name="20% - Accent4 2 2 5 4 3" xfId="22156"/>
    <cellStyle name="20% - Accent4 2 2 5 4 4" xfId="8120"/>
    <cellStyle name="20% - Accent4 2 2 5 5" xfId="10805"/>
    <cellStyle name="20% - Accent4 2 2 5 5 2" xfId="14666"/>
    <cellStyle name="20% - Accent4 2 2 5 5 2 2" xfId="25809"/>
    <cellStyle name="20% - Accent4 2 2 5 5 3" xfId="20240"/>
    <cellStyle name="20% - Accent4 2 2 5 6" xfId="13236"/>
    <cellStyle name="20% - Accent4 2 2 5 6 2" xfId="24379"/>
    <cellStyle name="20% - Accent4 2 2 5 7" xfId="18810"/>
    <cellStyle name="20% - Accent4 2 2 5 8" xfId="6204"/>
    <cellStyle name="20% - Accent4 2 2 6" xfId="2344"/>
    <cellStyle name="20% - Accent4 2 2 6 2" xfId="2985"/>
    <cellStyle name="20% - Accent4 2 2 6 2 2" xfId="5094"/>
    <cellStyle name="20% - Accent4 2 2 6 2 2 2" xfId="17707"/>
    <cellStyle name="20% - Accent4 2 2 6 2 2 2 2" xfId="28850"/>
    <cellStyle name="20% - Accent4 2 2 6 2 2 3" xfId="23281"/>
    <cellStyle name="20% - Accent4 2 2 6 2 2 4" xfId="9245"/>
    <cellStyle name="20% - Accent4 2 2 6 2 3" xfId="10812"/>
    <cellStyle name="20% - Accent4 2 2 6 2 3 2" xfId="15638"/>
    <cellStyle name="20% - Accent4 2 2 6 2 3 2 2" xfId="26781"/>
    <cellStyle name="20% - Accent4 2 2 6 2 3 3" xfId="21212"/>
    <cellStyle name="20% - Accent4 2 2 6 2 4" xfId="14208"/>
    <cellStyle name="20% - Accent4 2 2 6 2 4 2" xfId="25351"/>
    <cellStyle name="20% - Accent4 2 2 6 2 5" xfId="19782"/>
    <cellStyle name="20% - Accent4 2 2 6 2 6" xfId="7176"/>
    <cellStyle name="20% - Accent4 2 2 6 3" xfId="3623"/>
    <cellStyle name="20% - Accent4 2 2 6 3 2" xfId="5732"/>
    <cellStyle name="20% - Accent4 2 2 6 3 2 2" xfId="18345"/>
    <cellStyle name="20% - Accent4 2 2 6 3 2 2 2" xfId="29488"/>
    <cellStyle name="20% - Accent4 2 2 6 3 2 3" xfId="23919"/>
    <cellStyle name="20% - Accent4 2 2 6 3 2 4" xfId="9883"/>
    <cellStyle name="20% - Accent4 2 2 6 3 3" xfId="16276"/>
    <cellStyle name="20% - Accent4 2 2 6 3 3 2" xfId="27419"/>
    <cellStyle name="20% - Accent4 2 2 6 3 4" xfId="21850"/>
    <cellStyle name="20% - Accent4 2 2 6 3 5" xfId="7814"/>
    <cellStyle name="20% - Accent4 2 2 6 4" xfId="4302"/>
    <cellStyle name="20% - Accent4 2 2 6 4 2" xfId="16915"/>
    <cellStyle name="20% - Accent4 2 2 6 4 2 2" xfId="28058"/>
    <cellStyle name="20% - Accent4 2 2 6 4 3" xfId="22489"/>
    <cellStyle name="20% - Accent4 2 2 6 4 4" xfId="8453"/>
    <cellStyle name="20% - Accent4 2 2 6 5" xfId="10986"/>
    <cellStyle name="20% - Accent4 2 2 6 5 2" xfId="14999"/>
    <cellStyle name="20% - Accent4 2 2 6 5 2 2" xfId="26142"/>
    <cellStyle name="20% - Accent4 2 2 6 5 3" xfId="20573"/>
    <cellStyle name="20% - Accent4 2 2 6 6" xfId="13569"/>
    <cellStyle name="20% - Accent4 2 2 6 6 2" xfId="24712"/>
    <cellStyle name="20% - Accent4 2 2 6 7" xfId="19143"/>
    <cellStyle name="20% - Accent4 2 2 6 8" xfId="6537"/>
    <cellStyle name="20% - Accent4 2 2 7" xfId="1807"/>
    <cellStyle name="20% - Accent4 2 2 7 2" xfId="4455"/>
    <cellStyle name="20% - Accent4 2 2 7 2 2" xfId="17068"/>
    <cellStyle name="20% - Accent4 2 2 7 2 2 2" xfId="28211"/>
    <cellStyle name="20% - Accent4 2 2 7 2 3" xfId="22642"/>
    <cellStyle name="20% - Accent4 2 2 7 2 4" xfId="8606"/>
    <cellStyle name="20% - Accent4 2 2 7 3" xfId="10082"/>
    <cellStyle name="20% - Accent4 2 2 7 3 2" xfId="14514"/>
    <cellStyle name="20% - Accent4 2 2 7 3 2 2" xfId="25657"/>
    <cellStyle name="20% - Accent4 2 2 7 3 3" xfId="20088"/>
    <cellStyle name="20% - Accent4 2 2 7 4" xfId="13084"/>
    <cellStyle name="20% - Accent4 2 2 7 4 2" xfId="24227"/>
    <cellStyle name="20% - Accent4 2 2 7 5" xfId="18658"/>
    <cellStyle name="20% - Accent4 2 2 7 6" xfId="6052"/>
    <cellStyle name="20% - Accent4 2 2 8" xfId="2500"/>
    <cellStyle name="20% - Accent4 2 2 8 2" xfId="4609"/>
    <cellStyle name="20% - Accent4 2 2 8 2 2" xfId="17222"/>
    <cellStyle name="20% - Accent4 2 2 8 2 2 2" xfId="28365"/>
    <cellStyle name="20% - Accent4 2 2 8 2 3" xfId="22796"/>
    <cellStyle name="20% - Accent4 2 2 8 2 4" xfId="8760"/>
    <cellStyle name="20% - Accent4 2 2 8 3" xfId="10093"/>
    <cellStyle name="20% - Accent4 2 2 8 3 2" xfId="15153"/>
    <cellStyle name="20% - Accent4 2 2 8 3 2 2" xfId="26296"/>
    <cellStyle name="20% - Accent4 2 2 8 3 3" xfId="20727"/>
    <cellStyle name="20% - Accent4 2 2 8 4" xfId="13723"/>
    <cellStyle name="20% - Accent4 2 2 8 4 2" xfId="24866"/>
    <cellStyle name="20% - Accent4 2 2 8 5" xfId="19297"/>
    <cellStyle name="20% - Accent4 2 2 8 6" xfId="6691"/>
    <cellStyle name="20% - Accent4 2 2 9" xfId="3138"/>
    <cellStyle name="20% - Accent4 2 2 9 2" xfId="5247"/>
    <cellStyle name="20% - Accent4 2 2 9 2 2" xfId="17860"/>
    <cellStyle name="20% - Accent4 2 2 9 2 2 2" xfId="29003"/>
    <cellStyle name="20% - Accent4 2 2 9 2 3" xfId="23434"/>
    <cellStyle name="20% - Accent4 2 2 9 2 4" xfId="9398"/>
    <cellStyle name="20% - Accent4 2 2 9 3" xfId="15791"/>
    <cellStyle name="20% - Accent4 2 2 9 3 2" xfId="26934"/>
    <cellStyle name="20% - Accent4 2 2 9 4" xfId="21365"/>
    <cellStyle name="20% - Accent4 2 2 9 5" xfId="7329"/>
    <cellStyle name="20% - Accent4 2 3" xfId="250"/>
    <cellStyle name="20% - Accent4 2 3 10" xfId="10362"/>
    <cellStyle name="20% - Accent4 2 3 10 2" xfId="14380"/>
    <cellStyle name="20% - Accent4 2 3 10 2 2" xfId="25523"/>
    <cellStyle name="20% - Accent4 2 3 10 3" xfId="19954"/>
    <cellStyle name="20% - Accent4 2 3 11" xfId="12949"/>
    <cellStyle name="20% - Accent4 2 3 11 2" xfId="24093"/>
    <cellStyle name="20% - Accent4 2 3 12" xfId="18524"/>
    <cellStyle name="20% - Accent4 2 3 13" xfId="5917"/>
    <cellStyle name="20% - Accent4 2 3 2" xfId="326"/>
    <cellStyle name="20% - Accent4 2 3 2 10" xfId="13025"/>
    <cellStyle name="20% - Accent4 2 3 2 10 2" xfId="24169"/>
    <cellStyle name="20% - Accent4 2 3 2 11" xfId="18600"/>
    <cellStyle name="20% - Accent4 2 3 2 12" xfId="5993"/>
    <cellStyle name="20% - Accent4 2 3 2 2" xfId="2284"/>
    <cellStyle name="20% - Accent4 2 3 2 2 2" xfId="2928"/>
    <cellStyle name="20% - Accent4 2 3 2 2 2 2" xfId="5037"/>
    <cellStyle name="20% - Accent4 2 3 2 2 2 2 2" xfId="17650"/>
    <cellStyle name="20% - Accent4 2 3 2 2 2 2 2 2" xfId="28793"/>
    <cellStyle name="20% - Accent4 2 3 2 2 2 2 3" xfId="23224"/>
    <cellStyle name="20% - Accent4 2 3 2 2 2 2 4" xfId="9188"/>
    <cellStyle name="20% - Accent4 2 3 2 2 2 3" xfId="10679"/>
    <cellStyle name="20% - Accent4 2 3 2 2 2 3 2" xfId="15581"/>
    <cellStyle name="20% - Accent4 2 3 2 2 2 3 2 2" xfId="26724"/>
    <cellStyle name="20% - Accent4 2 3 2 2 2 3 3" xfId="21155"/>
    <cellStyle name="20% - Accent4 2 3 2 2 2 4" xfId="14151"/>
    <cellStyle name="20% - Accent4 2 3 2 2 2 4 2" xfId="25294"/>
    <cellStyle name="20% - Accent4 2 3 2 2 2 5" xfId="19725"/>
    <cellStyle name="20% - Accent4 2 3 2 2 2 6" xfId="7119"/>
    <cellStyle name="20% - Accent4 2 3 2 2 3" xfId="3566"/>
    <cellStyle name="20% - Accent4 2 3 2 2 3 2" xfId="5675"/>
    <cellStyle name="20% - Accent4 2 3 2 2 3 2 2" xfId="18288"/>
    <cellStyle name="20% - Accent4 2 3 2 2 3 2 2 2" xfId="29431"/>
    <cellStyle name="20% - Accent4 2 3 2 2 3 2 3" xfId="23862"/>
    <cellStyle name="20% - Accent4 2 3 2 2 3 2 4" xfId="9826"/>
    <cellStyle name="20% - Accent4 2 3 2 2 3 3" xfId="16219"/>
    <cellStyle name="20% - Accent4 2 3 2 2 3 3 2" xfId="27362"/>
    <cellStyle name="20% - Accent4 2 3 2 2 3 4" xfId="21793"/>
    <cellStyle name="20% - Accent4 2 3 2 2 3 5" xfId="7757"/>
    <cellStyle name="20% - Accent4 2 3 2 2 4" xfId="4245"/>
    <cellStyle name="20% - Accent4 2 3 2 2 4 2" xfId="16858"/>
    <cellStyle name="20% - Accent4 2 3 2 2 4 2 2" xfId="28001"/>
    <cellStyle name="20% - Accent4 2 3 2 2 4 3" xfId="22432"/>
    <cellStyle name="20% - Accent4 2 3 2 2 4 4" xfId="8396"/>
    <cellStyle name="20% - Accent4 2 3 2 2 5" xfId="10870"/>
    <cellStyle name="20% - Accent4 2 3 2 2 5 2" xfId="14942"/>
    <cellStyle name="20% - Accent4 2 3 2 2 5 2 2" xfId="26085"/>
    <cellStyle name="20% - Accent4 2 3 2 2 5 3" xfId="20516"/>
    <cellStyle name="20% - Accent4 2 3 2 2 6" xfId="13512"/>
    <cellStyle name="20% - Accent4 2 3 2 2 6 2" xfId="24655"/>
    <cellStyle name="20% - Accent4 2 3 2 2 7" xfId="19086"/>
    <cellStyle name="20% - Accent4 2 3 2 2 8" xfId="6480"/>
    <cellStyle name="20% - Accent4 2 3 2 3" xfId="2092"/>
    <cellStyle name="20% - Accent4 2 3 2 3 2" xfId="2747"/>
    <cellStyle name="20% - Accent4 2 3 2 3 2 2" xfId="4856"/>
    <cellStyle name="20% - Accent4 2 3 2 3 2 2 2" xfId="17469"/>
    <cellStyle name="20% - Accent4 2 3 2 3 2 2 2 2" xfId="28612"/>
    <cellStyle name="20% - Accent4 2 3 2 3 2 2 3" xfId="23043"/>
    <cellStyle name="20% - Accent4 2 3 2 3 2 2 4" xfId="9007"/>
    <cellStyle name="20% - Accent4 2 3 2 3 2 3" xfId="11254"/>
    <cellStyle name="20% - Accent4 2 3 2 3 2 3 2" xfId="15400"/>
    <cellStyle name="20% - Accent4 2 3 2 3 2 3 2 2" xfId="26543"/>
    <cellStyle name="20% - Accent4 2 3 2 3 2 3 3" xfId="20974"/>
    <cellStyle name="20% - Accent4 2 3 2 3 2 4" xfId="13970"/>
    <cellStyle name="20% - Accent4 2 3 2 3 2 4 2" xfId="25113"/>
    <cellStyle name="20% - Accent4 2 3 2 3 2 5" xfId="19544"/>
    <cellStyle name="20% - Accent4 2 3 2 3 2 6" xfId="6938"/>
    <cellStyle name="20% - Accent4 2 3 2 3 3" xfId="3385"/>
    <cellStyle name="20% - Accent4 2 3 2 3 3 2" xfId="5494"/>
    <cellStyle name="20% - Accent4 2 3 2 3 3 2 2" xfId="18107"/>
    <cellStyle name="20% - Accent4 2 3 2 3 3 2 2 2" xfId="29250"/>
    <cellStyle name="20% - Accent4 2 3 2 3 3 2 3" xfId="23681"/>
    <cellStyle name="20% - Accent4 2 3 2 3 3 2 4" xfId="9645"/>
    <cellStyle name="20% - Accent4 2 3 2 3 3 3" xfId="16038"/>
    <cellStyle name="20% - Accent4 2 3 2 3 3 3 2" xfId="27181"/>
    <cellStyle name="20% - Accent4 2 3 2 3 3 4" xfId="21612"/>
    <cellStyle name="20% - Accent4 2 3 2 3 3 5" xfId="7576"/>
    <cellStyle name="20% - Accent4 2 3 2 3 4" xfId="4064"/>
    <cellStyle name="20% - Accent4 2 3 2 3 4 2" xfId="16677"/>
    <cellStyle name="20% - Accent4 2 3 2 3 4 2 2" xfId="27820"/>
    <cellStyle name="20% - Accent4 2 3 2 3 4 3" xfId="22251"/>
    <cellStyle name="20% - Accent4 2 3 2 3 4 4" xfId="8215"/>
    <cellStyle name="20% - Accent4 2 3 2 3 5" xfId="10623"/>
    <cellStyle name="20% - Accent4 2 3 2 3 5 2" xfId="14761"/>
    <cellStyle name="20% - Accent4 2 3 2 3 5 2 2" xfId="25904"/>
    <cellStyle name="20% - Accent4 2 3 2 3 5 3" xfId="20335"/>
    <cellStyle name="20% - Accent4 2 3 2 3 6" xfId="13331"/>
    <cellStyle name="20% - Accent4 2 3 2 3 6 2" xfId="24474"/>
    <cellStyle name="20% - Accent4 2 3 2 3 7" xfId="18905"/>
    <cellStyle name="20% - Accent4 2 3 2 3 8" xfId="6299"/>
    <cellStyle name="20% - Accent4 2 3 2 4" xfId="2439"/>
    <cellStyle name="20% - Accent4 2 3 2 4 2" xfId="3080"/>
    <cellStyle name="20% - Accent4 2 3 2 4 2 2" xfId="5189"/>
    <cellStyle name="20% - Accent4 2 3 2 4 2 2 2" xfId="17802"/>
    <cellStyle name="20% - Accent4 2 3 2 4 2 2 2 2" xfId="28945"/>
    <cellStyle name="20% - Accent4 2 3 2 4 2 2 3" xfId="23376"/>
    <cellStyle name="20% - Accent4 2 3 2 4 2 2 4" xfId="9340"/>
    <cellStyle name="20% - Accent4 2 3 2 4 2 3" xfId="10543"/>
    <cellStyle name="20% - Accent4 2 3 2 4 2 3 2" xfId="15733"/>
    <cellStyle name="20% - Accent4 2 3 2 4 2 3 2 2" xfId="26876"/>
    <cellStyle name="20% - Accent4 2 3 2 4 2 3 3" xfId="21307"/>
    <cellStyle name="20% - Accent4 2 3 2 4 2 4" xfId="14303"/>
    <cellStyle name="20% - Accent4 2 3 2 4 2 4 2" xfId="25446"/>
    <cellStyle name="20% - Accent4 2 3 2 4 2 5" xfId="19877"/>
    <cellStyle name="20% - Accent4 2 3 2 4 2 6" xfId="7271"/>
    <cellStyle name="20% - Accent4 2 3 2 4 3" xfId="3718"/>
    <cellStyle name="20% - Accent4 2 3 2 4 3 2" xfId="5827"/>
    <cellStyle name="20% - Accent4 2 3 2 4 3 2 2" xfId="18440"/>
    <cellStyle name="20% - Accent4 2 3 2 4 3 2 2 2" xfId="29583"/>
    <cellStyle name="20% - Accent4 2 3 2 4 3 2 3" xfId="24014"/>
    <cellStyle name="20% - Accent4 2 3 2 4 3 2 4" xfId="9978"/>
    <cellStyle name="20% - Accent4 2 3 2 4 3 3" xfId="16371"/>
    <cellStyle name="20% - Accent4 2 3 2 4 3 3 2" xfId="27514"/>
    <cellStyle name="20% - Accent4 2 3 2 4 3 4" xfId="21945"/>
    <cellStyle name="20% - Accent4 2 3 2 4 3 5" xfId="7909"/>
    <cellStyle name="20% - Accent4 2 3 2 4 4" xfId="4397"/>
    <cellStyle name="20% - Accent4 2 3 2 4 4 2" xfId="17010"/>
    <cellStyle name="20% - Accent4 2 3 2 4 4 2 2" xfId="28153"/>
    <cellStyle name="20% - Accent4 2 3 2 4 4 3" xfId="22584"/>
    <cellStyle name="20% - Accent4 2 3 2 4 4 4" xfId="8548"/>
    <cellStyle name="20% - Accent4 2 3 2 4 5" xfId="10557"/>
    <cellStyle name="20% - Accent4 2 3 2 4 5 2" xfId="15094"/>
    <cellStyle name="20% - Accent4 2 3 2 4 5 2 2" xfId="26237"/>
    <cellStyle name="20% - Accent4 2 3 2 4 5 3" xfId="20668"/>
    <cellStyle name="20% - Accent4 2 3 2 4 6" xfId="13664"/>
    <cellStyle name="20% - Accent4 2 3 2 4 6 2" xfId="24807"/>
    <cellStyle name="20% - Accent4 2 3 2 4 7" xfId="19238"/>
    <cellStyle name="20% - Accent4 2 3 2 4 8" xfId="6632"/>
    <cellStyle name="20% - Accent4 2 3 2 5" xfId="1902"/>
    <cellStyle name="20% - Accent4 2 3 2 5 2" xfId="4550"/>
    <cellStyle name="20% - Accent4 2 3 2 5 2 2" xfId="17163"/>
    <cellStyle name="20% - Accent4 2 3 2 5 2 2 2" xfId="28306"/>
    <cellStyle name="20% - Accent4 2 3 2 5 2 3" xfId="22737"/>
    <cellStyle name="20% - Accent4 2 3 2 5 2 4" xfId="8701"/>
    <cellStyle name="20% - Accent4 2 3 2 5 3" xfId="11297"/>
    <cellStyle name="20% - Accent4 2 3 2 5 3 2" xfId="14609"/>
    <cellStyle name="20% - Accent4 2 3 2 5 3 2 2" xfId="25752"/>
    <cellStyle name="20% - Accent4 2 3 2 5 3 3" xfId="20183"/>
    <cellStyle name="20% - Accent4 2 3 2 5 4" xfId="13179"/>
    <cellStyle name="20% - Accent4 2 3 2 5 4 2" xfId="24322"/>
    <cellStyle name="20% - Accent4 2 3 2 5 5" xfId="18753"/>
    <cellStyle name="20% - Accent4 2 3 2 5 6" xfId="6147"/>
    <cellStyle name="20% - Accent4 2 3 2 6" xfId="2595"/>
    <cellStyle name="20% - Accent4 2 3 2 6 2" xfId="4704"/>
    <cellStyle name="20% - Accent4 2 3 2 6 2 2" xfId="17317"/>
    <cellStyle name="20% - Accent4 2 3 2 6 2 2 2" xfId="28460"/>
    <cellStyle name="20% - Accent4 2 3 2 6 2 3" xfId="22891"/>
    <cellStyle name="20% - Accent4 2 3 2 6 2 4" xfId="8855"/>
    <cellStyle name="20% - Accent4 2 3 2 6 3" xfId="10577"/>
    <cellStyle name="20% - Accent4 2 3 2 6 3 2" xfId="15248"/>
    <cellStyle name="20% - Accent4 2 3 2 6 3 2 2" xfId="26391"/>
    <cellStyle name="20% - Accent4 2 3 2 6 3 3" xfId="20822"/>
    <cellStyle name="20% - Accent4 2 3 2 6 4" xfId="13818"/>
    <cellStyle name="20% - Accent4 2 3 2 6 4 2" xfId="24961"/>
    <cellStyle name="20% - Accent4 2 3 2 6 5" xfId="19392"/>
    <cellStyle name="20% - Accent4 2 3 2 6 6" xfId="6786"/>
    <cellStyle name="20% - Accent4 2 3 2 7" xfId="3233"/>
    <cellStyle name="20% - Accent4 2 3 2 7 2" xfId="5342"/>
    <cellStyle name="20% - Accent4 2 3 2 7 2 2" xfId="17955"/>
    <cellStyle name="20% - Accent4 2 3 2 7 2 2 2" xfId="29098"/>
    <cellStyle name="20% - Accent4 2 3 2 7 2 3" xfId="23529"/>
    <cellStyle name="20% - Accent4 2 3 2 7 2 4" xfId="9493"/>
    <cellStyle name="20% - Accent4 2 3 2 7 3" xfId="15886"/>
    <cellStyle name="20% - Accent4 2 3 2 7 3 2" xfId="27029"/>
    <cellStyle name="20% - Accent4 2 3 2 7 4" xfId="21460"/>
    <cellStyle name="20% - Accent4 2 3 2 7 5" xfId="7424"/>
    <cellStyle name="20% - Accent4 2 3 2 8" xfId="3912"/>
    <cellStyle name="20% - Accent4 2 3 2 8 2" xfId="16525"/>
    <cellStyle name="20% - Accent4 2 3 2 8 2 2" xfId="27668"/>
    <cellStyle name="20% - Accent4 2 3 2 8 3" xfId="22099"/>
    <cellStyle name="20% - Accent4 2 3 2 8 4" xfId="8063"/>
    <cellStyle name="20% - Accent4 2 3 2 9" xfId="10232"/>
    <cellStyle name="20% - Accent4 2 3 2 9 2" xfId="14456"/>
    <cellStyle name="20% - Accent4 2 3 2 9 2 2" xfId="25599"/>
    <cellStyle name="20% - Accent4 2 3 2 9 3" xfId="20030"/>
    <cellStyle name="20% - Accent4 2 3 3" xfId="2208"/>
    <cellStyle name="20% - Accent4 2 3 3 2" xfId="2852"/>
    <cellStyle name="20% - Accent4 2 3 3 2 2" xfId="4961"/>
    <cellStyle name="20% - Accent4 2 3 3 2 2 2" xfId="17574"/>
    <cellStyle name="20% - Accent4 2 3 3 2 2 2 2" xfId="28717"/>
    <cellStyle name="20% - Accent4 2 3 3 2 2 3" xfId="23148"/>
    <cellStyle name="20% - Accent4 2 3 3 2 2 4" xfId="9112"/>
    <cellStyle name="20% - Accent4 2 3 3 2 3" xfId="11054"/>
    <cellStyle name="20% - Accent4 2 3 3 2 3 2" xfId="15505"/>
    <cellStyle name="20% - Accent4 2 3 3 2 3 2 2" xfId="26648"/>
    <cellStyle name="20% - Accent4 2 3 3 2 3 3" xfId="21079"/>
    <cellStyle name="20% - Accent4 2 3 3 2 4" xfId="14075"/>
    <cellStyle name="20% - Accent4 2 3 3 2 4 2" xfId="25218"/>
    <cellStyle name="20% - Accent4 2 3 3 2 5" xfId="19649"/>
    <cellStyle name="20% - Accent4 2 3 3 2 6" xfId="7043"/>
    <cellStyle name="20% - Accent4 2 3 3 3" xfId="3490"/>
    <cellStyle name="20% - Accent4 2 3 3 3 2" xfId="5599"/>
    <cellStyle name="20% - Accent4 2 3 3 3 2 2" xfId="18212"/>
    <cellStyle name="20% - Accent4 2 3 3 3 2 2 2" xfId="29355"/>
    <cellStyle name="20% - Accent4 2 3 3 3 2 3" xfId="23786"/>
    <cellStyle name="20% - Accent4 2 3 3 3 2 4" xfId="9750"/>
    <cellStyle name="20% - Accent4 2 3 3 3 3" xfId="16143"/>
    <cellStyle name="20% - Accent4 2 3 3 3 3 2" xfId="27286"/>
    <cellStyle name="20% - Accent4 2 3 3 3 4" xfId="21717"/>
    <cellStyle name="20% - Accent4 2 3 3 3 5" xfId="7681"/>
    <cellStyle name="20% - Accent4 2 3 3 4" xfId="4169"/>
    <cellStyle name="20% - Accent4 2 3 3 4 2" xfId="16782"/>
    <cellStyle name="20% - Accent4 2 3 3 4 2 2" xfId="27925"/>
    <cellStyle name="20% - Accent4 2 3 3 4 3" xfId="22356"/>
    <cellStyle name="20% - Accent4 2 3 3 4 4" xfId="8320"/>
    <cellStyle name="20% - Accent4 2 3 3 5" xfId="10265"/>
    <cellStyle name="20% - Accent4 2 3 3 5 2" xfId="14866"/>
    <cellStyle name="20% - Accent4 2 3 3 5 2 2" xfId="26009"/>
    <cellStyle name="20% - Accent4 2 3 3 5 3" xfId="20440"/>
    <cellStyle name="20% - Accent4 2 3 3 6" xfId="13436"/>
    <cellStyle name="20% - Accent4 2 3 3 6 2" xfId="24579"/>
    <cellStyle name="20% - Accent4 2 3 3 7" xfId="19010"/>
    <cellStyle name="20% - Accent4 2 3 3 8" xfId="6404"/>
    <cellStyle name="20% - Accent4 2 3 4" xfId="2016"/>
    <cellStyle name="20% - Accent4 2 3 4 2" xfId="2671"/>
    <cellStyle name="20% - Accent4 2 3 4 2 2" xfId="4780"/>
    <cellStyle name="20% - Accent4 2 3 4 2 2 2" xfId="17393"/>
    <cellStyle name="20% - Accent4 2 3 4 2 2 2 2" xfId="28536"/>
    <cellStyle name="20% - Accent4 2 3 4 2 2 3" xfId="22967"/>
    <cellStyle name="20% - Accent4 2 3 4 2 2 4" xfId="8931"/>
    <cellStyle name="20% - Accent4 2 3 4 2 3" xfId="10807"/>
    <cellStyle name="20% - Accent4 2 3 4 2 3 2" xfId="15324"/>
    <cellStyle name="20% - Accent4 2 3 4 2 3 2 2" xfId="26467"/>
    <cellStyle name="20% - Accent4 2 3 4 2 3 3" xfId="20898"/>
    <cellStyle name="20% - Accent4 2 3 4 2 4" xfId="13894"/>
    <cellStyle name="20% - Accent4 2 3 4 2 4 2" xfId="25037"/>
    <cellStyle name="20% - Accent4 2 3 4 2 5" xfId="19468"/>
    <cellStyle name="20% - Accent4 2 3 4 2 6" xfId="6862"/>
    <cellStyle name="20% - Accent4 2 3 4 3" xfId="3309"/>
    <cellStyle name="20% - Accent4 2 3 4 3 2" xfId="5418"/>
    <cellStyle name="20% - Accent4 2 3 4 3 2 2" xfId="18031"/>
    <cellStyle name="20% - Accent4 2 3 4 3 2 2 2" xfId="29174"/>
    <cellStyle name="20% - Accent4 2 3 4 3 2 3" xfId="23605"/>
    <cellStyle name="20% - Accent4 2 3 4 3 2 4" xfId="9569"/>
    <cellStyle name="20% - Accent4 2 3 4 3 3" xfId="15962"/>
    <cellStyle name="20% - Accent4 2 3 4 3 3 2" xfId="27105"/>
    <cellStyle name="20% - Accent4 2 3 4 3 4" xfId="21536"/>
    <cellStyle name="20% - Accent4 2 3 4 3 5" xfId="7500"/>
    <cellStyle name="20% - Accent4 2 3 4 4" xfId="3988"/>
    <cellStyle name="20% - Accent4 2 3 4 4 2" xfId="16601"/>
    <cellStyle name="20% - Accent4 2 3 4 4 2 2" xfId="27744"/>
    <cellStyle name="20% - Accent4 2 3 4 4 3" xfId="22175"/>
    <cellStyle name="20% - Accent4 2 3 4 4 4" xfId="8139"/>
    <cellStyle name="20% - Accent4 2 3 4 5" xfId="10645"/>
    <cellStyle name="20% - Accent4 2 3 4 5 2" xfId="14685"/>
    <cellStyle name="20% - Accent4 2 3 4 5 2 2" xfId="25828"/>
    <cellStyle name="20% - Accent4 2 3 4 5 3" xfId="20259"/>
    <cellStyle name="20% - Accent4 2 3 4 6" xfId="13255"/>
    <cellStyle name="20% - Accent4 2 3 4 6 2" xfId="24398"/>
    <cellStyle name="20% - Accent4 2 3 4 7" xfId="18829"/>
    <cellStyle name="20% - Accent4 2 3 4 8" xfId="6223"/>
    <cellStyle name="20% - Accent4 2 3 5" xfId="2363"/>
    <cellStyle name="20% - Accent4 2 3 5 2" xfId="3004"/>
    <cellStyle name="20% - Accent4 2 3 5 2 2" xfId="5113"/>
    <cellStyle name="20% - Accent4 2 3 5 2 2 2" xfId="17726"/>
    <cellStyle name="20% - Accent4 2 3 5 2 2 2 2" xfId="28869"/>
    <cellStyle name="20% - Accent4 2 3 5 2 2 3" xfId="23300"/>
    <cellStyle name="20% - Accent4 2 3 5 2 2 4" xfId="9264"/>
    <cellStyle name="20% - Accent4 2 3 5 2 3" xfId="11333"/>
    <cellStyle name="20% - Accent4 2 3 5 2 3 2" xfId="15657"/>
    <cellStyle name="20% - Accent4 2 3 5 2 3 2 2" xfId="26800"/>
    <cellStyle name="20% - Accent4 2 3 5 2 3 3" xfId="21231"/>
    <cellStyle name="20% - Accent4 2 3 5 2 4" xfId="14227"/>
    <cellStyle name="20% - Accent4 2 3 5 2 4 2" xfId="25370"/>
    <cellStyle name="20% - Accent4 2 3 5 2 5" xfId="19801"/>
    <cellStyle name="20% - Accent4 2 3 5 2 6" xfId="7195"/>
    <cellStyle name="20% - Accent4 2 3 5 3" xfId="3642"/>
    <cellStyle name="20% - Accent4 2 3 5 3 2" xfId="5751"/>
    <cellStyle name="20% - Accent4 2 3 5 3 2 2" xfId="18364"/>
    <cellStyle name="20% - Accent4 2 3 5 3 2 2 2" xfId="29507"/>
    <cellStyle name="20% - Accent4 2 3 5 3 2 3" xfId="23938"/>
    <cellStyle name="20% - Accent4 2 3 5 3 2 4" xfId="9902"/>
    <cellStyle name="20% - Accent4 2 3 5 3 3" xfId="16295"/>
    <cellStyle name="20% - Accent4 2 3 5 3 3 2" xfId="27438"/>
    <cellStyle name="20% - Accent4 2 3 5 3 4" xfId="21869"/>
    <cellStyle name="20% - Accent4 2 3 5 3 5" xfId="7833"/>
    <cellStyle name="20% - Accent4 2 3 5 4" xfId="4321"/>
    <cellStyle name="20% - Accent4 2 3 5 4 2" xfId="16934"/>
    <cellStyle name="20% - Accent4 2 3 5 4 2 2" xfId="28077"/>
    <cellStyle name="20% - Accent4 2 3 5 4 3" xfId="22508"/>
    <cellStyle name="20% - Accent4 2 3 5 4 4" xfId="8472"/>
    <cellStyle name="20% - Accent4 2 3 5 5" xfId="11384"/>
    <cellStyle name="20% - Accent4 2 3 5 5 2" xfId="15018"/>
    <cellStyle name="20% - Accent4 2 3 5 5 2 2" xfId="26161"/>
    <cellStyle name="20% - Accent4 2 3 5 5 3" xfId="20592"/>
    <cellStyle name="20% - Accent4 2 3 5 6" xfId="13588"/>
    <cellStyle name="20% - Accent4 2 3 5 6 2" xfId="24731"/>
    <cellStyle name="20% - Accent4 2 3 5 7" xfId="19162"/>
    <cellStyle name="20% - Accent4 2 3 5 8" xfId="6556"/>
    <cellStyle name="20% - Accent4 2 3 6" xfId="1826"/>
    <cellStyle name="20% - Accent4 2 3 6 2" xfId="4474"/>
    <cellStyle name="20% - Accent4 2 3 6 2 2" xfId="17087"/>
    <cellStyle name="20% - Accent4 2 3 6 2 2 2" xfId="28230"/>
    <cellStyle name="20% - Accent4 2 3 6 2 3" xfId="22661"/>
    <cellStyle name="20% - Accent4 2 3 6 2 4" xfId="8625"/>
    <cellStyle name="20% - Accent4 2 3 6 3" xfId="10593"/>
    <cellStyle name="20% - Accent4 2 3 6 3 2" xfId="14533"/>
    <cellStyle name="20% - Accent4 2 3 6 3 2 2" xfId="25676"/>
    <cellStyle name="20% - Accent4 2 3 6 3 3" xfId="20107"/>
    <cellStyle name="20% - Accent4 2 3 6 4" xfId="13103"/>
    <cellStyle name="20% - Accent4 2 3 6 4 2" xfId="24246"/>
    <cellStyle name="20% - Accent4 2 3 6 5" xfId="18677"/>
    <cellStyle name="20% - Accent4 2 3 6 6" xfId="6071"/>
    <cellStyle name="20% - Accent4 2 3 7" xfId="2519"/>
    <cellStyle name="20% - Accent4 2 3 7 2" xfId="4628"/>
    <cellStyle name="20% - Accent4 2 3 7 2 2" xfId="17241"/>
    <cellStyle name="20% - Accent4 2 3 7 2 2 2" xfId="28384"/>
    <cellStyle name="20% - Accent4 2 3 7 2 3" xfId="22815"/>
    <cellStyle name="20% - Accent4 2 3 7 2 4" xfId="8779"/>
    <cellStyle name="20% - Accent4 2 3 7 3" xfId="10464"/>
    <cellStyle name="20% - Accent4 2 3 7 3 2" xfId="15172"/>
    <cellStyle name="20% - Accent4 2 3 7 3 2 2" xfId="26315"/>
    <cellStyle name="20% - Accent4 2 3 7 3 3" xfId="20746"/>
    <cellStyle name="20% - Accent4 2 3 7 4" xfId="13742"/>
    <cellStyle name="20% - Accent4 2 3 7 4 2" xfId="24885"/>
    <cellStyle name="20% - Accent4 2 3 7 5" xfId="19316"/>
    <cellStyle name="20% - Accent4 2 3 7 6" xfId="6710"/>
    <cellStyle name="20% - Accent4 2 3 8" xfId="3157"/>
    <cellStyle name="20% - Accent4 2 3 8 2" xfId="5266"/>
    <cellStyle name="20% - Accent4 2 3 8 2 2" xfId="17879"/>
    <cellStyle name="20% - Accent4 2 3 8 2 2 2" xfId="29022"/>
    <cellStyle name="20% - Accent4 2 3 8 2 3" xfId="23453"/>
    <cellStyle name="20% - Accent4 2 3 8 2 4" xfId="9417"/>
    <cellStyle name="20% - Accent4 2 3 8 3" xfId="15810"/>
    <cellStyle name="20% - Accent4 2 3 8 3 2" xfId="26953"/>
    <cellStyle name="20% - Accent4 2 3 8 4" xfId="21384"/>
    <cellStyle name="20% - Accent4 2 3 8 5" xfId="7348"/>
    <cellStyle name="20% - Accent4 2 3 9" xfId="3836"/>
    <cellStyle name="20% - Accent4 2 3 9 2" xfId="16449"/>
    <cellStyle name="20% - Accent4 2 3 9 2 2" xfId="27592"/>
    <cellStyle name="20% - Accent4 2 3 9 3" xfId="22023"/>
    <cellStyle name="20% - Accent4 2 3 9 4" xfId="7987"/>
    <cellStyle name="20% - Accent4 2 4" xfId="288"/>
    <cellStyle name="20% - Accent4 2 4 10" xfId="12987"/>
    <cellStyle name="20% - Accent4 2 4 10 2" xfId="24131"/>
    <cellStyle name="20% - Accent4 2 4 11" xfId="18562"/>
    <cellStyle name="20% - Accent4 2 4 12" xfId="5955"/>
    <cellStyle name="20% - Accent4 2 4 2" xfId="2246"/>
    <cellStyle name="20% - Accent4 2 4 2 2" xfId="2890"/>
    <cellStyle name="20% - Accent4 2 4 2 2 2" xfId="4999"/>
    <cellStyle name="20% - Accent4 2 4 2 2 2 2" xfId="17612"/>
    <cellStyle name="20% - Accent4 2 4 2 2 2 2 2" xfId="28755"/>
    <cellStyle name="20% - Accent4 2 4 2 2 2 3" xfId="23186"/>
    <cellStyle name="20% - Accent4 2 4 2 2 2 4" xfId="9150"/>
    <cellStyle name="20% - Accent4 2 4 2 2 3" xfId="10237"/>
    <cellStyle name="20% - Accent4 2 4 2 2 3 2" xfId="15543"/>
    <cellStyle name="20% - Accent4 2 4 2 2 3 2 2" xfId="26686"/>
    <cellStyle name="20% - Accent4 2 4 2 2 3 3" xfId="21117"/>
    <cellStyle name="20% - Accent4 2 4 2 2 4" xfId="14113"/>
    <cellStyle name="20% - Accent4 2 4 2 2 4 2" xfId="25256"/>
    <cellStyle name="20% - Accent4 2 4 2 2 5" xfId="19687"/>
    <cellStyle name="20% - Accent4 2 4 2 2 6" xfId="7081"/>
    <cellStyle name="20% - Accent4 2 4 2 3" xfId="3528"/>
    <cellStyle name="20% - Accent4 2 4 2 3 2" xfId="5637"/>
    <cellStyle name="20% - Accent4 2 4 2 3 2 2" xfId="18250"/>
    <cellStyle name="20% - Accent4 2 4 2 3 2 2 2" xfId="29393"/>
    <cellStyle name="20% - Accent4 2 4 2 3 2 3" xfId="23824"/>
    <cellStyle name="20% - Accent4 2 4 2 3 2 4" xfId="9788"/>
    <cellStyle name="20% - Accent4 2 4 2 3 3" xfId="16181"/>
    <cellStyle name="20% - Accent4 2 4 2 3 3 2" xfId="27324"/>
    <cellStyle name="20% - Accent4 2 4 2 3 4" xfId="21755"/>
    <cellStyle name="20% - Accent4 2 4 2 3 5" xfId="7719"/>
    <cellStyle name="20% - Accent4 2 4 2 4" xfId="4207"/>
    <cellStyle name="20% - Accent4 2 4 2 4 2" xfId="16820"/>
    <cellStyle name="20% - Accent4 2 4 2 4 2 2" xfId="27963"/>
    <cellStyle name="20% - Accent4 2 4 2 4 3" xfId="22394"/>
    <cellStyle name="20% - Accent4 2 4 2 4 4" xfId="8358"/>
    <cellStyle name="20% - Accent4 2 4 2 5" xfId="10318"/>
    <cellStyle name="20% - Accent4 2 4 2 5 2" xfId="14904"/>
    <cellStyle name="20% - Accent4 2 4 2 5 2 2" xfId="26047"/>
    <cellStyle name="20% - Accent4 2 4 2 5 3" xfId="20478"/>
    <cellStyle name="20% - Accent4 2 4 2 6" xfId="13474"/>
    <cellStyle name="20% - Accent4 2 4 2 6 2" xfId="24617"/>
    <cellStyle name="20% - Accent4 2 4 2 7" xfId="19048"/>
    <cellStyle name="20% - Accent4 2 4 2 8" xfId="6442"/>
    <cellStyle name="20% - Accent4 2 4 3" xfId="2054"/>
    <cellStyle name="20% - Accent4 2 4 3 2" xfId="2709"/>
    <cellStyle name="20% - Accent4 2 4 3 2 2" xfId="4818"/>
    <cellStyle name="20% - Accent4 2 4 3 2 2 2" xfId="17431"/>
    <cellStyle name="20% - Accent4 2 4 3 2 2 2 2" xfId="28574"/>
    <cellStyle name="20% - Accent4 2 4 3 2 2 3" xfId="23005"/>
    <cellStyle name="20% - Accent4 2 4 3 2 2 4" xfId="8969"/>
    <cellStyle name="20% - Accent4 2 4 3 2 3" xfId="10477"/>
    <cellStyle name="20% - Accent4 2 4 3 2 3 2" xfId="15362"/>
    <cellStyle name="20% - Accent4 2 4 3 2 3 2 2" xfId="26505"/>
    <cellStyle name="20% - Accent4 2 4 3 2 3 3" xfId="20936"/>
    <cellStyle name="20% - Accent4 2 4 3 2 4" xfId="13932"/>
    <cellStyle name="20% - Accent4 2 4 3 2 4 2" xfId="25075"/>
    <cellStyle name="20% - Accent4 2 4 3 2 5" xfId="19506"/>
    <cellStyle name="20% - Accent4 2 4 3 2 6" xfId="6900"/>
    <cellStyle name="20% - Accent4 2 4 3 3" xfId="3347"/>
    <cellStyle name="20% - Accent4 2 4 3 3 2" xfId="5456"/>
    <cellStyle name="20% - Accent4 2 4 3 3 2 2" xfId="18069"/>
    <cellStyle name="20% - Accent4 2 4 3 3 2 2 2" xfId="29212"/>
    <cellStyle name="20% - Accent4 2 4 3 3 2 3" xfId="23643"/>
    <cellStyle name="20% - Accent4 2 4 3 3 2 4" xfId="9607"/>
    <cellStyle name="20% - Accent4 2 4 3 3 3" xfId="16000"/>
    <cellStyle name="20% - Accent4 2 4 3 3 3 2" xfId="27143"/>
    <cellStyle name="20% - Accent4 2 4 3 3 4" xfId="21574"/>
    <cellStyle name="20% - Accent4 2 4 3 3 5" xfId="7538"/>
    <cellStyle name="20% - Accent4 2 4 3 4" xfId="4026"/>
    <cellStyle name="20% - Accent4 2 4 3 4 2" xfId="16639"/>
    <cellStyle name="20% - Accent4 2 4 3 4 2 2" xfId="27782"/>
    <cellStyle name="20% - Accent4 2 4 3 4 3" xfId="22213"/>
    <cellStyle name="20% - Accent4 2 4 3 4 4" xfId="8177"/>
    <cellStyle name="20% - Accent4 2 4 3 5" xfId="10967"/>
    <cellStyle name="20% - Accent4 2 4 3 5 2" xfId="14723"/>
    <cellStyle name="20% - Accent4 2 4 3 5 2 2" xfId="25866"/>
    <cellStyle name="20% - Accent4 2 4 3 5 3" xfId="20297"/>
    <cellStyle name="20% - Accent4 2 4 3 6" xfId="13293"/>
    <cellStyle name="20% - Accent4 2 4 3 6 2" xfId="24436"/>
    <cellStyle name="20% - Accent4 2 4 3 7" xfId="18867"/>
    <cellStyle name="20% - Accent4 2 4 3 8" xfId="6261"/>
    <cellStyle name="20% - Accent4 2 4 4" xfId="2401"/>
    <cellStyle name="20% - Accent4 2 4 4 2" xfId="3042"/>
    <cellStyle name="20% - Accent4 2 4 4 2 2" xfId="5151"/>
    <cellStyle name="20% - Accent4 2 4 4 2 2 2" xfId="17764"/>
    <cellStyle name="20% - Accent4 2 4 4 2 2 2 2" xfId="28907"/>
    <cellStyle name="20% - Accent4 2 4 4 2 2 3" xfId="23338"/>
    <cellStyle name="20% - Accent4 2 4 4 2 2 4" xfId="9302"/>
    <cellStyle name="20% - Accent4 2 4 4 2 3" xfId="11290"/>
    <cellStyle name="20% - Accent4 2 4 4 2 3 2" xfId="15695"/>
    <cellStyle name="20% - Accent4 2 4 4 2 3 2 2" xfId="26838"/>
    <cellStyle name="20% - Accent4 2 4 4 2 3 3" xfId="21269"/>
    <cellStyle name="20% - Accent4 2 4 4 2 4" xfId="14265"/>
    <cellStyle name="20% - Accent4 2 4 4 2 4 2" xfId="25408"/>
    <cellStyle name="20% - Accent4 2 4 4 2 5" xfId="19839"/>
    <cellStyle name="20% - Accent4 2 4 4 2 6" xfId="7233"/>
    <cellStyle name="20% - Accent4 2 4 4 3" xfId="3680"/>
    <cellStyle name="20% - Accent4 2 4 4 3 2" xfId="5789"/>
    <cellStyle name="20% - Accent4 2 4 4 3 2 2" xfId="18402"/>
    <cellStyle name="20% - Accent4 2 4 4 3 2 2 2" xfId="29545"/>
    <cellStyle name="20% - Accent4 2 4 4 3 2 3" xfId="23976"/>
    <cellStyle name="20% - Accent4 2 4 4 3 2 4" xfId="9940"/>
    <cellStyle name="20% - Accent4 2 4 4 3 3" xfId="16333"/>
    <cellStyle name="20% - Accent4 2 4 4 3 3 2" xfId="27476"/>
    <cellStyle name="20% - Accent4 2 4 4 3 4" xfId="21907"/>
    <cellStyle name="20% - Accent4 2 4 4 3 5" xfId="7871"/>
    <cellStyle name="20% - Accent4 2 4 4 4" xfId="4359"/>
    <cellStyle name="20% - Accent4 2 4 4 4 2" xfId="16972"/>
    <cellStyle name="20% - Accent4 2 4 4 4 2 2" xfId="28115"/>
    <cellStyle name="20% - Accent4 2 4 4 4 3" xfId="22546"/>
    <cellStyle name="20% - Accent4 2 4 4 4 4" xfId="8510"/>
    <cellStyle name="20% - Accent4 2 4 4 5" xfId="10879"/>
    <cellStyle name="20% - Accent4 2 4 4 5 2" xfId="15056"/>
    <cellStyle name="20% - Accent4 2 4 4 5 2 2" xfId="26199"/>
    <cellStyle name="20% - Accent4 2 4 4 5 3" xfId="20630"/>
    <cellStyle name="20% - Accent4 2 4 4 6" xfId="13626"/>
    <cellStyle name="20% - Accent4 2 4 4 6 2" xfId="24769"/>
    <cellStyle name="20% - Accent4 2 4 4 7" xfId="19200"/>
    <cellStyle name="20% - Accent4 2 4 4 8" xfId="6594"/>
    <cellStyle name="20% - Accent4 2 4 5" xfId="1864"/>
    <cellStyle name="20% - Accent4 2 4 5 2" xfId="4512"/>
    <cellStyle name="20% - Accent4 2 4 5 2 2" xfId="17125"/>
    <cellStyle name="20% - Accent4 2 4 5 2 2 2" xfId="28268"/>
    <cellStyle name="20% - Accent4 2 4 5 2 3" xfId="22699"/>
    <cellStyle name="20% - Accent4 2 4 5 2 4" xfId="8663"/>
    <cellStyle name="20% - Accent4 2 4 5 3" xfId="10088"/>
    <cellStyle name="20% - Accent4 2 4 5 3 2" xfId="14571"/>
    <cellStyle name="20% - Accent4 2 4 5 3 2 2" xfId="25714"/>
    <cellStyle name="20% - Accent4 2 4 5 3 3" xfId="20145"/>
    <cellStyle name="20% - Accent4 2 4 5 4" xfId="13141"/>
    <cellStyle name="20% - Accent4 2 4 5 4 2" xfId="24284"/>
    <cellStyle name="20% - Accent4 2 4 5 5" xfId="18715"/>
    <cellStyle name="20% - Accent4 2 4 5 6" xfId="6109"/>
    <cellStyle name="20% - Accent4 2 4 6" xfId="2557"/>
    <cellStyle name="20% - Accent4 2 4 6 2" xfId="4666"/>
    <cellStyle name="20% - Accent4 2 4 6 2 2" xfId="17279"/>
    <cellStyle name="20% - Accent4 2 4 6 2 2 2" xfId="28422"/>
    <cellStyle name="20% - Accent4 2 4 6 2 3" xfId="22853"/>
    <cellStyle name="20% - Accent4 2 4 6 2 4" xfId="8817"/>
    <cellStyle name="20% - Accent4 2 4 6 3" xfId="11064"/>
    <cellStyle name="20% - Accent4 2 4 6 3 2" xfId="15210"/>
    <cellStyle name="20% - Accent4 2 4 6 3 2 2" xfId="26353"/>
    <cellStyle name="20% - Accent4 2 4 6 3 3" xfId="20784"/>
    <cellStyle name="20% - Accent4 2 4 6 4" xfId="13780"/>
    <cellStyle name="20% - Accent4 2 4 6 4 2" xfId="24923"/>
    <cellStyle name="20% - Accent4 2 4 6 5" xfId="19354"/>
    <cellStyle name="20% - Accent4 2 4 6 6" xfId="6748"/>
    <cellStyle name="20% - Accent4 2 4 7" xfId="3195"/>
    <cellStyle name="20% - Accent4 2 4 7 2" xfId="5304"/>
    <cellStyle name="20% - Accent4 2 4 7 2 2" xfId="17917"/>
    <cellStyle name="20% - Accent4 2 4 7 2 2 2" xfId="29060"/>
    <cellStyle name="20% - Accent4 2 4 7 2 3" xfId="23491"/>
    <cellStyle name="20% - Accent4 2 4 7 2 4" xfId="9455"/>
    <cellStyle name="20% - Accent4 2 4 7 3" xfId="15848"/>
    <cellStyle name="20% - Accent4 2 4 7 3 2" xfId="26991"/>
    <cellStyle name="20% - Accent4 2 4 7 4" xfId="21422"/>
    <cellStyle name="20% - Accent4 2 4 7 5" xfId="7386"/>
    <cellStyle name="20% - Accent4 2 4 8" xfId="3874"/>
    <cellStyle name="20% - Accent4 2 4 8 2" xfId="16487"/>
    <cellStyle name="20% - Accent4 2 4 8 2 2" xfId="27630"/>
    <cellStyle name="20% - Accent4 2 4 8 3" xfId="22061"/>
    <cellStyle name="20% - Accent4 2 4 8 4" xfId="8025"/>
    <cellStyle name="20% - Accent4 2 4 9" xfId="10262"/>
    <cellStyle name="20% - Accent4 2 4 9 2" xfId="14418"/>
    <cellStyle name="20% - Accent4 2 4 9 2 2" xfId="25561"/>
    <cellStyle name="20% - Accent4 2 4 9 3" xfId="19992"/>
    <cellStyle name="20% - Accent4 2 5" xfId="2170"/>
    <cellStyle name="20% - Accent4 2 5 2" xfId="2814"/>
    <cellStyle name="20% - Accent4 2 5 2 2" xfId="4923"/>
    <cellStyle name="20% - Accent4 2 5 2 2 2" xfId="17536"/>
    <cellStyle name="20% - Accent4 2 5 2 2 2 2" xfId="28679"/>
    <cellStyle name="20% - Accent4 2 5 2 2 3" xfId="23110"/>
    <cellStyle name="20% - Accent4 2 5 2 2 4" xfId="9074"/>
    <cellStyle name="20% - Accent4 2 5 2 3" xfId="10376"/>
    <cellStyle name="20% - Accent4 2 5 2 3 2" xfId="15467"/>
    <cellStyle name="20% - Accent4 2 5 2 3 2 2" xfId="26610"/>
    <cellStyle name="20% - Accent4 2 5 2 3 3" xfId="21041"/>
    <cellStyle name="20% - Accent4 2 5 2 4" xfId="14037"/>
    <cellStyle name="20% - Accent4 2 5 2 4 2" xfId="25180"/>
    <cellStyle name="20% - Accent4 2 5 2 5" xfId="19611"/>
    <cellStyle name="20% - Accent4 2 5 2 6" xfId="7005"/>
    <cellStyle name="20% - Accent4 2 5 3" xfId="3452"/>
    <cellStyle name="20% - Accent4 2 5 3 2" xfId="5561"/>
    <cellStyle name="20% - Accent4 2 5 3 2 2" xfId="18174"/>
    <cellStyle name="20% - Accent4 2 5 3 2 2 2" xfId="29317"/>
    <cellStyle name="20% - Accent4 2 5 3 2 3" xfId="23748"/>
    <cellStyle name="20% - Accent4 2 5 3 2 4" xfId="9712"/>
    <cellStyle name="20% - Accent4 2 5 3 3" xfId="16105"/>
    <cellStyle name="20% - Accent4 2 5 3 3 2" xfId="27248"/>
    <cellStyle name="20% - Accent4 2 5 3 4" xfId="21679"/>
    <cellStyle name="20% - Accent4 2 5 3 5" xfId="7643"/>
    <cellStyle name="20% - Accent4 2 5 4" xfId="4131"/>
    <cellStyle name="20% - Accent4 2 5 4 2" xfId="16744"/>
    <cellStyle name="20% - Accent4 2 5 4 2 2" xfId="27887"/>
    <cellStyle name="20% - Accent4 2 5 4 3" xfId="22318"/>
    <cellStyle name="20% - Accent4 2 5 4 4" xfId="8282"/>
    <cellStyle name="20% - Accent4 2 5 5" xfId="10051"/>
    <cellStyle name="20% - Accent4 2 5 5 2" xfId="14828"/>
    <cellStyle name="20% - Accent4 2 5 5 2 2" xfId="25971"/>
    <cellStyle name="20% - Accent4 2 5 5 3" xfId="20402"/>
    <cellStyle name="20% - Accent4 2 5 6" xfId="13398"/>
    <cellStyle name="20% - Accent4 2 5 6 2" xfId="24541"/>
    <cellStyle name="20% - Accent4 2 5 7" xfId="18972"/>
    <cellStyle name="20% - Accent4 2 5 8" xfId="6366"/>
    <cellStyle name="20% - Accent4 2 6" xfId="1963"/>
    <cellStyle name="20% - Accent4 2 6 2" xfId="2633"/>
    <cellStyle name="20% - Accent4 2 6 2 2" xfId="4742"/>
    <cellStyle name="20% - Accent4 2 6 2 2 2" xfId="17355"/>
    <cellStyle name="20% - Accent4 2 6 2 2 2 2" xfId="28498"/>
    <cellStyle name="20% - Accent4 2 6 2 2 3" xfId="22929"/>
    <cellStyle name="20% - Accent4 2 6 2 2 4" xfId="8893"/>
    <cellStyle name="20% - Accent4 2 6 2 3" xfId="10549"/>
    <cellStyle name="20% - Accent4 2 6 2 3 2" xfId="15286"/>
    <cellStyle name="20% - Accent4 2 6 2 3 2 2" xfId="26429"/>
    <cellStyle name="20% - Accent4 2 6 2 3 3" xfId="20860"/>
    <cellStyle name="20% - Accent4 2 6 2 4" xfId="13856"/>
    <cellStyle name="20% - Accent4 2 6 2 4 2" xfId="24999"/>
    <cellStyle name="20% - Accent4 2 6 2 5" xfId="19430"/>
    <cellStyle name="20% - Accent4 2 6 2 6" xfId="6824"/>
    <cellStyle name="20% - Accent4 2 6 3" xfId="3271"/>
    <cellStyle name="20% - Accent4 2 6 3 2" xfId="5380"/>
    <cellStyle name="20% - Accent4 2 6 3 2 2" xfId="17993"/>
    <cellStyle name="20% - Accent4 2 6 3 2 2 2" xfId="29136"/>
    <cellStyle name="20% - Accent4 2 6 3 2 3" xfId="23567"/>
    <cellStyle name="20% - Accent4 2 6 3 2 4" xfId="9531"/>
    <cellStyle name="20% - Accent4 2 6 3 3" xfId="15924"/>
    <cellStyle name="20% - Accent4 2 6 3 3 2" xfId="27067"/>
    <cellStyle name="20% - Accent4 2 6 3 4" xfId="21498"/>
    <cellStyle name="20% - Accent4 2 6 3 5" xfId="7462"/>
    <cellStyle name="20% - Accent4 2 6 4" xfId="3950"/>
    <cellStyle name="20% - Accent4 2 6 4 2" xfId="16563"/>
    <cellStyle name="20% - Accent4 2 6 4 2 2" xfId="27706"/>
    <cellStyle name="20% - Accent4 2 6 4 3" xfId="22137"/>
    <cellStyle name="20% - Accent4 2 6 4 4" xfId="8101"/>
    <cellStyle name="20% - Accent4 2 6 5" xfId="10349"/>
    <cellStyle name="20% - Accent4 2 6 5 2" xfId="14647"/>
    <cellStyle name="20% - Accent4 2 6 5 2 2" xfId="25790"/>
    <cellStyle name="20% - Accent4 2 6 5 3" xfId="20221"/>
    <cellStyle name="20% - Accent4 2 6 6" xfId="13217"/>
    <cellStyle name="20% - Accent4 2 6 6 2" xfId="24360"/>
    <cellStyle name="20% - Accent4 2 6 7" xfId="18791"/>
    <cellStyle name="20% - Accent4 2 6 8" xfId="6185"/>
    <cellStyle name="20% - Accent4 2 7" xfId="2324"/>
    <cellStyle name="20% - Accent4 2 7 2" xfId="2966"/>
    <cellStyle name="20% - Accent4 2 7 2 2" xfId="5075"/>
    <cellStyle name="20% - Accent4 2 7 2 2 2" xfId="17688"/>
    <cellStyle name="20% - Accent4 2 7 2 2 2 2" xfId="28831"/>
    <cellStyle name="20% - Accent4 2 7 2 2 3" xfId="23262"/>
    <cellStyle name="20% - Accent4 2 7 2 2 4" xfId="9226"/>
    <cellStyle name="20% - Accent4 2 7 2 3" xfId="10118"/>
    <cellStyle name="20% - Accent4 2 7 2 3 2" xfId="15619"/>
    <cellStyle name="20% - Accent4 2 7 2 3 2 2" xfId="26762"/>
    <cellStyle name="20% - Accent4 2 7 2 3 3" xfId="21193"/>
    <cellStyle name="20% - Accent4 2 7 2 4" xfId="14189"/>
    <cellStyle name="20% - Accent4 2 7 2 4 2" xfId="25332"/>
    <cellStyle name="20% - Accent4 2 7 2 5" xfId="19763"/>
    <cellStyle name="20% - Accent4 2 7 2 6" xfId="7157"/>
    <cellStyle name="20% - Accent4 2 7 3" xfId="3604"/>
    <cellStyle name="20% - Accent4 2 7 3 2" xfId="5713"/>
    <cellStyle name="20% - Accent4 2 7 3 2 2" xfId="18326"/>
    <cellStyle name="20% - Accent4 2 7 3 2 2 2" xfId="29469"/>
    <cellStyle name="20% - Accent4 2 7 3 2 3" xfId="23900"/>
    <cellStyle name="20% - Accent4 2 7 3 2 4" xfId="9864"/>
    <cellStyle name="20% - Accent4 2 7 3 3" xfId="16257"/>
    <cellStyle name="20% - Accent4 2 7 3 3 2" xfId="27400"/>
    <cellStyle name="20% - Accent4 2 7 3 4" xfId="21831"/>
    <cellStyle name="20% - Accent4 2 7 3 5" xfId="7795"/>
    <cellStyle name="20% - Accent4 2 7 4" xfId="4283"/>
    <cellStyle name="20% - Accent4 2 7 4 2" xfId="16896"/>
    <cellStyle name="20% - Accent4 2 7 4 2 2" xfId="28039"/>
    <cellStyle name="20% - Accent4 2 7 4 3" xfId="22470"/>
    <cellStyle name="20% - Accent4 2 7 4 4" xfId="8434"/>
    <cellStyle name="20% - Accent4 2 7 5" xfId="11261"/>
    <cellStyle name="20% - Accent4 2 7 5 2" xfId="14980"/>
    <cellStyle name="20% - Accent4 2 7 5 2 2" xfId="26123"/>
    <cellStyle name="20% - Accent4 2 7 5 3" xfId="20554"/>
    <cellStyle name="20% - Accent4 2 7 6" xfId="13550"/>
    <cellStyle name="20% - Accent4 2 7 6 2" xfId="24693"/>
    <cellStyle name="20% - Accent4 2 7 7" xfId="19124"/>
    <cellStyle name="20% - Accent4 2 7 8" xfId="6518"/>
    <cellStyle name="20% - Accent4 2 8" xfId="1788"/>
    <cellStyle name="20% - Accent4 2 8 2" xfId="4436"/>
    <cellStyle name="20% - Accent4 2 8 2 2" xfId="17049"/>
    <cellStyle name="20% - Accent4 2 8 2 2 2" xfId="28192"/>
    <cellStyle name="20% - Accent4 2 8 2 3" xfId="22623"/>
    <cellStyle name="20% - Accent4 2 8 2 4" xfId="8587"/>
    <cellStyle name="20% - Accent4 2 8 3" xfId="10222"/>
    <cellStyle name="20% - Accent4 2 8 3 2" xfId="14495"/>
    <cellStyle name="20% - Accent4 2 8 3 2 2" xfId="25638"/>
    <cellStyle name="20% - Accent4 2 8 3 3" xfId="20069"/>
    <cellStyle name="20% - Accent4 2 8 4" xfId="13065"/>
    <cellStyle name="20% - Accent4 2 8 4 2" xfId="24208"/>
    <cellStyle name="20% - Accent4 2 8 5" xfId="18639"/>
    <cellStyle name="20% - Accent4 2 8 6" xfId="6033"/>
    <cellStyle name="20% - Accent4 2 9" xfId="2481"/>
    <cellStyle name="20% - Accent4 2 9 2" xfId="4590"/>
    <cellStyle name="20% - Accent4 2 9 2 2" xfId="17203"/>
    <cellStyle name="20% - Accent4 2 9 2 2 2" xfId="28346"/>
    <cellStyle name="20% - Accent4 2 9 2 3" xfId="22777"/>
    <cellStyle name="20% - Accent4 2 9 2 4" xfId="8741"/>
    <cellStyle name="20% - Accent4 2 9 3" xfId="10227"/>
    <cellStyle name="20% - Accent4 2 9 3 2" xfId="15134"/>
    <cellStyle name="20% - Accent4 2 9 3 2 2" xfId="26277"/>
    <cellStyle name="20% - Accent4 2 9 3 3" xfId="20708"/>
    <cellStyle name="20% - Accent4 2 9 4" xfId="13704"/>
    <cellStyle name="20% - Accent4 2 9 4 2" xfId="24847"/>
    <cellStyle name="20% - Accent4 2 9 5" xfId="19278"/>
    <cellStyle name="20% - Accent4 2 9 6" xfId="6672"/>
    <cellStyle name="20% - Accent4 3" xfId="141"/>
    <cellStyle name="20% - Accent4 3 2" xfId="391"/>
    <cellStyle name="20% - Accent4 3 2 2" xfId="570"/>
    <cellStyle name="20% - Accent4 3 2 2 2" xfId="953"/>
    <cellStyle name="20% - Accent4 3 2 2 2 2" xfId="1692"/>
    <cellStyle name="20% - Accent4 3 2 2 2 2 2" xfId="12788"/>
    <cellStyle name="20% - Accent4 3 2 2 2 3" xfId="12078"/>
    <cellStyle name="20% - Accent4 3 2 2 3" xfId="1337"/>
    <cellStyle name="20% - Accent4 3 2 2 3 2" xfId="12433"/>
    <cellStyle name="20% - Accent4 3 2 2 4" xfId="11723"/>
    <cellStyle name="20% - Accent4 3 2 3" xfId="775"/>
    <cellStyle name="20% - Accent4 3 2 3 2" xfId="1514"/>
    <cellStyle name="20% - Accent4 3 2 3 2 2" xfId="12610"/>
    <cellStyle name="20% - Accent4 3 2 3 3" xfId="11900"/>
    <cellStyle name="20% - Accent4 3 2 4" xfId="1159"/>
    <cellStyle name="20% - Accent4 3 2 4 2" xfId="12255"/>
    <cellStyle name="20% - Accent4 3 2 5" xfId="11545"/>
    <cellStyle name="20% - Accent4 3 3" xfId="446"/>
    <cellStyle name="20% - Accent4 3 3 2" xfId="625"/>
    <cellStyle name="20% - Accent4 3 3 2 2" xfId="1008"/>
    <cellStyle name="20% - Accent4 3 3 2 2 2" xfId="1747"/>
    <cellStyle name="20% - Accent4 3 3 2 2 2 2" xfId="12843"/>
    <cellStyle name="20% - Accent4 3 3 2 2 3" xfId="12133"/>
    <cellStyle name="20% - Accent4 3 3 2 3" xfId="1392"/>
    <cellStyle name="20% - Accent4 3 3 2 3 2" xfId="12488"/>
    <cellStyle name="20% - Accent4 3 3 2 4" xfId="11778"/>
    <cellStyle name="20% - Accent4 3 3 3" xfId="830"/>
    <cellStyle name="20% - Accent4 3 3 3 2" xfId="1569"/>
    <cellStyle name="20% - Accent4 3 3 3 2 2" xfId="12665"/>
    <cellStyle name="20% - Accent4 3 3 3 3" xfId="11955"/>
    <cellStyle name="20% - Accent4 3 3 4" xfId="1214"/>
    <cellStyle name="20% - Accent4 3 3 4 2" xfId="12310"/>
    <cellStyle name="20% - Accent4 3 3 5" xfId="11600"/>
    <cellStyle name="20% - Accent4 3 4" xfId="508"/>
    <cellStyle name="20% - Accent4 3 4 2" xfId="892"/>
    <cellStyle name="20% - Accent4 3 4 2 2" xfId="1631"/>
    <cellStyle name="20% - Accent4 3 4 2 2 2" xfId="12727"/>
    <cellStyle name="20% - Accent4 3 4 2 3" xfId="12017"/>
    <cellStyle name="20% - Accent4 3 4 3" xfId="1276"/>
    <cellStyle name="20% - Accent4 3 4 3 2" xfId="12372"/>
    <cellStyle name="20% - Accent4 3 4 4" xfId="11662"/>
    <cellStyle name="20% - Accent4 3 5" xfId="714"/>
    <cellStyle name="20% - Accent4 3 5 2" xfId="1453"/>
    <cellStyle name="20% - Accent4 3 5 2 2" xfId="12549"/>
    <cellStyle name="20% - Accent4 3 5 3" xfId="11839"/>
    <cellStyle name="20% - Accent4 3 6" xfId="1098"/>
    <cellStyle name="20% - Accent4 3 6 2" xfId="12194"/>
    <cellStyle name="20% - Accent4 3 7" xfId="11484"/>
    <cellStyle name="20% - Accent4 4" xfId="167"/>
    <cellStyle name="20% - Accent4 4 2" xfId="403"/>
    <cellStyle name="20% - Accent4 4 2 2" xfId="582"/>
    <cellStyle name="20% - Accent4 4 2 2 2" xfId="965"/>
    <cellStyle name="20% - Accent4 4 2 2 2 2" xfId="1704"/>
    <cellStyle name="20% - Accent4 4 2 2 2 2 2" xfId="12800"/>
    <cellStyle name="20% - Accent4 4 2 2 2 3" xfId="12090"/>
    <cellStyle name="20% - Accent4 4 2 2 3" xfId="1349"/>
    <cellStyle name="20% - Accent4 4 2 2 3 2" xfId="12445"/>
    <cellStyle name="20% - Accent4 4 2 2 4" xfId="11735"/>
    <cellStyle name="20% - Accent4 4 2 3" xfId="787"/>
    <cellStyle name="20% - Accent4 4 2 3 2" xfId="1526"/>
    <cellStyle name="20% - Accent4 4 2 3 2 2" xfId="12622"/>
    <cellStyle name="20% - Accent4 4 2 3 3" xfId="11912"/>
    <cellStyle name="20% - Accent4 4 2 4" xfId="1171"/>
    <cellStyle name="20% - Accent4 4 2 4 2" xfId="12267"/>
    <cellStyle name="20% - Accent4 4 2 5" xfId="11557"/>
    <cellStyle name="20% - Accent4 4 3" xfId="458"/>
    <cellStyle name="20% - Accent4 4 3 2" xfId="637"/>
    <cellStyle name="20% - Accent4 4 3 2 2" xfId="1020"/>
    <cellStyle name="20% - Accent4 4 3 2 2 2" xfId="1759"/>
    <cellStyle name="20% - Accent4 4 3 2 2 2 2" xfId="12855"/>
    <cellStyle name="20% - Accent4 4 3 2 2 3" xfId="12145"/>
    <cellStyle name="20% - Accent4 4 3 2 3" xfId="1404"/>
    <cellStyle name="20% - Accent4 4 3 2 3 2" xfId="12500"/>
    <cellStyle name="20% - Accent4 4 3 2 4" xfId="11790"/>
    <cellStyle name="20% - Accent4 4 3 3" xfId="842"/>
    <cellStyle name="20% - Accent4 4 3 3 2" xfId="1581"/>
    <cellStyle name="20% - Accent4 4 3 3 2 2" xfId="12677"/>
    <cellStyle name="20% - Accent4 4 3 3 3" xfId="11967"/>
    <cellStyle name="20% - Accent4 4 3 4" xfId="1226"/>
    <cellStyle name="20% - Accent4 4 3 4 2" xfId="12322"/>
    <cellStyle name="20% - Accent4 4 3 5" xfId="11612"/>
    <cellStyle name="20% - Accent4 4 4" xfId="521"/>
    <cellStyle name="20% - Accent4 4 4 2" xfId="904"/>
    <cellStyle name="20% - Accent4 4 4 2 2" xfId="1643"/>
    <cellStyle name="20% - Accent4 4 4 2 2 2" xfId="12739"/>
    <cellStyle name="20% - Accent4 4 4 2 3" xfId="12029"/>
    <cellStyle name="20% - Accent4 4 4 3" xfId="1288"/>
    <cellStyle name="20% - Accent4 4 4 3 2" xfId="12384"/>
    <cellStyle name="20% - Accent4 4 4 4" xfId="11674"/>
    <cellStyle name="20% - Accent4 4 5" xfId="726"/>
    <cellStyle name="20% - Accent4 4 5 2" xfId="1465"/>
    <cellStyle name="20% - Accent4 4 5 2 2" xfId="12561"/>
    <cellStyle name="20% - Accent4 4 5 3" xfId="11851"/>
    <cellStyle name="20% - Accent4 4 6" xfId="1110"/>
    <cellStyle name="20% - Accent4 4 6 2" xfId="12206"/>
    <cellStyle name="20% - Accent4 4 7" xfId="11496"/>
    <cellStyle name="20% - Accent4 5" xfId="209"/>
    <cellStyle name="20% - Accent4 5 2" xfId="415"/>
    <cellStyle name="20% - Accent4 5 2 2" xfId="594"/>
    <cellStyle name="20% - Accent4 5 2 2 2" xfId="977"/>
    <cellStyle name="20% - Accent4 5 2 2 2 2" xfId="1716"/>
    <cellStyle name="20% - Accent4 5 2 2 2 2 2" xfId="12812"/>
    <cellStyle name="20% - Accent4 5 2 2 2 3" xfId="12102"/>
    <cellStyle name="20% - Accent4 5 2 2 3" xfId="1361"/>
    <cellStyle name="20% - Accent4 5 2 2 3 2" xfId="12457"/>
    <cellStyle name="20% - Accent4 5 2 2 4" xfId="11747"/>
    <cellStyle name="20% - Accent4 5 2 3" xfId="799"/>
    <cellStyle name="20% - Accent4 5 2 3 2" xfId="1538"/>
    <cellStyle name="20% - Accent4 5 2 3 2 2" xfId="12634"/>
    <cellStyle name="20% - Accent4 5 2 3 3" xfId="11924"/>
    <cellStyle name="20% - Accent4 5 2 4" xfId="1183"/>
    <cellStyle name="20% - Accent4 5 2 4 2" xfId="12279"/>
    <cellStyle name="20% - Accent4 5 2 5" xfId="11569"/>
    <cellStyle name="20% - Accent4 5 3" xfId="470"/>
    <cellStyle name="20% - Accent4 5 3 2" xfId="649"/>
    <cellStyle name="20% - Accent4 5 3 2 2" xfId="1032"/>
    <cellStyle name="20% - Accent4 5 3 2 2 2" xfId="1771"/>
    <cellStyle name="20% - Accent4 5 3 2 2 2 2" xfId="12867"/>
    <cellStyle name="20% - Accent4 5 3 2 2 3" xfId="12157"/>
    <cellStyle name="20% - Accent4 5 3 2 3" xfId="1416"/>
    <cellStyle name="20% - Accent4 5 3 2 3 2" xfId="12512"/>
    <cellStyle name="20% - Accent4 5 3 2 4" xfId="11802"/>
    <cellStyle name="20% - Accent4 5 3 3" xfId="854"/>
    <cellStyle name="20% - Accent4 5 3 3 2" xfId="1593"/>
    <cellStyle name="20% - Accent4 5 3 3 2 2" xfId="12689"/>
    <cellStyle name="20% - Accent4 5 3 3 3" xfId="11979"/>
    <cellStyle name="20% - Accent4 5 3 4" xfId="1238"/>
    <cellStyle name="20% - Accent4 5 3 4 2" xfId="12334"/>
    <cellStyle name="20% - Accent4 5 3 5" xfId="11624"/>
    <cellStyle name="20% - Accent4 5 4" xfId="533"/>
    <cellStyle name="20% - Accent4 5 4 2" xfId="916"/>
    <cellStyle name="20% - Accent4 5 4 2 2" xfId="1655"/>
    <cellStyle name="20% - Accent4 5 4 2 2 2" xfId="12751"/>
    <cellStyle name="20% - Accent4 5 4 2 3" xfId="12041"/>
    <cellStyle name="20% - Accent4 5 4 3" xfId="1300"/>
    <cellStyle name="20% - Accent4 5 4 3 2" xfId="12396"/>
    <cellStyle name="20% - Accent4 5 4 4" xfId="11686"/>
    <cellStyle name="20% - Accent4 5 5" xfId="738"/>
    <cellStyle name="20% - Accent4 5 5 2" xfId="1477"/>
    <cellStyle name="20% - Accent4 5 5 2 2" xfId="12573"/>
    <cellStyle name="20% - Accent4 5 5 3" xfId="11863"/>
    <cellStyle name="20% - Accent4 5 6" xfId="1122"/>
    <cellStyle name="20% - Accent4 5 6 2" xfId="12218"/>
    <cellStyle name="20% - Accent4 5 7" xfId="11508"/>
    <cellStyle name="20% - Accent4 6" xfId="355"/>
    <cellStyle name="20% - Accent4 6 2" xfId="372"/>
    <cellStyle name="20% - Accent4 6 2 2" xfId="551"/>
    <cellStyle name="20% - Accent4 6 2 2 2" xfId="934"/>
    <cellStyle name="20% - Accent4 6 2 2 2 2" xfId="1673"/>
    <cellStyle name="20% - Accent4 6 2 2 2 2 2" xfId="12769"/>
    <cellStyle name="20% - Accent4 6 2 2 2 3" xfId="12059"/>
    <cellStyle name="20% - Accent4 6 2 2 3" xfId="1318"/>
    <cellStyle name="20% - Accent4 6 2 2 3 2" xfId="12414"/>
    <cellStyle name="20% - Accent4 6 2 2 4" xfId="11704"/>
    <cellStyle name="20% - Accent4 6 2 3" xfId="756"/>
    <cellStyle name="20% - Accent4 6 2 3 2" xfId="1495"/>
    <cellStyle name="20% - Accent4 6 2 3 2 2" xfId="12591"/>
    <cellStyle name="20% - Accent4 6 2 3 3" xfId="11881"/>
    <cellStyle name="20% - Accent4 6 2 4" xfId="1140"/>
    <cellStyle name="20% - Accent4 6 2 4 2" xfId="12236"/>
    <cellStyle name="20% - Accent4 6 2 5" xfId="11526"/>
    <cellStyle name="20% - Accent4 6 3" xfId="539"/>
    <cellStyle name="20% - Accent4 6 3 2" xfId="922"/>
    <cellStyle name="20% - Accent4 6 3 2 2" xfId="1661"/>
    <cellStyle name="20% - Accent4 6 3 2 2 2" xfId="12757"/>
    <cellStyle name="20% - Accent4 6 3 2 3" xfId="12047"/>
    <cellStyle name="20% - Accent4 6 3 3" xfId="1306"/>
    <cellStyle name="20% - Accent4 6 3 3 2" xfId="12402"/>
    <cellStyle name="20% - Accent4 6 3 4" xfId="11692"/>
    <cellStyle name="20% - Accent4 6 4" xfId="744"/>
    <cellStyle name="20% - Accent4 6 4 2" xfId="1483"/>
    <cellStyle name="20% - Accent4 6 4 2 2" xfId="12579"/>
    <cellStyle name="20% - Accent4 6 4 3" xfId="11869"/>
    <cellStyle name="20% - Accent4 6 5" xfId="1128"/>
    <cellStyle name="20% - Accent4 6 5 2" xfId="12224"/>
    <cellStyle name="20% - Accent4 6 6" xfId="11514"/>
    <cellStyle name="20% - Accent4 7" xfId="427"/>
    <cellStyle name="20% - Accent4 7 2" xfId="606"/>
    <cellStyle name="20% - Accent4 7 2 2" xfId="989"/>
    <cellStyle name="20% - Accent4 7 2 2 2" xfId="1728"/>
    <cellStyle name="20% - Accent4 7 2 2 2 2" xfId="12824"/>
    <cellStyle name="20% - Accent4 7 2 2 3" xfId="12114"/>
    <cellStyle name="20% - Accent4 7 2 3" xfId="1373"/>
    <cellStyle name="20% - Accent4 7 2 3 2" xfId="12469"/>
    <cellStyle name="20% - Accent4 7 2 4" xfId="11759"/>
    <cellStyle name="20% - Accent4 7 3" xfId="811"/>
    <cellStyle name="20% - Accent4 7 3 2" xfId="1550"/>
    <cellStyle name="20% - Accent4 7 3 2 2" xfId="12646"/>
    <cellStyle name="20% - Accent4 7 3 3" xfId="11936"/>
    <cellStyle name="20% - Accent4 7 4" xfId="1195"/>
    <cellStyle name="20% - Accent4 7 4 2" xfId="12291"/>
    <cellStyle name="20% - Accent4 7 5" xfId="11581"/>
    <cellStyle name="20% - Accent4 8" xfId="483"/>
    <cellStyle name="20% - Accent4 8 2" xfId="867"/>
    <cellStyle name="20% - Accent4 8 2 2" xfId="1606"/>
    <cellStyle name="20% - Accent4 8 2 2 2" xfId="12702"/>
    <cellStyle name="20% - Accent4 8 2 3" xfId="11992"/>
    <cellStyle name="20% - Accent4 8 3" xfId="1251"/>
    <cellStyle name="20% - Accent4 8 3 2" xfId="12347"/>
    <cellStyle name="20% - Accent4 8 4" xfId="11637"/>
    <cellStyle name="20% - Accent4 9" xfId="684"/>
    <cellStyle name="20% - Accent4 9 2" xfId="1428"/>
    <cellStyle name="20% - Accent4 9 2 2" xfId="12524"/>
    <cellStyle name="20% - Accent4 9 3" xfId="11814"/>
    <cellStyle name="20% - Accent5" xfId="34" builtinId="46" customBuiltin="1"/>
    <cellStyle name="20% - Accent5 10" xfId="1072"/>
    <cellStyle name="20% - Accent5 10 2" xfId="12171"/>
    <cellStyle name="20% - Accent5 11" xfId="1953"/>
    <cellStyle name="20% - Accent5 11 2" xfId="12882"/>
    <cellStyle name="20% - Accent5 12" xfId="3780"/>
    <cellStyle name="20% - Accent5 12 2" xfId="11461"/>
    <cellStyle name="20% - Accent5 2" xfId="108"/>
    <cellStyle name="20% - Accent5 2 10" xfId="3111"/>
    <cellStyle name="20% - Accent5 2 10 2" xfId="5220"/>
    <cellStyle name="20% - Accent5 2 10 2 2" xfId="17833"/>
    <cellStyle name="20% - Accent5 2 10 2 2 2" xfId="28976"/>
    <cellStyle name="20% - Accent5 2 10 2 3" xfId="23407"/>
    <cellStyle name="20% - Accent5 2 10 2 4" xfId="9371"/>
    <cellStyle name="20% - Accent5 2 10 3" xfId="15764"/>
    <cellStyle name="20% - Accent5 2 10 3 2" xfId="26907"/>
    <cellStyle name="20% - Accent5 2 10 4" xfId="21338"/>
    <cellStyle name="20% - Accent5 2 10 5" xfId="7302"/>
    <cellStyle name="20% - Accent5 2 11" xfId="3790"/>
    <cellStyle name="20% - Accent5 2 11 2" xfId="16403"/>
    <cellStyle name="20% - Accent5 2 11 2 2" xfId="27546"/>
    <cellStyle name="20% - Accent5 2 11 3" xfId="21977"/>
    <cellStyle name="20% - Accent5 2 11 4" xfId="7941"/>
    <cellStyle name="20% - Accent5 2 12" xfId="10781"/>
    <cellStyle name="20% - Accent5 2 12 2" xfId="14334"/>
    <cellStyle name="20% - Accent5 2 12 2 2" xfId="25477"/>
    <cellStyle name="20% - Accent5 2 12 3" xfId="19908"/>
    <cellStyle name="20% - Accent5 2 13" xfId="12902"/>
    <cellStyle name="20% - Accent5 2 13 2" xfId="24046"/>
    <cellStyle name="20% - Accent5 2 14" xfId="18478"/>
    <cellStyle name="20% - Accent5 2 15" xfId="5871"/>
    <cellStyle name="20% - Accent5 2 2" xfId="223"/>
    <cellStyle name="20% - Accent5 2 2 10" xfId="3809"/>
    <cellStyle name="20% - Accent5 2 2 10 2" xfId="16422"/>
    <cellStyle name="20% - Accent5 2 2 10 2 2" xfId="27565"/>
    <cellStyle name="20% - Accent5 2 2 10 3" xfId="21996"/>
    <cellStyle name="20% - Accent5 2 2 10 4" xfId="7960"/>
    <cellStyle name="20% - Accent5 2 2 11" xfId="11272"/>
    <cellStyle name="20% - Accent5 2 2 11 2" xfId="14353"/>
    <cellStyle name="20% - Accent5 2 2 11 2 2" xfId="25496"/>
    <cellStyle name="20% - Accent5 2 2 11 3" xfId="19927"/>
    <cellStyle name="20% - Accent5 2 2 12" xfId="12922"/>
    <cellStyle name="20% - Accent5 2 2 12 2" xfId="24066"/>
    <cellStyle name="20% - Accent5 2 2 13" xfId="18497"/>
    <cellStyle name="20% - Accent5 2 2 14" xfId="5890"/>
    <cellStyle name="20% - Accent5 2 2 2" xfId="261"/>
    <cellStyle name="20% - Accent5 2 2 2 10" xfId="10955"/>
    <cellStyle name="20% - Accent5 2 2 2 10 2" xfId="14391"/>
    <cellStyle name="20% - Accent5 2 2 2 10 2 2" xfId="25534"/>
    <cellStyle name="20% - Accent5 2 2 2 10 3" xfId="19965"/>
    <cellStyle name="20% - Accent5 2 2 2 11" xfId="12960"/>
    <cellStyle name="20% - Accent5 2 2 2 11 2" xfId="24104"/>
    <cellStyle name="20% - Accent5 2 2 2 12" xfId="18535"/>
    <cellStyle name="20% - Accent5 2 2 2 13" xfId="5928"/>
    <cellStyle name="20% - Accent5 2 2 2 2" xfId="337"/>
    <cellStyle name="20% - Accent5 2 2 2 2 10" xfId="13036"/>
    <cellStyle name="20% - Accent5 2 2 2 2 10 2" xfId="24180"/>
    <cellStyle name="20% - Accent5 2 2 2 2 11" xfId="18611"/>
    <cellStyle name="20% - Accent5 2 2 2 2 12" xfId="6004"/>
    <cellStyle name="20% - Accent5 2 2 2 2 2" xfId="2295"/>
    <cellStyle name="20% - Accent5 2 2 2 2 2 2" xfId="2939"/>
    <cellStyle name="20% - Accent5 2 2 2 2 2 2 2" xfId="5048"/>
    <cellStyle name="20% - Accent5 2 2 2 2 2 2 2 2" xfId="17661"/>
    <cellStyle name="20% - Accent5 2 2 2 2 2 2 2 2 2" xfId="28804"/>
    <cellStyle name="20% - Accent5 2 2 2 2 2 2 2 3" xfId="23235"/>
    <cellStyle name="20% - Accent5 2 2 2 2 2 2 2 4" xfId="9199"/>
    <cellStyle name="20% - Accent5 2 2 2 2 2 2 3" xfId="11050"/>
    <cellStyle name="20% - Accent5 2 2 2 2 2 2 3 2" xfId="15592"/>
    <cellStyle name="20% - Accent5 2 2 2 2 2 2 3 2 2" xfId="26735"/>
    <cellStyle name="20% - Accent5 2 2 2 2 2 2 3 3" xfId="21166"/>
    <cellStyle name="20% - Accent5 2 2 2 2 2 2 4" xfId="14162"/>
    <cellStyle name="20% - Accent5 2 2 2 2 2 2 4 2" xfId="25305"/>
    <cellStyle name="20% - Accent5 2 2 2 2 2 2 5" xfId="19736"/>
    <cellStyle name="20% - Accent5 2 2 2 2 2 2 6" xfId="7130"/>
    <cellStyle name="20% - Accent5 2 2 2 2 2 3" xfId="3577"/>
    <cellStyle name="20% - Accent5 2 2 2 2 2 3 2" xfId="5686"/>
    <cellStyle name="20% - Accent5 2 2 2 2 2 3 2 2" xfId="18299"/>
    <cellStyle name="20% - Accent5 2 2 2 2 2 3 2 2 2" xfId="29442"/>
    <cellStyle name="20% - Accent5 2 2 2 2 2 3 2 3" xfId="23873"/>
    <cellStyle name="20% - Accent5 2 2 2 2 2 3 2 4" xfId="9837"/>
    <cellStyle name="20% - Accent5 2 2 2 2 2 3 3" xfId="16230"/>
    <cellStyle name="20% - Accent5 2 2 2 2 2 3 3 2" xfId="27373"/>
    <cellStyle name="20% - Accent5 2 2 2 2 2 3 4" xfId="21804"/>
    <cellStyle name="20% - Accent5 2 2 2 2 2 3 5" xfId="7768"/>
    <cellStyle name="20% - Accent5 2 2 2 2 2 4" xfId="4256"/>
    <cellStyle name="20% - Accent5 2 2 2 2 2 4 2" xfId="16869"/>
    <cellStyle name="20% - Accent5 2 2 2 2 2 4 2 2" xfId="28012"/>
    <cellStyle name="20% - Accent5 2 2 2 2 2 4 3" xfId="22443"/>
    <cellStyle name="20% - Accent5 2 2 2 2 2 4 4" xfId="8407"/>
    <cellStyle name="20% - Accent5 2 2 2 2 2 5" xfId="10541"/>
    <cellStyle name="20% - Accent5 2 2 2 2 2 5 2" xfId="14953"/>
    <cellStyle name="20% - Accent5 2 2 2 2 2 5 2 2" xfId="26096"/>
    <cellStyle name="20% - Accent5 2 2 2 2 2 5 3" xfId="20527"/>
    <cellStyle name="20% - Accent5 2 2 2 2 2 6" xfId="13523"/>
    <cellStyle name="20% - Accent5 2 2 2 2 2 6 2" xfId="24666"/>
    <cellStyle name="20% - Accent5 2 2 2 2 2 7" xfId="19097"/>
    <cellStyle name="20% - Accent5 2 2 2 2 2 8" xfId="6491"/>
    <cellStyle name="20% - Accent5 2 2 2 2 3" xfId="2103"/>
    <cellStyle name="20% - Accent5 2 2 2 2 3 2" xfId="2758"/>
    <cellStyle name="20% - Accent5 2 2 2 2 3 2 2" xfId="4867"/>
    <cellStyle name="20% - Accent5 2 2 2 2 3 2 2 2" xfId="17480"/>
    <cellStyle name="20% - Accent5 2 2 2 2 3 2 2 2 2" xfId="28623"/>
    <cellStyle name="20% - Accent5 2 2 2 2 3 2 2 3" xfId="23054"/>
    <cellStyle name="20% - Accent5 2 2 2 2 3 2 2 4" xfId="9018"/>
    <cellStyle name="20% - Accent5 2 2 2 2 3 2 3" xfId="10871"/>
    <cellStyle name="20% - Accent5 2 2 2 2 3 2 3 2" xfId="15411"/>
    <cellStyle name="20% - Accent5 2 2 2 2 3 2 3 2 2" xfId="26554"/>
    <cellStyle name="20% - Accent5 2 2 2 2 3 2 3 3" xfId="20985"/>
    <cellStyle name="20% - Accent5 2 2 2 2 3 2 4" xfId="13981"/>
    <cellStyle name="20% - Accent5 2 2 2 2 3 2 4 2" xfId="25124"/>
    <cellStyle name="20% - Accent5 2 2 2 2 3 2 5" xfId="19555"/>
    <cellStyle name="20% - Accent5 2 2 2 2 3 2 6" xfId="6949"/>
    <cellStyle name="20% - Accent5 2 2 2 2 3 3" xfId="3396"/>
    <cellStyle name="20% - Accent5 2 2 2 2 3 3 2" xfId="5505"/>
    <cellStyle name="20% - Accent5 2 2 2 2 3 3 2 2" xfId="18118"/>
    <cellStyle name="20% - Accent5 2 2 2 2 3 3 2 2 2" xfId="29261"/>
    <cellStyle name="20% - Accent5 2 2 2 2 3 3 2 3" xfId="23692"/>
    <cellStyle name="20% - Accent5 2 2 2 2 3 3 2 4" xfId="9656"/>
    <cellStyle name="20% - Accent5 2 2 2 2 3 3 3" xfId="16049"/>
    <cellStyle name="20% - Accent5 2 2 2 2 3 3 3 2" xfId="27192"/>
    <cellStyle name="20% - Accent5 2 2 2 2 3 3 4" xfId="21623"/>
    <cellStyle name="20% - Accent5 2 2 2 2 3 3 5" xfId="7587"/>
    <cellStyle name="20% - Accent5 2 2 2 2 3 4" xfId="4075"/>
    <cellStyle name="20% - Accent5 2 2 2 2 3 4 2" xfId="16688"/>
    <cellStyle name="20% - Accent5 2 2 2 2 3 4 2 2" xfId="27831"/>
    <cellStyle name="20% - Accent5 2 2 2 2 3 4 3" xfId="22262"/>
    <cellStyle name="20% - Accent5 2 2 2 2 3 4 4" xfId="8226"/>
    <cellStyle name="20% - Accent5 2 2 2 2 3 5" xfId="10344"/>
    <cellStyle name="20% - Accent5 2 2 2 2 3 5 2" xfId="14772"/>
    <cellStyle name="20% - Accent5 2 2 2 2 3 5 2 2" xfId="25915"/>
    <cellStyle name="20% - Accent5 2 2 2 2 3 5 3" xfId="20346"/>
    <cellStyle name="20% - Accent5 2 2 2 2 3 6" xfId="13342"/>
    <cellStyle name="20% - Accent5 2 2 2 2 3 6 2" xfId="24485"/>
    <cellStyle name="20% - Accent5 2 2 2 2 3 7" xfId="18916"/>
    <cellStyle name="20% - Accent5 2 2 2 2 3 8" xfId="6310"/>
    <cellStyle name="20% - Accent5 2 2 2 2 4" xfId="2450"/>
    <cellStyle name="20% - Accent5 2 2 2 2 4 2" xfId="3091"/>
    <cellStyle name="20% - Accent5 2 2 2 2 4 2 2" xfId="5200"/>
    <cellStyle name="20% - Accent5 2 2 2 2 4 2 2 2" xfId="17813"/>
    <cellStyle name="20% - Accent5 2 2 2 2 4 2 2 2 2" xfId="28956"/>
    <cellStyle name="20% - Accent5 2 2 2 2 4 2 2 3" xfId="23387"/>
    <cellStyle name="20% - Accent5 2 2 2 2 4 2 2 4" xfId="9351"/>
    <cellStyle name="20% - Accent5 2 2 2 2 4 2 3" xfId="10809"/>
    <cellStyle name="20% - Accent5 2 2 2 2 4 2 3 2" xfId="15744"/>
    <cellStyle name="20% - Accent5 2 2 2 2 4 2 3 2 2" xfId="26887"/>
    <cellStyle name="20% - Accent5 2 2 2 2 4 2 3 3" xfId="21318"/>
    <cellStyle name="20% - Accent5 2 2 2 2 4 2 4" xfId="14314"/>
    <cellStyle name="20% - Accent5 2 2 2 2 4 2 4 2" xfId="25457"/>
    <cellStyle name="20% - Accent5 2 2 2 2 4 2 5" xfId="19888"/>
    <cellStyle name="20% - Accent5 2 2 2 2 4 2 6" xfId="7282"/>
    <cellStyle name="20% - Accent5 2 2 2 2 4 3" xfId="3729"/>
    <cellStyle name="20% - Accent5 2 2 2 2 4 3 2" xfId="5838"/>
    <cellStyle name="20% - Accent5 2 2 2 2 4 3 2 2" xfId="18451"/>
    <cellStyle name="20% - Accent5 2 2 2 2 4 3 2 2 2" xfId="29594"/>
    <cellStyle name="20% - Accent5 2 2 2 2 4 3 2 3" xfId="24025"/>
    <cellStyle name="20% - Accent5 2 2 2 2 4 3 2 4" xfId="9989"/>
    <cellStyle name="20% - Accent5 2 2 2 2 4 3 3" xfId="16382"/>
    <cellStyle name="20% - Accent5 2 2 2 2 4 3 3 2" xfId="27525"/>
    <cellStyle name="20% - Accent5 2 2 2 2 4 3 4" xfId="21956"/>
    <cellStyle name="20% - Accent5 2 2 2 2 4 3 5" xfId="7920"/>
    <cellStyle name="20% - Accent5 2 2 2 2 4 4" xfId="4408"/>
    <cellStyle name="20% - Accent5 2 2 2 2 4 4 2" xfId="17021"/>
    <cellStyle name="20% - Accent5 2 2 2 2 4 4 2 2" xfId="28164"/>
    <cellStyle name="20% - Accent5 2 2 2 2 4 4 3" xfId="22595"/>
    <cellStyle name="20% - Accent5 2 2 2 2 4 4 4" xfId="8559"/>
    <cellStyle name="20% - Accent5 2 2 2 2 4 5" xfId="10298"/>
    <cellStyle name="20% - Accent5 2 2 2 2 4 5 2" xfId="15105"/>
    <cellStyle name="20% - Accent5 2 2 2 2 4 5 2 2" xfId="26248"/>
    <cellStyle name="20% - Accent5 2 2 2 2 4 5 3" xfId="20679"/>
    <cellStyle name="20% - Accent5 2 2 2 2 4 6" xfId="13675"/>
    <cellStyle name="20% - Accent5 2 2 2 2 4 6 2" xfId="24818"/>
    <cellStyle name="20% - Accent5 2 2 2 2 4 7" xfId="19249"/>
    <cellStyle name="20% - Accent5 2 2 2 2 4 8" xfId="6643"/>
    <cellStyle name="20% - Accent5 2 2 2 2 5" xfId="1913"/>
    <cellStyle name="20% - Accent5 2 2 2 2 5 2" xfId="4561"/>
    <cellStyle name="20% - Accent5 2 2 2 2 5 2 2" xfId="17174"/>
    <cellStyle name="20% - Accent5 2 2 2 2 5 2 2 2" xfId="28317"/>
    <cellStyle name="20% - Accent5 2 2 2 2 5 2 3" xfId="22748"/>
    <cellStyle name="20% - Accent5 2 2 2 2 5 2 4" xfId="8712"/>
    <cellStyle name="20% - Accent5 2 2 2 2 5 3" xfId="10219"/>
    <cellStyle name="20% - Accent5 2 2 2 2 5 3 2" xfId="14620"/>
    <cellStyle name="20% - Accent5 2 2 2 2 5 3 2 2" xfId="25763"/>
    <cellStyle name="20% - Accent5 2 2 2 2 5 3 3" xfId="20194"/>
    <cellStyle name="20% - Accent5 2 2 2 2 5 4" xfId="13190"/>
    <cellStyle name="20% - Accent5 2 2 2 2 5 4 2" xfId="24333"/>
    <cellStyle name="20% - Accent5 2 2 2 2 5 5" xfId="18764"/>
    <cellStyle name="20% - Accent5 2 2 2 2 5 6" xfId="6158"/>
    <cellStyle name="20% - Accent5 2 2 2 2 6" xfId="2606"/>
    <cellStyle name="20% - Accent5 2 2 2 2 6 2" xfId="4715"/>
    <cellStyle name="20% - Accent5 2 2 2 2 6 2 2" xfId="17328"/>
    <cellStyle name="20% - Accent5 2 2 2 2 6 2 2 2" xfId="28471"/>
    <cellStyle name="20% - Accent5 2 2 2 2 6 2 3" xfId="22902"/>
    <cellStyle name="20% - Accent5 2 2 2 2 6 2 4" xfId="8866"/>
    <cellStyle name="20% - Accent5 2 2 2 2 6 3" xfId="10107"/>
    <cellStyle name="20% - Accent5 2 2 2 2 6 3 2" xfId="15259"/>
    <cellStyle name="20% - Accent5 2 2 2 2 6 3 2 2" xfId="26402"/>
    <cellStyle name="20% - Accent5 2 2 2 2 6 3 3" xfId="20833"/>
    <cellStyle name="20% - Accent5 2 2 2 2 6 4" xfId="13829"/>
    <cellStyle name="20% - Accent5 2 2 2 2 6 4 2" xfId="24972"/>
    <cellStyle name="20% - Accent5 2 2 2 2 6 5" xfId="19403"/>
    <cellStyle name="20% - Accent5 2 2 2 2 6 6" xfId="6797"/>
    <cellStyle name="20% - Accent5 2 2 2 2 7" xfId="3244"/>
    <cellStyle name="20% - Accent5 2 2 2 2 7 2" xfId="5353"/>
    <cellStyle name="20% - Accent5 2 2 2 2 7 2 2" xfId="17966"/>
    <cellStyle name="20% - Accent5 2 2 2 2 7 2 2 2" xfId="29109"/>
    <cellStyle name="20% - Accent5 2 2 2 2 7 2 3" xfId="23540"/>
    <cellStyle name="20% - Accent5 2 2 2 2 7 2 4" xfId="9504"/>
    <cellStyle name="20% - Accent5 2 2 2 2 7 3" xfId="15897"/>
    <cellStyle name="20% - Accent5 2 2 2 2 7 3 2" xfId="27040"/>
    <cellStyle name="20% - Accent5 2 2 2 2 7 4" xfId="21471"/>
    <cellStyle name="20% - Accent5 2 2 2 2 7 5" xfId="7435"/>
    <cellStyle name="20% - Accent5 2 2 2 2 8" xfId="3923"/>
    <cellStyle name="20% - Accent5 2 2 2 2 8 2" xfId="16536"/>
    <cellStyle name="20% - Accent5 2 2 2 2 8 2 2" xfId="27679"/>
    <cellStyle name="20% - Accent5 2 2 2 2 8 3" xfId="22110"/>
    <cellStyle name="20% - Accent5 2 2 2 2 8 4" xfId="8074"/>
    <cellStyle name="20% - Accent5 2 2 2 2 9" xfId="10267"/>
    <cellStyle name="20% - Accent5 2 2 2 2 9 2" xfId="14467"/>
    <cellStyle name="20% - Accent5 2 2 2 2 9 2 2" xfId="25610"/>
    <cellStyle name="20% - Accent5 2 2 2 2 9 3" xfId="20041"/>
    <cellStyle name="20% - Accent5 2 2 2 3" xfId="2219"/>
    <cellStyle name="20% - Accent5 2 2 2 3 2" xfId="2863"/>
    <cellStyle name="20% - Accent5 2 2 2 3 2 2" xfId="4972"/>
    <cellStyle name="20% - Accent5 2 2 2 3 2 2 2" xfId="17585"/>
    <cellStyle name="20% - Accent5 2 2 2 3 2 2 2 2" xfId="28728"/>
    <cellStyle name="20% - Accent5 2 2 2 3 2 2 3" xfId="23159"/>
    <cellStyle name="20% - Accent5 2 2 2 3 2 2 4" xfId="9123"/>
    <cellStyle name="20% - Accent5 2 2 2 3 2 3" xfId="11024"/>
    <cellStyle name="20% - Accent5 2 2 2 3 2 3 2" xfId="15516"/>
    <cellStyle name="20% - Accent5 2 2 2 3 2 3 2 2" xfId="26659"/>
    <cellStyle name="20% - Accent5 2 2 2 3 2 3 3" xfId="21090"/>
    <cellStyle name="20% - Accent5 2 2 2 3 2 4" xfId="14086"/>
    <cellStyle name="20% - Accent5 2 2 2 3 2 4 2" xfId="25229"/>
    <cellStyle name="20% - Accent5 2 2 2 3 2 5" xfId="19660"/>
    <cellStyle name="20% - Accent5 2 2 2 3 2 6" xfId="7054"/>
    <cellStyle name="20% - Accent5 2 2 2 3 3" xfId="3501"/>
    <cellStyle name="20% - Accent5 2 2 2 3 3 2" xfId="5610"/>
    <cellStyle name="20% - Accent5 2 2 2 3 3 2 2" xfId="18223"/>
    <cellStyle name="20% - Accent5 2 2 2 3 3 2 2 2" xfId="29366"/>
    <cellStyle name="20% - Accent5 2 2 2 3 3 2 3" xfId="23797"/>
    <cellStyle name="20% - Accent5 2 2 2 3 3 2 4" xfId="9761"/>
    <cellStyle name="20% - Accent5 2 2 2 3 3 3" xfId="16154"/>
    <cellStyle name="20% - Accent5 2 2 2 3 3 3 2" xfId="27297"/>
    <cellStyle name="20% - Accent5 2 2 2 3 3 4" xfId="21728"/>
    <cellStyle name="20% - Accent5 2 2 2 3 3 5" xfId="7692"/>
    <cellStyle name="20% - Accent5 2 2 2 3 4" xfId="4180"/>
    <cellStyle name="20% - Accent5 2 2 2 3 4 2" xfId="16793"/>
    <cellStyle name="20% - Accent5 2 2 2 3 4 2 2" xfId="27936"/>
    <cellStyle name="20% - Accent5 2 2 2 3 4 3" xfId="22367"/>
    <cellStyle name="20% - Accent5 2 2 2 3 4 4" xfId="8331"/>
    <cellStyle name="20% - Accent5 2 2 2 3 5" xfId="10127"/>
    <cellStyle name="20% - Accent5 2 2 2 3 5 2" xfId="14877"/>
    <cellStyle name="20% - Accent5 2 2 2 3 5 2 2" xfId="26020"/>
    <cellStyle name="20% - Accent5 2 2 2 3 5 3" xfId="20451"/>
    <cellStyle name="20% - Accent5 2 2 2 3 6" xfId="13447"/>
    <cellStyle name="20% - Accent5 2 2 2 3 6 2" xfId="24590"/>
    <cellStyle name="20% - Accent5 2 2 2 3 7" xfId="19021"/>
    <cellStyle name="20% - Accent5 2 2 2 3 8" xfId="6415"/>
    <cellStyle name="20% - Accent5 2 2 2 4" xfId="2027"/>
    <cellStyle name="20% - Accent5 2 2 2 4 2" xfId="2682"/>
    <cellStyle name="20% - Accent5 2 2 2 4 2 2" xfId="4791"/>
    <cellStyle name="20% - Accent5 2 2 2 4 2 2 2" xfId="17404"/>
    <cellStyle name="20% - Accent5 2 2 2 4 2 2 2 2" xfId="28547"/>
    <cellStyle name="20% - Accent5 2 2 2 4 2 2 3" xfId="22978"/>
    <cellStyle name="20% - Accent5 2 2 2 4 2 2 4" xfId="8942"/>
    <cellStyle name="20% - Accent5 2 2 2 4 2 3" xfId="10293"/>
    <cellStyle name="20% - Accent5 2 2 2 4 2 3 2" xfId="15335"/>
    <cellStyle name="20% - Accent5 2 2 2 4 2 3 2 2" xfId="26478"/>
    <cellStyle name="20% - Accent5 2 2 2 4 2 3 3" xfId="20909"/>
    <cellStyle name="20% - Accent5 2 2 2 4 2 4" xfId="13905"/>
    <cellStyle name="20% - Accent5 2 2 2 4 2 4 2" xfId="25048"/>
    <cellStyle name="20% - Accent5 2 2 2 4 2 5" xfId="19479"/>
    <cellStyle name="20% - Accent5 2 2 2 4 2 6" xfId="6873"/>
    <cellStyle name="20% - Accent5 2 2 2 4 3" xfId="3320"/>
    <cellStyle name="20% - Accent5 2 2 2 4 3 2" xfId="5429"/>
    <cellStyle name="20% - Accent5 2 2 2 4 3 2 2" xfId="18042"/>
    <cellStyle name="20% - Accent5 2 2 2 4 3 2 2 2" xfId="29185"/>
    <cellStyle name="20% - Accent5 2 2 2 4 3 2 3" xfId="23616"/>
    <cellStyle name="20% - Accent5 2 2 2 4 3 2 4" xfId="9580"/>
    <cellStyle name="20% - Accent5 2 2 2 4 3 3" xfId="15973"/>
    <cellStyle name="20% - Accent5 2 2 2 4 3 3 2" xfId="27116"/>
    <cellStyle name="20% - Accent5 2 2 2 4 3 4" xfId="21547"/>
    <cellStyle name="20% - Accent5 2 2 2 4 3 5" xfId="7511"/>
    <cellStyle name="20% - Accent5 2 2 2 4 4" xfId="3999"/>
    <cellStyle name="20% - Accent5 2 2 2 4 4 2" xfId="16612"/>
    <cellStyle name="20% - Accent5 2 2 2 4 4 2 2" xfId="27755"/>
    <cellStyle name="20% - Accent5 2 2 2 4 4 3" xfId="22186"/>
    <cellStyle name="20% - Accent5 2 2 2 4 4 4" xfId="8150"/>
    <cellStyle name="20% - Accent5 2 2 2 4 5" xfId="11325"/>
    <cellStyle name="20% - Accent5 2 2 2 4 5 2" xfId="14696"/>
    <cellStyle name="20% - Accent5 2 2 2 4 5 2 2" xfId="25839"/>
    <cellStyle name="20% - Accent5 2 2 2 4 5 3" xfId="20270"/>
    <cellStyle name="20% - Accent5 2 2 2 4 6" xfId="13266"/>
    <cellStyle name="20% - Accent5 2 2 2 4 6 2" xfId="24409"/>
    <cellStyle name="20% - Accent5 2 2 2 4 7" xfId="18840"/>
    <cellStyle name="20% - Accent5 2 2 2 4 8" xfId="6234"/>
    <cellStyle name="20% - Accent5 2 2 2 5" xfId="2374"/>
    <cellStyle name="20% - Accent5 2 2 2 5 2" xfId="3015"/>
    <cellStyle name="20% - Accent5 2 2 2 5 2 2" xfId="5124"/>
    <cellStyle name="20% - Accent5 2 2 2 5 2 2 2" xfId="17737"/>
    <cellStyle name="20% - Accent5 2 2 2 5 2 2 2 2" xfId="28880"/>
    <cellStyle name="20% - Accent5 2 2 2 5 2 2 3" xfId="23311"/>
    <cellStyle name="20% - Accent5 2 2 2 5 2 2 4" xfId="9275"/>
    <cellStyle name="20% - Accent5 2 2 2 5 2 3" xfId="11080"/>
    <cellStyle name="20% - Accent5 2 2 2 5 2 3 2" xfId="15668"/>
    <cellStyle name="20% - Accent5 2 2 2 5 2 3 2 2" xfId="26811"/>
    <cellStyle name="20% - Accent5 2 2 2 5 2 3 3" xfId="21242"/>
    <cellStyle name="20% - Accent5 2 2 2 5 2 4" xfId="14238"/>
    <cellStyle name="20% - Accent5 2 2 2 5 2 4 2" xfId="25381"/>
    <cellStyle name="20% - Accent5 2 2 2 5 2 5" xfId="19812"/>
    <cellStyle name="20% - Accent5 2 2 2 5 2 6" xfId="7206"/>
    <cellStyle name="20% - Accent5 2 2 2 5 3" xfId="3653"/>
    <cellStyle name="20% - Accent5 2 2 2 5 3 2" xfId="5762"/>
    <cellStyle name="20% - Accent5 2 2 2 5 3 2 2" xfId="18375"/>
    <cellStyle name="20% - Accent5 2 2 2 5 3 2 2 2" xfId="29518"/>
    <cellStyle name="20% - Accent5 2 2 2 5 3 2 3" xfId="23949"/>
    <cellStyle name="20% - Accent5 2 2 2 5 3 2 4" xfId="9913"/>
    <cellStyle name="20% - Accent5 2 2 2 5 3 3" xfId="16306"/>
    <cellStyle name="20% - Accent5 2 2 2 5 3 3 2" xfId="27449"/>
    <cellStyle name="20% - Accent5 2 2 2 5 3 4" xfId="21880"/>
    <cellStyle name="20% - Accent5 2 2 2 5 3 5" xfId="7844"/>
    <cellStyle name="20% - Accent5 2 2 2 5 4" xfId="4332"/>
    <cellStyle name="20% - Accent5 2 2 2 5 4 2" xfId="16945"/>
    <cellStyle name="20% - Accent5 2 2 2 5 4 2 2" xfId="28088"/>
    <cellStyle name="20% - Accent5 2 2 2 5 4 3" xfId="22519"/>
    <cellStyle name="20% - Accent5 2 2 2 5 4 4" xfId="8483"/>
    <cellStyle name="20% - Accent5 2 2 2 5 5" xfId="11203"/>
    <cellStyle name="20% - Accent5 2 2 2 5 5 2" xfId="15029"/>
    <cellStyle name="20% - Accent5 2 2 2 5 5 2 2" xfId="26172"/>
    <cellStyle name="20% - Accent5 2 2 2 5 5 3" xfId="20603"/>
    <cellStyle name="20% - Accent5 2 2 2 5 6" xfId="13599"/>
    <cellStyle name="20% - Accent5 2 2 2 5 6 2" xfId="24742"/>
    <cellStyle name="20% - Accent5 2 2 2 5 7" xfId="19173"/>
    <cellStyle name="20% - Accent5 2 2 2 5 8" xfId="6567"/>
    <cellStyle name="20% - Accent5 2 2 2 6" xfId="1837"/>
    <cellStyle name="20% - Accent5 2 2 2 6 2" xfId="4485"/>
    <cellStyle name="20% - Accent5 2 2 2 6 2 2" xfId="17098"/>
    <cellStyle name="20% - Accent5 2 2 2 6 2 2 2" xfId="28241"/>
    <cellStyle name="20% - Accent5 2 2 2 6 2 3" xfId="22672"/>
    <cellStyle name="20% - Accent5 2 2 2 6 2 4" xfId="8636"/>
    <cellStyle name="20% - Accent5 2 2 2 6 3" xfId="10194"/>
    <cellStyle name="20% - Accent5 2 2 2 6 3 2" xfId="14544"/>
    <cellStyle name="20% - Accent5 2 2 2 6 3 2 2" xfId="25687"/>
    <cellStyle name="20% - Accent5 2 2 2 6 3 3" xfId="20118"/>
    <cellStyle name="20% - Accent5 2 2 2 6 4" xfId="13114"/>
    <cellStyle name="20% - Accent5 2 2 2 6 4 2" xfId="24257"/>
    <cellStyle name="20% - Accent5 2 2 2 6 5" xfId="18688"/>
    <cellStyle name="20% - Accent5 2 2 2 6 6" xfId="6082"/>
    <cellStyle name="20% - Accent5 2 2 2 7" xfId="2530"/>
    <cellStyle name="20% - Accent5 2 2 2 7 2" xfId="4639"/>
    <cellStyle name="20% - Accent5 2 2 2 7 2 2" xfId="17252"/>
    <cellStyle name="20% - Accent5 2 2 2 7 2 2 2" xfId="28395"/>
    <cellStyle name="20% - Accent5 2 2 2 7 2 3" xfId="22826"/>
    <cellStyle name="20% - Accent5 2 2 2 7 2 4" xfId="8790"/>
    <cellStyle name="20% - Accent5 2 2 2 7 3" xfId="10709"/>
    <cellStyle name="20% - Accent5 2 2 2 7 3 2" xfId="15183"/>
    <cellStyle name="20% - Accent5 2 2 2 7 3 2 2" xfId="26326"/>
    <cellStyle name="20% - Accent5 2 2 2 7 3 3" xfId="20757"/>
    <cellStyle name="20% - Accent5 2 2 2 7 4" xfId="13753"/>
    <cellStyle name="20% - Accent5 2 2 2 7 4 2" xfId="24896"/>
    <cellStyle name="20% - Accent5 2 2 2 7 5" xfId="19327"/>
    <cellStyle name="20% - Accent5 2 2 2 7 6" xfId="6721"/>
    <cellStyle name="20% - Accent5 2 2 2 8" xfId="3168"/>
    <cellStyle name="20% - Accent5 2 2 2 8 2" xfId="5277"/>
    <cellStyle name="20% - Accent5 2 2 2 8 2 2" xfId="17890"/>
    <cellStyle name="20% - Accent5 2 2 2 8 2 2 2" xfId="29033"/>
    <cellStyle name="20% - Accent5 2 2 2 8 2 3" xfId="23464"/>
    <cellStyle name="20% - Accent5 2 2 2 8 2 4" xfId="9428"/>
    <cellStyle name="20% - Accent5 2 2 2 8 3" xfId="15821"/>
    <cellStyle name="20% - Accent5 2 2 2 8 3 2" xfId="26964"/>
    <cellStyle name="20% - Accent5 2 2 2 8 4" xfId="21395"/>
    <cellStyle name="20% - Accent5 2 2 2 8 5" xfId="7359"/>
    <cellStyle name="20% - Accent5 2 2 2 9" xfId="3847"/>
    <cellStyle name="20% - Accent5 2 2 2 9 2" xfId="16460"/>
    <cellStyle name="20% - Accent5 2 2 2 9 2 2" xfId="27603"/>
    <cellStyle name="20% - Accent5 2 2 2 9 3" xfId="22034"/>
    <cellStyle name="20% - Accent5 2 2 2 9 4" xfId="7998"/>
    <cellStyle name="20% - Accent5 2 2 3" xfId="299"/>
    <cellStyle name="20% - Accent5 2 2 3 10" xfId="12998"/>
    <cellStyle name="20% - Accent5 2 2 3 10 2" xfId="24142"/>
    <cellStyle name="20% - Accent5 2 2 3 11" xfId="18573"/>
    <cellStyle name="20% - Accent5 2 2 3 12" xfId="5966"/>
    <cellStyle name="20% - Accent5 2 2 3 2" xfId="2257"/>
    <cellStyle name="20% - Accent5 2 2 3 2 2" xfId="2901"/>
    <cellStyle name="20% - Accent5 2 2 3 2 2 2" xfId="5010"/>
    <cellStyle name="20% - Accent5 2 2 3 2 2 2 2" xfId="17623"/>
    <cellStyle name="20% - Accent5 2 2 3 2 2 2 2 2" xfId="28766"/>
    <cellStyle name="20% - Accent5 2 2 3 2 2 2 3" xfId="23197"/>
    <cellStyle name="20% - Accent5 2 2 3 2 2 2 4" xfId="9161"/>
    <cellStyle name="20% - Accent5 2 2 3 2 2 3" xfId="10289"/>
    <cellStyle name="20% - Accent5 2 2 3 2 2 3 2" xfId="15554"/>
    <cellStyle name="20% - Accent5 2 2 3 2 2 3 2 2" xfId="26697"/>
    <cellStyle name="20% - Accent5 2 2 3 2 2 3 3" xfId="21128"/>
    <cellStyle name="20% - Accent5 2 2 3 2 2 4" xfId="14124"/>
    <cellStyle name="20% - Accent5 2 2 3 2 2 4 2" xfId="25267"/>
    <cellStyle name="20% - Accent5 2 2 3 2 2 5" xfId="19698"/>
    <cellStyle name="20% - Accent5 2 2 3 2 2 6" xfId="7092"/>
    <cellStyle name="20% - Accent5 2 2 3 2 3" xfId="3539"/>
    <cellStyle name="20% - Accent5 2 2 3 2 3 2" xfId="5648"/>
    <cellStyle name="20% - Accent5 2 2 3 2 3 2 2" xfId="18261"/>
    <cellStyle name="20% - Accent5 2 2 3 2 3 2 2 2" xfId="29404"/>
    <cellStyle name="20% - Accent5 2 2 3 2 3 2 3" xfId="23835"/>
    <cellStyle name="20% - Accent5 2 2 3 2 3 2 4" xfId="9799"/>
    <cellStyle name="20% - Accent5 2 2 3 2 3 3" xfId="16192"/>
    <cellStyle name="20% - Accent5 2 2 3 2 3 3 2" xfId="27335"/>
    <cellStyle name="20% - Accent5 2 2 3 2 3 4" xfId="21766"/>
    <cellStyle name="20% - Accent5 2 2 3 2 3 5" xfId="7730"/>
    <cellStyle name="20% - Accent5 2 2 3 2 4" xfId="4218"/>
    <cellStyle name="20% - Accent5 2 2 3 2 4 2" xfId="16831"/>
    <cellStyle name="20% - Accent5 2 2 3 2 4 2 2" xfId="27974"/>
    <cellStyle name="20% - Accent5 2 2 3 2 4 3" xfId="22405"/>
    <cellStyle name="20% - Accent5 2 2 3 2 4 4" xfId="8369"/>
    <cellStyle name="20% - Accent5 2 2 3 2 5" xfId="10991"/>
    <cellStyle name="20% - Accent5 2 2 3 2 5 2" xfId="14915"/>
    <cellStyle name="20% - Accent5 2 2 3 2 5 2 2" xfId="26058"/>
    <cellStyle name="20% - Accent5 2 2 3 2 5 3" xfId="20489"/>
    <cellStyle name="20% - Accent5 2 2 3 2 6" xfId="13485"/>
    <cellStyle name="20% - Accent5 2 2 3 2 6 2" xfId="24628"/>
    <cellStyle name="20% - Accent5 2 2 3 2 7" xfId="19059"/>
    <cellStyle name="20% - Accent5 2 2 3 2 8" xfId="6453"/>
    <cellStyle name="20% - Accent5 2 2 3 3" xfId="2065"/>
    <cellStyle name="20% - Accent5 2 2 3 3 2" xfId="2720"/>
    <cellStyle name="20% - Accent5 2 2 3 3 2 2" xfId="4829"/>
    <cellStyle name="20% - Accent5 2 2 3 3 2 2 2" xfId="17442"/>
    <cellStyle name="20% - Accent5 2 2 3 3 2 2 2 2" xfId="28585"/>
    <cellStyle name="20% - Accent5 2 2 3 3 2 2 3" xfId="23016"/>
    <cellStyle name="20% - Accent5 2 2 3 3 2 2 4" xfId="8980"/>
    <cellStyle name="20% - Accent5 2 2 3 3 2 3" xfId="10250"/>
    <cellStyle name="20% - Accent5 2 2 3 3 2 3 2" xfId="15373"/>
    <cellStyle name="20% - Accent5 2 2 3 3 2 3 2 2" xfId="26516"/>
    <cellStyle name="20% - Accent5 2 2 3 3 2 3 3" xfId="20947"/>
    <cellStyle name="20% - Accent5 2 2 3 3 2 4" xfId="13943"/>
    <cellStyle name="20% - Accent5 2 2 3 3 2 4 2" xfId="25086"/>
    <cellStyle name="20% - Accent5 2 2 3 3 2 5" xfId="19517"/>
    <cellStyle name="20% - Accent5 2 2 3 3 2 6" xfId="6911"/>
    <cellStyle name="20% - Accent5 2 2 3 3 3" xfId="3358"/>
    <cellStyle name="20% - Accent5 2 2 3 3 3 2" xfId="5467"/>
    <cellStyle name="20% - Accent5 2 2 3 3 3 2 2" xfId="18080"/>
    <cellStyle name="20% - Accent5 2 2 3 3 3 2 2 2" xfId="29223"/>
    <cellStyle name="20% - Accent5 2 2 3 3 3 2 3" xfId="23654"/>
    <cellStyle name="20% - Accent5 2 2 3 3 3 2 4" xfId="9618"/>
    <cellStyle name="20% - Accent5 2 2 3 3 3 3" xfId="16011"/>
    <cellStyle name="20% - Accent5 2 2 3 3 3 3 2" xfId="27154"/>
    <cellStyle name="20% - Accent5 2 2 3 3 3 4" xfId="21585"/>
    <cellStyle name="20% - Accent5 2 2 3 3 3 5" xfId="7549"/>
    <cellStyle name="20% - Accent5 2 2 3 3 4" xfId="4037"/>
    <cellStyle name="20% - Accent5 2 2 3 3 4 2" xfId="16650"/>
    <cellStyle name="20% - Accent5 2 2 3 3 4 2 2" xfId="27793"/>
    <cellStyle name="20% - Accent5 2 2 3 3 4 3" xfId="22224"/>
    <cellStyle name="20% - Accent5 2 2 3 3 4 4" xfId="8188"/>
    <cellStyle name="20% - Accent5 2 2 3 3 5" xfId="10760"/>
    <cellStyle name="20% - Accent5 2 2 3 3 5 2" xfId="14734"/>
    <cellStyle name="20% - Accent5 2 2 3 3 5 2 2" xfId="25877"/>
    <cellStyle name="20% - Accent5 2 2 3 3 5 3" xfId="20308"/>
    <cellStyle name="20% - Accent5 2 2 3 3 6" xfId="13304"/>
    <cellStyle name="20% - Accent5 2 2 3 3 6 2" xfId="24447"/>
    <cellStyle name="20% - Accent5 2 2 3 3 7" xfId="18878"/>
    <cellStyle name="20% - Accent5 2 2 3 3 8" xfId="6272"/>
    <cellStyle name="20% - Accent5 2 2 3 4" xfId="2412"/>
    <cellStyle name="20% - Accent5 2 2 3 4 2" xfId="3053"/>
    <cellStyle name="20% - Accent5 2 2 3 4 2 2" xfId="5162"/>
    <cellStyle name="20% - Accent5 2 2 3 4 2 2 2" xfId="17775"/>
    <cellStyle name="20% - Accent5 2 2 3 4 2 2 2 2" xfId="28918"/>
    <cellStyle name="20% - Accent5 2 2 3 4 2 2 3" xfId="23349"/>
    <cellStyle name="20% - Accent5 2 2 3 4 2 2 4" xfId="9313"/>
    <cellStyle name="20% - Accent5 2 2 3 4 2 3" xfId="10365"/>
    <cellStyle name="20% - Accent5 2 2 3 4 2 3 2" xfId="15706"/>
    <cellStyle name="20% - Accent5 2 2 3 4 2 3 2 2" xfId="26849"/>
    <cellStyle name="20% - Accent5 2 2 3 4 2 3 3" xfId="21280"/>
    <cellStyle name="20% - Accent5 2 2 3 4 2 4" xfId="14276"/>
    <cellStyle name="20% - Accent5 2 2 3 4 2 4 2" xfId="25419"/>
    <cellStyle name="20% - Accent5 2 2 3 4 2 5" xfId="19850"/>
    <cellStyle name="20% - Accent5 2 2 3 4 2 6" xfId="7244"/>
    <cellStyle name="20% - Accent5 2 2 3 4 3" xfId="3691"/>
    <cellStyle name="20% - Accent5 2 2 3 4 3 2" xfId="5800"/>
    <cellStyle name="20% - Accent5 2 2 3 4 3 2 2" xfId="18413"/>
    <cellStyle name="20% - Accent5 2 2 3 4 3 2 2 2" xfId="29556"/>
    <cellStyle name="20% - Accent5 2 2 3 4 3 2 3" xfId="23987"/>
    <cellStyle name="20% - Accent5 2 2 3 4 3 2 4" xfId="9951"/>
    <cellStyle name="20% - Accent5 2 2 3 4 3 3" xfId="16344"/>
    <cellStyle name="20% - Accent5 2 2 3 4 3 3 2" xfId="27487"/>
    <cellStyle name="20% - Accent5 2 2 3 4 3 4" xfId="21918"/>
    <cellStyle name="20% - Accent5 2 2 3 4 3 5" xfId="7882"/>
    <cellStyle name="20% - Accent5 2 2 3 4 4" xfId="4370"/>
    <cellStyle name="20% - Accent5 2 2 3 4 4 2" xfId="16983"/>
    <cellStyle name="20% - Accent5 2 2 3 4 4 2 2" xfId="28126"/>
    <cellStyle name="20% - Accent5 2 2 3 4 4 3" xfId="22557"/>
    <cellStyle name="20% - Accent5 2 2 3 4 4 4" xfId="8521"/>
    <cellStyle name="20% - Accent5 2 2 3 4 5" xfId="10946"/>
    <cellStyle name="20% - Accent5 2 2 3 4 5 2" xfId="15067"/>
    <cellStyle name="20% - Accent5 2 2 3 4 5 2 2" xfId="26210"/>
    <cellStyle name="20% - Accent5 2 2 3 4 5 3" xfId="20641"/>
    <cellStyle name="20% - Accent5 2 2 3 4 6" xfId="13637"/>
    <cellStyle name="20% - Accent5 2 2 3 4 6 2" xfId="24780"/>
    <cellStyle name="20% - Accent5 2 2 3 4 7" xfId="19211"/>
    <cellStyle name="20% - Accent5 2 2 3 4 8" xfId="6605"/>
    <cellStyle name="20% - Accent5 2 2 3 5" xfId="1875"/>
    <cellStyle name="20% - Accent5 2 2 3 5 2" xfId="4523"/>
    <cellStyle name="20% - Accent5 2 2 3 5 2 2" xfId="17136"/>
    <cellStyle name="20% - Accent5 2 2 3 5 2 2 2" xfId="28279"/>
    <cellStyle name="20% - Accent5 2 2 3 5 2 3" xfId="22710"/>
    <cellStyle name="20% - Accent5 2 2 3 5 2 4" xfId="8674"/>
    <cellStyle name="20% - Accent5 2 2 3 5 3" xfId="10953"/>
    <cellStyle name="20% - Accent5 2 2 3 5 3 2" xfId="14582"/>
    <cellStyle name="20% - Accent5 2 2 3 5 3 2 2" xfId="25725"/>
    <cellStyle name="20% - Accent5 2 2 3 5 3 3" xfId="20156"/>
    <cellStyle name="20% - Accent5 2 2 3 5 4" xfId="13152"/>
    <cellStyle name="20% - Accent5 2 2 3 5 4 2" xfId="24295"/>
    <cellStyle name="20% - Accent5 2 2 3 5 5" xfId="18726"/>
    <cellStyle name="20% - Accent5 2 2 3 5 6" xfId="6120"/>
    <cellStyle name="20% - Accent5 2 2 3 6" xfId="2568"/>
    <cellStyle name="20% - Accent5 2 2 3 6 2" xfId="4677"/>
    <cellStyle name="20% - Accent5 2 2 3 6 2 2" xfId="17290"/>
    <cellStyle name="20% - Accent5 2 2 3 6 2 2 2" xfId="28433"/>
    <cellStyle name="20% - Accent5 2 2 3 6 2 3" xfId="22864"/>
    <cellStyle name="20% - Accent5 2 2 3 6 2 4" xfId="8828"/>
    <cellStyle name="20% - Accent5 2 2 3 6 3" xfId="10579"/>
    <cellStyle name="20% - Accent5 2 2 3 6 3 2" xfId="15221"/>
    <cellStyle name="20% - Accent5 2 2 3 6 3 2 2" xfId="26364"/>
    <cellStyle name="20% - Accent5 2 2 3 6 3 3" xfId="20795"/>
    <cellStyle name="20% - Accent5 2 2 3 6 4" xfId="13791"/>
    <cellStyle name="20% - Accent5 2 2 3 6 4 2" xfId="24934"/>
    <cellStyle name="20% - Accent5 2 2 3 6 5" xfId="19365"/>
    <cellStyle name="20% - Accent5 2 2 3 6 6" xfId="6759"/>
    <cellStyle name="20% - Accent5 2 2 3 7" xfId="3206"/>
    <cellStyle name="20% - Accent5 2 2 3 7 2" xfId="5315"/>
    <cellStyle name="20% - Accent5 2 2 3 7 2 2" xfId="17928"/>
    <cellStyle name="20% - Accent5 2 2 3 7 2 2 2" xfId="29071"/>
    <cellStyle name="20% - Accent5 2 2 3 7 2 3" xfId="23502"/>
    <cellStyle name="20% - Accent5 2 2 3 7 2 4" xfId="9466"/>
    <cellStyle name="20% - Accent5 2 2 3 7 3" xfId="15859"/>
    <cellStyle name="20% - Accent5 2 2 3 7 3 2" xfId="27002"/>
    <cellStyle name="20% - Accent5 2 2 3 7 4" xfId="21433"/>
    <cellStyle name="20% - Accent5 2 2 3 7 5" xfId="7397"/>
    <cellStyle name="20% - Accent5 2 2 3 8" xfId="3885"/>
    <cellStyle name="20% - Accent5 2 2 3 8 2" xfId="16498"/>
    <cellStyle name="20% - Accent5 2 2 3 8 2 2" xfId="27641"/>
    <cellStyle name="20% - Accent5 2 2 3 8 3" xfId="22072"/>
    <cellStyle name="20% - Accent5 2 2 3 8 4" xfId="8036"/>
    <cellStyle name="20% - Accent5 2 2 3 9" xfId="10618"/>
    <cellStyle name="20% - Accent5 2 2 3 9 2" xfId="14429"/>
    <cellStyle name="20% - Accent5 2 2 3 9 2 2" xfId="25572"/>
    <cellStyle name="20% - Accent5 2 2 3 9 3" xfId="20003"/>
    <cellStyle name="20% - Accent5 2 2 4" xfId="2181"/>
    <cellStyle name="20% - Accent5 2 2 4 2" xfId="2825"/>
    <cellStyle name="20% - Accent5 2 2 4 2 2" xfId="4934"/>
    <cellStyle name="20% - Accent5 2 2 4 2 2 2" xfId="17547"/>
    <cellStyle name="20% - Accent5 2 2 4 2 2 2 2" xfId="28690"/>
    <cellStyle name="20% - Accent5 2 2 4 2 2 3" xfId="23121"/>
    <cellStyle name="20% - Accent5 2 2 4 2 2 4" xfId="9085"/>
    <cellStyle name="20% - Accent5 2 2 4 2 3" xfId="10654"/>
    <cellStyle name="20% - Accent5 2 2 4 2 3 2" xfId="15478"/>
    <cellStyle name="20% - Accent5 2 2 4 2 3 2 2" xfId="26621"/>
    <cellStyle name="20% - Accent5 2 2 4 2 3 3" xfId="21052"/>
    <cellStyle name="20% - Accent5 2 2 4 2 4" xfId="14048"/>
    <cellStyle name="20% - Accent5 2 2 4 2 4 2" xfId="25191"/>
    <cellStyle name="20% - Accent5 2 2 4 2 5" xfId="19622"/>
    <cellStyle name="20% - Accent5 2 2 4 2 6" xfId="7016"/>
    <cellStyle name="20% - Accent5 2 2 4 3" xfId="3463"/>
    <cellStyle name="20% - Accent5 2 2 4 3 2" xfId="5572"/>
    <cellStyle name="20% - Accent5 2 2 4 3 2 2" xfId="18185"/>
    <cellStyle name="20% - Accent5 2 2 4 3 2 2 2" xfId="29328"/>
    <cellStyle name="20% - Accent5 2 2 4 3 2 3" xfId="23759"/>
    <cellStyle name="20% - Accent5 2 2 4 3 2 4" xfId="9723"/>
    <cellStyle name="20% - Accent5 2 2 4 3 3" xfId="16116"/>
    <cellStyle name="20% - Accent5 2 2 4 3 3 2" xfId="27259"/>
    <cellStyle name="20% - Accent5 2 2 4 3 4" xfId="21690"/>
    <cellStyle name="20% - Accent5 2 2 4 3 5" xfId="7654"/>
    <cellStyle name="20% - Accent5 2 2 4 4" xfId="4142"/>
    <cellStyle name="20% - Accent5 2 2 4 4 2" xfId="16755"/>
    <cellStyle name="20% - Accent5 2 2 4 4 2 2" xfId="27898"/>
    <cellStyle name="20% - Accent5 2 2 4 4 3" xfId="22329"/>
    <cellStyle name="20% - Accent5 2 2 4 4 4" xfId="8293"/>
    <cellStyle name="20% - Accent5 2 2 4 5" xfId="11207"/>
    <cellStyle name="20% - Accent5 2 2 4 5 2" xfId="14839"/>
    <cellStyle name="20% - Accent5 2 2 4 5 2 2" xfId="25982"/>
    <cellStyle name="20% - Accent5 2 2 4 5 3" xfId="20413"/>
    <cellStyle name="20% - Accent5 2 2 4 6" xfId="13409"/>
    <cellStyle name="20% - Accent5 2 2 4 6 2" xfId="24552"/>
    <cellStyle name="20% - Accent5 2 2 4 7" xfId="18983"/>
    <cellStyle name="20% - Accent5 2 2 4 8" xfId="6377"/>
    <cellStyle name="20% - Accent5 2 2 5" xfId="1989"/>
    <cellStyle name="20% - Accent5 2 2 5 2" xfId="2644"/>
    <cellStyle name="20% - Accent5 2 2 5 2 2" xfId="4753"/>
    <cellStyle name="20% - Accent5 2 2 5 2 2 2" xfId="17366"/>
    <cellStyle name="20% - Accent5 2 2 5 2 2 2 2" xfId="28509"/>
    <cellStyle name="20% - Accent5 2 2 5 2 2 3" xfId="22940"/>
    <cellStyle name="20% - Accent5 2 2 5 2 2 4" xfId="8904"/>
    <cellStyle name="20% - Accent5 2 2 5 2 3" xfId="11264"/>
    <cellStyle name="20% - Accent5 2 2 5 2 3 2" xfId="15297"/>
    <cellStyle name="20% - Accent5 2 2 5 2 3 2 2" xfId="26440"/>
    <cellStyle name="20% - Accent5 2 2 5 2 3 3" xfId="20871"/>
    <cellStyle name="20% - Accent5 2 2 5 2 4" xfId="13867"/>
    <cellStyle name="20% - Accent5 2 2 5 2 4 2" xfId="25010"/>
    <cellStyle name="20% - Accent5 2 2 5 2 5" xfId="19441"/>
    <cellStyle name="20% - Accent5 2 2 5 2 6" xfId="6835"/>
    <cellStyle name="20% - Accent5 2 2 5 3" xfId="3282"/>
    <cellStyle name="20% - Accent5 2 2 5 3 2" xfId="5391"/>
    <cellStyle name="20% - Accent5 2 2 5 3 2 2" xfId="18004"/>
    <cellStyle name="20% - Accent5 2 2 5 3 2 2 2" xfId="29147"/>
    <cellStyle name="20% - Accent5 2 2 5 3 2 3" xfId="23578"/>
    <cellStyle name="20% - Accent5 2 2 5 3 2 4" xfId="9542"/>
    <cellStyle name="20% - Accent5 2 2 5 3 3" xfId="15935"/>
    <cellStyle name="20% - Accent5 2 2 5 3 3 2" xfId="27078"/>
    <cellStyle name="20% - Accent5 2 2 5 3 4" xfId="21509"/>
    <cellStyle name="20% - Accent5 2 2 5 3 5" xfId="7473"/>
    <cellStyle name="20% - Accent5 2 2 5 4" xfId="3961"/>
    <cellStyle name="20% - Accent5 2 2 5 4 2" xfId="16574"/>
    <cellStyle name="20% - Accent5 2 2 5 4 2 2" xfId="27717"/>
    <cellStyle name="20% - Accent5 2 2 5 4 3" xfId="22148"/>
    <cellStyle name="20% - Accent5 2 2 5 4 4" xfId="8112"/>
    <cellStyle name="20% - Accent5 2 2 5 5" xfId="10447"/>
    <cellStyle name="20% - Accent5 2 2 5 5 2" xfId="14658"/>
    <cellStyle name="20% - Accent5 2 2 5 5 2 2" xfId="25801"/>
    <cellStyle name="20% - Accent5 2 2 5 5 3" xfId="20232"/>
    <cellStyle name="20% - Accent5 2 2 5 6" xfId="13228"/>
    <cellStyle name="20% - Accent5 2 2 5 6 2" xfId="24371"/>
    <cellStyle name="20% - Accent5 2 2 5 7" xfId="18802"/>
    <cellStyle name="20% - Accent5 2 2 5 8" xfId="6196"/>
    <cellStyle name="20% - Accent5 2 2 6" xfId="2336"/>
    <cellStyle name="20% - Accent5 2 2 6 2" xfId="2977"/>
    <cellStyle name="20% - Accent5 2 2 6 2 2" xfId="5086"/>
    <cellStyle name="20% - Accent5 2 2 6 2 2 2" xfId="17699"/>
    <cellStyle name="20% - Accent5 2 2 6 2 2 2 2" xfId="28842"/>
    <cellStyle name="20% - Accent5 2 2 6 2 2 3" xfId="23273"/>
    <cellStyle name="20% - Accent5 2 2 6 2 2 4" xfId="9237"/>
    <cellStyle name="20% - Accent5 2 2 6 2 3" xfId="10965"/>
    <cellStyle name="20% - Accent5 2 2 6 2 3 2" xfId="15630"/>
    <cellStyle name="20% - Accent5 2 2 6 2 3 2 2" xfId="26773"/>
    <cellStyle name="20% - Accent5 2 2 6 2 3 3" xfId="21204"/>
    <cellStyle name="20% - Accent5 2 2 6 2 4" xfId="14200"/>
    <cellStyle name="20% - Accent5 2 2 6 2 4 2" xfId="25343"/>
    <cellStyle name="20% - Accent5 2 2 6 2 5" xfId="19774"/>
    <cellStyle name="20% - Accent5 2 2 6 2 6" xfId="7168"/>
    <cellStyle name="20% - Accent5 2 2 6 3" xfId="3615"/>
    <cellStyle name="20% - Accent5 2 2 6 3 2" xfId="5724"/>
    <cellStyle name="20% - Accent5 2 2 6 3 2 2" xfId="18337"/>
    <cellStyle name="20% - Accent5 2 2 6 3 2 2 2" xfId="29480"/>
    <cellStyle name="20% - Accent5 2 2 6 3 2 3" xfId="23911"/>
    <cellStyle name="20% - Accent5 2 2 6 3 2 4" xfId="9875"/>
    <cellStyle name="20% - Accent5 2 2 6 3 3" xfId="16268"/>
    <cellStyle name="20% - Accent5 2 2 6 3 3 2" xfId="27411"/>
    <cellStyle name="20% - Accent5 2 2 6 3 4" xfId="21842"/>
    <cellStyle name="20% - Accent5 2 2 6 3 5" xfId="7806"/>
    <cellStyle name="20% - Accent5 2 2 6 4" xfId="4294"/>
    <cellStyle name="20% - Accent5 2 2 6 4 2" xfId="16907"/>
    <cellStyle name="20% - Accent5 2 2 6 4 2 2" xfId="28050"/>
    <cellStyle name="20% - Accent5 2 2 6 4 3" xfId="22481"/>
    <cellStyle name="20% - Accent5 2 2 6 4 4" xfId="8445"/>
    <cellStyle name="20% - Accent5 2 2 6 5" xfId="11011"/>
    <cellStyle name="20% - Accent5 2 2 6 5 2" xfId="14991"/>
    <cellStyle name="20% - Accent5 2 2 6 5 2 2" xfId="26134"/>
    <cellStyle name="20% - Accent5 2 2 6 5 3" xfId="20565"/>
    <cellStyle name="20% - Accent5 2 2 6 6" xfId="13561"/>
    <cellStyle name="20% - Accent5 2 2 6 6 2" xfId="24704"/>
    <cellStyle name="20% - Accent5 2 2 6 7" xfId="19135"/>
    <cellStyle name="20% - Accent5 2 2 6 8" xfId="6529"/>
    <cellStyle name="20% - Accent5 2 2 7" xfId="1799"/>
    <cellStyle name="20% - Accent5 2 2 7 2" xfId="4447"/>
    <cellStyle name="20% - Accent5 2 2 7 2 2" xfId="17060"/>
    <cellStyle name="20% - Accent5 2 2 7 2 2 2" xfId="28203"/>
    <cellStyle name="20% - Accent5 2 2 7 2 3" xfId="22634"/>
    <cellStyle name="20% - Accent5 2 2 7 2 4" xfId="8598"/>
    <cellStyle name="20% - Accent5 2 2 7 3" xfId="10193"/>
    <cellStyle name="20% - Accent5 2 2 7 3 2" xfId="14506"/>
    <cellStyle name="20% - Accent5 2 2 7 3 2 2" xfId="25649"/>
    <cellStyle name="20% - Accent5 2 2 7 3 3" xfId="20080"/>
    <cellStyle name="20% - Accent5 2 2 7 4" xfId="13076"/>
    <cellStyle name="20% - Accent5 2 2 7 4 2" xfId="24219"/>
    <cellStyle name="20% - Accent5 2 2 7 5" xfId="18650"/>
    <cellStyle name="20% - Accent5 2 2 7 6" xfId="6044"/>
    <cellStyle name="20% - Accent5 2 2 8" xfId="2492"/>
    <cellStyle name="20% - Accent5 2 2 8 2" xfId="4601"/>
    <cellStyle name="20% - Accent5 2 2 8 2 2" xfId="17214"/>
    <cellStyle name="20% - Accent5 2 2 8 2 2 2" xfId="28357"/>
    <cellStyle name="20% - Accent5 2 2 8 2 3" xfId="22788"/>
    <cellStyle name="20% - Accent5 2 2 8 2 4" xfId="8752"/>
    <cellStyle name="20% - Accent5 2 2 8 3" xfId="11016"/>
    <cellStyle name="20% - Accent5 2 2 8 3 2" xfId="15145"/>
    <cellStyle name="20% - Accent5 2 2 8 3 2 2" xfId="26288"/>
    <cellStyle name="20% - Accent5 2 2 8 3 3" xfId="20719"/>
    <cellStyle name="20% - Accent5 2 2 8 4" xfId="13715"/>
    <cellStyle name="20% - Accent5 2 2 8 4 2" xfId="24858"/>
    <cellStyle name="20% - Accent5 2 2 8 5" xfId="19289"/>
    <cellStyle name="20% - Accent5 2 2 8 6" xfId="6683"/>
    <cellStyle name="20% - Accent5 2 2 9" xfId="3130"/>
    <cellStyle name="20% - Accent5 2 2 9 2" xfId="5239"/>
    <cellStyle name="20% - Accent5 2 2 9 2 2" xfId="17852"/>
    <cellStyle name="20% - Accent5 2 2 9 2 2 2" xfId="28995"/>
    <cellStyle name="20% - Accent5 2 2 9 2 3" xfId="23426"/>
    <cellStyle name="20% - Accent5 2 2 9 2 4" xfId="9390"/>
    <cellStyle name="20% - Accent5 2 2 9 3" xfId="15783"/>
    <cellStyle name="20% - Accent5 2 2 9 3 2" xfId="26926"/>
    <cellStyle name="20% - Accent5 2 2 9 4" xfId="21357"/>
    <cellStyle name="20% - Accent5 2 2 9 5" xfId="7321"/>
    <cellStyle name="20% - Accent5 2 3" xfId="242"/>
    <cellStyle name="20% - Accent5 2 3 10" xfId="10486"/>
    <cellStyle name="20% - Accent5 2 3 10 2" xfId="14372"/>
    <cellStyle name="20% - Accent5 2 3 10 2 2" xfId="25515"/>
    <cellStyle name="20% - Accent5 2 3 10 3" xfId="19946"/>
    <cellStyle name="20% - Accent5 2 3 11" xfId="12941"/>
    <cellStyle name="20% - Accent5 2 3 11 2" xfId="24085"/>
    <cellStyle name="20% - Accent5 2 3 12" xfId="18516"/>
    <cellStyle name="20% - Accent5 2 3 13" xfId="5909"/>
    <cellStyle name="20% - Accent5 2 3 2" xfId="318"/>
    <cellStyle name="20% - Accent5 2 3 2 10" xfId="13017"/>
    <cellStyle name="20% - Accent5 2 3 2 10 2" xfId="24161"/>
    <cellStyle name="20% - Accent5 2 3 2 11" xfId="18592"/>
    <cellStyle name="20% - Accent5 2 3 2 12" xfId="5985"/>
    <cellStyle name="20% - Accent5 2 3 2 2" xfId="2276"/>
    <cellStyle name="20% - Accent5 2 3 2 2 2" xfId="2920"/>
    <cellStyle name="20% - Accent5 2 3 2 2 2 2" xfId="5029"/>
    <cellStyle name="20% - Accent5 2 3 2 2 2 2 2" xfId="17642"/>
    <cellStyle name="20% - Accent5 2 3 2 2 2 2 2 2" xfId="28785"/>
    <cellStyle name="20% - Accent5 2 3 2 2 2 2 3" xfId="23216"/>
    <cellStyle name="20% - Accent5 2 3 2 2 2 2 4" xfId="9180"/>
    <cellStyle name="20% - Accent5 2 3 2 2 2 3" xfId="10333"/>
    <cellStyle name="20% - Accent5 2 3 2 2 2 3 2" xfId="15573"/>
    <cellStyle name="20% - Accent5 2 3 2 2 2 3 2 2" xfId="26716"/>
    <cellStyle name="20% - Accent5 2 3 2 2 2 3 3" xfId="21147"/>
    <cellStyle name="20% - Accent5 2 3 2 2 2 4" xfId="14143"/>
    <cellStyle name="20% - Accent5 2 3 2 2 2 4 2" xfId="25286"/>
    <cellStyle name="20% - Accent5 2 3 2 2 2 5" xfId="19717"/>
    <cellStyle name="20% - Accent5 2 3 2 2 2 6" xfId="7111"/>
    <cellStyle name="20% - Accent5 2 3 2 2 3" xfId="3558"/>
    <cellStyle name="20% - Accent5 2 3 2 2 3 2" xfId="5667"/>
    <cellStyle name="20% - Accent5 2 3 2 2 3 2 2" xfId="18280"/>
    <cellStyle name="20% - Accent5 2 3 2 2 3 2 2 2" xfId="29423"/>
    <cellStyle name="20% - Accent5 2 3 2 2 3 2 3" xfId="23854"/>
    <cellStyle name="20% - Accent5 2 3 2 2 3 2 4" xfId="9818"/>
    <cellStyle name="20% - Accent5 2 3 2 2 3 3" xfId="16211"/>
    <cellStyle name="20% - Accent5 2 3 2 2 3 3 2" xfId="27354"/>
    <cellStyle name="20% - Accent5 2 3 2 2 3 4" xfId="21785"/>
    <cellStyle name="20% - Accent5 2 3 2 2 3 5" xfId="7749"/>
    <cellStyle name="20% - Accent5 2 3 2 2 4" xfId="4237"/>
    <cellStyle name="20% - Accent5 2 3 2 2 4 2" xfId="16850"/>
    <cellStyle name="20% - Accent5 2 3 2 2 4 2 2" xfId="27993"/>
    <cellStyle name="20% - Accent5 2 3 2 2 4 3" xfId="22424"/>
    <cellStyle name="20% - Accent5 2 3 2 2 4 4" xfId="8388"/>
    <cellStyle name="20% - Accent5 2 3 2 2 5" xfId="10016"/>
    <cellStyle name="20% - Accent5 2 3 2 2 5 2" xfId="14934"/>
    <cellStyle name="20% - Accent5 2 3 2 2 5 2 2" xfId="26077"/>
    <cellStyle name="20% - Accent5 2 3 2 2 5 3" xfId="20508"/>
    <cellStyle name="20% - Accent5 2 3 2 2 6" xfId="13504"/>
    <cellStyle name="20% - Accent5 2 3 2 2 6 2" xfId="24647"/>
    <cellStyle name="20% - Accent5 2 3 2 2 7" xfId="19078"/>
    <cellStyle name="20% - Accent5 2 3 2 2 8" xfId="6472"/>
    <cellStyle name="20% - Accent5 2 3 2 3" xfId="2084"/>
    <cellStyle name="20% - Accent5 2 3 2 3 2" xfId="2739"/>
    <cellStyle name="20% - Accent5 2 3 2 3 2 2" xfId="4848"/>
    <cellStyle name="20% - Accent5 2 3 2 3 2 2 2" xfId="17461"/>
    <cellStyle name="20% - Accent5 2 3 2 3 2 2 2 2" xfId="28604"/>
    <cellStyle name="20% - Accent5 2 3 2 3 2 2 3" xfId="23035"/>
    <cellStyle name="20% - Accent5 2 3 2 3 2 2 4" xfId="8999"/>
    <cellStyle name="20% - Accent5 2 3 2 3 2 3" xfId="10319"/>
    <cellStyle name="20% - Accent5 2 3 2 3 2 3 2" xfId="15392"/>
    <cellStyle name="20% - Accent5 2 3 2 3 2 3 2 2" xfId="26535"/>
    <cellStyle name="20% - Accent5 2 3 2 3 2 3 3" xfId="20966"/>
    <cellStyle name="20% - Accent5 2 3 2 3 2 4" xfId="13962"/>
    <cellStyle name="20% - Accent5 2 3 2 3 2 4 2" xfId="25105"/>
    <cellStyle name="20% - Accent5 2 3 2 3 2 5" xfId="19536"/>
    <cellStyle name="20% - Accent5 2 3 2 3 2 6" xfId="6930"/>
    <cellStyle name="20% - Accent5 2 3 2 3 3" xfId="3377"/>
    <cellStyle name="20% - Accent5 2 3 2 3 3 2" xfId="5486"/>
    <cellStyle name="20% - Accent5 2 3 2 3 3 2 2" xfId="18099"/>
    <cellStyle name="20% - Accent5 2 3 2 3 3 2 2 2" xfId="29242"/>
    <cellStyle name="20% - Accent5 2 3 2 3 3 2 3" xfId="23673"/>
    <cellStyle name="20% - Accent5 2 3 2 3 3 2 4" xfId="9637"/>
    <cellStyle name="20% - Accent5 2 3 2 3 3 3" xfId="16030"/>
    <cellStyle name="20% - Accent5 2 3 2 3 3 3 2" xfId="27173"/>
    <cellStyle name="20% - Accent5 2 3 2 3 3 4" xfId="21604"/>
    <cellStyle name="20% - Accent5 2 3 2 3 3 5" xfId="7568"/>
    <cellStyle name="20% - Accent5 2 3 2 3 4" xfId="4056"/>
    <cellStyle name="20% - Accent5 2 3 2 3 4 2" xfId="16669"/>
    <cellStyle name="20% - Accent5 2 3 2 3 4 2 2" xfId="27812"/>
    <cellStyle name="20% - Accent5 2 3 2 3 4 3" xfId="22243"/>
    <cellStyle name="20% - Accent5 2 3 2 3 4 4" xfId="8207"/>
    <cellStyle name="20% - Accent5 2 3 2 3 5" xfId="10165"/>
    <cellStyle name="20% - Accent5 2 3 2 3 5 2" xfId="14753"/>
    <cellStyle name="20% - Accent5 2 3 2 3 5 2 2" xfId="25896"/>
    <cellStyle name="20% - Accent5 2 3 2 3 5 3" xfId="20327"/>
    <cellStyle name="20% - Accent5 2 3 2 3 6" xfId="13323"/>
    <cellStyle name="20% - Accent5 2 3 2 3 6 2" xfId="24466"/>
    <cellStyle name="20% - Accent5 2 3 2 3 7" xfId="18897"/>
    <cellStyle name="20% - Accent5 2 3 2 3 8" xfId="6291"/>
    <cellStyle name="20% - Accent5 2 3 2 4" xfId="2431"/>
    <cellStyle name="20% - Accent5 2 3 2 4 2" xfId="3072"/>
    <cellStyle name="20% - Accent5 2 3 2 4 2 2" xfId="5181"/>
    <cellStyle name="20% - Accent5 2 3 2 4 2 2 2" xfId="17794"/>
    <cellStyle name="20% - Accent5 2 3 2 4 2 2 2 2" xfId="28937"/>
    <cellStyle name="20% - Accent5 2 3 2 4 2 2 3" xfId="23368"/>
    <cellStyle name="20% - Accent5 2 3 2 4 2 2 4" xfId="9332"/>
    <cellStyle name="20% - Accent5 2 3 2 4 2 3" xfId="11126"/>
    <cellStyle name="20% - Accent5 2 3 2 4 2 3 2" xfId="15725"/>
    <cellStyle name="20% - Accent5 2 3 2 4 2 3 2 2" xfId="26868"/>
    <cellStyle name="20% - Accent5 2 3 2 4 2 3 3" xfId="21299"/>
    <cellStyle name="20% - Accent5 2 3 2 4 2 4" xfId="14295"/>
    <cellStyle name="20% - Accent5 2 3 2 4 2 4 2" xfId="25438"/>
    <cellStyle name="20% - Accent5 2 3 2 4 2 5" xfId="19869"/>
    <cellStyle name="20% - Accent5 2 3 2 4 2 6" xfId="7263"/>
    <cellStyle name="20% - Accent5 2 3 2 4 3" xfId="3710"/>
    <cellStyle name="20% - Accent5 2 3 2 4 3 2" xfId="5819"/>
    <cellStyle name="20% - Accent5 2 3 2 4 3 2 2" xfId="18432"/>
    <cellStyle name="20% - Accent5 2 3 2 4 3 2 2 2" xfId="29575"/>
    <cellStyle name="20% - Accent5 2 3 2 4 3 2 3" xfId="24006"/>
    <cellStyle name="20% - Accent5 2 3 2 4 3 2 4" xfId="9970"/>
    <cellStyle name="20% - Accent5 2 3 2 4 3 3" xfId="16363"/>
    <cellStyle name="20% - Accent5 2 3 2 4 3 3 2" xfId="27506"/>
    <cellStyle name="20% - Accent5 2 3 2 4 3 4" xfId="21937"/>
    <cellStyle name="20% - Accent5 2 3 2 4 3 5" xfId="7901"/>
    <cellStyle name="20% - Accent5 2 3 2 4 4" xfId="4389"/>
    <cellStyle name="20% - Accent5 2 3 2 4 4 2" xfId="17002"/>
    <cellStyle name="20% - Accent5 2 3 2 4 4 2 2" xfId="28145"/>
    <cellStyle name="20% - Accent5 2 3 2 4 4 3" xfId="22576"/>
    <cellStyle name="20% - Accent5 2 3 2 4 4 4" xfId="8540"/>
    <cellStyle name="20% - Accent5 2 3 2 4 5" xfId="10109"/>
    <cellStyle name="20% - Accent5 2 3 2 4 5 2" xfId="15086"/>
    <cellStyle name="20% - Accent5 2 3 2 4 5 2 2" xfId="26229"/>
    <cellStyle name="20% - Accent5 2 3 2 4 5 3" xfId="20660"/>
    <cellStyle name="20% - Accent5 2 3 2 4 6" xfId="13656"/>
    <cellStyle name="20% - Accent5 2 3 2 4 6 2" xfId="24799"/>
    <cellStyle name="20% - Accent5 2 3 2 4 7" xfId="19230"/>
    <cellStyle name="20% - Accent5 2 3 2 4 8" xfId="6624"/>
    <cellStyle name="20% - Accent5 2 3 2 5" xfId="1894"/>
    <cellStyle name="20% - Accent5 2 3 2 5 2" xfId="4542"/>
    <cellStyle name="20% - Accent5 2 3 2 5 2 2" xfId="17155"/>
    <cellStyle name="20% - Accent5 2 3 2 5 2 2 2" xfId="28298"/>
    <cellStyle name="20% - Accent5 2 3 2 5 2 3" xfId="22729"/>
    <cellStyle name="20% - Accent5 2 3 2 5 2 4" xfId="8693"/>
    <cellStyle name="20% - Accent5 2 3 2 5 3" xfId="10258"/>
    <cellStyle name="20% - Accent5 2 3 2 5 3 2" xfId="14601"/>
    <cellStyle name="20% - Accent5 2 3 2 5 3 2 2" xfId="25744"/>
    <cellStyle name="20% - Accent5 2 3 2 5 3 3" xfId="20175"/>
    <cellStyle name="20% - Accent5 2 3 2 5 4" xfId="13171"/>
    <cellStyle name="20% - Accent5 2 3 2 5 4 2" xfId="24314"/>
    <cellStyle name="20% - Accent5 2 3 2 5 5" xfId="18745"/>
    <cellStyle name="20% - Accent5 2 3 2 5 6" xfId="6139"/>
    <cellStyle name="20% - Accent5 2 3 2 6" xfId="2587"/>
    <cellStyle name="20% - Accent5 2 3 2 6 2" xfId="4696"/>
    <cellStyle name="20% - Accent5 2 3 2 6 2 2" xfId="17309"/>
    <cellStyle name="20% - Accent5 2 3 2 6 2 2 2" xfId="28452"/>
    <cellStyle name="20% - Accent5 2 3 2 6 2 3" xfId="22883"/>
    <cellStyle name="20% - Accent5 2 3 2 6 2 4" xfId="8847"/>
    <cellStyle name="20% - Accent5 2 3 2 6 3" xfId="11047"/>
    <cellStyle name="20% - Accent5 2 3 2 6 3 2" xfId="15240"/>
    <cellStyle name="20% - Accent5 2 3 2 6 3 2 2" xfId="26383"/>
    <cellStyle name="20% - Accent5 2 3 2 6 3 3" xfId="20814"/>
    <cellStyle name="20% - Accent5 2 3 2 6 4" xfId="13810"/>
    <cellStyle name="20% - Accent5 2 3 2 6 4 2" xfId="24953"/>
    <cellStyle name="20% - Accent5 2 3 2 6 5" xfId="19384"/>
    <cellStyle name="20% - Accent5 2 3 2 6 6" xfId="6778"/>
    <cellStyle name="20% - Accent5 2 3 2 7" xfId="3225"/>
    <cellStyle name="20% - Accent5 2 3 2 7 2" xfId="5334"/>
    <cellStyle name="20% - Accent5 2 3 2 7 2 2" xfId="17947"/>
    <cellStyle name="20% - Accent5 2 3 2 7 2 2 2" xfId="29090"/>
    <cellStyle name="20% - Accent5 2 3 2 7 2 3" xfId="23521"/>
    <cellStyle name="20% - Accent5 2 3 2 7 2 4" xfId="9485"/>
    <cellStyle name="20% - Accent5 2 3 2 7 3" xfId="15878"/>
    <cellStyle name="20% - Accent5 2 3 2 7 3 2" xfId="27021"/>
    <cellStyle name="20% - Accent5 2 3 2 7 4" xfId="21452"/>
    <cellStyle name="20% - Accent5 2 3 2 7 5" xfId="7416"/>
    <cellStyle name="20% - Accent5 2 3 2 8" xfId="3904"/>
    <cellStyle name="20% - Accent5 2 3 2 8 2" xfId="16517"/>
    <cellStyle name="20% - Accent5 2 3 2 8 2 2" xfId="27660"/>
    <cellStyle name="20% - Accent5 2 3 2 8 3" xfId="22091"/>
    <cellStyle name="20% - Accent5 2 3 2 8 4" xfId="8055"/>
    <cellStyle name="20% - Accent5 2 3 2 9" xfId="10934"/>
    <cellStyle name="20% - Accent5 2 3 2 9 2" xfId="14448"/>
    <cellStyle name="20% - Accent5 2 3 2 9 2 2" xfId="25591"/>
    <cellStyle name="20% - Accent5 2 3 2 9 3" xfId="20022"/>
    <cellStyle name="20% - Accent5 2 3 3" xfId="2200"/>
    <cellStyle name="20% - Accent5 2 3 3 2" xfId="2844"/>
    <cellStyle name="20% - Accent5 2 3 3 2 2" xfId="4953"/>
    <cellStyle name="20% - Accent5 2 3 3 2 2 2" xfId="17566"/>
    <cellStyle name="20% - Accent5 2 3 3 2 2 2 2" xfId="28709"/>
    <cellStyle name="20% - Accent5 2 3 3 2 2 3" xfId="23140"/>
    <cellStyle name="20% - Accent5 2 3 3 2 2 4" xfId="9104"/>
    <cellStyle name="20% - Accent5 2 3 3 2 3" xfId="10868"/>
    <cellStyle name="20% - Accent5 2 3 3 2 3 2" xfId="15497"/>
    <cellStyle name="20% - Accent5 2 3 3 2 3 2 2" xfId="26640"/>
    <cellStyle name="20% - Accent5 2 3 3 2 3 3" xfId="21071"/>
    <cellStyle name="20% - Accent5 2 3 3 2 4" xfId="14067"/>
    <cellStyle name="20% - Accent5 2 3 3 2 4 2" xfId="25210"/>
    <cellStyle name="20% - Accent5 2 3 3 2 5" xfId="19641"/>
    <cellStyle name="20% - Accent5 2 3 3 2 6" xfId="7035"/>
    <cellStyle name="20% - Accent5 2 3 3 3" xfId="3482"/>
    <cellStyle name="20% - Accent5 2 3 3 3 2" xfId="5591"/>
    <cellStyle name="20% - Accent5 2 3 3 3 2 2" xfId="18204"/>
    <cellStyle name="20% - Accent5 2 3 3 3 2 2 2" xfId="29347"/>
    <cellStyle name="20% - Accent5 2 3 3 3 2 3" xfId="23778"/>
    <cellStyle name="20% - Accent5 2 3 3 3 2 4" xfId="9742"/>
    <cellStyle name="20% - Accent5 2 3 3 3 3" xfId="16135"/>
    <cellStyle name="20% - Accent5 2 3 3 3 3 2" xfId="27278"/>
    <cellStyle name="20% - Accent5 2 3 3 3 4" xfId="21709"/>
    <cellStyle name="20% - Accent5 2 3 3 3 5" xfId="7673"/>
    <cellStyle name="20% - Accent5 2 3 3 4" xfId="4161"/>
    <cellStyle name="20% - Accent5 2 3 3 4 2" xfId="16774"/>
    <cellStyle name="20% - Accent5 2 3 3 4 2 2" xfId="27917"/>
    <cellStyle name="20% - Accent5 2 3 3 4 3" xfId="22348"/>
    <cellStyle name="20% - Accent5 2 3 3 4 4" xfId="8312"/>
    <cellStyle name="20% - Accent5 2 3 3 5" xfId="11349"/>
    <cellStyle name="20% - Accent5 2 3 3 5 2" xfId="14858"/>
    <cellStyle name="20% - Accent5 2 3 3 5 2 2" xfId="26001"/>
    <cellStyle name="20% - Accent5 2 3 3 5 3" xfId="20432"/>
    <cellStyle name="20% - Accent5 2 3 3 6" xfId="13428"/>
    <cellStyle name="20% - Accent5 2 3 3 6 2" xfId="24571"/>
    <cellStyle name="20% - Accent5 2 3 3 7" xfId="19002"/>
    <cellStyle name="20% - Accent5 2 3 3 8" xfId="6396"/>
    <cellStyle name="20% - Accent5 2 3 4" xfId="2008"/>
    <cellStyle name="20% - Accent5 2 3 4 2" xfId="2663"/>
    <cellStyle name="20% - Accent5 2 3 4 2 2" xfId="4772"/>
    <cellStyle name="20% - Accent5 2 3 4 2 2 2" xfId="17385"/>
    <cellStyle name="20% - Accent5 2 3 4 2 2 2 2" xfId="28528"/>
    <cellStyle name="20% - Accent5 2 3 4 2 2 3" xfId="22959"/>
    <cellStyle name="20% - Accent5 2 3 4 2 2 4" xfId="8923"/>
    <cellStyle name="20% - Accent5 2 3 4 2 3" xfId="10345"/>
    <cellStyle name="20% - Accent5 2 3 4 2 3 2" xfId="15316"/>
    <cellStyle name="20% - Accent5 2 3 4 2 3 2 2" xfId="26459"/>
    <cellStyle name="20% - Accent5 2 3 4 2 3 3" xfId="20890"/>
    <cellStyle name="20% - Accent5 2 3 4 2 4" xfId="13886"/>
    <cellStyle name="20% - Accent5 2 3 4 2 4 2" xfId="25029"/>
    <cellStyle name="20% - Accent5 2 3 4 2 5" xfId="19460"/>
    <cellStyle name="20% - Accent5 2 3 4 2 6" xfId="6854"/>
    <cellStyle name="20% - Accent5 2 3 4 3" xfId="3301"/>
    <cellStyle name="20% - Accent5 2 3 4 3 2" xfId="5410"/>
    <cellStyle name="20% - Accent5 2 3 4 3 2 2" xfId="18023"/>
    <cellStyle name="20% - Accent5 2 3 4 3 2 2 2" xfId="29166"/>
    <cellStyle name="20% - Accent5 2 3 4 3 2 3" xfId="23597"/>
    <cellStyle name="20% - Accent5 2 3 4 3 2 4" xfId="9561"/>
    <cellStyle name="20% - Accent5 2 3 4 3 3" xfId="15954"/>
    <cellStyle name="20% - Accent5 2 3 4 3 3 2" xfId="27097"/>
    <cellStyle name="20% - Accent5 2 3 4 3 4" xfId="21528"/>
    <cellStyle name="20% - Accent5 2 3 4 3 5" xfId="7492"/>
    <cellStyle name="20% - Accent5 2 3 4 4" xfId="3980"/>
    <cellStyle name="20% - Accent5 2 3 4 4 2" xfId="16593"/>
    <cellStyle name="20% - Accent5 2 3 4 4 2 2" xfId="27736"/>
    <cellStyle name="20% - Accent5 2 3 4 4 3" xfId="22167"/>
    <cellStyle name="20% - Accent5 2 3 4 4 4" xfId="8131"/>
    <cellStyle name="20% - Accent5 2 3 4 5" xfId="10482"/>
    <cellStyle name="20% - Accent5 2 3 4 5 2" xfId="14677"/>
    <cellStyle name="20% - Accent5 2 3 4 5 2 2" xfId="25820"/>
    <cellStyle name="20% - Accent5 2 3 4 5 3" xfId="20251"/>
    <cellStyle name="20% - Accent5 2 3 4 6" xfId="13247"/>
    <cellStyle name="20% - Accent5 2 3 4 6 2" xfId="24390"/>
    <cellStyle name="20% - Accent5 2 3 4 7" xfId="18821"/>
    <cellStyle name="20% - Accent5 2 3 4 8" xfId="6215"/>
    <cellStyle name="20% - Accent5 2 3 5" xfId="2355"/>
    <cellStyle name="20% - Accent5 2 3 5 2" xfId="2996"/>
    <cellStyle name="20% - Accent5 2 3 5 2 2" xfId="5105"/>
    <cellStyle name="20% - Accent5 2 3 5 2 2 2" xfId="17718"/>
    <cellStyle name="20% - Accent5 2 3 5 2 2 2 2" xfId="28861"/>
    <cellStyle name="20% - Accent5 2 3 5 2 2 3" xfId="23292"/>
    <cellStyle name="20% - Accent5 2 3 5 2 2 4" xfId="9256"/>
    <cellStyle name="20% - Accent5 2 3 5 2 3" xfId="11423"/>
    <cellStyle name="20% - Accent5 2 3 5 2 3 2" xfId="15649"/>
    <cellStyle name="20% - Accent5 2 3 5 2 3 2 2" xfId="26792"/>
    <cellStyle name="20% - Accent5 2 3 5 2 3 3" xfId="21223"/>
    <cellStyle name="20% - Accent5 2 3 5 2 4" xfId="14219"/>
    <cellStyle name="20% - Accent5 2 3 5 2 4 2" xfId="25362"/>
    <cellStyle name="20% - Accent5 2 3 5 2 5" xfId="19793"/>
    <cellStyle name="20% - Accent5 2 3 5 2 6" xfId="7187"/>
    <cellStyle name="20% - Accent5 2 3 5 3" xfId="3634"/>
    <cellStyle name="20% - Accent5 2 3 5 3 2" xfId="5743"/>
    <cellStyle name="20% - Accent5 2 3 5 3 2 2" xfId="18356"/>
    <cellStyle name="20% - Accent5 2 3 5 3 2 2 2" xfId="29499"/>
    <cellStyle name="20% - Accent5 2 3 5 3 2 3" xfId="23930"/>
    <cellStyle name="20% - Accent5 2 3 5 3 2 4" xfId="9894"/>
    <cellStyle name="20% - Accent5 2 3 5 3 3" xfId="16287"/>
    <cellStyle name="20% - Accent5 2 3 5 3 3 2" xfId="27430"/>
    <cellStyle name="20% - Accent5 2 3 5 3 4" xfId="21861"/>
    <cellStyle name="20% - Accent5 2 3 5 3 5" xfId="7825"/>
    <cellStyle name="20% - Accent5 2 3 5 4" xfId="4313"/>
    <cellStyle name="20% - Accent5 2 3 5 4 2" xfId="16926"/>
    <cellStyle name="20% - Accent5 2 3 5 4 2 2" xfId="28069"/>
    <cellStyle name="20% - Accent5 2 3 5 4 3" xfId="22500"/>
    <cellStyle name="20% - Accent5 2 3 5 4 4" xfId="8464"/>
    <cellStyle name="20% - Accent5 2 3 5 5" xfId="11076"/>
    <cellStyle name="20% - Accent5 2 3 5 5 2" xfId="15010"/>
    <cellStyle name="20% - Accent5 2 3 5 5 2 2" xfId="26153"/>
    <cellStyle name="20% - Accent5 2 3 5 5 3" xfId="20584"/>
    <cellStyle name="20% - Accent5 2 3 5 6" xfId="13580"/>
    <cellStyle name="20% - Accent5 2 3 5 6 2" xfId="24723"/>
    <cellStyle name="20% - Accent5 2 3 5 7" xfId="19154"/>
    <cellStyle name="20% - Accent5 2 3 5 8" xfId="6548"/>
    <cellStyle name="20% - Accent5 2 3 6" xfId="1818"/>
    <cellStyle name="20% - Accent5 2 3 6 2" xfId="4466"/>
    <cellStyle name="20% - Accent5 2 3 6 2 2" xfId="17079"/>
    <cellStyle name="20% - Accent5 2 3 6 2 2 2" xfId="28222"/>
    <cellStyle name="20% - Accent5 2 3 6 2 3" xfId="22653"/>
    <cellStyle name="20% - Accent5 2 3 6 2 4" xfId="8617"/>
    <cellStyle name="20% - Accent5 2 3 6 3" xfId="10766"/>
    <cellStyle name="20% - Accent5 2 3 6 3 2" xfId="14525"/>
    <cellStyle name="20% - Accent5 2 3 6 3 2 2" xfId="25668"/>
    <cellStyle name="20% - Accent5 2 3 6 3 3" xfId="20099"/>
    <cellStyle name="20% - Accent5 2 3 6 4" xfId="13095"/>
    <cellStyle name="20% - Accent5 2 3 6 4 2" xfId="24238"/>
    <cellStyle name="20% - Accent5 2 3 6 5" xfId="18669"/>
    <cellStyle name="20% - Accent5 2 3 6 6" xfId="6063"/>
    <cellStyle name="20% - Accent5 2 3 7" xfId="2511"/>
    <cellStyle name="20% - Accent5 2 3 7 2" xfId="4620"/>
    <cellStyle name="20% - Accent5 2 3 7 2 2" xfId="17233"/>
    <cellStyle name="20% - Accent5 2 3 7 2 2 2" xfId="28376"/>
    <cellStyle name="20% - Accent5 2 3 7 2 3" xfId="22807"/>
    <cellStyle name="20% - Accent5 2 3 7 2 4" xfId="8771"/>
    <cellStyle name="20% - Accent5 2 3 7 3" xfId="10836"/>
    <cellStyle name="20% - Accent5 2 3 7 3 2" xfId="15164"/>
    <cellStyle name="20% - Accent5 2 3 7 3 2 2" xfId="26307"/>
    <cellStyle name="20% - Accent5 2 3 7 3 3" xfId="20738"/>
    <cellStyle name="20% - Accent5 2 3 7 4" xfId="13734"/>
    <cellStyle name="20% - Accent5 2 3 7 4 2" xfId="24877"/>
    <cellStyle name="20% - Accent5 2 3 7 5" xfId="19308"/>
    <cellStyle name="20% - Accent5 2 3 7 6" xfId="6702"/>
    <cellStyle name="20% - Accent5 2 3 8" xfId="3149"/>
    <cellStyle name="20% - Accent5 2 3 8 2" xfId="5258"/>
    <cellStyle name="20% - Accent5 2 3 8 2 2" xfId="17871"/>
    <cellStyle name="20% - Accent5 2 3 8 2 2 2" xfId="29014"/>
    <cellStyle name="20% - Accent5 2 3 8 2 3" xfId="23445"/>
    <cellStyle name="20% - Accent5 2 3 8 2 4" xfId="9409"/>
    <cellStyle name="20% - Accent5 2 3 8 3" xfId="15802"/>
    <cellStyle name="20% - Accent5 2 3 8 3 2" xfId="26945"/>
    <cellStyle name="20% - Accent5 2 3 8 4" xfId="21376"/>
    <cellStyle name="20% - Accent5 2 3 8 5" xfId="7340"/>
    <cellStyle name="20% - Accent5 2 3 9" xfId="3828"/>
    <cellStyle name="20% - Accent5 2 3 9 2" xfId="16441"/>
    <cellStyle name="20% - Accent5 2 3 9 2 2" xfId="27584"/>
    <cellStyle name="20% - Accent5 2 3 9 3" xfId="22015"/>
    <cellStyle name="20% - Accent5 2 3 9 4" xfId="7979"/>
    <cellStyle name="20% - Accent5 2 4" xfId="280"/>
    <cellStyle name="20% - Accent5 2 4 10" xfId="12979"/>
    <cellStyle name="20% - Accent5 2 4 10 2" xfId="24123"/>
    <cellStyle name="20% - Accent5 2 4 11" xfId="18554"/>
    <cellStyle name="20% - Accent5 2 4 12" xfId="5947"/>
    <cellStyle name="20% - Accent5 2 4 2" xfId="2238"/>
    <cellStyle name="20% - Accent5 2 4 2 2" xfId="2882"/>
    <cellStyle name="20% - Accent5 2 4 2 2 2" xfId="4991"/>
    <cellStyle name="20% - Accent5 2 4 2 2 2 2" xfId="17604"/>
    <cellStyle name="20% - Accent5 2 4 2 2 2 2 2" xfId="28747"/>
    <cellStyle name="20% - Accent5 2 4 2 2 2 3" xfId="23178"/>
    <cellStyle name="20% - Accent5 2 4 2 2 2 4" xfId="9142"/>
    <cellStyle name="20% - Accent5 2 4 2 2 3" xfId="10650"/>
    <cellStyle name="20% - Accent5 2 4 2 2 3 2" xfId="15535"/>
    <cellStyle name="20% - Accent5 2 4 2 2 3 2 2" xfId="26678"/>
    <cellStyle name="20% - Accent5 2 4 2 2 3 3" xfId="21109"/>
    <cellStyle name="20% - Accent5 2 4 2 2 4" xfId="14105"/>
    <cellStyle name="20% - Accent5 2 4 2 2 4 2" xfId="25248"/>
    <cellStyle name="20% - Accent5 2 4 2 2 5" xfId="19679"/>
    <cellStyle name="20% - Accent5 2 4 2 2 6" xfId="7073"/>
    <cellStyle name="20% - Accent5 2 4 2 3" xfId="3520"/>
    <cellStyle name="20% - Accent5 2 4 2 3 2" xfId="5629"/>
    <cellStyle name="20% - Accent5 2 4 2 3 2 2" xfId="18242"/>
    <cellStyle name="20% - Accent5 2 4 2 3 2 2 2" xfId="29385"/>
    <cellStyle name="20% - Accent5 2 4 2 3 2 3" xfId="23816"/>
    <cellStyle name="20% - Accent5 2 4 2 3 2 4" xfId="9780"/>
    <cellStyle name="20% - Accent5 2 4 2 3 3" xfId="16173"/>
    <cellStyle name="20% - Accent5 2 4 2 3 3 2" xfId="27316"/>
    <cellStyle name="20% - Accent5 2 4 2 3 4" xfId="21747"/>
    <cellStyle name="20% - Accent5 2 4 2 3 5" xfId="7711"/>
    <cellStyle name="20% - Accent5 2 4 2 4" xfId="4199"/>
    <cellStyle name="20% - Accent5 2 4 2 4 2" xfId="16812"/>
    <cellStyle name="20% - Accent5 2 4 2 4 2 2" xfId="27955"/>
    <cellStyle name="20% - Accent5 2 4 2 4 3" xfId="22386"/>
    <cellStyle name="20% - Accent5 2 4 2 4 4" xfId="8350"/>
    <cellStyle name="20% - Accent5 2 4 2 5" xfId="10917"/>
    <cellStyle name="20% - Accent5 2 4 2 5 2" xfId="14896"/>
    <cellStyle name="20% - Accent5 2 4 2 5 2 2" xfId="26039"/>
    <cellStyle name="20% - Accent5 2 4 2 5 3" xfId="20470"/>
    <cellStyle name="20% - Accent5 2 4 2 6" xfId="13466"/>
    <cellStyle name="20% - Accent5 2 4 2 6 2" xfId="24609"/>
    <cellStyle name="20% - Accent5 2 4 2 7" xfId="19040"/>
    <cellStyle name="20% - Accent5 2 4 2 8" xfId="6434"/>
    <cellStyle name="20% - Accent5 2 4 3" xfId="2046"/>
    <cellStyle name="20% - Accent5 2 4 3 2" xfId="2701"/>
    <cellStyle name="20% - Accent5 2 4 3 2 2" xfId="4810"/>
    <cellStyle name="20% - Accent5 2 4 3 2 2 2" xfId="17423"/>
    <cellStyle name="20% - Accent5 2 4 3 2 2 2 2" xfId="28566"/>
    <cellStyle name="20% - Accent5 2 4 3 2 2 3" xfId="22997"/>
    <cellStyle name="20% - Accent5 2 4 3 2 2 4" xfId="8961"/>
    <cellStyle name="20% - Accent5 2 4 3 2 3" xfId="11038"/>
    <cellStyle name="20% - Accent5 2 4 3 2 3 2" xfId="15354"/>
    <cellStyle name="20% - Accent5 2 4 3 2 3 2 2" xfId="26497"/>
    <cellStyle name="20% - Accent5 2 4 3 2 3 3" xfId="20928"/>
    <cellStyle name="20% - Accent5 2 4 3 2 4" xfId="13924"/>
    <cellStyle name="20% - Accent5 2 4 3 2 4 2" xfId="25067"/>
    <cellStyle name="20% - Accent5 2 4 3 2 5" xfId="19498"/>
    <cellStyle name="20% - Accent5 2 4 3 2 6" xfId="6892"/>
    <cellStyle name="20% - Accent5 2 4 3 3" xfId="3339"/>
    <cellStyle name="20% - Accent5 2 4 3 3 2" xfId="5448"/>
    <cellStyle name="20% - Accent5 2 4 3 3 2 2" xfId="18061"/>
    <cellStyle name="20% - Accent5 2 4 3 3 2 2 2" xfId="29204"/>
    <cellStyle name="20% - Accent5 2 4 3 3 2 3" xfId="23635"/>
    <cellStyle name="20% - Accent5 2 4 3 3 2 4" xfId="9599"/>
    <cellStyle name="20% - Accent5 2 4 3 3 3" xfId="15992"/>
    <cellStyle name="20% - Accent5 2 4 3 3 3 2" xfId="27135"/>
    <cellStyle name="20% - Accent5 2 4 3 3 4" xfId="21566"/>
    <cellStyle name="20% - Accent5 2 4 3 3 5" xfId="7530"/>
    <cellStyle name="20% - Accent5 2 4 3 4" xfId="4018"/>
    <cellStyle name="20% - Accent5 2 4 3 4 2" xfId="16631"/>
    <cellStyle name="20% - Accent5 2 4 3 4 2 2" xfId="27774"/>
    <cellStyle name="20% - Accent5 2 4 3 4 3" xfId="22205"/>
    <cellStyle name="20% - Accent5 2 4 3 4 4" xfId="8169"/>
    <cellStyle name="20% - Accent5 2 4 3 5" xfId="10479"/>
    <cellStyle name="20% - Accent5 2 4 3 5 2" xfId="14715"/>
    <cellStyle name="20% - Accent5 2 4 3 5 2 2" xfId="25858"/>
    <cellStyle name="20% - Accent5 2 4 3 5 3" xfId="20289"/>
    <cellStyle name="20% - Accent5 2 4 3 6" xfId="13285"/>
    <cellStyle name="20% - Accent5 2 4 3 6 2" xfId="24428"/>
    <cellStyle name="20% - Accent5 2 4 3 7" xfId="18859"/>
    <cellStyle name="20% - Accent5 2 4 3 8" xfId="6253"/>
    <cellStyle name="20% - Accent5 2 4 4" xfId="2393"/>
    <cellStyle name="20% - Accent5 2 4 4 2" xfId="3034"/>
    <cellStyle name="20% - Accent5 2 4 4 2 2" xfId="5143"/>
    <cellStyle name="20% - Accent5 2 4 4 2 2 2" xfId="17756"/>
    <cellStyle name="20% - Accent5 2 4 4 2 2 2 2" xfId="28899"/>
    <cellStyle name="20% - Accent5 2 4 4 2 2 3" xfId="23330"/>
    <cellStyle name="20% - Accent5 2 4 4 2 2 4" xfId="9294"/>
    <cellStyle name="20% - Accent5 2 4 4 2 3" xfId="11021"/>
    <cellStyle name="20% - Accent5 2 4 4 2 3 2" xfId="15687"/>
    <cellStyle name="20% - Accent5 2 4 4 2 3 2 2" xfId="26830"/>
    <cellStyle name="20% - Accent5 2 4 4 2 3 3" xfId="21261"/>
    <cellStyle name="20% - Accent5 2 4 4 2 4" xfId="14257"/>
    <cellStyle name="20% - Accent5 2 4 4 2 4 2" xfId="25400"/>
    <cellStyle name="20% - Accent5 2 4 4 2 5" xfId="19831"/>
    <cellStyle name="20% - Accent5 2 4 4 2 6" xfId="7225"/>
    <cellStyle name="20% - Accent5 2 4 4 3" xfId="3672"/>
    <cellStyle name="20% - Accent5 2 4 4 3 2" xfId="5781"/>
    <cellStyle name="20% - Accent5 2 4 4 3 2 2" xfId="18394"/>
    <cellStyle name="20% - Accent5 2 4 4 3 2 2 2" xfId="29537"/>
    <cellStyle name="20% - Accent5 2 4 4 3 2 3" xfId="23968"/>
    <cellStyle name="20% - Accent5 2 4 4 3 2 4" xfId="9932"/>
    <cellStyle name="20% - Accent5 2 4 4 3 3" xfId="16325"/>
    <cellStyle name="20% - Accent5 2 4 4 3 3 2" xfId="27468"/>
    <cellStyle name="20% - Accent5 2 4 4 3 4" xfId="21899"/>
    <cellStyle name="20% - Accent5 2 4 4 3 5" xfId="7863"/>
    <cellStyle name="20% - Accent5 2 4 4 4" xfId="4351"/>
    <cellStyle name="20% - Accent5 2 4 4 4 2" xfId="16964"/>
    <cellStyle name="20% - Accent5 2 4 4 4 2 2" xfId="28107"/>
    <cellStyle name="20% - Accent5 2 4 4 4 3" xfId="22538"/>
    <cellStyle name="20% - Accent5 2 4 4 4 4" xfId="8502"/>
    <cellStyle name="20% - Accent5 2 4 4 5" xfId="10973"/>
    <cellStyle name="20% - Accent5 2 4 4 5 2" xfId="15048"/>
    <cellStyle name="20% - Accent5 2 4 4 5 2 2" xfId="26191"/>
    <cellStyle name="20% - Accent5 2 4 4 5 3" xfId="20622"/>
    <cellStyle name="20% - Accent5 2 4 4 6" xfId="13618"/>
    <cellStyle name="20% - Accent5 2 4 4 6 2" xfId="24761"/>
    <cellStyle name="20% - Accent5 2 4 4 7" xfId="19192"/>
    <cellStyle name="20% - Accent5 2 4 4 8" xfId="6586"/>
    <cellStyle name="20% - Accent5 2 4 5" xfId="1856"/>
    <cellStyle name="20% - Accent5 2 4 5 2" xfId="4504"/>
    <cellStyle name="20% - Accent5 2 4 5 2 2" xfId="17117"/>
    <cellStyle name="20% - Accent5 2 4 5 2 2 2" xfId="28260"/>
    <cellStyle name="20% - Accent5 2 4 5 2 3" xfId="22691"/>
    <cellStyle name="20% - Accent5 2 4 5 2 4" xfId="8655"/>
    <cellStyle name="20% - Accent5 2 4 5 3" xfId="11204"/>
    <cellStyle name="20% - Accent5 2 4 5 3 2" xfId="14563"/>
    <cellStyle name="20% - Accent5 2 4 5 3 2 2" xfId="25706"/>
    <cellStyle name="20% - Accent5 2 4 5 3 3" xfId="20137"/>
    <cellStyle name="20% - Accent5 2 4 5 4" xfId="13133"/>
    <cellStyle name="20% - Accent5 2 4 5 4 2" xfId="24276"/>
    <cellStyle name="20% - Accent5 2 4 5 5" xfId="18707"/>
    <cellStyle name="20% - Accent5 2 4 5 6" xfId="6101"/>
    <cellStyle name="20% - Accent5 2 4 6" xfId="2549"/>
    <cellStyle name="20% - Accent5 2 4 6 2" xfId="4658"/>
    <cellStyle name="20% - Accent5 2 4 6 2 2" xfId="17271"/>
    <cellStyle name="20% - Accent5 2 4 6 2 2 2" xfId="28414"/>
    <cellStyle name="20% - Accent5 2 4 6 2 3" xfId="22845"/>
    <cellStyle name="20% - Accent5 2 4 6 2 4" xfId="8809"/>
    <cellStyle name="20% - Accent5 2 4 6 3" xfId="10682"/>
    <cellStyle name="20% - Accent5 2 4 6 3 2" xfId="15202"/>
    <cellStyle name="20% - Accent5 2 4 6 3 2 2" xfId="26345"/>
    <cellStyle name="20% - Accent5 2 4 6 3 3" xfId="20776"/>
    <cellStyle name="20% - Accent5 2 4 6 4" xfId="13772"/>
    <cellStyle name="20% - Accent5 2 4 6 4 2" xfId="24915"/>
    <cellStyle name="20% - Accent5 2 4 6 5" xfId="19346"/>
    <cellStyle name="20% - Accent5 2 4 6 6" xfId="6740"/>
    <cellStyle name="20% - Accent5 2 4 7" xfId="3187"/>
    <cellStyle name="20% - Accent5 2 4 7 2" xfId="5296"/>
    <cellStyle name="20% - Accent5 2 4 7 2 2" xfId="17909"/>
    <cellStyle name="20% - Accent5 2 4 7 2 2 2" xfId="29052"/>
    <cellStyle name="20% - Accent5 2 4 7 2 3" xfId="23483"/>
    <cellStyle name="20% - Accent5 2 4 7 2 4" xfId="9447"/>
    <cellStyle name="20% - Accent5 2 4 7 3" xfId="15840"/>
    <cellStyle name="20% - Accent5 2 4 7 3 2" xfId="26983"/>
    <cellStyle name="20% - Accent5 2 4 7 4" xfId="21414"/>
    <cellStyle name="20% - Accent5 2 4 7 5" xfId="7378"/>
    <cellStyle name="20% - Accent5 2 4 8" xfId="3866"/>
    <cellStyle name="20% - Accent5 2 4 8 2" xfId="16479"/>
    <cellStyle name="20% - Accent5 2 4 8 2 2" xfId="27622"/>
    <cellStyle name="20% - Accent5 2 4 8 3" xfId="22053"/>
    <cellStyle name="20% - Accent5 2 4 8 4" xfId="8017"/>
    <cellStyle name="20% - Accent5 2 4 9" xfId="10700"/>
    <cellStyle name="20% - Accent5 2 4 9 2" xfId="14410"/>
    <cellStyle name="20% - Accent5 2 4 9 2 2" xfId="25553"/>
    <cellStyle name="20% - Accent5 2 4 9 3" xfId="19984"/>
    <cellStyle name="20% - Accent5 2 5" xfId="2162"/>
    <cellStyle name="20% - Accent5 2 5 2" xfId="2806"/>
    <cellStyle name="20% - Accent5 2 5 2 2" xfId="4915"/>
    <cellStyle name="20% - Accent5 2 5 2 2 2" xfId="17528"/>
    <cellStyle name="20% - Accent5 2 5 2 2 2 2" xfId="28671"/>
    <cellStyle name="20% - Accent5 2 5 2 2 3" xfId="23102"/>
    <cellStyle name="20% - Accent5 2 5 2 2 4" xfId="9066"/>
    <cellStyle name="20% - Accent5 2 5 2 3" xfId="10603"/>
    <cellStyle name="20% - Accent5 2 5 2 3 2" xfId="15459"/>
    <cellStyle name="20% - Accent5 2 5 2 3 2 2" xfId="26602"/>
    <cellStyle name="20% - Accent5 2 5 2 3 3" xfId="21033"/>
    <cellStyle name="20% - Accent5 2 5 2 4" xfId="14029"/>
    <cellStyle name="20% - Accent5 2 5 2 4 2" xfId="25172"/>
    <cellStyle name="20% - Accent5 2 5 2 5" xfId="19603"/>
    <cellStyle name="20% - Accent5 2 5 2 6" xfId="6997"/>
    <cellStyle name="20% - Accent5 2 5 3" xfId="3444"/>
    <cellStyle name="20% - Accent5 2 5 3 2" xfId="5553"/>
    <cellStyle name="20% - Accent5 2 5 3 2 2" xfId="18166"/>
    <cellStyle name="20% - Accent5 2 5 3 2 2 2" xfId="29309"/>
    <cellStyle name="20% - Accent5 2 5 3 2 3" xfId="23740"/>
    <cellStyle name="20% - Accent5 2 5 3 2 4" xfId="9704"/>
    <cellStyle name="20% - Accent5 2 5 3 3" xfId="16097"/>
    <cellStyle name="20% - Accent5 2 5 3 3 2" xfId="27240"/>
    <cellStyle name="20% - Accent5 2 5 3 4" xfId="21671"/>
    <cellStyle name="20% - Accent5 2 5 3 5" xfId="7635"/>
    <cellStyle name="20% - Accent5 2 5 4" xfId="4123"/>
    <cellStyle name="20% - Accent5 2 5 4 2" xfId="16736"/>
    <cellStyle name="20% - Accent5 2 5 4 2 2" xfId="27879"/>
    <cellStyle name="20% - Accent5 2 5 4 3" xfId="22310"/>
    <cellStyle name="20% - Accent5 2 5 4 4" xfId="8274"/>
    <cellStyle name="20% - Accent5 2 5 5" xfId="10995"/>
    <cellStyle name="20% - Accent5 2 5 5 2" xfId="14820"/>
    <cellStyle name="20% - Accent5 2 5 5 2 2" xfId="25963"/>
    <cellStyle name="20% - Accent5 2 5 5 3" xfId="20394"/>
    <cellStyle name="20% - Accent5 2 5 6" xfId="13390"/>
    <cellStyle name="20% - Accent5 2 5 6 2" xfId="24533"/>
    <cellStyle name="20% - Accent5 2 5 7" xfId="18964"/>
    <cellStyle name="20% - Accent5 2 5 8" xfId="6358"/>
    <cellStyle name="20% - Accent5 2 6" xfId="1955"/>
    <cellStyle name="20% - Accent5 2 6 2" xfId="2625"/>
    <cellStyle name="20% - Accent5 2 6 2 2" xfId="4734"/>
    <cellStyle name="20% - Accent5 2 6 2 2 2" xfId="17347"/>
    <cellStyle name="20% - Accent5 2 6 2 2 2 2" xfId="28490"/>
    <cellStyle name="20% - Accent5 2 6 2 2 3" xfId="22921"/>
    <cellStyle name="20% - Accent5 2 6 2 2 4" xfId="8885"/>
    <cellStyle name="20% - Accent5 2 6 2 3" xfId="10840"/>
    <cellStyle name="20% - Accent5 2 6 2 3 2" xfId="15278"/>
    <cellStyle name="20% - Accent5 2 6 2 3 2 2" xfId="26421"/>
    <cellStyle name="20% - Accent5 2 6 2 3 3" xfId="20852"/>
    <cellStyle name="20% - Accent5 2 6 2 4" xfId="13848"/>
    <cellStyle name="20% - Accent5 2 6 2 4 2" xfId="24991"/>
    <cellStyle name="20% - Accent5 2 6 2 5" xfId="19422"/>
    <cellStyle name="20% - Accent5 2 6 2 6" xfId="6816"/>
    <cellStyle name="20% - Accent5 2 6 3" xfId="3263"/>
    <cellStyle name="20% - Accent5 2 6 3 2" xfId="5372"/>
    <cellStyle name="20% - Accent5 2 6 3 2 2" xfId="17985"/>
    <cellStyle name="20% - Accent5 2 6 3 2 2 2" xfId="29128"/>
    <cellStyle name="20% - Accent5 2 6 3 2 3" xfId="23559"/>
    <cellStyle name="20% - Accent5 2 6 3 2 4" xfId="9523"/>
    <cellStyle name="20% - Accent5 2 6 3 3" xfId="15916"/>
    <cellStyle name="20% - Accent5 2 6 3 3 2" xfId="27059"/>
    <cellStyle name="20% - Accent5 2 6 3 4" xfId="21490"/>
    <cellStyle name="20% - Accent5 2 6 3 5" xfId="7454"/>
    <cellStyle name="20% - Accent5 2 6 4" xfId="3942"/>
    <cellStyle name="20% - Accent5 2 6 4 2" xfId="16555"/>
    <cellStyle name="20% - Accent5 2 6 4 2 2" xfId="27698"/>
    <cellStyle name="20% - Accent5 2 6 4 3" xfId="22129"/>
    <cellStyle name="20% - Accent5 2 6 4 4" xfId="8093"/>
    <cellStyle name="20% - Accent5 2 6 5" xfId="10726"/>
    <cellStyle name="20% - Accent5 2 6 5 2" xfId="14639"/>
    <cellStyle name="20% - Accent5 2 6 5 2 2" xfId="25782"/>
    <cellStyle name="20% - Accent5 2 6 5 3" xfId="20213"/>
    <cellStyle name="20% - Accent5 2 6 6" xfId="13209"/>
    <cellStyle name="20% - Accent5 2 6 6 2" xfId="24352"/>
    <cellStyle name="20% - Accent5 2 6 7" xfId="18783"/>
    <cellStyle name="20% - Accent5 2 6 8" xfId="6177"/>
    <cellStyle name="20% - Accent5 2 7" xfId="2316"/>
    <cellStyle name="20% - Accent5 2 7 2" xfId="2958"/>
    <cellStyle name="20% - Accent5 2 7 2 2" xfId="5067"/>
    <cellStyle name="20% - Accent5 2 7 2 2 2" xfId="17680"/>
    <cellStyle name="20% - Accent5 2 7 2 2 2 2" xfId="28823"/>
    <cellStyle name="20% - Accent5 2 7 2 2 3" xfId="23254"/>
    <cellStyle name="20% - Accent5 2 7 2 2 4" xfId="9218"/>
    <cellStyle name="20% - Accent5 2 7 2 3" xfId="10838"/>
    <cellStyle name="20% - Accent5 2 7 2 3 2" xfId="15611"/>
    <cellStyle name="20% - Accent5 2 7 2 3 2 2" xfId="26754"/>
    <cellStyle name="20% - Accent5 2 7 2 3 3" xfId="21185"/>
    <cellStyle name="20% - Accent5 2 7 2 4" xfId="14181"/>
    <cellStyle name="20% - Accent5 2 7 2 4 2" xfId="25324"/>
    <cellStyle name="20% - Accent5 2 7 2 5" xfId="19755"/>
    <cellStyle name="20% - Accent5 2 7 2 6" xfId="7149"/>
    <cellStyle name="20% - Accent5 2 7 3" xfId="3596"/>
    <cellStyle name="20% - Accent5 2 7 3 2" xfId="5705"/>
    <cellStyle name="20% - Accent5 2 7 3 2 2" xfId="18318"/>
    <cellStyle name="20% - Accent5 2 7 3 2 2 2" xfId="29461"/>
    <cellStyle name="20% - Accent5 2 7 3 2 3" xfId="23892"/>
    <cellStyle name="20% - Accent5 2 7 3 2 4" xfId="9856"/>
    <cellStyle name="20% - Accent5 2 7 3 3" xfId="16249"/>
    <cellStyle name="20% - Accent5 2 7 3 3 2" xfId="27392"/>
    <cellStyle name="20% - Accent5 2 7 3 4" xfId="21823"/>
    <cellStyle name="20% - Accent5 2 7 3 5" xfId="7787"/>
    <cellStyle name="20% - Accent5 2 7 4" xfId="4275"/>
    <cellStyle name="20% - Accent5 2 7 4 2" xfId="16888"/>
    <cellStyle name="20% - Accent5 2 7 4 2 2" xfId="28031"/>
    <cellStyle name="20% - Accent5 2 7 4 3" xfId="22462"/>
    <cellStyle name="20% - Accent5 2 7 4 4" xfId="8426"/>
    <cellStyle name="20% - Accent5 2 7 5" xfId="10163"/>
    <cellStyle name="20% - Accent5 2 7 5 2" xfId="14972"/>
    <cellStyle name="20% - Accent5 2 7 5 2 2" xfId="26115"/>
    <cellStyle name="20% - Accent5 2 7 5 3" xfId="20546"/>
    <cellStyle name="20% - Accent5 2 7 6" xfId="13542"/>
    <cellStyle name="20% - Accent5 2 7 6 2" xfId="24685"/>
    <cellStyle name="20% - Accent5 2 7 7" xfId="19116"/>
    <cellStyle name="20% - Accent5 2 7 8" xfId="6510"/>
    <cellStyle name="20% - Accent5 2 8" xfId="1780"/>
    <cellStyle name="20% - Accent5 2 8 2" xfId="4428"/>
    <cellStyle name="20% - Accent5 2 8 2 2" xfId="17041"/>
    <cellStyle name="20% - Accent5 2 8 2 2 2" xfId="28184"/>
    <cellStyle name="20% - Accent5 2 8 2 3" xfId="22615"/>
    <cellStyle name="20% - Accent5 2 8 2 4" xfId="8579"/>
    <cellStyle name="20% - Accent5 2 8 3" xfId="11166"/>
    <cellStyle name="20% - Accent5 2 8 3 2" xfId="14487"/>
    <cellStyle name="20% - Accent5 2 8 3 2 2" xfId="25630"/>
    <cellStyle name="20% - Accent5 2 8 3 3" xfId="20061"/>
    <cellStyle name="20% - Accent5 2 8 4" xfId="13057"/>
    <cellStyle name="20% - Accent5 2 8 4 2" xfId="24200"/>
    <cellStyle name="20% - Accent5 2 8 5" xfId="18631"/>
    <cellStyle name="20% - Accent5 2 8 6" xfId="6025"/>
    <cellStyle name="20% - Accent5 2 9" xfId="2473"/>
    <cellStyle name="20% - Accent5 2 9 2" xfId="4582"/>
    <cellStyle name="20% - Accent5 2 9 2 2" xfId="17195"/>
    <cellStyle name="20% - Accent5 2 9 2 2 2" xfId="28338"/>
    <cellStyle name="20% - Accent5 2 9 2 3" xfId="22769"/>
    <cellStyle name="20% - Accent5 2 9 2 4" xfId="8733"/>
    <cellStyle name="20% - Accent5 2 9 3" xfId="11020"/>
    <cellStyle name="20% - Accent5 2 9 3 2" xfId="15126"/>
    <cellStyle name="20% - Accent5 2 9 3 2 2" xfId="26269"/>
    <cellStyle name="20% - Accent5 2 9 3 3" xfId="20700"/>
    <cellStyle name="20% - Accent5 2 9 4" xfId="13696"/>
    <cellStyle name="20% - Accent5 2 9 4 2" xfId="24839"/>
    <cellStyle name="20% - Accent5 2 9 5" xfId="19270"/>
    <cellStyle name="20% - Accent5 2 9 6" xfId="6664"/>
    <cellStyle name="20% - Accent5 3" xfId="143"/>
    <cellStyle name="20% - Accent5 3 2" xfId="393"/>
    <cellStyle name="20% - Accent5 3 2 2" xfId="572"/>
    <cellStyle name="20% - Accent5 3 2 2 2" xfId="955"/>
    <cellStyle name="20% - Accent5 3 2 2 2 2" xfId="1694"/>
    <cellStyle name="20% - Accent5 3 2 2 2 2 2" xfId="12790"/>
    <cellStyle name="20% - Accent5 3 2 2 2 3" xfId="12080"/>
    <cellStyle name="20% - Accent5 3 2 2 3" xfId="1339"/>
    <cellStyle name="20% - Accent5 3 2 2 3 2" xfId="12435"/>
    <cellStyle name="20% - Accent5 3 2 2 4" xfId="11725"/>
    <cellStyle name="20% - Accent5 3 2 3" xfId="777"/>
    <cellStyle name="20% - Accent5 3 2 3 2" xfId="1516"/>
    <cellStyle name="20% - Accent5 3 2 3 2 2" xfId="12612"/>
    <cellStyle name="20% - Accent5 3 2 3 3" xfId="11902"/>
    <cellStyle name="20% - Accent5 3 2 4" xfId="1161"/>
    <cellStyle name="20% - Accent5 3 2 4 2" xfId="12257"/>
    <cellStyle name="20% - Accent5 3 2 5" xfId="11547"/>
    <cellStyle name="20% - Accent5 3 3" xfId="448"/>
    <cellStyle name="20% - Accent5 3 3 2" xfId="627"/>
    <cellStyle name="20% - Accent5 3 3 2 2" xfId="1010"/>
    <cellStyle name="20% - Accent5 3 3 2 2 2" xfId="1749"/>
    <cellStyle name="20% - Accent5 3 3 2 2 2 2" xfId="12845"/>
    <cellStyle name="20% - Accent5 3 3 2 2 3" xfId="12135"/>
    <cellStyle name="20% - Accent5 3 3 2 3" xfId="1394"/>
    <cellStyle name="20% - Accent5 3 3 2 3 2" xfId="12490"/>
    <cellStyle name="20% - Accent5 3 3 2 4" xfId="11780"/>
    <cellStyle name="20% - Accent5 3 3 3" xfId="832"/>
    <cellStyle name="20% - Accent5 3 3 3 2" xfId="1571"/>
    <cellStyle name="20% - Accent5 3 3 3 2 2" xfId="12667"/>
    <cellStyle name="20% - Accent5 3 3 3 3" xfId="11957"/>
    <cellStyle name="20% - Accent5 3 3 4" xfId="1216"/>
    <cellStyle name="20% - Accent5 3 3 4 2" xfId="12312"/>
    <cellStyle name="20% - Accent5 3 3 5" xfId="11602"/>
    <cellStyle name="20% - Accent5 3 4" xfId="510"/>
    <cellStyle name="20% - Accent5 3 4 2" xfId="894"/>
    <cellStyle name="20% - Accent5 3 4 2 2" xfId="1633"/>
    <cellStyle name="20% - Accent5 3 4 2 2 2" xfId="12729"/>
    <cellStyle name="20% - Accent5 3 4 2 3" xfId="12019"/>
    <cellStyle name="20% - Accent5 3 4 3" xfId="1278"/>
    <cellStyle name="20% - Accent5 3 4 3 2" xfId="12374"/>
    <cellStyle name="20% - Accent5 3 4 4" xfId="11664"/>
    <cellStyle name="20% - Accent5 3 5" xfId="716"/>
    <cellStyle name="20% - Accent5 3 5 2" xfId="1455"/>
    <cellStyle name="20% - Accent5 3 5 2 2" xfId="12551"/>
    <cellStyle name="20% - Accent5 3 5 3" xfId="11841"/>
    <cellStyle name="20% - Accent5 3 6" xfId="1100"/>
    <cellStyle name="20% - Accent5 3 6 2" xfId="12196"/>
    <cellStyle name="20% - Accent5 3 7" xfId="11486"/>
    <cellStyle name="20% - Accent5 4" xfId="171"/>
    <cellStyle name="20% - Accent5 4 2" xfId="405"/>
    <cellStyle name="20% - Accent5 4 2 2" xfId="584"/>
    <cellStyle name="20% - Accent5 4 2 2 2" xfId="967"/>
    <cellStyle name="20% - Accent5 4 2 2 2 2" xfId="1706"/>
    <cellStyle name="20% - Accent5 4 2 2 2 2 2" xfId="12802"/>
    <cellStyle name="20% - Accent5 4 2 2 2 3" xfId="12092"/>
    <cellStyle name="20% - Accent5 4 2 2 3" xfId="1351"/>
    <cellStyle name="20% - Accent5 4 2 2 3 2" xfId="12447"/>
    <cellStyle name="20% - Accent5 4 2 2 4" xfId="11737"/>
    <cellStyle name="20% - Accent5 4 2 3" xfId="789"/>
    <cellStyle name="20% - Accent5 4 2 3 2" xfId="1528"/>
    <cellStyle name="20% - Accent5 4 2 3 2 2" xfId="12624"/>
    <cellStyle name="20% - Accent5 4 2 3 3" xfId="11914"/>
    <cellStyle name="20% - Accent5 4 2 4" xfId="1173"/>
    <cellStyle name="20% - Accent5 4 2 4 2" xfId="12269"/>
    <cellStyle name="20% - Accent5 4 2 5" xfId="11559"/>
    <cellStyle name="20% - Accent5 4 3" xfId="460"/>
    <cellStyle name="20% - Accent5 4 3 2" xfId="639"/>
    <cellStyle name="20% - Accent5 4 3 2 2" xfId="1022"/>
    <cellStyle name="20% - Accent5 4 3 2 2 2" xfId="1761"/>
    <cellStyle name="20% - Accent5 4 3 2 2 2 2" xfId="12857"/>
    <cellStyle name="20% - Accent5 4 3 2 2 3" xfId="12147"/>
    <cellStyle name="20% - Accent5 4 3 2 3" xfId="1406"/>
    <cellStyle name="20% - Accent5 4 3 2 3 2" xfId="12502"/>
    <cellStyle name="20% - Accent5 4 3 2 4" xfId="11792"/>
    <cellStyle name="20% - Accent5 4 3 3" xfId="844"/>
    <cellStyle name="20% - Accent5 4 3 3 2" xfId="1583"/>
    <cellStyle name="20% - Accent5 4 3 3 2 2" xfId="12679"/>
    <cellStyle name="20% - Accent5 4 3 3 3" xfId="11969"/>
    <cellStyle name="20% - Accent5 4 3 4" xfId="1228"/>
    <cellStyle name="20% - Accent5 4 3 4 2" xfId="12324"/>
    <cellStyle name="20% - Accent5 4 3 5" xfId="11614"/>
    <cellStyle name="20% - Accent5 4 4" xfId="523"/>
    <cellStyle name="20% - Accent5 4 4 2" xfId="906"/>
    <cellStyle name="20% - Accent5 4 4 2 2" xfId="1645"/>
    <cellStyle name="20% - Accent5 4 4 2 2 2" xfId="12741"/>
    <cellStyle name="20% - Accent5 4 4 2 3" xfId="12031"/>
    <cellStyle name="20% - Accent5 4 4 3" xfId="1290"/>
    <cellStyle name="20% - Accent5 4 4 3 2" xfId="12386"/>
    <cellStyle name="20% - Accent5 4 4 4" xfId="11676"/>
    <cellStyle name="20% - Accent5 4 5" xfId="728"/>
    <cellStyle name="20% - Accent5 4 5 2" xfId="1467"/>
    <cellStyle name="20% - Accent5 4 5 2 2" xfId="12563"/>
    <cellStyle name="20% - Accent5 4 5 3" xfId="11853"/>
    <cellStyle name="20% - Accent5 4 6" xfId="1112"/>
    <cellStyle name="20% - Accent5 4 6 2" xfId="12208"/>
    <cellStyle name="20% - Accent5 4 7" xfId="11498"/>
    <cellStyle name="20% - Accent5 5" xfId="213"/>
    <cellStyle name="20% - Accent5 5 2" xfId="417"/>
    <cellStyle name="20% - Accent5 5 2 2" xfId="596"/>
    <cellStyle name="20% - Accent5 5 2 2 2" xfId="979"/>
    <cellStyle name="20% - Accent5 5 2 2 2 2" xfId="1718"/>
    <cellStyle name="20% - Accent5 5 2 2 2 2 2" xfId="12814"/>
    <cellStyle name="20% - Accent5 5 2 2 2 3" xfId="12104"/>
    <cellStyle name="20% - Accent5 5 2 2 3" xfId="1363"/>
    <cellStyle name="20% - Accent5 5 2 2 3 2" xfId="12459"/>
    <cellStyle name="20% - Accent5 5 2 2 4" xfId="11749"/>
    <cellStyle name="20% - Accent5 5 2 3" xfId="801"/>
    <cellStyle name="20% - Accent5 5 2 3 2" xfId="1540"/>
    <cellStyle name="20% - Accent5 5 2 3 2 2" xfId="12636"/>
    <cellStyle name="20% - Accent5 5 2 3 3" xfId="11926"/>
    <cellStyle name="20% - Accent5 5 2 4" xfId="1185"/>
    <cellStyle name="20% - Accent5 5 2 4 2" xfId="12281"/>
    <cellStyle name="20% - Accent5 5 2 5" xfId="11571"/>
    <cellStyle name="20% - Accent5 5 3" xfId="472"/>
    <cellStyle name="20% - Accent5 5 3 2" xfId="651"/>
    <cellStyle name="20% - Accent5 5 3 2 2" xfId="1034"/>
    <cellStyle name="20% - Accent5 5 3 2 2 2" xfId="1773"/>
    <cellStyle name="20% - Accent5 5 3 2 2 2 2" xfId="12869"/>
    <cellStyle name="20% - Accent5 5 3 2 2 3" xfId="12159"/>
    <cellStyle name="20% - Accent5 5 3 2 3" xfId="1418"/>
    <cellStyle name="20% - Accent5 5 3 2 3 2" xfId="12514"/>
    <cellStyle name="20% - Accent5 5 3 2 4" xfId="11804"/>
    <cellStyle name="20% - Accent5 5 3 3" xfId="856"/>
    <cellStyle name="20% - Accent5 5 3 3 2" xfId="1595"/>
    <cellStyle name="20% - Accent5 5 3 3 2 2" xfId="12691"/>
    <cellStyle name="20% - Accent5 5 3 3 3" xfId="11981"/>
    <cellStyle name="20% - Accent5 5 3 4" xfId="1240"/>
    <cellStyle name="20% - Accent5 5 3 4 2" xfId="12336"/>
    <cellStyle name="20% - Accent5 5 3 5" xfId="11626"/>
    <cellStyle name="20% - Accent5 5 4" xfId="535"/>
    <cellStyle name="20% - Accent5 5 4 2" xfId="918"/>
    <cellStyle name="20% - Accent5 5 4 2 2" xfId="1657"/>
    <cellStyle name="20% - Accent5 5 4 2 2 2" xfId="12753"/>
    <cellStyle name="20% - Accent5 5 4 2 3" xfId="12043"/>
    <cellStyle name="20% - Accent5 5 4 3" xfId="1302"/>
    <cellStyle name="20% - Accent5 5 4 3 2" xfId="12398"/>
    <cellStyle name="20% - Accent5 5 4 4" xfId="11688"/>
    <cellStyle name="20% - Accent5 5 5" xfId="740"/>
    <cellStyle name="20% - Accent5 5 5 2" xfId="1479"/>
    <cellStyle name="20% - Accent5 5 5 2 2" xfId="12575"/>
    <cellStyle name="20% - Accent5 5 5 3" xfId="11865"/>
    <cellStyle name="20% - Accent5 5 6" xfId="1124"/>
    <cellStyle name="20% - Accent5 5 6 2" xfId="12220"/>
    <cellStyle name="20% - Accent5 5 7" xfId="11510"/>
    <cellStyle name="20% - Accent5 6" xfId="359"/>
    <cellStyle name="20% - Accent5 6 2" xfId="374"/>
    <cellStyle name="20% - Accent5 6 2 2" xfId="553"/>
    <cellStyle name="20% - Accent5 6 2 2 2" xfId="936"/>
    <cellStyle name="20% - Accent5 6 2 2 2 2" xfId="1675"/>
    <cellStyle name="20% - Accent5 6 2 2 2 2 2" xfId="12771"/>
    <cellStyle name="20% - Accent5 6 2 2 2 3" xfId="12061"/>
    <cellStyle name="20% - Accent5 6 2 2 3" xfId="1320"/>
    <cellStyle name="20% - Accent5 6 2 2 3 2" xfId="12416"/>
    <cellStyle name="20% - Accent5 6 2 2 4" xfId="11706"/>
    <cellStyle name="20% - Accent5 6 2 3" xfId="758"/>
    <cellStyle name="20% - Accent5 6 2 3 2" xfId="1497"/>
    <cellStyle name="20% - Accent5 6 2 3 2 2" xfId="12593"/>
    <cellStyle name="20% - Accent5 6 2 3 3" xfId="11883"/>
    <cellStyle name="20% - Accent5 6 2 4" xfId="1142"/>
    <cellStyle name="20% - Accent5 6 2 4 2" xfId="12238"/>
    <cellStyle name="20% - Accent5 6 2 5" xfId="11528"/>
    <cellStyle name="20% - Accent5 6 3" xfId="541"/>
    <cellStyle name="20% - Accent5 6 3 2" xfId="924"/>
    <cellStyle name="20% - Accent5 6 3 2 2" xfId="1663"/>
    <cellStyle name="20% - Accent5 6 3 2 2 2" xfId="12759"/>
    <cellStyle name="20% - Accent5 6 3 2 3" xfId="12049"/>
    <cellStyle name="20% - Accent5 6 3 3" xfId="1308"/>
    <cellStyle name="20% - Accent5 6 3 3 2" xfId="12404"/>
    <cellStyle name="20% - Accent5 6 3 4" xfId="11694"/>
    <cellStyle name="20% - Accent5 6 4" xfId="746"/>
    <cellStyle name="20% - Accent5 6 4 2" xfId="1485"/>
    <cellStyle name="20% - Accent5 6 4 2 2" xfId="12581"/>
    <cellStyle name="20% - Accent5 6 4 3" xfId="11871"/>
    <cellStyle name="20% - Accent5 6 5" xfId="1130"/>
    <cellStyle name="20% - Accent5 6 5 2" xfId="12226"/>
    <cellStyle name="20% - Accent5 6 6" xfId="11516"/>
    <cellStyle name="20% - Accent5 7" xfId="429"/>
    <cellStyle name="20% - Accent5 7 2" xfId="608"/>
    <cellStyle name="20% - Accent5 7 2 2" xfId="991"/>
    <cellStyle name="20% - Accent5 7 2 2 2" xfId="1730"/>
    <cellStyle name="20% - Accent5 7 2 2 2 2" xfId="12826"/>
    <cellStyle name="20% - Accent5 7 2 2 3" xfId="12116"/>
    <cellStyle name="20% - Accent5 7 2 3" xfId="1375"/>
    <cellStyle name="20% - Accent5 7 2 3 2" xfId="12471"/>
    <cellStyle name="20% - Accent5 7 2 4" xfId="11761"/>
    <cellStyle name="20% - Accent5 7 3" xfId="813"/>
    <cellStyle name="20% - Accent5 7 3 2" xfId="1552"/>
    <cellStyle name="20% - Accent5 7 3 2 2" xfId="12648"/>
    <cellStyle name="20% - Accent5 7 3 3" xfId="11938"/>
    <cellStyle name="20% - Accent5 7 4" xfId="1197"/>
    <cellStyle name="20% - Accent5 7 4 2" xfId="12293"/>
    <cellStyle name="20% - Accent5 7 5" xfId="11583"/>
    <cellStyle name="20% - Accent5 8" xfId="485"/>
    <cellStyle name="20% - Accent5 8 2" xfId="869"/>
    <cellStyle name="20% - Accent5 8 2 2" xfId="1608"/>
    <cellStyle name="20% - Accent5 8 2 2 2" xfId="12704"/>
    <cellStyle name="20% - Accent5 8 2 3" xfId="11994"/>
    <cellStyle name="20% - Accent5 8 3" xfId="1253"/>
    <cellStyle name="20% - Accent5 8 3 2" xfId="12349"/>
    <cellStyle name="20% - Accent5 8 4" xfId="11639"/>
    <cellStyle name="20% - Accent5 9" xfId="688"/>
    <cellStyle name="20% - Accent5 9 2" xfId="1430"/>
    <cellStyle name="20% - Accent5 9 2 2" xfId="12526"/>
    <cellStyle name="20% - Accent5 9 3" xfId="11816"/>
    <cellStyle name="20% - Accent6" xfId="38" builtinId="50" customBuiltin="1"/>
    <cellStyle name="20% - Accent6 10" xfId="1076"/>
    <cellStyle name="20% - Accent6 10 2" xfId="12173"/>
    <cellStyle name="20% - Accent6 11" xfId="1952"/>
    <cellStyle name="20% - Accent6 11 2" xfId="12881"/>
    <cellStyle name="20% - Accent6 12" xfId="3784"/>
    <cellStyle name="20% - Accent6 12 2" xfId="11463"/>
    <cellStyle name="20% - Accent6 2" xfId="115"/>
    <cellStyle name="20% - Accent6 2 10" xfId="3114"/>
    <cellStyle name="20% - Accent6 2 10 2" xfId="5223"/>
    <cellStyle name="20% - Accent6 2 10 2 2" xfId="17836"/>
    <cellStyle name="20% - Accent6 2 10 2 2 2" xfId="28979"/>
    <cellStyle name="20% - Accent6 2 10 2 3" xfId="23410"/>
    <cellStyle name="20% - Accent6 2 10 2 4" xfId="9374"/>
    <cellStyle name="20% - Accent6 2 10 3" xfId="15767"/>
    <cellStyle name="20% - Accent6 2 10 3 2" xfId="26910"/>
    <cellStyle name="20% - Accent6 2 10 4" xfId="21341"/>
    <cellStyle name="20% - Accent6 2 10 5" xfId="7305"/>
    <cellStyle name="20% - Accent6 2 11" xfId="3793"/>
    <cellStyle name="20% - Accent6 2 11 2" xfId="16406"/>
    <cellStyle name="20% - Accent6 2 11 2 2" xfId="27549"/>
    <cellStyle name="20% - Accent6 2 11 3" xfId="21980"/>
    <cellStyle name="20% - Accent6 2 11 4" xfId="7944"/>
    <cellStyle name="20% - Accent6 2 12" xfId="10217"/>
    <cellStyle name="20% - Accent6 2 12 2" xfId="14337"/>
    <cellStyle name="20% - Accent6 2 12 2 2" xfId="25480"/>
    <cellStyle name="20% - Accent6 2 12 3" xfId="19911"/>
    <cellStyle name="20% - Accent6 2 13" xfId="12905"/>
    <cellStyle name="20% - Accent6 2 13 2" xfId="24049"/>
    <cellStyle name="20% - Accent6 2 14" xfId="18481"/>
    <cellStyle name="20% - Accent6 2 15" xfId="5874"/>
    <cellStyle name="20% - Accent6 2 2" xfId="226"/>
    <cellStyle name="20% - Accent6 2 2 10" xfId="3812"/>
    <cellStyle name="20% - Accent6 2 2 10 2" xfId="16425"/>
    <cellStyle name="20% - Accent6 2 2 10 2 2" xfId="27568"/>
    <cellStyle name="20% - Accent6 2 2 10 3" xfId="21999"/>
    <cellStyle name="20% - Accent6 2 2 10 4" xfId="7963"/>
    <cellStyle name="20% - Accent6 2 2 11" xfId="10476"/>
    <cellStyle name="20% - Accent6 2 2 11 2" xfId="14356"/>
    <cellStyle name="20% - Accent6 2 2 11 2 2" xfId="25499"/>
    <cellStyle name="20% - Accent6 2 2 11 3" xfId="19930"/>
    <cellStyle name="20% - Accent6 2 2 12" xfId="12925"/>
    <cellStyle name="20% - Accent6 2 2 12 2" xfId="24069"/>
    <cellStyle name="20% - Accent6 2 2 13" xfId="18500"/>
    <cellStyle name="20% - Accent6 2 2 14" xfId="5893"/>
    <cellStyle name="20% - Accent6 2 2 2" xfId="264"/>
    <cellStyle name="20% - Accent6 2 2 2 10" xfId="10560"/>
    <cellStyle name="20% - Accent6 2 2 2 10 2" xfId="14394"/>
    <cellStyle name="20% - Accent6 2 2 2 10 2 2" xfId="25537"/>
    <cellStyle name="20% - Accent6 2 2 2 10 3" xfId="19968"/>
    <cellStyle name="20% - Accent6 2 2 2 11" xfId="12963"/>
    <cellStyle name="20% - Accent6 2 2 2 11 2" xfId="24107"/>
    <cellStyle name="20% - Accent6 2 2 2 12" xfId="18538"/>
    <cellStyle name="20% - Accent6 2 2 2 13" xfId="5931"/>
    <cellStyle name="20% - Accent6 2 2 2 2" xfId="340"/>
    <cellStyle name="20% - Accent6 2 2 2 2 10" xfId="13039"/>
    <cellStyle name="20% - Accent6 2 2 2 2 10 2" xfId="24183"/>
    <cellStyle name="20% - Accent6 2 2 2 2 11" xfId="18614"/>
    <cellStyle name="20% - Accent6 2 2 2 2 12" xfId="6007"/>
    <cellStyle name="20% - Accent6 2 2 2 2 2" xfId="2298"/>
    <cellStyle name="20% - Accent6 2 2 2 2 2 2" xfId="2942"/>
    <cellStyle name="20% - Accent6 2 2 2 2 2 2 2" xfId="5051"/>
    <cellStyle name="20% - Accent6 2 2 2 2 2 2 2 2" xfId="17664"/>
    <cellStyle name="20% - Accent6 2 2 2 2 2 2 2 2 2" xfId="28807"/>
    <cellStyle name="20% - Accent6 2 2 2 2 2 2 2 3" xfId="23238"/>
    <cellStyle name="20% - Accent6 2 2 2 2 2 2 2 4" xfId="9202"/>
    <cellStyle name="20% - Accent6 2 2 2 2 2 2 3" xfId="10825"/>
    <cellStyle name="20% - Accent6 2 2 2 2 2 2 3 2" xfId="15595"/>
    <cellStyle name="20% - Accent6 2 2 2 2 2 2 3 2 2" xfId="26738"/>
    <cellStyle name="20% - Accent6 2 2 2 2 2 2 3 3" xfId="21169"/>
    <cellStyle name="20% - Accent6 2 2 2 2 2 2 4" xfId="14165"/>
    <cellStyle name="20% - Accent6 2 2 2 2 2 2 4 2" xfId="25308"/>
    <cellStyle name="20% - Accent6 2 2 2 2 2 2 5" xfId="19739"/>
    <cellStyle name="20% - Accent6 2 2 2 2 2 2 6" xfId="7133"/>
    <cellStyle name="20% - Accent6 2 2 2 2 2 3" xfId="3580"/>
    <cellStyle name="20% - Accent6 2 2 2 2 2 3 2" xfId="5689"/>
    <cellStyle name="20% - Accent6 2 2 2 2 2 3 2 2" xfId="18302"/>
    <cellStyle name="20% - Accent6 2 2 2 2 2 3 2 2 2" xfId="29445"/>
    <cellStyle name="20% - Accent6 2 2 2 2 2 3 2 3" xfId="23876"/>
    <cellStyle name="20% - Accent6 2 2 2 2 2 3 2 4" xfId="9840"/>
    <cellStyle name="20% - Accent6 2 2 2 2 2 3 3" xfId="16233"/>
    <cellStyle name="20% - Accent6 2 2 2 2 2 3 3 2" xfId="27376"/>
    <cellStyle name="20% - Accent6 2 2 2 2 2 3 4" xfId="21807"/>
    <cellStyle name="20% - Accent6 2 2 2 2 2 3 5" xfId="7771"/>
    <cellStyle name="20% - Accent6 2 2 2 2 2 4" xfId="4259"/>
    <cellStyle name="20% - Accent6 2 2 2 2 2 4 2" xfId="16872"/>
    <cellStyle name="20% - Accent6 2 2 2 2 2 4 2 2" xfId="28015"/>
    <cellStyle name="20% - Accent6 2 2 2 2 2 4 3" xfId="22446"/>
    <cellStyle name="20% - Accent6 2 2 2 2 2 4 4" xfId="8410"/>
    <cellStyle name="20% - Accent6 2 2 2 2 2 5" xfId="10323"/>
    <cellStyle name="20% - Accent6 2 2 2 2 2 5 2" xfId="14956"/>
    <cellStyle name="20% - Accent6 2 2 2 2 2 5 2 2" xfId="26099"/>
    <cellStyle name="20% - Accent6 2 2 2 2 2 5 3" xfId="20530"/>
    <cellStyle name="20% - Accent6 2 2 2 2 2 6" xfId="13526"/>
    <cellStyle name="20% - Accent6 2 2 2 2 2 6 2" xfId="24669"/>
    <cellStyle name="20% - Accent6 2 2 2 2 2 7" xfId="19100"/>
    <cellStyle name="20% - Accent6 2 2 2 2 2 8" xfId="6494"/>
    <cellStyle name="20% - Accent6 2 2 2 2 3" xfId="2106"/>
    <cellStyle name="20% - Accent6 2 2 2 2 3 2" xfId="2761"/>
    <cellStyle name="20% - Accent6 2 2 2 2 3 2 2" xfId="4870"/>
    <cellStyle name="20% - Accent6 2 2 2 2 3 2 2 2" xfId="17483"/>
    <cellStyle name="20% - Accent6 2 2 2 2 3 2 2 2 2" xfId="28626"/>
    <cellStyle name="20% - Accent6 2 2 2 2 3 2 2 3" xfId="23057"/>
    <cellStyle name="20% - Accent6 2 2 2 2 3 2 2 4" xfId="9021"/>
    <cellStyle name="20% - Accent6 2 2 2 2 3 2 3" xfId="10736"/>
    <cellStyle name="20% - Accent6 2 2 2 2 3 2 3 2" xfId="15414"/>
    <cellStyle name="20% - Accent6 2 2 2 2 3 2 3 2 2" xfId="26557"/>
    <cellStyle name="20% - Accent6 2 2 2 2 3 2 3 3" xfId="20988"/>
    <cellStyle name="20% - Accent6 2 2 2 2 3 2 4" xfId="13984"/>
    <cellStyle name="20% - Accent6 2 2 2 2 3 2 4 2" xfId="25127"/>
    <cellStyle name="20% - Accent6 2 2 2 2 3 2 5" xfId="19558"/>
    <cellStyle name="20% - Accent6 2 2 2 2 3 2 6" xfId="6952"/>
    <cellStyle name="20% - Accent6 2 2 2 2 3 3" xfId="3399"/>
    <cellStyle name="20% - Accent6 2 2 2 2 3 3 2" xfId="5508"/>
    <cellStyle name="20% - Accent6 2 2 2 2 3 3 2 2" xfId="18121"/>
    <cellStyle name="20% - Accent6 2 2 2 2 3 3 2 2 2" xfId="29264"/>
    <cellStyle name="20% - Accent6 2 2 2 2 3 3 2 3" xfId="23695"/>
    <cellStyle name="20% - Accent6 2 2 2 2 3 3 2 4" xfId="9659"/>
    <cellStyle name="20% - Accent6 2 2 2 2 3 3 3" xfId="16052"/>
    <cellStyle name="20% - Accent6 2 2 2 2 3 3 3 2" xfId="27195"/>
    <cellStyle name="20% - Accent6 2 2 2 2 3 3 4" xfId="21626"/>
    <cellStyle name="20% - Accent6 2 2 2 2 3 3 5" xfId="7590"/>
    <cellStyle name="20% - Accent6 2 2 2 2 3 4" xfId="4078"/>
    <cellStyle name="20% - Accent6 2 2 2 2 3 4 2" xfId="16691"/>
    <cellStyle name="20% - Accent6 2 2 2 2 3 4 2 2" xfId="27834"/>
    <cellStyle name="20% - Accent6 2 2 2 2 3 4 3" xfId="22265"/>
    <cellStyle name="20% - Accent6 2 2 2 2 3 4 4" xfId="8229"/>
    <cellStyle name="20% - Accent6 2 2 2 2 3 5" xfId="10313"/>
    <cellStyle name="20% - Accent6 2 2 2 2 3 5 2" xfId="14775"/>
    <cellStyle name="20% - Accent6 2 2 2 2 3 5 2 2" xfId="25918"/>
    <cellStyle name="20% - Accent6 2 2 2 2 3 5 3" xfId="20349"/>
    <cellStyle name="20% - Accent6 2 2 2 2 3 6" xfId="13345"/>
    <cellStyle name="20% - Accent6 2 2 2 2 3 6 2" xfId="24488"/>
    <cellStyle name="20% - Accent6 2 2 2 2 3 7" xfId="18919"/>
    <cellStyle name="20% - Accent6 2 2 2 2 3 8" xfId="6313"/>
    <cellStyle name="20% - Accent6 2 2 2 2 4" xfId="2453"/>
    <cellStyle name="20% - Accent6 2 2 2 2 4 2" xfId="3094"/>
    <cellStyle name="20% - Accent6 2 2 2 2 4 2 2" xfId="5203"/>
    <cellStyle name="20% - Accent6 2 2 2 2 4 2 2 2" xfId="17816"/>
    <cellStyle name="20% - Accent6 2 2 2 2 4 2 2 2 2" xfId="28959"/>
    <cellStyle name="20% - Accent6 2 2 2 2 4 2 2 3" xfId="23390"/>
    <cellStyle name="20% - Accent6 2 2 2 2 4 2 2 4" xfId="9354"/>
    <cellStyle name="20% - Accent6 2 2 2 2 4 2 3" xfId="11446"/>
    <cellStyle name="20% - Accent6 2 2 2 2 4 2 3 2" xfId="15747"/>
    <cellStyle name="20% - Accent6 2 2 2 2 4 2 3 2 2" xfId="26890"/>
    <cellStyle name="20% - Accent6 2 2 2 2 4 2 3 3" xfId="21321"/>
    <cellStyle name="20% - Accent6 2 2 2 2 4 2 4" xfId="14317"/>
    <cellStyle name="20% - Accent6 2 2 2 2 4 2 4 2" xfId="25460"/>
    <cellStyle name="20% - Accent6 2 2 2 2 4 2 5" xfId="19891"/>
    <cellStyle name="20% - Accent6 2 2 2 2 4 2 6" xfId="7285"/>
    <cellStyle name="20% - Accent6 2 2 2 2 4 3" xfId="3732"/>
    <cellStyle name="20% - Accent6 2 2 2 2 4 3 2" xfId="5841"/>
    <cellStyle name="20% - Accent6 2 2 2 2 4 3 2 2" xfId="18454"/>
    <cellStyle name="20% - Accent6 2 2 2 2 4 3 2 2 2" xfId="29597"/>
    <cellStyle name="20% - Accent6 2 2 2 2 4 3 2 3" xfId="24028"/>
    <cellStyle name="20% - Accent6 2 2 2 2 4 3 2 4" xfId="9992"/>
    <cellStyle name="20% - Accent6 2 2 2 2 4 3 3" xfId="16385"/>
    <cellStyle name="20% - Accent6 2 2 2 2 4 3 3 2" xfId="27528"/>
    <cellStyle name="20% - Accent6 2 2 2 2 4 3 4" xfId="21959"/>
    <cellStyle name="20% - Accent6 2 2 2 2 4 3 5" xfId="7923"/>
    <cellStyle name="20% - Accent6 2 2 2 2 4 4" xfId="4411"/>
    <cellStyle name="20% - Accent6 2 2 2 2 4 4 2" xfId="17024"/>
    <cellStyle name="20% - Accent6 2 2 2 2 4 4 2 2" xfId="28167"/>
    <cellStyle name="20% - Accent6 2 2 2 2 4 4 3" xfId="22598"/>
    <cellStyle name="20% - Accent6 2 2 2 2 4 4 4" xfId="8562"/>
    <cellStyle name="20% - Accent6 2 2 2 2 4 5" xfId="10027"/>
    <cellStyle name="20% - Accent6 2 2 2 2 4 5 2" xfId="15108"/>
    <cellStyle name="20% - Accent6 2 2 2 2 4 5 2 2" xfId="26251"/>
    <cellStyle name="20% - Accent6 2 2 2 2 4 5 3" xfId="20682"/>
    <cellStyle name="20% - Accent6 2 2 2 2 4 6" xfId="13678"/>
    <cellStyle name="20% - Accent6 2 2 2 2 4 6 2" xfId="24821"/>
    <cellStyle name="20% - Accent6 2 2 2 2 4 7" xfId="19252"/>
    <cellStyle name="20% - Accent6 2 2 2 2 4 8" xfId="6646"/>
    <cellStyle name="20% - Accent6 2 2 2 2 5" xfId="1916"/>
    <cellStyle name="20% - Accent6 2 2 2 2 5 2" xfId="4564"/>
    <cellStyle name="20% - Accent6 2 2 2 2 5 2 2" xfId="17177"/>
    <cellStyle name="20% - Accent6 2 2 2 2 5 2 2 2" xfId="28320"/>
    <cellStyle name="20% - Accent6 2 2 2 2 5 2 3" xfId="22751"/>
    <cellStyle name="20% - Accent6 2 2 2 2 5 2 4" xfId="8715"/>
    <cellStyle name="20% - Accent6 2 2 2 2 5 3" xfId="11101"/>
    <cellStyle name="20% - Accent6 2 2 2 2 5 3 2" xfId="14623"/>
    <cellStyle name="20% - Accent6 2 2 2 2 5 3 2 2" xfId="25766"/>
    <cellStyle name="20% - Accent6 2 2 2 2 5 3 3" xfId="20197"/>
    <cellStyle name="20% - Accent6 2 2 2 2 5 4" xfId="13193"/>
    <cellStyle name="20% - Accent6 2 2 2 2 5 4 2" xfId="24336"/>
    <cellStyle name="20% - Accent6 2 2 2 2 5 5" xfId="18767"/>
    <cellStyle name="20% - Accent6 2 2 2 2 5 6" xfId="6161"/>
    <cellStyle name="20% - Accent6 2 2 2 2 6" xfId="2609"/>
    <cellStyle name="20% - Accent6 2 2 2 2 6 2" xfId="4718"/>
    <cellStyle name="20% - Accent6 2 2 2 2 6 2 2" xfId="17331"/>
    <cellStyle name="20% - Accent6 2 2 2 2 6 2 2 2" xfId="28474"/>
    <cellStyle name="20% - Accent6 2 2 2 2 6 2 3" xfId="22905"/>
    <cellStyle name="20% - Accent6 2 2 2 2 6 2 4" xfId="8869"/>
    <cellStyle name="20% - Accent6 2 2 2 2 6 3" xfId="10782"/>
    <cellStyle name="20% - Accent6 2 2 2 2 6 3 2" xfId="15262"/>
    <cellStyle name="20% - Accent6 2 2 2 2 6 3 2 2" xfId="26405"/>
    <cellStyle name="20% - Accent6 2 2 2 2 6 3 3" xfId="20836"/>
    <cellStyle name="20% - Accent6 2 2 2 2 6 4" xfId="13832"/>
    <cellStyle name="20% - Accent6 2 2 2 2 6 4 2" xfId="24975"/>
    <cellStyle name="20% - Accent6 2 2 2 2 6 5" xfId="19406"/>
    <cellStyle name="20% - Accent6 2 2 2 2 6 6" xfId="6800"/>
    <cellStyle name="20% - Accent6 2 2 2 2 7" xfId="3247"/>
    <cellStyle name="20% - Accent6 2 2 2 2 7 2" xfId="5356"/>
    <cellStyle name="20% - Accent6 2 2 2 2 7 2 2" xfId="17969"/>
    <cellStyle name="20% - Accent6 2 2 2 2 7 2 2 2" xfId="29112"/>
    <cellStyle name="20% - Accent6 2 2 2 2 7 2 3" xfId="23543"/>
    <cellStyle name="20% - Accent6 2 2 2 2 7 2 4" xfId="9507"/>
    <cellStyle name="20% - Accent6 2 2 2 2 7 3" xfId="15900"/>
    <cellStyle name="20% - Accent6 2 2 2 2 7 3 2" xfId="27043"/>
    <cellStyle name="20% - Accent6 2 2 2 2 7 4" xfId="21474"/>
    <cellStyle name="20% - Accent6 2 2 2 2 7 5" xfId="7438"/>
    <cellStyle name="20% - Accent6 2 2 2 2 8" xfId="3926"/>
    <cellStyle name="20% - Accent6 2 2 2 2 8 2" xfId="16539"/>
    <cellStyle name="20% - Accent6 2 2 2 2 8 2 2" xfId="27682"/>
    <cellStyle name="20% - Accent6 2 2 2 2 8 3" xfId="22113"/>
    <cellStyle name="20% - Accent6 2 2 2 2 8 4" xfId="8077"/>
    <cellStyle name="20% - Accent6 2 2 2 2 9" xfId="10728"/>
    <cellStyle name="20% - Accent6 2 2 2 2 9 2" xfId="14470"/>
    <cellStyle name="20% - Accent6 2 2 2 2 9 2 2" xfId="25613"/>
    <cellStyle name="20% - Accent6 2 2 2 2 9 3" xfId="20044"/>
    <cellStyle name="20% - Accent6 2 2 2 3" xfId="2222"/>
    <cellStyle name="20% - Accent6 2 2 2 3 2" xfId="2866"/>
    <cellStyle name="20% - Accent6 2 2 2 3 2 2" xfId="4975"/>
    <cellStyle name="20% - Accent6 2 2 2 3 2 2 2" xfId="17588"/>
    <cellStyle name="20% - Accent6 2 2 2 3 2 2 2 2" xfId="28731"/>
    <cellStyle name="20% - Accent6 2 2 2 3 2 2 3" xfId="23162"/>
    <cellStyle name="20% - Accent6 2 2 2 3 2 2 4" xfId="9126"/>
    <cellStyle name="20% - Accent6 2 2 2 3 2 3" xfId="10992"/>
    <cellStyle name="20% - Accent6 2 2 2 3 2 3 2" xfId="15519"/>
    <cellStyle name="20% - Accent6 2 2 2 3 2 3 2 2" xfId="26662"/>
    <cellStyle name="20% - Accent6 2 2 2 3 2 3 3" xfId="21093"/>
    <cellStyle name="20% - Accent6 2 2 2 3 2 4" xfId="14089"/>
    <cellStyle name="20% - Accent6 2 2 2 3 2 4 2" xfId="25232"/>
    <cellStyle name="20% - Accent6 2 2 2 3 2 5" xfId="19663"/>
    <cellStyle name="20% - Accent6 2 2 2 3 2 6" xfId="7057"/>
    <cellStyle name="20% - Accent6 2 2 2 3 3" xfId="3504"/>
    <cellStyle name="20% - Accent6 2 2 2 3 3 2" xfId="5613"/>
    <cellStyle name="20% - Accent6 2 2 2 3 3 2 2" xfId="18226"/>
    <cellStyle name="20% - Accent6 2 2 2 3 3 2 2 2" xfId="29369"/>
    <cellStyle name="20% - Accent6 2 2 2 3 3 2 3" xfId="23800"/>
    <cellStyle name="20% - Accent6 2 2 2 3 3 2 4" xfId="9764"/>
    <cellStyle name="20% - Accent6 2 2 2 3 3 3" xfId="16157"/>
    <cellStyle name="20% - Accent6 2 2 2 3 3 3 2" xfId="27300"/>
    <cellStyle name="20% - Accent6 2 2 2 3 3 4" xfId="21731"/>
    <cellStyle name="20% - Accent6 2 2 2 3 3 5" xfId="7695"/>
    <cellStyle name="20% - Accent6 2 2 2 3 4" xfId="4183"/>
    <cellStyle name="20% - Accent6 2 2 2 3 4 2" xfId="16796"/>
    <cellStyle name="20% - Accent6 2 2 2 3 4 2 2" xfId="27939"/>
    <cellStyle name="20% - Accent6 2 2 2 3 4 3" xfId="22370"/>
    <cellStyle name="20% - Accent6 2 2 2 3 4 4" xfId="8334"/>
    <cellStyle name="20% - Accent6 2 2 2 3 5" xfId="10668"/>
    <cellStyle name="20% - Accent6 2 2 2 3 5 2" xfId="14880"/>
    <cellStyle name="20% - Accent6 2 2 2 3 5 2 2" xfId="26023"/>
    <cellStyle name="20% - Accent6 2 2 2 3 5 3" xfId="20454"/>
    <cellStyle name="20% - Accent6 2 2 2 3 6" xfId="13450"/>
    <cellStyle name="20% - Accent6 2 2 2 3 6 2" xfId="24593"/>
    <cellStyle name="20% - Accent6 2 2 2 3 7" xfId="19024"/>
    <cellStyle name="20% - Accent6 2 2 2 3 8" xfId="6418"/>
    <cellStyle name="20% - Accent6 2 2 2 4" xfId="2030"/>
    <cellStyle name="20% - Accent6 2 2 2 4 2" xfId="2685"/>
    <cellStyle name="20% - Accent6 2 2 2 4 2 2" xfId="4794"/>
    <cellStyle name="20% - Accent6 2 2 2 4 2 2 2" xfId="17407"/>
    <cellStyle name="20% - Accent6 2 2 2 4 2 2 2 2" xfId="28550"/>
    <cellStyle name="20% - Accent6 2 2 2 4 2 2 3" xfId="22981"/>
    <cellStyle name="20% - Accent6 2 2 2 4 2 2 4" xfId="8945"/>
    <cellStyle name="20% - Accent6 2 2 2 4 2 3" xfId="10957"/>
    <cellStyle name="20% - Accent6 2 2 2 4 2 3 2" xfId="15338"/>
    <cellStyle name="20% - Accent6 2 2 2 4 2 3 2 2" xfId="26481"/>
    <cellStyle name="20% - Accent6 2 2 2 4 2 3 3" xfId="20912"/>
    <cellStyle name="20% - Accent6 2 2 2 4 2 4" xfId="13908"/>
    <cellStyle name="20% - Accent6 2 2 2 4 2 4 2" xfId="25051"/>
    <cellStyle name="20% - Accent6 2 2 2 4 2 5" xfId="19482"/>
    <cellStyle name="20% - Accent6 2 2 2 4 2 6" xfId="6876"/>
    <cellStyle name="20% - Accent6 2 2 2 4 3" xfId="3323"/>
    <cellStyle name="20% - Accent6 2 2 2 4 3 2" xfId="5432"/>
    <cellStyle name="20% - Accent6 2 2 2 4 3 2 2" xfId="18045"/>
    <cellStyle name="20% - Accent6 2 2 2 4 3 2 2 2" xfId="29188"/>
    <cellStyle name="20% - Accent6 2 2 2 4 3 2 3" xfId="23619"/>
    <cellStyle name="20% - Accent6 2 2 2 4 3 2 4" xfId="9583"/>
    <cellStyle name="20% - Accent6 2 2 2 4 3 3" xfId="15976"/>
    <cellStyle name="20% - Accent6 2 2 2 4 3 3 2" xfId="27119"/>
    <cellStyle name="20% - Accent6 2 2 2 4 3 4" xfId="21550"/>
    <cellStyle name="20% - Accent6 2 2 2 4 3 5" xfId="7514"/>
    <cellStyle name="20% - Accent6 2 2 2 4 4" xfId="4002"/>
    <cellStyle name="20% - Accent6 2 2 2 4 4 2" xfId="16615"/>
    <cellStyle name="20% - Accent6 2 2 2 4 4 2 2" xfId="27758"/>
    <cellStyle name="20% - Accent6 2 2 2 4 4 3" xfId="22189"/>
    <cellStyle name="20% - Accent6 2 2 2 4 4 4" xfId="8153"/>
    <cellStyle name="20% - Accent6 2 2 2 4 5" xfId="10875"/>
    <cellStyle name="20% - Accent6 2 2 2 4 5 2" xfId="14699"/>
    <cellStyle name="20% - Accent6 2 2 2 4 5 2 2" xfId="25842"/>
    <cellStyle name="20% - Accent6 2 2 2 4 5 3" xfId="20273"/>
    <cellStyle name="20% - Accent6 2 2 2 4 6" xfId="13269"/>
    <cellStyle name="20% - Accent6 2 2 2 4 6 2" xfId="24412"/>
    <cellStyle name="20% - Accent6 2 2 2 4 7" xfId="18843"/>
    <cellStyle name="20% - Accent6 2 2 2 4 8" xfId="6237"/>
    <cellStyle name="20% - Accent6 2 2 2 5" xfId="2377"/>
    <cellStyle name="20% - Accent6 2 2 2 5 2" xfId="3018"/>
    <cellStyle name="20% - Accent6 2 2 2 5 2 2" xfId="5127"/>
    <cellStyle name="20% - Accent6 2 2 2 5 2 2 2" xfId="17740"/>
    <cellStyle name="20% - Accent6 2 2 2 5 2 2 2 2" xfId="28883"/>
    <cellStyle name="20% - Accent6 2 2 2 5 2 2 3" xfId="23314"/>
    <cellStyle name="20% - Accent6 2 2 2 5 2 2 4" xfId="9278"/>
    <cellStyle name="20% - Accent6 2 2 2 5 2 3" xfId="11415"/>
    <cellStyle name="20% - Accent6 2 2 2 5 2 3 2" xfId="15671"/>
    <cellStyle name="20% - Accent6 2 2 2 5 2 3 2 2" xfId="26814"/>
    <cellStyle name="20% - Accent6 2 2 2 5 2 3 3" xfId="21245"/>
    <cellStyle name="20% - Accent6 2 2 2 5 2 4" xfId="14241"/>
    <cellStyle name="20% - Accent6 2 2 2 5 2 4 2" xfId="25384"/>
    <cellStyle name="20% - Accent6 2 2 2 5 2 5" xfId="19815"/>
    <cellStyle name="20% - Accent6 2 2 2 5 2 6" xfId="7209"/>
    <cellStyle name="20% - Accent6 2 2 2 5 3" xfId="3656"/>
    <cellStyle name="20% - Accent6 2 2 2 5 3 2" xfId="5765"/>
    <cellStyle name="20% - Accent6 2 2 2 5 3 2 2" xfId="18378"/>
    <cellStyle name="20% - Accent6 2 2 2 5 3 2 2 2" xfId="29521"/>
    <cellStyle name="20% - Accent6 2 2 2 5 3 2 3" xfId="23952"/>
    <cellStyle name="20% - Accent6 2 2 2 5 3 2 4" xfId="9916"/>
    <cellStyle name="20% - Accent6 2 2 2 5 3 3" xfId="16309"/>
    <cellStyle name="20% - Accent6 2 2 2 5 3 3 2" xfId="27452"/>
    <cellStyle name="20% - Accent6 2 2 2 5 3 4" xfId="21883"/>
    <cellStyle name="20% - Accent6 2 2 2 5 3 5" xfId="7847"/>
    <cellStyle name="20% - Accent6 2 2 2 5 4" xfId="4335"/>
    <cellStyle name="20% - Accent6 2 2 2 5 4 2" xfId="16948"/>
    <cellStyle name="20% - Accent6 2 2 2 5 4 2 2" xfId="28091"/>
    <cellStyle name="20% - Accent6 2 2 2 5 4 3" xfId="22522"/>
    <cellStyle name="20% - Accent6 2 2 2 5 4 4" xfId="8486"/>
    <cellStyle name="20% - Accent6 2 2 2 5 5" xfId="10315"/>
    <cellStyle name="20% - Accent6 2 2 2 5 5 2" xfId="15032"/>
    <cellStyle name="20% - Accent6 2 2 2 5 5 2 2" xfId="26175"/>
    <cellStyle name="20% - Accent6 2 2 2 5 5 3" xfId="20606"/>
    <cellStyle name="20% - Accent6 2 2 2 5 6" xfId="13602"/>
    <cellStyle name="20% - Accent6 2 2 2 5 6 2" xfId="24745"/>
    <cellStyle name="20% - Accent6 2 2 2 5 7" xfId="19176"/>
    <cellStyle name="20% - Accent6 2 2 2 5 8" xfId="6570"/>
    <cellStyle name="20% - Accent6 2 2 2 6" xfId="1840"/>
    <cellStyle name="20% - Accent6 2 2 2 6 2" xfId="4488"/>
    <cellStyle name="20% - Accent6 2 2 2 6 2 2" xfId="17101"/>
    <cellStyle name="20% - Accent6 2 2 2 6 2 2 2" xfId="28244"/>
    <cellStyle name="20% - Accent6 2 2 2 6 2 3" xfId="22675"/>
    <cellStyle name="20% - Accent6 2 2 2 6 2 4" xfId="8639"/>
    <cellStyle name="20% - Accent6 2 2 2 6 3" xfId="10663"/>
    <cellStyle name="20% - Accent6 2 2 2 6 3 2" xfId="14547"/>
    <cellStyle name="20% - Accent6 2 2 2 6 3 2 2" xfId="25690"/>
    <cellStyle name="20% - Accent6 2 2 2 6 3 3" xfId="20121"/>
    <cellStyle name="20% - Accent6 2 2 2 6 4" xfId="13117"/>
    <cellStyle name="20% - Accent6 2 2 2 6 4 2" xfId="24260"/>
    <cellStyle name="20% - Accent6 2 2 2 6 5" xfId="18691"/>
    <cellStyle name="20% - Accent6 2 2 2 6 6" xfId="6085"/>
    <cellStyle name="20% - Accent6 2 2 2 7" xfId="2533"/>
    <cellStyle name="20% - Accent6 2 2 2 7 2" xfId="4642"/>
    <cellStyle name="20% - Accent6 2 2 2 7 2 2" xfId="17255"/>
    <cellStyle name="20% - Accent6 2 2 2 7 2 2 2" xfId="28398"/>
    <cellStyle name="20% - Accent6 2 2 2 7 2 3" xfId="22829"/>
    <cellStyle name="20% - Accent6 2 2 2 7 2 4" xfId="8793"/>
    <cellStyle name="20% - Accent6 2 2 2 7 3" xfId="10378"/>
    <cellStyle name="20% - Accent6 2 2 2 7 3 2" xfId="15186"/>
    <cellStyle name="20% - Accent6 2 2 2 7 3 2 2" xfId="26329"/>
    <cellStyle name="20% - Accent6 2 2 2 7 3 3" xfId="20760"/>
    <cellStyle name="20% - Accent6 2 2 2 7 4" xfId="13756"/>
    <cellStyle name="20% - Accent6 2 2 2 7 4 2" xfId="24899"/>
    <cellStyle name="20% - Accent6 2 2 2 7 5" xfId="19330"/>
    <cellStyle name="20% - Accent6 2 2 2 7 6" xfId="6724"/>
    <cellStyle name="20% - Accent6 2 2 2 8" xfId="3171"/>
    <cellStyle name="20% - Accent6 2 2 2 8 2" xfId="5280"/>
    <cellStyle name="20% - Accent6 2 2 2 8 2 2" xfId="17893"/>
    <cellStyle name="20% - Accent6 2 2 2 8 2 2 2" xfId="29036"/>
    <cellStyle name="20% - Accent6 2 2 2 8 2 3" xfId="23467"/>
    <cellStyle name="20% - Accent6 2 2 2 8 2 4" xfId="9431"/>
    <cellStyle name="20% - Accent6 2 2 2 8 3" xfId="15824"/>
    <cellStyle name="20% - Accent6 2 2 2 8 3 2" xfId="26967"/>
    <cellStyle name="20% - Accent6 2 2 2 8 4" xfId="21398"/>
    <cellStyle name="20% - Accent6 2 2 2 8 5" xfId="7362"/>
    <cellStyle name="20% - Accent6 2 2 2 9" xfId="3850"/>
    <cellStyle name="20% - Accent6 2 2 2 9 2" xfId="16463"/>
    <cellStyle name="20% - Accent6 2 2 2 9 2 2" xfId="27606"/>
    <cellStyle name="20% - Accent6 2 2 2 9 3" xfId="22037"/>
    <cellStyle name="20% - Accent6 2 2 2 9 4" xfId="8001"/>
    <cellStyle name="20% - Accent6 2 2 3" xfId="302"/>
    <cellStyle name="20% - Accent6 2 2 3 10" xfId="13001"/>
    <cellStyle name="20% - Accent6 2 2 3 10 2" xfId="24145"/>
    <cellStyle name="20% - Accent6 2 2 3 11" xfId="18576"/>
    <cellStyle name="20% - Accent6 2 2 3 12" xfId="5969"/>
    <cellStyle name="20% - Accent6 2 2 3 2" xfId="2260"/>
    <cellStyle name="20% - Accent6 2 2 3 2 2" xfId="2904"/>
    <cellStyle name="20% - Accent6 2 2 3 2 2 2" xfId="5013"/>
    <cellStyle name="20% - Accent6 2 2 3 2 2 2 2" xfId="17626"/>
    <cellStyle name="20% - Accent6 2 2 3 2 2 2 2 2" xfId="28769"/>
    <cellStyle name="20% - Accent6 2 2 3 2 2 2 3" xfId="23200"/>
    <cellStyle name="20% - Accent6 2 2 3 2 2 2 4" xfId="9164"/>
    <cellStyle name="20% - Accent6 2 2 3 2 2 3" xfId="11386"/>
    <cellStyle name="20% - Accent6 2 2 3 2 2 3 2" xfId="15557"/>
    <cellStyle name="20% - Accent6 2 2 3 2 2 3 2 2" xfId="26700"/>
    <cellStyle name="20% - Accent6 2 2 3 2 2 3 3" xfId="21131"/>
    <cellStyle name="20% - Accent6 2 2 3 2 2 4" xfId="14127"/>
    <cellStyle name="20% - Accent6 2 2 3 2 2 4 2" xfId="25270"/>
    <cellStyle name="20% - Accent6 2 2 3 2 2 5" xfId="19701"/>
    <cellStyle name="20% - Accent6 2 2 3 2 2 6" xfId="7095"/>
    <cellStyle name="20% - Accent6 2 2 3 2 3" xfId="3542"/>
    <cellStyle name="20% - Accent6 2 2 3 2 3 2" xfId="5651"/>
    <cellStyle name="20% - Accent6 2 2 3 2 3 2 2" xfId="18264"/>
    <cellStyle name="20% - Accent6 2 2 3 2 3 2 2 2" xfId="29407"/>
    <cellStyle name="20% - Accent6 2 2 3 2 3 2 3" xfId="23838"/>
    <cellStyle name="20% - Accent6 2 2 3 2 3 2 4" xfId="9802"/>
    <cellStyle name="20% - Accent6 2 2 3 2 3 3" xfId="16195"/>
    <cellStyle name="20% - Accent6 2 2 3 2 3 3 2" xfId="27338"/>
    <cellStyle name="20% - Accent6 2 2 3 2 3 4" xfId="21769"/>
    <cellStyle name="20% - Accent6 2 2 3 2 3 5" xfId="7733"/>
    <cellStyle name="20% - Accent6 2 2 3 2 4" xfId="4221"/>
    <cellStyle name="20% - Accent6 2 2 3 2 4 2" xfId="16834"/>
    <cellStyle name="20% - Accent6 2 2 3 2 4 2 2" xfId="27977"/>
    <cellStyle name="20% - Accent6 2 2 3 2 4 3" xfId="22408"/>
    <cellStyle name="20% - Accent6 2 2 3 2 4 4" xfId="8372"/>
    <cellStyle name="20% - Accent6 2 2 3 2 5" xfId="10734"/>
    <cellStyle name="20% - Accent6 2 2 3 2 5 2" xfId="14918"/>
    <cellStyle name="20% - Accent6 2 2 3 2 5 2 2" xfId="26061"/>
    <cellStyle name="20% - Accent6 2 2 3 2 5 3" xfId="20492"/>
    <cellStyle name="20% - Accent6 2 2 3 2 6" xfId="13488"/>
    <cellStyle name="20% - Accent6 2 2 3 2 6 2" xfId="24631"/>
    <cellStyle name="20% - Accent6 2 2 3 2 7" xfId="19062"/>
    <cellStyle name="20% - Accent6 2 2 3 2 8" xfId="6456"/>
    <cellStyle name="20% - Accent6 2 2 3 3" xfId="2068"/>
    <cellStyle name="20% - Accent6 2 2 3 3 2" xfId="2723"/>
    <cellStyle name="20% - Accent6 2 2 3 3 2 2" xfId="4832"/>
    <cellStyle name="20% - Accent6 2 2 3 3 2 2 2" xfId="17445"/>
    <cellStyle name="20% - Accent6 2 2 3 3 2 2 2 2" xfId="28588"/>
    <cellStyle name="20% - Accent6 2 2 3 3 2 2 3" xfId="23019"/>
    <cellStyle name="20% - Accent6 2 2 3 3 2 2 4" xfId="8983"/>
    <cellStyle name="20% - Accent6 2 2 3 3 2 3" xfId="10046"/>
    <cellStyle name="20% - Accent6 2 2 3 3 2 3 2" xfId="15376"/>
    <cellStyle name="20% - Accent6 2 2 3 3 2 3 2 2" xfId="26519"/>
    <cellStyle name="20% - Accent6 2 2 3 3 2 3 3" xfId="20950"/>
    <cellStyle name="20% - Accent6 2 2 3 3 2 4" xfId="13946"/>
    <cellStyle name="20% - Accent6 2 2 3 3 2 4 2" xfId="25089"/>
    <cellStyle name="20% - Accent6 2 2 3 3 2 5" xfId="19520"/>
    <cellStyle name="20% - Accent6 2 2 3 3 2 6" xfId="6914"/>
    <cellStyle name="20% - Accent6 2 2 3 3 3" xfId="3361"/>
    <cellStyle name="20% - Accent6 2 2 3 3 3 2" xfId="5470"/>
    <cellStyle name="20% - Accent6 2 2 3 3 3 2 2" xfId="18083"/>
    <cellStyle name="20% - Accent6 2 2 3 3 3 2 2 2" xfId="29226"/>
    <cellStyle name="20% - Accent6 2 2 3 3 3 2 3" xfId="23657"/>
    <cellStyle name="20% - Accent6 2 2 3 3 3 2 4" xfId="9621"/>
    <cellStyle name="20% - Accent6 2 2 3 3 3 3" xfId="16014"/>
    <cellStyle name="20% - Accent6 2 2 3 3 3 3 2" xfId="27157"/>
    <cellStyle name="20% - Accent6 2 2 3 3 3 4" xfId="21588"/>
    <cellStyle name="20% - Accent6 2 2 3 3 3 5" xfId="7552"/>
    <cellStyle name="20% - Accent6 2 2 3 3 4" xfId="4040"/>
    <cellStyle name="20% - Accent6 2 2 3 3 4 2" xfId="16653"/>
    <cellStyle name="20% - Accent6 2 2 3 3 4 2 2" xfId="27796"/>
    <cellStyle name="20% - Accent6 2 2 3 3 4 3" xfId="22227"/>
    <cellStyle name="20% - Accent6 2 2 3 3 4 4" xfId="8191"/>
    <cellStyle name="20% - Accent6 2 2 3 3 5" xfId="10235"/>
    <cellStyle name="20% - Accent6 2 2 3 3 5 2" xfId="14737"/>
    <cellStyle name="20% - Accent6 2 2 3 3 5 2 2" xfId="25880"/>
    <cellStyle name="20% - Accent6 2 2 3 3 5 3" xfId="20311"/>
    <cellStyle name="20% - Accent6 2 2 3 3 6" xfId="13307"/>
    <cellStyle name="20% - Accent6 2 2 3 3 6 2" xfId="24450"/>
    <cellStyle name="20% - Accent6 2 2 3 3 7" xfId="18881"/>
    <cellStyle name="20% - Accent6 2 2 3 3 8" xfId="6275"/>
    <cellStyle name="20% - Accent6 2 2 3 4" xfId="2415"/>
    <cellStyle name="20% - Accent6 2 2 3 4 2" xfId="3056"/>
    <cellStyle name="20% - Accent6 2 2 3 4 2 2" xfId="5165"/>
    <cellStyle name="20% - Accent6 2 2 3 4 2 2 2" xfId="17778"/>
    <cellStyle name="20% - Accent6 2 2 3 4 2 2 2 2" xfId="28921"/>
    <cellStyle name="20% - Accent6 2 2 3 4 2 2 3" xfId="23352"/>
    <cellStyle name="20% - Accent6 2 2 3 4 2 2 4" xfId="9316"/>
    <cellStyle name="20% - Accent6 2 2 3 4 2 3" xfId="10854"/>
    <cellStyle name="20% - Accent6 2 2 3 4 2 3 2" xfId="15709"/>
    <cellStyle name="20% - Accent6 2 2 3 4 2 3 2 2" xfId="26852"/>
    <cellStyle name="20% - Accent6 2 2 3 4 2 3 3" xfId="21283"/>
    <cellStyle name="20% - Accent6 2 2 3 4 2 4" xfId="14279"/>
    <cellStyle name="20% - Accent6 2 2 3 4 2 4 2" xfId="25422"/>
    <cellStyle name="20% - Accent6 2 2 3 4 2 5" xfId="19853"/>
    <cellStyle name="20% - Accent6 2 2 3 4 2 6" xfId="7247"/>
    <cellStyle name="20% - Accent6 2 2 3 4 3" xfId="3694"/>
    <cellStyle name="20% - Accent6 2 2 3 4 3 2" xfId="5803"/>
    <cellStyle name="20% - Accent6 2 2 3 4 3 2 2" xfId="18416"/>
    <cellStyle name="20% - Accent6 2 2 3 4 3 2 2 2" xfId="29559"/>
    <cellStyle name="20% - Accent6 2 2 3 4 3 2 3" xfId="23990"/>
    <cellStyle name="20% - Accent6 2 2 3 4 3 2 4" xfId="9954"/>
    <cellStyle name="20% - Accent6 2 2 3 4 3 3" xfId="16347"/>
    <cellStyle name="20% - Accent6 2 2 3 4 3 3 2" xfId="27490"/>
    <cellStyle name="20% - Accent6 2 2 3 4 3 4" xfId="21921"/>
    <cellStyle name="20% - Accent6 2 2 3 4 3 5" xfId="7885"/>
    <cellStyle name="20% - Accent6 2 2 3 4 4" xfId="4373"/>
    <cellStyle name="20% - Accent6 2 2 3 4 4 2" xfId="16986"/>
    <cellStyle name="20% - Accent6 2 2 3 4 4 2 2" xfId="28129"/>
    <cellStyle name="20% - Accent6 2 2 3 4 4 3" xfId="22560"/>
    <cellStyle name="20% - Accent6 2 2 3 4 4 4" xfId="8524"/>
    <cellStyle name="20% - Accent6 2 2 3 4 5" xfId="11082"/>
    <cellStyle name="20% - Accent6 2 2 3 4 5 2" xfId="15070"/>
    <cellStyle name="20% - Accent6 2 2 3 4 5 2 2" xfId="26213"/>
    <cellStyle name="20% - Accent6 2 2 3 4 5 3" xfId="20644"/>
    <cellStyle name="20% - Accent6 2 2 3 4 6" xfId="13640"/>
    <cellStyle name="20% - Accent6 2 2 3 4 6 2" xfId="24783"/>
    <cellStyle name="20% - Accent6 2 2 3 4 7" xfId="19214"/>
    <cellStyle name="20% - Accent6 2 2 3 4 8" xfId="6608"/>
    <cellStyle name="20% - Accent6 2 2 3 5" xfId="1878"/>
    <cellStyle name="20% - Accent6 2 2 3 5 2" xfId="4526"/>
    <cellStyle name="20% - Accent6 2 2 3 5 2 2" xfId="17139"/>
    <cellStyle name="20% - Accent6 2 2 3 5 2 2 2" xfId="28282"/>
    <cellStyle name="20% - Accent6 2 2 3 5 2 3" xfId="22713"/>
    <cellStyle name="20% - Accent6 2 2 3 5 2 4" xfId="8677"/>
    <cellStyle name="20% - Accent6 2 2 3 5 3" xfId="10607"/>
    <cellStyle name="20% - Accent6 2 2 3 5 3 2" xfId="14585"/>
    <cellStyle name="20% - Accent6 2 2 3 5 3 2 2" xfId="25728"/>
    <cellStyle name="20% - Accent6 2 2 3 5 3 3" xfId="20159"/>
    <cellStyle name="20% - Accent6 2 2 3 5 4" xfId="13155"/>
    <cellStyle name="20% - Accent6 2 2 3 5 4 2" xfId="24298"/>
    <cellStyle name="20% - Accent6 2 2 3 5 5" xfId="18729"/>
    <cellStyle name="20% - Accent6 2 2 3 5 6" xfId="6123"/>
    <cellStyle name="20% - Accent6 2 2 3 6" xfId="2571"/>
    <cellStyle name="20% - Accent6 2 2 3 6 2" xfId="4680"/>
    <cellStyle name="20% - Accent6 2 2 3 6 2 2" xfId="17293"/>
    <cellStyle name="20% - Accent6 2 2 3 6 2 2 2" xfId="28436"/>
    <cellStyle name="20% - Accent6 2 2 3 6 2 3" xfId="22867"/>
    <cellStyle name="20% - Accent6 2 2 3 6 2 4" xfId="8831"/>
    <cellStyle name="20% - Accent6 2 2 3 6 3" xfId="10466"/>
    <cellStyle name="20% - Accent6 2 2 3 6 3 2" xfId="15224"/>
    <cellStyle name="20% - Accent6 2 2 3 6 3 2 2" xfId="26367"/>
    <cellStyle name="20% - Accent6 2 2 3 6 3 3" xfId="20798"/>
    <cellStyle name="20% - Accent6 2 2 3 6 4" xfId="13794"/>
    <cellStyle name="20% - Accent6 2 2 3 6 4 2" xfId="24937"/>
    <cellStyle name="20% - Accent6 2 2 3 6 5" xfId="19368"/>
    <cellStyle name="20% - Accent6 2 2 3 6 6" xfId="6762"/>
    <cellStyle name="20% - Accent6 2 2 3 7" xfId="3209"/>
    <cellStyle name="20% - Accent6 2 2 3 7 2" xfId="5318"/>
    <cellStyle name="20% - Accent6 2 2 3 7 2 2" xfId="17931"/>
    <cellStyle name="20% - Accent6 2 2 3 7 2 2 2" xfId="29074"/>
    <cellStyle name="20% - Accent6 2 2 3 7 2 3" xfId="23505"/>
    <cellStyle name="20% - Accent6 2 2 3 7 2 4" xfId="9469"/>
    <cellStyle name="20% - Accent6 2 2 3 7 3" xfId="15862"/>
    <cellStyle name="20% - Accent6 2 2 3 7 3 2" xfId="27005"/>
    <cellStyle name="20% - Accent6 2 2 3 7 4" xfId="21436"/>
    <cellStyle name="20% - Accent6 2 2 3 7 5" xfId="7400"/>
    <cellStyle name="20% - Accent6 2 2 3 8" xfId="3888"/>
    <cellStyle name="20% - Accent6 2 2 3 8 2" xfId="16501"/>
    <cellStyle name="20% - Accent6 2 2 3 8 2 2" xfId="27644"/>
    <cellStyle name="20% - Accent6 2 2 3 8 3" xfId="22075"/>
    <cellStyle name="20% - Accent6 2 2 3 8 4" xfId="8039"/>
    <cellStyle name="20% - Accent6 2 2 3 9" xfId="11151"/>
    <cellStyle name="20% - Accent6 2 2 3 9 2" xfId="14432"/>
    <cellStyle name="20% - Accent6 2 2 3 9 2 2" xfId="25575"/>
    <cellStyle name="20% - Accent6 2 2 3 9 3" xfId="20006"/>
    <cellStyle name="20% - Accent6 2 2 4" xfId="2184"/>
    <cellStyle name="20% - Accent6 2 2 4 2" xfId="2828"/>
    <cellStyle name="20% - Accent6 2 2 4 2 2" xfId="4937"/>
    <cellStyle name="20% - Accent6 2 2 4 2 2 2" xfId="17550"/>
    <cellStyle name="20% - Accent6 2 2 4 2 2 2 2" xfId="28693"/>
    <cellStyle name="20% - Accent6 2 2 4 2 2 3" xfId="23124"/>
    <cellStyle name="20% - Accent6 2 2 4 2 2 4" xfId="9088"/>
    <cellStyle name="20% - Accent6 2 2 4 2 3" xfId="11130"/>
    <cellStyle name="20% - Accent6 2 2 4 2 3 2" xfId="15481"/>
    <cellStyle name="20% - Accent6 2 2 4 2 3 2 2" xfId="26624"/>
    <cellStyle name="20% - Accent6 2 2 4 2 3 3" xfId="21055"/>
    <cellStyle name="20% - Accent6 2 2 4 2 4" xfId="14051"/>
    <cellStyle name="20% - Accent6 2 2 4 2 4 2" xfId="25194"/>
    <cellStyle name="20% - Accent6 2 2 4 2 5" xfId="19625"/>
    <cellStyle name="20% - Accent6 2 2 4 2 6" xfId="7019"/>
    <cellStyle name="20% - Accent6 2 2 4 3" xfId="3466"/>
    <cellStyle name="20% - Accent6 2 2 4 3 2" xfId="5575"/>
    <cellStyle name="20% - Accent6 2 2 4 3 2 2" xfId="18188"/>
    <cellStyle name="20% - Accent6 2 2 4 3 2 2 2" xfId="29331"/>
    <cellStyle name="20% - Accent6 2 2 4 3 2 3" xfId="23762"/>
    <cellStyle name="20% - Accent6 2 2 4 3 2 4" xfId="9726"/>
    <cellStyle name="20% - Accent6 2 2 4 3 3" xfId="16119"/>
    <cellStyle name="20% - Accent6 2 2 4 3 3 2" xfId="27262"/>
    <cellStyle name="20% - Accent6 2 2 4 3 4" xfId="21693"/>
    <cellStyle name="20% - Accent6 2 2 4 3 5" xfId="7657"/>
    <cellStyle name="20% - Accent6 2 2 4 4" xfId="4145"/>
    <cellStyle name="20% - Accent6 2 2 4 4 2" xfId="16758"/>
    <cellStyle name="20% - Accent6 2 2 4 4 2 2" xfId="27901"/>
    <cellStyle name="20% - Accent6 2 2 4 4 3" xfId="22332"/>
    <cellStyle name="20% - Accent6 2 2 4 4 4" xfId="8296"/>
    <cellStyle name="20% - Accent6 2 2 4 5" xfId="10129"/>
    <cellStyle name="20% - Accent6 2 2 4 5 2" xfId="14842"/>
    <cellStyle name="20% - Accent6 2 2 4 5 2 2" xfId="25985"/>
    <cellStyle name="20% - Accent6 2 2 4 5 3" xfId="20416"/>
    <cellStyle name="20% - Accent6 2 2 4 6" xfId="13412"/>
    <cellStyle name="20% - Accent6 2 2 4 6 2" xfId="24555"/>
    <cellStyle name="20% - Accent6 2 2 4 7" xfId="18986"/>
    <cellStyle name="20% - Accent6 2 2 4 8" xfId="6380"/>
    <cellStyle name="20% - Accent6 2 2 5" xfId="1992"/>
    <cellStyle name="20% - Accent6 2 2 5 2" xfId="2647"/>
    <cellStyle name="20% - Accent6 2 2 5 2 2" xfId="4756"/>
    <cellStyle name="20% - Accent6 2 2 5 2 2 2" xfId="17369"/>
    <cellStyle name="20% - Accent6 2 2 5 2 2 2 2" xfId="28512"/>
    <cellStyle name="20% - Accent6 2 2 5 2 2 3" xfId="22943"/>
    <cellStyle name="20% - Accent6 2 2 5 2 2 4" xfId="8907"/>
    <cellStyle name="20% - Accent6 2 2 5 2 3" xfId="10070"/>
    <cellStyle name="20% - Accent6 2 2 5 2 3 2" xfId="15300"/>
    <cellStyle name="20% - Accent6 2 2 5 2 3 2 2" xfId="26443"/>
    <cellStyle name="20% - Accent6 2 2 5 2 3 3" xfId="20874"/>
    <cellStyle name="20% - Accent6 2 2 5 2 4" xfId="13870"/>
    <cellStyle name="20% - Accent6 2 2 5 2 4 2" xfId="25013"/>
    <cellStyle name="20% - Accent6 2 2 5 2 5" xfId="19444"/>
    <cellStyle name="20% - Accent6 2 2 5 2 6" xfId="6838"/>
    <cellStyle name="20% - Accent6 2 2 5 3" xfId="3285"/>
    <cellStyle name="20% - Accent6 2 2 5 3 2" xfId="5394"/>
    <cellStyle name="20% - Accent6 2 2 5 3 2 2" xfId="18007"/>
    <cellStyle name="20% - Accent6 2 2 5 3 2 2 2" xfId="29150"/>
    <cellStyle name="20% - Accent6 2 2 5 3 2 3" xfId="23581"/>
    <cellStyle name="20% - Accent6 2 2 5 3 2 4" xfId="9545"/>
    <cellStyle name="20% - Accent6 2 2 5 3 3" xfId="15938"/>
    <cellStyle name="20% - Accent6 2 2 5 3 3 2" xfId="27081"/>
    <cellStyle name="20% - Accent6 2 2 5 3 4" xfId="21512"/>
    <cellStyle name="20% - Accent6 2 2 5 3 5" xfId="7476"/>
    <cellStyle name="20% - Accent6 2 2 5 4" xfId="3964"/>
    <cellStyle name="20% - Accent6 2 2 5 4 2" xfId="16577"/>
    <cellStyle name="20% - Accent6 2 2 5 4 2 2" xfId="27720"/>
    <cellStyle name="20% - Accent6 2 2 5 4 3" xfId="22151"/>
    <cellStyle name="20% - Accent6 2 2 5 4 4" xfId="8115"/>
    <cellStyle name="20% - Accent6 2 2 5 5" xfId="11241"/>
    <cellStyle name="20% - Accent6 2 2 5 5 2" xfId="14661"/>
    <cellStyle name="20% - Accent6 2 2 5 5 2 2" xfId="25804"/>
    <cellStyle name="20% - Accent6 2 2 5 5 3" xfId="20235"/>
    <cellStyle name="20% - Accent6 2 2 5 6" xfId="13231"/>
    <cellStyle name="20% - Accent6 2 2 5 6 2" xfId="24374"/>
    <cellStyle name="20% - Accent6 2 2 5 7" xfId="18805"/>
    <cellStyle name="20% - Accent6 2 2 5 8" xfId="6199"/>
    <cellStyle name="20% - Accent6 2 2 6" xfId="2339"/>
    <cellStyle name="20% - Accent6 2 2 6 2" xfId="2980"/>
    <cellStyle name="20% - Accent6 2 2 6 2 2" xfId="5089"/>
    <cellStyle name="20% - Accent6 2 2 6 2 2 2" xfId="17702"/>
    <cellStyle name="20% - Accent6 2 2 6 2 2 2 2" xfId="28845"/>
    <cellStyle name="20% - Accent6 2 2 6 2 2 3" xfId="23276"/>
    <cellStyle name="20% - Accent6 2 2 6 2 2 4" xfId="9240"/>
    <cellStyle name="20% - Accent6 2 2 6 2 3" xfId="10793"/>
    <cellStyle name="20% - Accent6 2 2 6 2 3 2" xfId="15633"/>
    <cellStyle name="20% - Accent6 2 2 6 2 3 2 2" xfId="26776"/>
    <cellStyle name="20% - Accent6 2 2 6 2 3 3" xfId="21207"/>
    <cellStyle name="20% - Accent6 2 2 6 2 4" xfId="14203"/>
    <cellStyle name="20% - Accent6 2 2 6 2 4 2" xfId="25346"/>
    <cellStyle name="20% - Accent6 2 2 6 2 5" xfId="19777"/>
    <cellStyle name="20% - Accent6 2 2 6 2 6" xfId="7171"/>
    <cellStyle name="20% - Accent6 2 2 6 3" xfId="3618"/>
    <cellStyle name="20% - Accent6 2 2 6 3 2" xfId="5727"/>
    <cellStyle name="20% - Accent6 2 2 6 3 2 2" xfId="18340"/>
    <cellStyle name="20% - Accent6 2 2 6 3 2 2 2" xfId="29483"/>
    <cellStyle name="20% - Accent6 2 2 6 3 2 3" xfId="23914"/>
    <cellStyle name="20% - Accent6 2 2 6 3 2 4" xfId="9878"/>
    <cellStyle name="20% - Accent6 2 2 6 3 3" xfId="16271"/>
    <cellStyle name="20% - Accent6 2 2 6 3 3 2" xfId="27414"/>
    <cellStyle name="20% - Accent6 2 2 6 3 4" xfId="21845"/>
    <cellStyle name="20% - Accent6 2 2 6 3 5" xfId="7809"/>
    <cellStyle name="20% - Accent6 2 2 6 4" xfId="4297"/>
    <cellStyle name="20% - Accent6 2 2 6 4 2" xfId="16910"/>
    <cellStyle name="20% - Accent6 2 2 6 4 2 2" xfId="28053"/>
    <cellStyle name="20% - Accent6 2 2 6 4 3" xfId="22484"/>
    <cellStyle name="20% - Accent6 2 2 6 4 4" xfId="8448"/>
    <cellStyle name="20% - Accent6 2 2 6 5" xfId="10644"/>
    <cellStyle name="20% - Accent6 2 2 6 5 2" xfId="14994"/>
    <cellStyle name="20% - Accent6 2 2 6 5 2 2" xfId="26137"/>
    <cellStyle name="20% - Accent6 2 2 6 5 3" xfId="20568"/>
    <cellStyle name="20% - Accent6 2 2 6 6" xfId="13564"/>
    <cellStyle name="20% - Accent6 2 2 6 6 2" xfId="24707"/>
    <cellStyle name="20% - Accent6 2 2 6 7" xfId="19138"/>
    <cellStyle name="20% - Accent6 2 2 6 8" xfId="6532"/>
    <cellStyle name="20% - Accent6 2 2 7" xfId="1802"/>
    <cellStyle name="20% - Accent6 2 2 7 2" xfId="4450"/>
    <cellStyle name="20% - Accent6 2 2 7 2 2" xfId="17063"/>
    <cellStyle name="20% - Accent6 2 2 7 2 2 2" xfId="28206"/>
    <cellStyle name="20% - Accent6 2 2 7 2 3" xfId="22637"/>
    <cellStyle name="20% - Accent6 2 2 7 2 4" xfId="8601"/>
    <cellStyle name="20% - Accent6 2 2 7 3" xfId="10156"/>
    <cellStyle name="20% - Accent6 2 2 7 3 2" xfId="14509"/>
    <cellStyle name="20% - Accent6 2 2 7 3 2 2" xfId="25652"/>
    <cellStyle name="20% - Accent6 2 2 7 3 3" xfId="20083"/>
    <cellStyle name="20% - Accent6 2 2 7 4" xfId="13079"/>
    <cellStyle name="20% - Accent6 2 2 7 4 2" xfId="24222"/>
    <cellStyle name="20% - Accent6 2 2 7 5" xfId="18653"/>
    <cellStyle name="20% - Accent6 2 2 7 6" xfId="6047"/>
    <cellStyle name="20% - Accent6 2 2 8" xfId="2495"/>
    <cellStyle name="20% - Accent6 2 2 8 2" xfId="4604"/>
    <cellStyle name="20% - Accent6 2 2 8 2 2" xfId="17217"/>
    <cellStyle name="20% - Accent6 2 2 8 2 2 2" xfId="28360"/>
    <cellStyle name="20% - Accent6 2 2 8 2 3" xfId="22791"/>
    <cellStyle name="20% - Accent6 2 2 8 2 4" xfId="8755"/>
    <cellStyle name="20% - Accent6 2 2 8 3" xfId="10759"/>
    <cellStyle name="20% - Accent6 2 2 8 3 2" xfId="15148"/>
    <cellStyle name="20% - Accent6 2 2 8 3 2 2" xfId="26291"/>
    <cellStyle name="20% - Accent6 2 2 8 3 3" xfId="20722"/>
    <cellStyle name="20% - Accent6 2 2 8 4" xfId="13718"/>
    <cellStyle name="20% - Accent6 2 2 8 4 2" xfId="24861"/>
    <cellStyle name="20% - Accent6 2 2 8 5" xfId="19292"/>
    <cellStyle name="20% - Accent6 2 2 8 6" xfId="6686"/>
    <cellStyle name="20% - Accent6 2 2 9" xfId="3133"/>
    <cellStyle name="20% - Accent6 2 2 9 2" xfId="5242"/>
    <cellStyle name="20% - Accent6 2 2 9 2 2" xfId="17855"/>
    <cellStyle name="20% - Accent6 2 2 9 2 2 2" xfId="28998"/>
    <cellStyle name="20% - Accent6 2 2 9 2 3" xfId="23429"/>
    <cellStyle name="20% - Accent6 2 2 9 2 4" xfId="9393"/>
    <cellStyle name="20% - Accent6 2 2 9 3" xfId="15786"/>
    <cellStyle name="20% - Accent6 2 2 9 3 2" xfId="26929"/>
    <cellStyle name="20% - Accent6 2 2 9 4" xfId="21360"/>
    <cellStyle name="20% - Accent6 2 2 9 5" xfId="7324"/>
    <cellStyle name="20% - Accent6 2 3" xfId="245"/>
    <cellStyle name="20% - Accent6 2 3 10" xfId="11004"/>
    <cellStyle name="20% - Accent6 2 3 10 2" xfId="14375"/>
    <cellStyle name="20% - Accent6 2 3 10 2 2" xfId="25518"/>
    <cellStyle name="20% - Accent6 2 3 10 3" xfId="19949"/>
    <cellStyle name="20% - Accent6 2 3 11" xfId="12944"/>
    <cellStyle name="20% - Accent6 2 3 11 2" xfId="24088"/>
    <cellStyle name="20% - Accent6 2 3 12" xfId="18519"/>
    <cellStyle name="20% - Accent6 2 3 13" xfId="5912"/>
    <cellStyle name="20% - Accent6 2 3 2" xfId="321"/>
    <cellStyle name="20% - Accent6 2 3 2 10" xfId="13020"/>
    <cellStyle name="20% - Accent6 2 3 2 10 2" xfId="24164"/>
    <cellStyle name="20% - Accent6 2 3 2 11" xfId="18595"/>
    <cellStyle name="20% - Accent6 2 3 2 12" xfId="5988"/>
    <cellStyle name="20% - Accent6 2 3 2 2" xfId="2279"/>
    <cellStyle name="20% - Accent6 2 3 2 2 2" xfId="2923"/>
    <cellStyle name="20% - Accent6 2 3 2 2 2 2" xfId="5032"/>
    <cellStyle name="20% - Accent6 2 3 2 2 2 2 2" xfId="17645"/>
    <cellStyle name="20% - Accent6 2 3 2 2 2 2 2 2" xfId="28788"/>
    <cellStyle name="20% - Accent6 2 3 2 2 2 2 3" xfId="23219"/>
    <cellStyle name="20% - Accent6 2 3 2 2 2 2 4" xfId="9183"/>
    <cellStyle name="20% - Accent6 2 3 2 2 2 3" xfId="10648"/>
    <cellStyle name="20% - Accent6 2 3 2 2 2 3 2" xfId="15576"/>
    <cellStyle name="20% - Accent6 2 3 2 2 2 3 2 2" xfId="26719"/>
    <cellStyle name="20% - Accent6 2 3 2 2 2 3 3" xfId="21150"/>
    <cellStyle name="20% - Accent6 2 3 2 2 2 4" xfId="14146"/>
    <cellStyle name="20% - Accent6 2 3 2 2 2 4 2" xfId="25289"/>
    <cellStyle name="20% - Accent6 2 3 2 2 2 5" xfId="19720"/>
    <cellStyle name="20% - Accent6 2 3 2 2 2 6" xfId="7114"/>
    <cellStyle name="20% - Accent6 2 3 2 2 3" xfId="3561"/>
    <cellStyle name="20% - Accent6 2 3 2 2 3 2" xfId="5670"/>
    <cellStyle name="20% - Accent6 2 3 2 2 3 2 2" xfId="18283"/>
    <cellStyle name="20% - Accent6 2 3 2 2 3 2 2 2" xfId="29426"/>
    <cellStyle name="20% - Accent6 2 3 2 2 3 2 3" xfId="23857"/>
    <cellStyle name="20% - Accent6 2 3 2 2 3 2 4" xfId="9821"/>
    <cellStyle name="20% - Accent6 2 3 2 2 3 3" xfId="16214"/>
    <cellStyle name="20% - Accent6 2 3 2 2 3 3 2" xfId="27357"/>
    <cellStyle name="20% - Accent6 2 3 2 2 3 4" xfId="21788"/>
    <cellStyle name="20% - Accent6 2 3 2 2 3 5" xfId="7752"/>
    <cellStyle name="20% - Accent6 2 3 2 2 4" xfId="4240"/>
    <cellStyle name="20% - Accent6 2 3 2 2 4 2" xfId="16853"/>
    <cellStyle name="20% - Accent6 2 3 2 2 4 2 2" xfId="27996"/>
    <cellStyle name="20% - Accent6 2 3 2 2 4 3" xfId="22427"/>
    <cellStyle name="20% - Accent6 2 3 2 2 4 4" xfId="8391"/>
    <cellStyle name="20% - Accent6 2 3 2 2 5" xfId="11013"/>
    <cellStyle name="20% - Accent6 2 3 2 2 5 2" xfId="14937"/>
    <cellStyle name="20% - Accent6 2 3 2 2 5 2 2" xfId="26080"/>
    <cellStyle name="20% - Accent6 2 3 2 2 5 3" xfId="20511"/>
    <cellStyle name="20% - Accent6 2 3 2 2 6" xfId="13507"/>
    <cellStyle name="20% - Accent6 2 3 2 2 6 2" xfId="24650"/>
    <cellStyle name="20% - Accent6 2 3 2 2 7" xfId="19081"/>
    <cellStyle name="20% - Accent6 2 3 2 2 8" xfId="6475"/>
    <cellStyle name="20% - Accent6 2 3 2 3" xfId="2087"/>
    <cellStyle name="20% - Accent6 2 3 2 3 2" xfId="2742"/>
    <cellStyle name="20% - Accent6 2 3 2 3 2 2" xfId="4851"/>
    <cellStyle name="20% - Accent6 2 3 2 3 2 2 2" xfId="17464"/>
    <cellStyle name="20% - Accent6 2 3 2 3 2 2 2 2" xfId="28607"/>
    <cellStyle name="20% - Accent6 2 3 2 3 2 2 3" xfId="23038"/>
    <cellStyle name="20% - Accent6 2 3 2 3 2 2 4" xfId="9002"/>
    <cellStyle name="20% - Accent6 2 3 2 3 2 3" xfId="10735"/>
    <cellStyle name="20% - Accent6 2 3 2 3 2 3 2" xfId="15395"/>
    <cellStyle name="20% - Accent6 2 3 2 3 2 3 2 2" xfId="26538"/>
    <cellStyle name="20% - Accent6 2 3 2 3 2 3 3" xfId="20969"/>
    <cellStyle name="20% - Accent6 2 3 2 3 2 4" xfId="13965"/>
    <cellStyle name="20% - Accent6 2 3 2 3 2 4 2" xfId="25108"/>
    <cellStyle name="20% - Accent6 2 3 2 3 2 5" xfId="19539"/>
    <cellStyle name="20% - Accent6 2 3 2 3 2 6" xfId="6933"/>
    <cellStyle name="20% - Accent6 2 3 2 3 3" xfId="3380"/>
    <cellStyle name="20% - Accent6 2 3 2 3 3 2" xfId="5489"/>
    <cellStyle name="20% - Accent6 2 3 2 3 3 2 2" xfId="18102"/>
    <cellStyle name="20% - Accent6 2 3 2 3 3 2 2 2" xfId="29245"/>
    <cellStyle name="20% - Accent6 2 3 2 3 3 2 3" xfId="23676"/>
    <cellStyle name="20% - Accent6 2 3 2 3 3 2 4" xfId="9640"/>
    <cellStyle name="20% - Accent6 2 3 2 3 3 3" xfId="16033"/>
    <cellStyle name="20% - Accent6 2 3 2 3 3 3 2" xfId="27176"/>
    <cellStyle name="20% - Accent6 2 3 2 3 3 4" xfId="21607"/>
    <cellStyle name="20% - Accent6 2 3 2 3 3 5" xfId="7571"/>
    <cellStyle name="20% - Accent6 2 3 2 3 4" xfId="4059"/>
    <cellStyle name="20% - Accent6 2 3 2 3 4 2" xfId="16672"/>
    <cellStyle name="20% - Accent6 2 3 2 3 4 2 2" xfId="27815"/>
    <cellStyle name="20% - Accent6 2 3 2 3 4 3" xfId="22246"/>
    <cellStyle name="20% - Accent6 2 3 2 3 4 4" xfId="8210"/>
    <cellStyle name="20% - Accent6 2 3 2 3 5" xfId="10353"/>
    <cellStyle name="20% - Accent6 2 3 2 3 5 2" xfId="14756"/>
    <cellStyle name="20% - Accent6 2 3 2 3 5 2 2" xfId="25899"/>
    <cellStyle name="20% - Accent6 2 3 2 3 5 3" xfId="20330"/>
    <cellStyle name="20% - Accent6 2 3 2 3 6" xfId="13326"/>
    <cellStyle name="20% - Accent6 2 3 2 3 6 2" xfId="24469"/>
    <cellStyle name="20% - Accent6 2 3 2 3 7" xfId="18900"/>
    <cellStyle name="20% - Accent6 2 3 2 3 8" xfId="6294"/>
    <cellStyle name="20% - Accent6 2 3 2 4" xfId="2434"/>
    <cellStyle name="20% - Accent6 2 3 2 4 2" xfId="3075"/>
    <cellStyle name="20% - Accent6 2 3 2 4 2 2" xfId="5184"/>
    <cellStyle name="20% - Accent6 2 3 2 4 2 2 2" xfId="17797"/>
    <cellStyle name="20% - Accent6 2 3 2 4 2 2 2 2" xfId="28940"/>
    <cellStyle name="20% - Accent6 2 3 2 4 2 2 3" xfId="23371"/>
    <cellStyle name="20% - Accent6 2 3 2 4 2 2 4" xfId="9335"/>
    <cellStyle name="20% - Accent6 2 3 2 4 2 3" xfId="10857"/>
    <cellStyle name="20% - Accent6 2 3 2 4 2 3 2" xfId="15728"/>
    <cellStyle name="20% - Accent6 2 3 2 4 2 3 2 2" xfId="26871"/>
    <cellStyle name="20% - Accent6 2 3 2 4 2 3 3" xfId="21302"/>
    <cellStyle name="20% - Accent6 2 3 2 4 2 4" xfId="14298"/>
    <cellStyle name="20% - Accent6 2 3 2 4 2 4 2" xfId="25441"/>
    <cellStyle name="20% - Accent6 2 3 2 4 2 5" xfId="19872"/>
    <cellStyle name="20% - Accent6 2 3 2 4 2 6" xfId="7266"/>
    <cellStyle name="20% - Accent6 2 3 2 4 3" xfId="3713"/>
    <cellStyle name="20% - Accent6 2 3 2 4 3 2" xfId="5822"/>
    <cellStyle name="20% - Accent6 2 3 2 4 3 2 2" xfId="18435"/>
    <cellStyle name="20% - Accent6 2 3 2 4 3 2 2 2" xfId="29578"/>
    <cellStyle name="20% - Accent6 2 3 2 4 3 2 3" xfId="24009"/>
    <cellStyle name="20% - Accent6 2 3 2 4 3 2 4" xfId="9973"/>
    <cellStyle name="20% - Accent6 2 3 2 4 3 3" xfId="16366"/>
    <cellStyle name="20% - Accent6 2 3 2 4 3 3 2" xfId="27509"/>
    <cellStyle name="20% - Accent6 2 3 2 4 3 4" xfId="21940"/>
    <cellStyle name="20% - Accent6 2 3 2 4 3 5" xfId="7904"/>
    <cellStyle name="20% - Accent6 2 3 2 4 4" xfId="4392"/>
    <cellStyle name="20% - Accent6 2 3 2 4 4 2" xfId="17005"/>
    <cellStyle name="20% - Accent6 2 3 2 4 4 2 2" xfId="28148"/>
    <cellStyle name="20% - Accent6 2 3 2 4 4 3" xfId="22579"/>
    <cellStyle name="20% - Accent6 2 3 2 4 4 4" xfId="8543"/>
    <cellStyle name="20% - Accent6 2 3 2 4 5" xfId="10414"/>
    <cellStyle name="20% - Accent6 2 3 2 4 5 2" xfId="15089"/>
    <cellStyle name="20% - Accent6 2 3 2 4 5 2 2" xfId="26232"/>
    <cellStyle name="20% - Accent6 2 3 2 4 5 3" xfId="20663"/>
    <cellStyle name="20% - Accent6 2 3 2 4 6" xfId="13659"/>
    <cellStyle name="20% - Accent6 2 3 2 4 6 2" xfId="24802"/>
    <cellStyle name="20% - Accent6 2 3 2 4 7" xfId="19233"/>
    <cellStyle name="20% - Accent6 2 3 2 4 8" xfId="6627"/>
    <cellStyle name="20% - Accent6 2 3 2 5" xfId="1897"/>
    <cellStyle name="20% - Accent6 2 3 2 5 2" xfId="4545"/>
    <cellStyle name="20% - Accent6 2 3 2 5 2 2" xfId="17158"/>
    <cellStyle name="20% - Accent6 2 3 2 5 2 2 2" xfId="28301"/>
    <cellStyle name="20% - Accent6 2 3 2 5 2 3" xfId="22732"/>
    <cellStyle name="20% - Accent6 2 3 2 5 2 4" xfId="8696"/>
    <cellStyle name="20% - Accent6 2 3 2 5 3" xfId="10266"/>
    <cellStyle name="20% - Accent6 2 3 2 5 3 2" xfId="14604"/>
    <cellStyle name="20% - Accent6 2 3 2 5 3 2 2" xfId="25747"/>
    <cellStyle name="20% - Accent6 2 3 2 5 3 3" xfId="20178"/>
    <cellStyle name="20% - Accent6 2 3 2 5 4" xfId="13174"/>
    <cellStyle name="20% - Accent6 2 3 2 5 4 2" xfId="24317"/>
    <cellStyle name="20% - Accent6 2 3 2 5 5" xfId="18748"/>
    <cellStyle name="20% - Accent6 2 3 2 5 6" xfId="6142"/>
    <cellStyle name="20% - Accent6 2 3 2 6" xfId="2590"/>
    <cellStyle name="20% - Accent6 2 3 2 6 2" xfId="4699"/>
    <cellStyle name="20% - Accent6 2 3 2 6 2 2" xfId="17312"/>
    <cellStyle name="20% - Accent6 2 3 2 6 2 2 2" xfId="28455"/>
    <cellStyle name="20% - Accent6 2 3 2 6 2 3" xfId="22886"/>
    <cellStyle name="20% - Accent6 2 3 2 6 2 4" xfId="8850"/>
    <cellStyle name="20% - Accent6 2 3 2 6 3" xfId="11243"/>
    <cellStyle name="20% - Accent6 2 3 2 6 3 2" xfId="15243"/>
    <cellStyle name="20% - Accent6 2 3 2 6 3 2 2" xfId="26386"/>
    <cellStyle name="20% - Accent6 2 3 2 6 3 3" xfId="20817"/>
    <cellStyle name="20% - Accent6 2 3 2 6 4" xfId="13813"/>
    <cellStyle name="20% - Accent6 2 3 2 6 4 2" xfId="24956"/>
    <cellStyle name="20% - Accent6 2 3 2 6 5" xfId="19387"/>
    <cellStyle name="20% - Accent6 2 3 2 6 6" xfId="6781"/>
    <cellStyle name="20% - Accent6 2 3 2 7" xfId="3228"/>
    <cellStyle name="20% - Accent6 2 3 2 7 2" xfId="5337"/>
    <cellStyle name="20% - Accent6 2 3 2 7 2 2" xfId="17950"/>
    <cellStyle name="20% - Accent6 2 3 2 7 2 2 2" xfId="29093"/>
    <cellStyle name="20% - Accent6 2 3 2 7 2 3" xfId="23524"/>
    <cellStyle name="20% - Accent6 2 3 2 7 2 4" xfId="9488"/>
    <cellStyle name="20% - Accent6 2 3 2 7 3" xfId="15881"/>
    <cellStyle name="20% - Accent6 2 3 2 7 3 2" xfId="27024"/>
    <cellStyle name="20% - Accent6 2 3 2 7 4" xfId="21455"/>
    <cellStyle name="20% - Accent6 2 3 2 7 5" xfId="7419"/>
    <cellStyle name="20% - Accent6 2 3 2 8" xfId="3907"/>
    <cellStyle name="20% - Accent6 2 3 2 8 2" xfId="16520"/>
    <cellStyle name="20% - Accent6 2 3 2 8 2 2" xfId="27663"/>
    <cellStyle name="20% - Accent6 2 3 2 8 3" xfId="22094"/>
    <cellStyle name="20% - Accent6 2 3 2 8 4" xfId="8058"/>
    <cellStyle name="20% - Accent6 2 3 2 9" xfId="10533"/>
    <cellStyle name="20% - Accent6 2 3 2 9 2" xfId="14451"/>
    <cellStyle name="20% - Accent6 2 3 2 9 2 2" xfId="25594"/>
    <cellStyle name="20% - Accent6 2 3 2 9 3" xfId="20025"/>
    <cellStyle name="20% - Accent6 2 3 3" xfId="2203"/>
    <cellStyle name="20% - Accent6 2 3 3 2" xfId="2847"/>
    <cellStyle name="20% - Accent6 2 3 3 2 2" xfId="4956"/>
    <cellStyle name="20% - Accent6 2 3 3 2 2 2" xfId="17569"/>
    <cellStyle name="20% - Accent6 2 3 3 2 2 2 2" xfId="28712"/>
    <cellStyle name="20% - Accent6 2 3 3 2 2 3" xfId="23143"/>
    <cellStyle name="20% - Accent6 2 3 3 2 2 4" xfId="9107"/>
    <cellStyle name="20% - Accent6 2 3 3 2 3" xfId="10972"/>
    <cellStyle name="20% - Accent6 2 3 3 2 3 2" xfId="15500"/>
    <cellStyle name="20% - Accent6 2 3 3 2 3 2 2" xfId="26643"/>
    <cellStyle name="20% - Accent6 2 3 3 2 3 3" xfId="21074"/>
    <cellStyle name="20% - Accent6 2 3 3 2 4" xfId="14070"/>
    <cellStyle name="20% - Accent6 2 3 3 2 4 2" xfId="25213"/>
    <cellStyle name="20% - Accent6 2 3 3 2 5" xfId="19644"/>
    <cellStyle name="20% - Accent6 2 3 3 2 6" xfId="7038"/>
    <cellStyle name="20% - Accent6 2 3 3 3" xfId="3485"/>
    <cellStyle name="20% - Accent6 2 3 3 3 2" xfId="5594"/>
    <cellStyle name="20% - Accent6 2 3 3 3 2 2" xfId="18207"/>
    <cellStyle name="20% - Accent6 2 3 3 3 2 2 2" xfId="29350"/>
    <cellStyle name="20% - Accent6 2 3 3 3 2 3" xfId="23781"/>
    <cellStyle name="20% - Accent6 2 3 3 3 2 4" xfId="9745"/>
    <cellStyle name="20% - Accent6 2 3 3 3 3" xfId="16138"/>
    <cellStyle name="20% - Accent6 2 3 3 3 3 2" xfId="27281"/>
    <cellStyle name="20% - Accent6 2 3 3 3 4" xfId="21712"/>
    <cellStyle name="20% - Accent6 2 3 3 3 5" xfId="7676"/>
    <cellStyle name="20% - Accent6 2 3 3 4" xfId="4164"/>
    <cellStyle name="20% - Accent6 2 3 3 4 2" xfId="16777"/>
    <cellStyle name="20% - Accent6 2 3 3 4 2 2" xfId="27920"/>
    <cellStyle name="20% - Accent6 2 3 3 4 3" xfId="22351"/>
    <cellStyle name="20% - Accent6 2 3 3 4 4" xfId="8315"/>
    <cellStyle name="20% - Accent6 2 3 3 5" xfId="10677"/>
    <cellStyle name="20% - Accent6 2 3 3 5 2" xfId="14861"/>
    <cellStyle name="20% - Accent6 2 3 3 5 2 2" xfId="26004"/>
    <cellStyle name="20% - Accent6 2 3 3 5 3" xfId="20435"/>
    <cellStyle name="20% - Accent6 2 3 3 6" xfId="13431"/>
    <cellStyle name="20% - Accent6 2 3 3 6 2" xfId="24574"/>
    <cellStyle name="20% - Accent6 2 3 3 7" xfId="19005"/>
    <cellStyle name="20% - Accent6 2 3 3 8" xfId="6399"/>
    <cellStyle name="20% - Accent6 2 3 4" xfId="2011"/>
    <cellStyle name="20% - Accent6 2 3 4 2" xfId="2666"/>
    <cellStyle name="20% - Accent6 2 3 4 2 2" xfId="4775"/>
    <cellStyle name="20% - Accent6 2 3 4 2 2 2" xfId="17388"/>
    <cellStyle name="20% - Accent6 2 3 4 2 2 2 2" xfId="28531"/>
    <cellStyle name="20% - Accent6 2 3 4 2 2 3" xfId="22962"/>
    <cellStyle name="20% - Accent6 2 3 4 2 2 4" xfId="8926"/>
    <cellStyle name="20% - Accent6 2 3 4 2 3" xfId="10860"/>
    <cellStyle name="20% - Accent6 2 3 4 2 3 2" xfId="15319"/>
    <cellStyle name="20% - Accent6 2 3 4 2 3 2 2" xfId="26462"/>
    <cellStyle name="20% - Accent6 2 3 4 2 3 3" xfId="20893"/>
    <cellStyle name="20% - Accent6 2 3 4 2 4" xfId="13889"/>
    <cellStyle name="20% - Accent6 2 3 4 2 4 2" xfId="25032"/>
    <cellStyle name="20% - Accent6 2 3 4 2 5" xfId="19463"/>
    <cellStyle name="20% - Accent6 2 3 4 2 6" xfId="6857"/>
    <cellStyle name="20% - Accent6 2 3 4 3" xfId="3304"/>
    <cellStyle name="20% - Accent6 2 3 4 3 2" xfId="5413"/>
    <cellStyle name="20% - Accent6 2 3 4 3 2 2" xfId="18026"/>
    <cellStyle name="20% - Accent6 2 3 4 3 2 2 2" xfId="29169"/>
    <cellStyle name="20% - Accent6 2 3 4 3 2 3" xfId="23600"/>
    <cellStyle name="20% - Accent6 2 3 4 3 2 4" xfId="9564"/>
    <cellStyle name="20% - Accent6 2 3 4 3 3" xfId="15957"/>
    <cellStyle name="20% - Accent6 2 3 4 3 3 2" xfId="27100"/>
    <cellStyle name="20% - Accent6 2 3 4 3 4" xfId="21531"/>
    <cellStyle name="20% - Accent6 2 3 4 3 5" xfId="7495"/>
    <cellStyle name="20% - Accent6 2 3 4 4" xfId="3983"/>
    <cellStyle name="20% - Accent6 2 3 4 4 2" xfId="16596"/>
    <cellStyle name="20% - Accent6 2 3 4 4 2 2" xfId="27739"/>
    <cellStyle name="20% - Accent6 2 3 4 4 3" xfId="22170"/>
    <cellStyle name="20% - Accent6 2 3 4 4 4" xfId="8134"/>
    <cellStyle name="20% - Accent6 2 3 4 5" xfId="10322"/>
    <cellStyle name="20% - Accent6 2 3 4 5 2" xfId="14680"/>
    <cellStyle name="20% - Accent6 2 3 4 5 2 2" xfId="25823"/>
    <cellStyle name="20% - Accent6 2 3 4 5 3" xfId="20254"/>
    <cellStyle name="20% - Accent6 2 3 4 6" xfId="13250"/>
    <cellStyle name="20% - Accent6 2 3 4 6 2" xfId="24393"/>
    <cellStyle name="20% - Accent6 2 3 4 7" xfId="18824"/>
    <cellStyle name="20% - Accent6 2 3 4 8" xfId="6218"/>
    <cellStyle name="20% - Accent6 2 3 5" xfId="2358"/>
    <cellStyle name="20% - Accent6 2 3 5 2" xfId="2999"/>
    <cellStyle name="20% - Accent6 2 3 5 2 2" xfId="5108"/>
    <cellStyle name="20% - Accent6 2 3 5 2 2 2" xfId="17721"/>
    <cellStyle name="20% - Accent6 2 3 5 2 2 2 2" xfId="28864"/>
    <cellStyle name="20% - Accent6 2 3 5 2 2 3" xfId="23295"/>
    <cellStyle name="20% - Accent6 2 3 5 2 2 4" xfId="9259"/>
    <cellStyle name="20% - Accent6 2 3 5 2 3" xfId="11246"/>
    <cellStyle name="20% - Accent6 2 3 5 2 3 2" xfId="15652"/>
    <cellStyle name="20% - Accent6 2 3 5 2 3 2 2" xfId="26795"/>
    <cellStyle name="20% - Accent6 2 3 5 2 3 3" xfId="21226"/>
    <cellStyle name="20% - Accent6 2 3 5 2 4" xfId="14222"/>
    <cellStyle name="20% - Accent6 2 3 5 2 4 2" xfId="25365"/>
    <cellStyle name="20% - Accent6 2 3 5 2 5" xfId="19796"/>
    <cellStyle name="20% - Accent6 2 3 5 2 6" xfId="7190"/>
    <cellStyle name="20% - Accent6 2 3 5 3" xfId="3637"/>
    <cellStyle name="20% - Accent6 2 3 5 3 2" xfId="5746"/>
    <cellStyle name="20% - Accent6 2 3 5 3 2 2" xfId="18359"/>
    <cellStyle name="20% - Accent6 2 3 5 3 2 2 2" xfId="29502"/>
    <cellStyle name="20% - Accent6 2 3 5 3 2 3" xfId="23933"/>
    <cellStyle name="20% - Accent6 2 3 5 3 2 4" xfId="9897"/>
    <cellStyle name="20% - Accent6 2 3 5 3 3" xfId="16290"/>
    <cellStyle name="20% - Accent6 2 3 5 3 3 2" xfId="27433"/>
    <cellStyle name="20% - Accent6 2 3 5 3 4" xfId="21864"/>
    <cellStyle name="20% - Accent6 2 3 5 3 5" xfId="7828"/>
    <cellStyle name="20% - Accent6 2 3 5 4" xfId="4316"/>
    <cellStyle name="20% - Accent6 2 3 5 4 2" xfId="16929"/>
    <cellStyle name="20% - Accent6 2 3 5 4 2 2" xfId="28072"/>
    <cellStyle name="20% - Accent6 2 3 5 4 3" xfId="22503"/>
    <cellStyle name="20% - Accent6 2 3 5 4 4" xfId="8467"/>
    <cellStyle name="20% - Accent6 2 3 5 5" xfId="10176"/>
    <cellStyle name="20% - Accent6 2 3 5 5 2" xfId="15013"/>
    <cellStyle name="20% - Accent6 2 3 5 5 2 2" xfId="26156"/>
    <cellStyle name="20% - Accent6 2 3 5 5 3" xfId="20587"/>
    <cellStyle name="20% - Accent6 2 3 5 6" xfId="13583"/>
    <cellStyle name="20% - Accent6 2 3 5 6 2" xfId="24726"/>
    <cellStyle name="20% - Accent6 2 3 5 7" xfId="19157"/>
    <cellStyle name="20% - Accent6 2 3 5 8" xfId="6551"/>
    <cellStyle name="20% - Accent6 2 3 6" xfId="1821"/>
    <cellStyle name="20% - Accent6 2 3 6 2" xfId="4469"/>
    <cellStyle name="20% - Accent6 2 3 6 2 2" xfId="17082"/>
    <cellStyle name="20% - Accent6 2 3 6 2 2 2" xfId="28225"/>
    <cellStyle name="20% - Accent6 2 3 6 2 3" xfId="22656"/>
    <cellStyle name="20% - Accent6 2 3 6 2 4" xfId="8620"/>
    <cellStyle name="20% - Accent6 2 3 6 3" xfId="10131"/>
    <cellStyle name="20% - Accent6 2 3 6 3 2" xfId="14528"/>
    <cellStyle name="20% - Accent6 2 3 6 3 2 2" xfId="25671"/>
    <cellStyle name="20% - Accent6 2 3 6 3 3" xfId="20102"/>
    <cellStyle name="20% - Accent6 2 3 6 4" xfId="13098"/>
    <cellStyle name="20% - Accent6 2 3 6 4 2" xfId="24241"/>
    <cellStyle name="20% - Accent6 2 3 6 5" xfId="18672"/>
    <cellStyle name="20% - Accent6 2 3 6 6" xfId="6066"/>
    <cellStyle name="20% - Accent6 2 3 7" xfId="2514"/>
    <cellStyle name="20% - Accent6 2 3 7 2" xfId="4623"/>
    <cellStyle name="20% - Accent6 2 3 7 2 2" xfId="17236"/>
    <cellStyle name="20% - Accent6 2 3 7 2 2 2" xfId="28379"/>
    <cellStyle name="20% - Accent6 2 3 7 2 3" xfId="22810"/>
    <cellStyle name="20% - Accent6 2 3 7 2 4" xfId="8774"/>
    <cellStyle name="20% - Accent6 2 3 7 3" xfId="11256"/>
    <cellStyle name="20% - Accent6 2 3 7 3 2" xfId="15167"/>
    <cellStyle name="20% - Accent6 2 3 7 3 2 2" xfId="26310"/>
    <cellStyle name="20% - Accent6 2 3 7 3 3" xfId="20741"/>
    <cellStyle name="20% - Accent6 2 3 7 4" xfId="13737"/>
    <cellStyle name="20% - Accent6 2 3 7 4 2" xfId="24880"/>
    <cellStyle name="20% - Accent6 2 3 7 5" xfId="19311"/>
    <cellStyle name="20% - Accent6 2 3 7 6" xfId="6705"/>
    <cellStyle name="20% - Accent6 2 3 8" xfId="3152"/>
    <cellStyle name="20% - Accent6 2 3 8 2" xfId="5261"/>
    <cellStyle name="20% - Accent6 2 3 8 2 2" xfId="17874"/>
    <cellStyle name="20% - Accent6 2 3 8 2 2 2" xfId="29017"/>
    <cellStyle name="20% - Accent6 2 3 8 2 3" xfId="23448"/>
    <cellStyle name="20% - Accent6 2 3 8 2 4" xfId="9412"/>
    <cellStyle name="20% - Accent6 2 3 8 3" xfId="15805"/>
    <cellStyle name="20% - Accent6 2 3 8 3 2" xfId="26948"/>
    <cellStyle name="20% - Accent6 2 3 8 4" xfId="21379"/>
    <cellStyle name="20% - Accent6 2 3 8 5" xfId="7343"/>
    <cellStyle name="20% - Accent6 2 3 9" xfId="3831"/>
    <cellStyle name="20% - Accent6 2 3 9 2" xfId="16444"/>
    <cellStyle name="20% - Accent6 2 3 9 2 2" xfId="27587"/>
    <cellStyle name="20% - Accent6 2 3 9 3" xfId="22018"/>
    <cellStyle name="20% - Accent6 2 3 9 4" xfId="7982"/>
    <cellStyle name="20% - Accent6 2 4" xfId="283"/>
    <cellStyle name="20% - Accent6 2 4 10" xfId="12982"/>
    <cellStyle name="20% - Accent6 2 4 10 2" xfId="24126"/>
    <cellStyle name="20% - Accent6 2 4 11" xfId="18557"/>
    <cellStyle name="20% - Accent6 2 4 12" xfId="5950"/>
    <cellStyle name="20% - Accent6 2 4 2" xfId="2241"/>
    <cellStyle name="20% - Accent6 2 4 2 2" xfId="2885"/>
    <cellStyle name="20% - Accent6 2 4 2 2 2" xfId="4994"/>
    <cellStyle name="20% - Accent6 2 4 2 2 2 2" xfId="17607"/>
    <cellStyle name="20% - Accent6 2 4 2 2 2 2 2" xfId="28750"/>
    <cellStyle name="20% - Accent6 2 4 2 2 2 3" xfId="23181"/>
    <cellStyle name="20% - Accent6 2 4 2 2 2 4" xfId="9145"/>
    <cellStyle name="20% - Accent6 2 4 2 2 3" xfId="10636"/>
    <cellStyle name="20% - Accent6 2 4 2 2 3 2" xfId="15538"/>
    <cellStyle name="20% - Accent6 2 4 2 2 3 2 2" xfId="26681"/>
    <cellStyle name="20% - Accent6 2 4 2 2 3 3" xfId="21112"/>
    <cellStyle name="20% - Accent6 2 4 2 2 4" xfId="14108"/>
    <cellStyle name="20% - Accent6 2 4 2 2 4 2" xfId="25251"/>
    <cellStyle name="20% - Accent6 2 4 2 2 5" xfId="19682"/>
    <cellStyle name="20% - Accent6 2 4 2 2 6" xfId="7076"/>
    <cellStyle name="20% - Accent6 2 4 2 3" xfId="3523"/>
    <cellStyle name="20% - Accent6 2 4 2 3 2" xfId="5632"/>
    <cellStyle name="20% - Accent6 2 4 2 3 2 2" xfId="18245"/>
    <cellStyle name="20% - Accent6 2 4 2 3 2 2 2" xfId="29388"/>
    <cellStyle name="20% - Accent6 2 4 2 3 2 3" xfId="23819"/>
    <cellStyle name="20% - Accent6 2 4 2 3 2 4" xfId="9783"/>
    <cellStyle name="20% - Accent6 2 4 2 3 3" xfId="16176"/>
    <cellStyle name="20% - Accent6 2 4 2 3 3 2" xfId="27319"/>
    <cellStyle name="20% - Accent6 2 4 2 3 4" xfId="21750"/>
    <cellStyle name="20% - Accent6 2 4 2 3 5" xfId="7714"/>
    <cellStyle name="20% - Accent6 2 4 2 4" xfId="4202"/>
    <cellStyle name="20% - Accent6 2 4 2 4 2" xfId="16815"/>
    <cellStyle name="20% - Accent6 2 4 2 4 2 2" xfId="27958"/>
    <cellStyle name="20% - Accent6 2 4 2 4 3" xfId="22389"/>
    <cellStyle name="20% - Accent6 2 4 2 4 4" xfId="8353"/>
    <cellStyle name="20% - Accent6 2 4 2 5" xfId="11118"/>
    <cellStyle name="20% - Accent6 2 4 2 5 2" xfId="14899"/>
    <cellStyle name="20% - Accent6 2 4 2 5 2 2" xfId="26042"/>
    <cellStyle name="20% - Accent6 2 4 2 5 3" xfId="20473"/>
    <cellStyle name="20% - Accent6 2 4 2 6" xfId="13469"/>
    <cellStyle name="20% - Accent6 2 4 2 6 2" xfId="24612"/>
    <cellStyle name="20% - Accent6 2 4 2 7" xfId="19043"/>
    <cellStyle name="20% - Accent6 2 4 2 8" xfId="6437"/>
    <cellStyle name="20% - Accent6 2 4 3" xfId="2049"/>
    <cellStyle name="20% - Accent6 2 4 3 2" xfId="2704"/>
    <cellStyle name="20% - Accent6 2 4 3 2 2" xfId="4813"/>
    <cellStyle name="20% - Accent6 2 4 3 2 2 2" xfId="17426"/>
    <cellStyle name="20% - Accent6 2 4 3 2 2 2 2" xfId="28569"/>
    <cellStyle name="20% - Accent6 2 4 3 2 2 3" xfId="23000"/>
    <cellStyle name="20% - Accent6 2 4 3 2 2 4" xfId="8964"/>
    <cellStyle name="20% - Accent6 2 4 3 2 3" xfId="10943"/>
    <cellStyle name="20% - Accent6 2 4 3 2 3 2" xfId="15357"/>
    <cellStyle name="20% - Accent6 2 4 3 2 3 2 2" xfId="26500"/>
    <cellStyle name="20% - Accent6 2 4 3 2 3 3" xfId="20931"/>
    <cellStyle name="20% - Accent6 2 4 3 2 4" xfId="13927"/>
    <cellStyle name="20% - Accent6 2 4 3 2 4 2" xfId="25070"/>
    <cellStyle name="20% - Accent6 2 4 3 2 5" xfId="19501"/>
    <cellStyle name="20% - Accent6 2 4 3 2 6" xfId="6895"/>
    <cellStyle name="20% - Accent6 2 4 3 3" xfId="3342"/>
    <cellStyle name="20% - Accent6 2 4 3 3 2" xfId="5451"/>
    <cellStyle name="20% - Accent6 2 4 3 3 2 2" xfId="18064"/>
    <cellStyle name="20% - Accent6 2 4 3 3 2 2 2" xfId="29207"/>
    <cellStyle name="20% - Accent6 2 4 3 3 2 3" xfId="23638"/>
    <cellStyle name="20% - Accent6 2 4 3 3 2 4" xfId="9602"/>
    <cellStyle name="20% - Accent6 2 4 3 3 3" xfId="15995"/>
    <cellStyle name="20% - Accent6 2 4 3 3 3 2" xfId="27138"/>
    <cellStyle name="20% - Accent6 2 4 3 3 4" xfId="21569"/>
    <cellStyle name="20% - Accent6 2 4 3 3 5" xfId="7533"/>
    <cellStyle name="20% - Accent6 2 4 3 4" xfId="4021"/>
    <cellStyle name="20% - Accent6 2 4 3 4 2" xfId="16634"/>
    <cellStyle name="20% - Accent6 2 4 3 4 2 2" xfId="27777"/>
    <cellStyle name="20% - Accent6 2 4 3 4 3" xfId="22208"/>
    <cellStyle name="20% - Accent6 2 4 3 4 4" xfId="8172"/>
    <cellStyle name="20% - Accent6 2 4 3 5" xfId="10706"/>
    <cellStyle name="20% - Accent6 2 4 3 5 2" xfId="14718"/>
    <cellStyle name="20% - Accent6 2 4 3 5 2 2" xfId="25861"/>
    <cellStyle name="20% - Accent6 2 4 3 5 3" xfId="20292"/>
    <cellStyle name="20% - Accent6 2 4 3 6" xfId="13288"/>
    <cellStyle name="20% - Accent6 2 4 3 6 2" xfId="24431"/>
    <cellStyle name="20% - Accent6 2 4 3 7" xfId="18862"/>
    <cellStyle name="20% - Accent6 2 4 3 8" xfId="6256"/>
    <cellStyle name="20% - Accent6 2 4 4" xfId="2396"/>
    <cellStyle name="20% - Accent6 2 4 4 2" xfId="3037"/>
    <cellStyle name="20% - Accent6 2 4 4 2 2" xfId="5146"/>
    <cellStyle name="20% - Accent6 2 4 4 2 2 2" xfId="17759"/>
    <cellStyle name="20% - Accent6 2 4 4 2 2 2 2" xfId="28902"/>
    <cellStyle name="20% - Accent6 2 4 4 2 2 3" xfId="23333"/>
    <cellStyle name="20% - Accent6 2 4 4 2 2 4" xfId="9297"/>
    <cellStyle name="20% - Accent6 2 4 4 2 3" xfId="10089"/>
    <cellStyle name="20% - Accent6 2 4 4 2 3 2" xfId="15690"/>
    <cellStyle name="20% - Accent6 2 4 4 2 3 2 2" xfId="26833"/>
    <cellStyle name="20% - Accent6 2 4 4 2 3 3" xfId="21264"/>
    <cellStyle name="20% - Accent6 2 4 4 2 4" xfId="14260"/>
    <cellStyle name="20% - Accent6 2 4 4 2 4 2" xfId="25403"/>
    <cellStyle name="20% - Accent6 2 4 4 2 5" xfId="19834"/>
    <cellStyle name="20% - Accent6 2 4 4 2 6" xfId="7228"/>
    <cellStyle name="20% - Accent6 2 4 4 3" xfId="3675"/>
    <cellStyle name="20% - Accent6 2 4 4 3 2" xfId="5784"/>
    <cellStyle name="20% - Accent6 2 4 4 3 2 2" xfId="18397"/>
    <cellStyle name="20% - Accent6 2 4 4 3 2 2 2" xfId="29540"/>
    <cellStyle name="20% - Accent6 2 4 4 3 2 3" xfId="23971"/>
    <cellStyle name="20% - Accent6 2 4 4 3 2 4" xfId="9935"/>
    <cellStyle name="20% - Accent6 2 4 4 3 3" xfId="16328"/>
    <cellStyle name="20% - Accent6 2 4 4 3 3 2" xfId="27471"/>
    <cellStyle name="20% - Accent6 2 4 4 3 4" xfId="21902"/>
    <cellStyle name="20% - Accent6 2 4 4 3 5" xfId="7866"/>
    <cellStyle name="20% - Accent6 2 4 4 4" xfId="4354"/>
    <cellStyle name="20% - Accent6 2 4 4 4 2" xfId="16967"/>
    <cellStyle name="20% - Accent6 2 4 4 4 2 2" xfId="28110"/>
    <cellStyle name="20% - Accent6 2 4 4 4 3" xfId="22541"/>
    <cellStyle name="20% - Accent6 2 4 4 4 4" xfId="8505"/>
    <cellStyle name="20% - Accent6 2 4 4 5" xfId="10575"/>
    <cellStyle name="20% - Accent6 2 4 4 5 2" xfId="15051"/>
    <cellStyle name="20% - Accent6 2 4 4 5 2 2" xfId="26194"/>
    <cellStyle name="20% - Accent6 2 4 4 5 3" xfId="20625"/>
    <cellStyle name="20% - Accent6 2 4 4 6" xfId="13621"/>
    <cellStyle name="20% - Accent6 2 4 4 6 2" xfId="24764"/>
    <cellStyle name="20% - Accent6 2 4 4 7" xfId="19195"/>
    <cellStyle name="20% - Accent6 2 4 4 8" xfId="6589"/>
    <cellStyle name="20% - Accent6 2 4 5" xfId="1859"/>
    <cellStyle name="20% - Accent6 2 4 5 2" xfId="4507"/>
    <cellStyle name="20% - Accent6 2 4 5 2 2" xfId="17120"/>
    <cellStyle name="20% - Accent6 2 4 5 2 2 2" xfId="28263"/>
    <cellStyle name="20% - Accent6 2 4 5 2 3" xfId="22694"/>
    <cellStyle name="20% - Accent6 2 4 5 2 4" xfId="8658"/>
    <cellStyle name="20% - Accent6 2 4 5 3" xfId="10559"/>
    <cellStyle name="20% - Accent6 2 4 5 3 2" xfId="14566"/>
    <cellStyle name="20% - Accent6 2 4 5 3 2 2" xfId="25709"/>
    <cellStyle name="20% - Accent6 2 4 5 3 3" xfId="20140"/>
    <cellStyle name="20% - Accent6 2 4 5 4" xfId="13136"/>
    <cellStyle name="20% - Accent6 2 4 5 4 2" xfId="24279"/>
    <cellStyle name="20% - Accent6 2 4 5 5" xfId="18710"/>
    <cellStyle name="20% - Accent6 2 4 5 6" xfId="6104"/>
    <cellStyle name="20% - Accent6 2 4 6" xfId="2552"/>
    <cellStyle name="20% - Accent6 2 4 6 2" xfId="4661"/>
    <cellStyle name="20% - Accent6 2 4 6 2 2" xfId="17274"/>
    <cellStyle name="20% - Accent6 2 4 6 2 2 2" xfId="28417"/>
    <cellStyle name="20% - Accent6 2 4 6 2 3" xfId="22848"/>
    <cellStyle name="20% - Accent6 2 4 6 2 4" xfId="8812"/>
    <cellStyle name="20% - Accent6 2 4 6 3" xfId="11348"/>
    <cellStyle name="20% - Accent6 2 4 6 3 2" xfId="15205"/>
    <cellStyle name="20% - Accent6 2 4 6 3 2 2" xfId="26348"/>
    <cellStyle name="20% - Accent6 2 4 6 3 3" xfId="20779"/>
    <cellStyle name="20% - Accent6 2 4 6 4" xfId="13775"/>
    <cellStyle name="20% - Accent6 2 4 6 4 2" xfId="24918"/>
    <cellStyle name="20% - Accent6 2 4 6 5" xfId="19349"/>
    <cellStyle name="20% - Accent6 2 4 6 6" xfId="6743"/>
    <cellStyle name="20% - Accent6 2 4 7" xfId="3190"/>
    <cellStyle name="20% - Accent6 2 4 7 2" xfId="5299"/>
    <cellStyle name="20% - Accent6 2 4 7 2 2" xfId="17912"/>
    <cellStyle name="20% - Accent6 2 4 7 2 2 2" xfId="29055"/>
    <cellStyle name="20% - Accent6 2 4 7 2 3" xfId="23486"/>
    <cellStyle name="20% - Accent6 2 4 7 2 4" xfId="9450"/>
    <cellStyle name="20% - Accent6 2 4 7 3" xfId="15843"/>
    <cellStyle name="20% - Accent6 2 4 7 3 2" xfId="26986"/>
    <cellStyle name="20% - Accent6 2 4 7 4" xfId="21417"/>
    <cellStyle name="20% - Accent6 2 4 7 5" xfId="7381"/>
    <cellStyle name="20% - Accent6 2 4 8" xfId="3869"/>
    <cellStyle name="20% - Accent6 2 4 8 2" xfId="16482"/>
    <cellStyle name="20% - Accent6 2 4 8 2 2" xfId="27625"/>
    <cellStyle name="20% - Accent6 2 4 8 3" xfId="22056"/>
    <cellStyle name="20% - Accent6 2 4 8 4" xfId="8020"/>
    <cellStyle name="20% - Accent6 2 4 9" xfId="10380"/>
    <cellStyle name="20% - Accent6 2 4 9 2" xfId="14413"/>
    <cellStyle name="20% - Accent6 2 4 9 2 2" xfId="25556"/>
    <cellStyle name="20% - Accent6 2 4 9 3" xfId="19987"/>
    <cellStyle name="20% - Accent6 2 5" xfId="2165"/>
    <cellStyle name="20% - Accent6 2 5 2" xfId="2809"/>
    <cellStyle name="20% - Accent6 2 5 2 2" xfId="4918"/>
    <cellStyle name="20% - Accent6 2 5 2 2 2" xfId="17531"/>
    <cellStyle name="20% - Accent6 2 5 2 2 2 2" xfId="28674"/>
    <cellStyle name="20% - Accent6 2 5 2 2 3" xfId="23105"/>
    <cellStyle name="20% - Accent6 2 5 2 2 4" xfId="9069"/>
    <cellStyle name="20% - Accent6 2 5 2 3" xfId="11039"/>
    <cellStyle name="20% - Accent6 2 5 2 3 2" xfId="15462"/>
    <cellStyle name="20% - Accent6 2 5 2 3 2 2" xfId="26605"/>
    <cellStyle name="20% - Accent6 2 5 2 3 3" xfId="21036"/>
    <cellStyle name="20% - Accent6 2 5 2 4" xfId="14032"/>
    <cellStyle name="20% - Accent6 2 5 2 4 2" xfId="25175"/>
    <cellStyle name="20% - Accent6 2 5 2 5" xfId="19606"/>
    <cellStyle name="20% - Accent6 2 5 2 6" xfId="7000"/>
    <cellStyle name="20% - Accent6 2 5 3" xfId="3447"/>
    <cellStyle name="20% - Accent6 2 5 3 2" xfId="5556"/>
    <cellStyle name="20% - Accent6 2 5 3 2 2" xfId="18169"/>
    <cellStyle name="20% - Accent6 2 5 3 2 2 2" xfId="29312"/>
    <cellStyle name="20% - Accent6 2 5 3 2 3" xfId="23743"/>
    <cellStyle name="20% - Accent6 2 5 3 2 4" xfId="9707"/>
    <cellStyle name="20% - Accent6 2 5 3 3" xfId="16100"/>
    <cellStyle name="20% - Accent6 2 5 3 3 2" xfId="27243"/>
    <cellStyle name="20% - Accent6 2 5 3 4" xfId="21674"/>
    <cellStyle name="20% - Accent6 2 5 3 5" xfId="7638"/>
    <cellStyle name="20% - Accent6 2 5 4" xfId="4126"/>
    <cellStyle name="20% - Accent6 2 5 4 2" xfId="16739"/>
    <cellStyle name="20% - Accent6 2 5 4 2 2" xfId="27882"/>
    <cellStyle name="20% - Accent6 2 5 4 3" xfId="22313"/>
    <cellStyle name="20% - Accent6 2 5 4 4" xfId="8277"/>
    <cellStyle name="20% - Accent6 2 5 5" xfId="11090"/>
    <cellStyle name="20% - Accent6 2 5 5 2" xfId="14823"/>
    <cellStyle name="20% - Accent6 2 5 5 2 2" xfId="25966"/>
    <cellStyle name="20% - Accent6 2 5 5 3" xfId="20397"/>
    <cellStyle name="20% - Accent6 2 5 6" xfId="13393"/>
    <cellStyle name="20% - Accent6 2 5 6 2" xfId="24536"/>
    <cellStyle name="20% - Accent6 2 5 7" xfId="18967"/>
    <cellStyle name="20% - Accent6 2 5 8" xfId="6361"/>
    <cellStyle name="20% - Accent6 2 6" xfId="1958"/>
    <cellStyle name="20% - Accent6 2 6 2" xfId="2628"/>
    <cellStyle name="20% - Accent6 2 6 2 2" xfId="4737"/>
    <cellStyle name="20% - Accent6 2 6 2 2 2" xfId="17350"/>
    <cellStyle name="20% - Accent6 2 6 2 2 2 2" xfId="28493"/>
    <cellStyle name="20% - Accent6 2 6 2 2 3" xfId="22924"/>
    <cellStyle name="20% - Accent6 2 6 2 2 4" xfId="8888"/>
    <cellStyle name="20% - Accent6 2 6 2 3" xfId="11106"/>
    <cellStyle name="20% - Accent6 2 6 2 3 2" xfId="15281"/>
    <cellStyle name="20% - Accent6 2 6 2 3 2 2" xfId="26424"/>
    <cellStyle name="20% - Accent6 2 6 2 3 3" xfId="20855"/>
    <cellStyle name="20% - Accent6 2 6 2 4" xfId="13851"/>
    <cellStyle name="20% - Accent6 2 6 2 4 2" xfId="24994"/>
    <cellStyle name="20% - Accent6 2 6 2 5" xfId="19425"/>
    <cellStyle name="20% - Accent6 2 6 2 6" xfId="6819"/>
    <cellStyle name="20% - Accent6 2 6 3" xfId="3266"/>
    <cellStyle name="20% - Accent6 2 6 3 2" xfId="5375"/>
    <cellStyle name="20% - Accent6 2 6 3 2 2" xfId="17988"/>
    <cellStyle name="20% - Accent6 2 6 3 2 2 2" xfId="29131"/>
    <cellStyle name="20% - Accent6 2 6 3 2 3" xfId="23562"/>
    <cellStyle name="20% - Accent6 2 6 3 2 4" xfId="9526"/>
    <cellStyle name="20% - Accent6 2 6 3 3" xfId="15919"/>
    <cellStyle name="20% - Accent6 2 6 3 3 2" xfId="27062"/>
    <cellStyle name="20% - Accent6 2 6 3 4" xfId="21493"/>
    <cellStyle name="20% - Accent6 2 6 3 5" xfId="7457"/>
    <cellStyle name="20% - Accent6 2 6 4" xfId="3945"/>
    <cellStyle name="20% - Accent6 2 6 4 2" xfId="16558"/>
    <cellStyle name="20% - Accent6 2 6 4 2 2" xfId="27701"/>
    <cellStyle name="20% - Accent6 2 6 4 3" xfId="22132"/>
    <cellStyle name="20% - Accent6 2 6 4 4" xfId="8096"/>
    <cellStyle name="20% - Accent6 2 6 5" xfId="11067"/>
    <cellStyle name="20% - Accent6 2 6 5 2" xfId="14642"/>
    <cellStyle name="20% - Accent6 2 6 5 2 2" xfId="25785"/>
    <cellStyle name="20% - Accent6 2 6 5 3" xfId="20216"/>
    <cellStyle name="20% - Accent6 2 6 6" xfId="13212"/>
    <cellStyle name="20% - Accent6 2 6 6 2" xfId="24355"/>
    <cellStyle name="20% - Accent6 2 6 7" xfId="18786"/>
    <cellStyle name="20% - Accent6 2 6 8" xfId="6180"/>
    <cellStyle name="20% - Accent6 2 7" xfId="2319"/>
    <cellStyle name="20% - Accent6 2 7 2" xfId="2961"/>
    <cellStyle name="20% - Accent6 2 7 2 2" xfId="5070"/>
    <cellStyle name="20% - Accent6 2 7 2 2 2" xfId="17683"/>
    <cellStyle name="20% - Accent6 2 7 2 2 2 2" xfId="28826"/>
    <cellStyle name="20% - Accent6 2 7 2 2 3" xfId="23257"/>
    <cellStyle name="20% - Accent6 2 7 2 2 4" xfId="9221"/>
    <cellStyle name="20% - Accent6 2 7 2 3" xfId="10108"/>
    <cellStyle name="20% - Accent6 2 7 2 3 2" xfId="15614"/>
    <cellStyle name="20% - Accent6 2 7 2 3 2 2" xfId="26757"/>
    <cellStyle name="20% - Accent6 2 7 2 3 3" xfId="21188"/>
    <cellStyle name="20% - Accent6 2 7 2 4" xfId="14184"/>
    <cellStyle name="20% - Accent6 2 7 2 4 2" xfId="25327"/>
    <cellStyle name="20% - Accent6 2 7 2 5" xfId="19758"/>
    <cellStyle name="20% - Accent6 2 7 2 6" xfId="7152"/>
    <cellStyle name="20% - Accent6 2 7 3" xfId="3599"/>
    <cellStyle name="20% - Accent6 2 7 3 2" xfId="5708"/>
    <cellStyle name="20% - Accent6 2 7 3 2 2" xfId="18321"/>
    <cellStyle name="20% - Accent6 2 7 3 2 2 2" xfId="29464"/>
    <cellStyle name="20% - Accent6 2 7 3 2 3" xfId="23895"/>
    <cellStyle name="20% - Accent6 2 7 3 2 4" xfId="9859"/>
    <cellStyle name="20% - Accent6 2 7 3 3" xfId="16252"/>
    <cellStyle name="20% - Accent6 2 7 3 3 2" xfId="27395"/>
    <cellStyle name="20% - Accent6 2 7 3 4" xfId="21826"/>
    <cellStyle name="20% - Accent6 2 7 3 5" xfId="7790"/>
    <cellStyle name="20% - Accent6 2 7 4" xfId="4278"/>
    <cellStyle name="20% - Accent6 2 7 4 2" xfId="16891"/>
    <cellStyle name="20% - Accent6 2 7 4 2 2" xfId="28034"/>
    <cellStyle name="20% - Accent6 2 7 4 3" xfId="22465"/>
    <cellStyle name="20% - Accent6 2 7 4 4" xfId="8429"/>
    <cellStyle name="20% - Accent6 2 7 5" xfId="10822"/>
    <cellStyle name="20% - Accent6 2 7 5 2" xfId="14975"/>
    <cellStyle name="20% - Accent6 2 7 5 2 2" xfId="26118"/>
    <cellStyle name="20% - Accent6 2 7 5 3" xfId="20549"/>
    <cellStyle name="20% - Accent6 2 7 6" xfId="13545"/>
    <cellStyle name="20% - Accent6 2 7 6 2" xfId="24688"/>
    <cellStyle name="20% - Accent6 2 7 7" xfId="19119"/>
    <cellStyle name="20% - Accent6 2 7 8" xfId="6513"/>
    <cellStyle name="20% - Accent6 2 8" xfId="1783"/>
    <cellStyle name="20% - Accent6 2 8 2" xfId="4431"/>
    <cellStyle name="20% - Accent6 2 8 2 2" xfId="17044"/>
    <cellStyle name="20% - Accent6 2 8 2 2 2" xfId="28187"/>
    <cellStyle name="20% - Accent6 2 8 2 3" xfId="22618"/>
    <cellStyle name="20% - Accent6 2 8 2 4" xfId="8582"/>
    <cellStyle name="20% - Accent6 2 8 3" xfId="10558"/>
    <cellStyle name="20% - Accent6 2 8 3 2" xfId="14490"/>
    <cellStyle name="20% - Accent6 2 8 3 2 2" xfId="25633"/>
    <cellStyle name="20% - Accent6 2 8 3 3" xfId="20064"/>
    <cellStyle name="20% - Accent6 2 8 4" xfId="13060"/>
    <cellStyle name="20% - Accent6 2 8 4 2" xfId="24203"/>
    <cellStyle name="20% - Accent6 2 8 5" xfId="18634"/>
    <cellStyle name="20% - Accent6 2 8 6" xfId="6028"/>
    <cellStyle name="20% - Accent6 2 9" xfId="2476"/>
    <cellStyle name="20% - Accent6 2 9 2" xfId="4585"/>
    <cellStyle name="20% - Accent6 2 9 2 2" xfId="17198"/>
    <cellStyle name="20% - Accent6 2 9 2 2 2" xfId="28341"/>
    <cellStyle name="20% - Accent6 2 9 2 3" xfId="22772"/>
    <cellStyle name="20% - Accent6 2 9 2 4" xfId="8736"/>
    <cellStyle name="20% - Accent6 2 9 3" xfId="10077"/>
    <cellStyle name="20% - Accent6 2 9 3 2" xfId="15129"/>
    <cellStyle name="20% - Accent6 2 9 3 2 2" xfId="26272"/>
    <cellStyle name="20% - Accent6 2 9 3 3" xfId="20703"/>
    <cellStyle name="20% - Accent6 2 9 4" xfId="13699"/>
    <cellStyle name="20% - Accent6 2 9 4 2" xfId="24842"/>
    <cellStyle name="20% - Accent6 2 9 5" xfId="19273"/>
    <cellStyle name="20% - Accent6 2 9 6" xfId="6667"/>
    <cellStyle name="20% - Accent6 3" xfId="145"/>
    <cellStyle name="20% - Accent6 3 2" xfId="395"/>
    <cellStyle name="20% - Accent6 3 2 2" xfId="574"/>
    <cellStyle name="20% - Accent6 3 2 2 2" xfId="957"/>
    <cellStyle name="20% - Accent6 3 2 2 2 2" xfId="1696"/>
    <cellStyle name="20% - Accent6 3 2 2 2 2 2" xfId="12792"/>
    <cellStyle name="20% - Accent6 3 2 2 2 3" xfId="12082"/>
    <cellStyle name="20% - Accent6 3 2 2 3" xfId="1341"/>
    <cellStyle name="20% - Accent6 3 2 2 3 2" xfId="12437"/>
    <cellStyle name="20% - Accent6 3 2 2 4" xfId="11727"/>
    <cellStyle name="20% - Accent6 3 2 3" xfId="779"/>
    <cellStyle name="20% - Accent6 3 2 3 2" xfId="1518"/>
    <cellStyle name="20% - Accent6 3 2 3 2 2" xfId="12614"/>
    <cellStyle name="20% - Accent6 3 2 3 3" xfId="11904"/>
    <cellStyle name="20% - Accent6 3 2 4" xfId="1163"/>
    <cellStyle name="20% - Accent6 3 2 4 2" xfId="12259"/>
    <cellStyle name="20% - Accent6 3 2 5" xfId="11549"/>
    <cellStyle name="20% - Accent6 3 3" xfId="450"/>
    <cellStyle name="20% - Accent6 3 3 2" xfId="629"/>
    <cellStyle name="20% - Accent6 3 3 2 2" xfId="1012"/>
    <cellStyle name="20% - Accent6 3 3 2 2 2" xfId="1751"/>
    <cellStyle name="20% - Accent6 3 3 2 2 2 2" xfId="12847"/>
    <cellStyle name="20% - Accent6 3 3 2 2 3" xfId="12137"/>
    <cellStyle name="20% - Accent6 3 3 2 3" xfId="1396"/>
    <cellStyle name="20% - Accent6 3 3 2 3 2" xfId="12492"/>
    <cellStyle name="20% - Accent6 3 3 2 4" xfId="11782"/>
    <cellStyle name="20% - Accent6 3 3 3" xfId="834"/>
    <cellStyle name="20% - Accent6 3 3 3 2" xfId="1573"/>
    <cellStyle name="20% - Accent6 3 3 3 2 2" xfId="12669"/>
    <cellStyle name="20% - Accent6 3 3 3 3" xfId="11959"/>
    <cellStyle name="20% - Accent6 3 3 4" xfId="1218"/>
    <cellStyle name="20% - Accent6 3 3 4 2" xfId="12314"/>
    <cellStyle name="20% - Accent6 3 3 5" xfId="11604"/>
    <cellStyle name="20% - Accent6 3 4" xfId="512"/>
    <cellStyle name="20% - Accent6 3 4 2" xfId="896"/>
    <cellStyle name="20% - Accent6 3 4 2 2" xfId="1635"/>
    <cellStyle name="20% - Accent6 3 4 2 2 2" xfId="12731"/>
    <cellStyle name="20% - Accent6 3 4 2 3" xfId="12021"/>
    <cellStyle name="20% - Accent6 3 4 3" xfId="1280"/>
    <cellStyle name="20% - Accent6 3 4 3 2" xfId="12376"/>
    <cellStyle name="20% - Accent6 3 4 4" xfId="11666"/>
    <cellStyle name="20% - Accent6 3 5" xfId="718"/>
    <cellStyle name="20% - Accent6 3 5 2" xfId="1457"/>
    <cellStyle name="20% - Accent6 3 5 2 2" xfId="12553"/>
    <cellStyle name="20% - Accent6 3 5 3" xfId="11843"/>
    <cellStyle name="20% - Accent6 3 6" xfId="1102"/>
    <cellStyle name="20% - Accent6 3 6 2" xfId="12198"/>
    <cellStyle name="20% - Accent6 3 7" xfId="11488"/>
    <cellStyle name="20% - Accent6 4" xfId="175"/>
    <cellStyle name="20% - Accent6 4 2" xfId="407"/>
    <cellStyle name="20% - Accent6 4 2 2" xfId="586"/>
    <cellStyle name="20% - Accent6 4 2 2 2" xfId="969"/>
    <cellStyle name="20% - Accent6 4 2 2 2 2" xfId="1708"/>
    <cellStyle name="20% - Accent6 4 2 2 2 2 2" xfId="12804"/>
    <cellStyle name="20% - Accent6 4 2 2 2 3" xfId="12094"/>
    <cellStyle name="20% - Accent6 4 2 2 3" xfId="1353"/>
    <cellStyle name="20% - Accent6 4 2 2 3 2" xfId="12449"/>
    <cellStyle name="20% - Accent6 4 2 2 4" xfId="11739"/>
    <cellStyle name="20% - Accent6 4 2 3" xfId="791"/>
    <cellStyle name="20% - Accent6 4 2 3 2" xfId="1530"/>
    <cellStyle name="20% - Accent6 4 2 3 2 2" xfId="12626"/>
    <cellStyle name="20% - Accent6 4 2 3 3" xfId="11916"/>
    <cellStyle name="20% - Accent6 4 2 4" xfId="1175"/>
    <cellStyle name="20% - Accent6 4 2 4 2" xfId="12271"/>
    <cellStyle name="20% - Accent6 4 2 5" xfId="11561"/>
    <cellStyle name="20% - Accent6 4 3" xfId="462"/>
    <cellStyle name="20% - Accent6 4 3 2" xfId="641"/>
    <cellStyle name="20% - Accent6 4 3 2 2" xfId="1024"/>
    <cellStyle name="20% - Accent6 4 3 2 2 2" xfId="1763"/>
    <cellStyle name="20% - Accent6 4 3 2 2 2 2" xfId="12859"/>
    <cellStyle name="20% - Accent6 4 3 2 2 3" xfId="12149"/>
    <cellStyle name="20% - Accent6 4 3 2 3" xfId="1408"/>
    <cellStyle name="20% - Accent6 4 3 2 3 2" xfId="12504"/>
    <cellStyle name="20% - Accent6 4 3 2 4" xfId="11794"/>
    <cellStyle name="20% - Accent6 4 3 3" xfId="846"/>
    <cellStyle name="20% - Accent6 4 3 3 2" xfId="1585"/>
    <cellStyle name="20% - Accent6 4 3 3 2 2" xfId="12681"/>
    <cellStyle name="20% - Accent6 4 3 3 3" xfId="11971"/>
    <cellStyle name="20% - Accent6 4 3 4" xfId="1230"/>
    <cellStyle name="20% - Accent6 4 3 4 2" xfId="12326"/>
    <cellStyle name="20% - Accent6 4 3 5" xfId="11616"/>
    <cellStyle name="20% - Accent6 4 4" xfId="525"/>
    <cellStyle name="20% - Accent6 4 4 2" xfId="908"/>
    <cellStyle name="20% - Accent6 4 4 2 2" xfId="1647"/>
    <cellStyle name="20% - Accent6 4 4 2 2 2" xfId="12743"/>
    <cellStyle name="20% - Accent6 4 4 2 3" xfId="12033"/>
    <cellStyle name="20% - Accent6 4 4 3" xfId="1292"/>
    <cellStyle name="20% - Accent6 4 4 3 2" xfId="12388"/>
    <cellStyle name="20% - Accent6 4 4 4" xfId="11678"/>
    <cellStyle name="20% - Accent6 4 5" xfId="730"/>
    <cellStyle name="20% - Accent6 4 5 2" xfId="1469"/>
    <cellStyle name="20% - Accent6 4 5 2 2" xfId="12565"/>
    <cellStyle name="20% - Accent6 4 5 3" xfId="11855"/>
    <cellStyle name="20% - Accent6 4 6" xfId="1114"/>
    <cellStyle name="20% - Accent6 4 6 2" xfId="12210"/>
    <cellStyle name="20% - Accent6 4 7" xfId="11500"/>
    <cellStyle name="20% - Accent6 5" xfId="217"/>
    <cellStyle name="20% - Accent6 5 2" xfId="419"/>
    <cellStyle name="20% - Accent6 5 2 2" xfId="598"/>
    <cellStyle name="20% - Accent6 5 2 2 2" xfId="981"/>
    <cellStyle name="20% - Accent6 5 2 2 2 2" xfId="1720"/>
    <cellStyle name="20% - Accent6 5 2 2 2 2 2" xfId="12816"/>
    <cellStyle name="20% - Accent6 5 2 2 2 3" xfId="12106"/>
    <cellStyle name="20% - Accent6 5 2 2 3" xfId="1365"/>
    <cellStyle name="20% - Accent6 5 2 2 3 2" xfId="12461"/>
    <cellStyle name="20% - Accent6 5 2 2 4" xfId="11751"/>
    <cellStyle name="20% - Accent6 5 2 3" xfId="803"/>
    <cellStyle name="20% - Accent6 5 2 3 2" xfId="1542"/>
    <cellStyle name="20% - Accent6 5 2 3 2 2" xfId="12638"/>
    <cellStyle name="20% - Accent6 5 2 3 3" xfId="11928"/>
    <cellStyle name="20% - Accent6 5 2 4" xfId="1187"/>
    <cellStyle name="20% - Accent6 5 2 4 2" xfId="12283"/>
    <cellStyle name="20% - Accent6 5 2 5" xfId="11573"/>
    <cellStyle name="20% - Accent6 5 3" xfId="474"/>
    <cellStyle name="20% - Accent6 5 3 2" xfId="653"/>
    <cellStyle name="20% - Accent6 5 3 2 2" xfId="1036"/>
    <cellStyle name="20% - Accent6 5 3 2 2 2" xfId="1775"/>
    <cellStyle name="20% - Accent6 5 3 2 2 2 2" xfId="12871"/>
    <cellStyle name="20% - Accent6 5 3 2 2 3" xfId="12161"/>
    <cellStyle name="20% - Accent6 5 3 2 3" xfId="1420"/>
    <cellStyle name="20% - Accent6 5 3 2 3 2" xfId="12516"/>
    <cellStyle name="20% - Accent6 5 3 2 4" xfId="11806"/>
    <cellStyle name="20% - Accent6 5 3 3" xfId="858"/>
    <cellStyle name="20% - Accent6 5 3 3 2" xfId="1597"/>
    <cellStyle name="20% - Accent6 5 3 3 2 2" xfId="12693"/>
    <cellStyle name="20% - Accent6 5 3 3 3" xfId="11983"/>
    <cellStyle name="20% - Accent6 5 3 4" xfId="1242"/>
    <cellStyle name="20% - Accent6 5 3 4 2" xfId="12338"/>
    <cellStyle name="20% - Accent6 5 3 5" xfId="11628"/>
    <cellStyle name="20% - Accent6 5 4" xfId="537"/>
    <cellStyle name="20% - Accent6 5 4 2" xfId="920"/>
    <cellStyle name="20% - Accent6 5 4 2 2" xfId="1659"/>
    <cellStyle name="20% - Accent6 5 4 2 2 2" xfId="12755"/>
    <cellStyle name="20% - Accent6 5 4 2 3" xfId="12045"/>
    <cellStyle name="20% - Accent6 5 4 3" xfId="1304"/>
    <cellStyle name="20% - Accent6 5 4 3 2" xfId="12400"/>
    <cellStyle name="20% - Accent6 5 4 4" xfId="11690"/>
    <cellStyle name="20% - Accent6 5 5" xfId="742"/>
    <cellStyle name="20% - Accent6 5 5 2" xfId="1481"/>
    <cellStyle name="20% - Accent6 5 5 2 2" xfId="12577"/>
    <cellStyle name="20% - Accent6 5 5 3" xfId="11867"/>
    <cellStyle name="20% - Accent6 5 6" xfId="1126"/>
    <cellStyle name="20% - Accent6 5 6 2" xfId="12222"/>
    <cellStyle name="20% - Accent6 5 7" xfId="11512"/>
    <cellStyle name="20% - Accent6 6" xfId="363"/>
    <cellStyle name="20% - Accent6 6 2" xfId="376"/>
    <cellStyle name="20% - Accent6 6 2 2" xfId="555"/>
    <cellStyle name="20% - Accent6 6 2 2 2" xfId="938"/>
    <cellStyle name="20% - Accent6 6 2 2 2 2" xfId="1677"/>
    <cellStyle name="20% - Accent6 6 2 2 2 2 2" xfId="12773"/>
    <cellStyle name="20% - Accent6 6 2 2 2 3" xfId="12063"/>
    <cellStyle name="20% - Accent6 6 2 2 3" xfId="1322"/>
    <cellStyle name="20% - Accent6 6 2 2 3 2" xfId="12418"/>
    <cellStyle name="20% - Accent6 6 2 2 4" xfId="11708"/>
    <cellStyle name="20% - Accent6 6 2 3" xfId="760"/>
    <cellStyle name="20% - Accent6 6 2 3 2" xfId="1499"/>
    <cellStyle name="20% - Accent6 6 2 3 2 2" xfId="12595"/>
    <cellStyle name="20% - Accent6 6 2 3 3" xfId="11885"/>
    <cellStyle name="20% - Accent6 6 2 4" xfId="1144"/>
    <cellStyle name="20% - Accent6 6 2 4 2" xfId="12240"/>
    <cellStyle name="20% - Accent6 6 2 5" xfId="11530"/>
    <cellStyle name="20% - Accent6 6 3" xfId="543"/>
    <cellStyle name="20% - Accent6 6 3 2" xfId="926"/>
    <cellStyle name="20% - Accent6 6 3 2 2" xfId="1665"/>
    <cellStyle name="20% - Accent6 6 3 2 2 2" xfId="12761"/>
    <cellStyle name="20% - Accent6 6 3 2 3" xfId="12051"/>
    <cellStyle name="20% - Accent6 6 3 3" xfId="1310"/>
    <cellStyle name="20% - Accent6 6 3 3 2" xfId="12406"/>
    <cellStyle name="20% - Accent6 6 3 4" xfId="11696"/>
    <cellStyle name="20% - Accent6 6 4" xfId="748"/>
    <cellStyle name="20% - Accent6 6 4 2" xfId="1487"/>
    <cellStyle name="20% - Accent6 6 4 2 2" xfId="12583"/>
    <cellStyle name="20% - Accent6 6 4 3" xfId="11873"/>
    <cellStyle name="20% - Accent6 6 5" xfId="1132"/>
    <cellStyle name="20% - Accent6 6 5 2" xfId="12228"/>
    <cellStyle name="20% - Accent6 6 6" xfId="11518"/>
    <cellStyle name="20% - Accent6 7" xfId="431"/>
    <cellStyle name="20% - Accent6 7 2" xfId="610"/>
    <cellStyle name="20% - Accent6 7 2 2" xfId="993"/>
    <cellStyle name="20% - Accent6 7 2 2 2" xfId="1732"/>
    <cellStyle name="20% - Accent6 7 2 2 2 2" xfId="12828"/>
    <cellStyle name="20% - Accent6 7 2 2 3" xfId="12118"/>
    <cellStyle name="20% - Accent6 7 2 3" xfId="1377"/>
    <cellStyle name="20% - Accent6 7 2 3 2" xfId="12473"/>
    <cellStyle name="20% - Accent6 7 2 4" xfId="11763"/>
    <cellStyle name="20% - Accent6 7 3" xfId="815"/>
    <cellStyle name="20% - Accent6 7 3 2" xfId="1554"/>
    <cellStyle name="20% - Accent6 7 3 2 2" xfId="12650"/>
    <cellStyle name="20% - Accent6 7 3 3" xfId="11940"/>
    <cellStyle name="20% - Accent6 7 4" xfId="1199"/>
    <cellStyle name="20% - Accent6 7 4 2" xfId="12295"/>
    <cellStyle name="20% - Accent6 7 5" xfId="11585"/>
    <cellStyle name="20% - Accent6 8" xfId="487"/>
    <cellStyle name="20% - Accent6 8 2" xfId="871"/>
    <cellStyle name="20% - Accent6 8 2 2" xfId="1610"/>
    <cellStyle name="20% - Accent6 8 2 2 2" xfId="12706"/>
    <cellStyle name="20% - Accent6 8 2 3" xfId="11996"/>
    <cellStyle name="20% - Accent6 8 3" xfId="1255"/>
    <cellStyle name="20% - Accent6 8 3 2" xfId="12351"/>
    <cellStyle name="20% - Accent6 8 4" xfId="11641"/>
    <cellStyle name="20% - Accent6 9" xfId="692"/>
    <cellStyle name="20% - Accent6 9 2" xfId="1432"/>
    <cellStyle name="20% - Accent6 9 2 2" xfId="12528"/>
    <cellStyle name="20% - Accent6 9 3" xfId="11818"/>
    <cellStyle name="40% - Accent1" xfId="19" builtinId="31" customBuiltin="1"/>
    <cellStyle name="40% - Accent1 10" xfId="1057"/>
    <cellStyle name="40% - Accent1 10 2" xfId="12164"/>
    <cellStyle name="40% - Accent1 11" xfId="1985"/>
    <cellStyle name="40% - Accent1 11 2" xfId="12884"/>
    <cellStyle name="40% - Accent1 12" xfId="3765"/>
    <cellStyle name="40% - Accent1 12 2" xfId="11454"/>
    <cellStyle name="40% - Accent1 2" xfId="118"/>
    <cellStyle name="40% - Accent1 2 10" xfId="3116"/>
    <cellStyle name="40% - Accent1 2 10 2" xfId="5225"/>
    <cellStyle name="40% - Accent1 2 10 2 2" xfId="17838"/>
    <cellStyle name="40% - Accent1 2 10 2 2 2" xfId="28981"/>
    <cellStyle name="40% - Accent1 2 10 2 3" xfId="23412"/>
    <cellStyle name="40% - Accent1 2 10 2 4" xfId="9376"/>
    <cellStyle name="40% - Accent1 2 10 3" xfId="15769"/>
    <cellStyle name="40% - Accent1 2 10 3 2" xfId="26912"/>
    <cellStyle name="40% - Accent1 2 10 4" xfId="21343"/>
    <cellStyle name="40% - Accent1 2 10 5" xfId="7307"/>
    <cellStyle name="40% - Accent1 2 11" xfId="3795"/>
    <cellStyle name="40% - Accent1 2 11 2" xfId="16408"/>
    <cellStyle name="40% - Accent1 2 11 2 2" xfId="27551"/>
    <cellStyle name="40% - Accent1 2 11 3" xfId="21982"/>
    <cellStyle name="40% - Accent1 2 11 4" xfId="7946"/>
    <cellStyle name="40% - Accent1 2 12" xfId="10354"/>
    <cellStyle name="40% - Accent1 2 12 2" xfId="14339"/>
    <cellStyle name="40% - Accent1 2 12 2 2" xfId="25482"/>
    <cellStyle name="40% - Accent1 2 12 3" xfId="19913"/>
    <cellStyle name="40% - Accent1 2 13" xfId="12907"/>
    <cellStyle name="40% - Accent1 2 13 2" xfId="24051"/>
    <cellStyle name="40% - Accent1 2 14" xfId="18483"/>
    <cellStyle name="40% - Accent1 2 15" xfId="5876"/>
    <cellStyle name="40% - Accent1 2 2" xfId="228"/>
    <cellStyle name="40% - Accent1 2 2 10" xfId="3814"/>
    <cellStyle name="40% - Accent1 2 2 10 2" xfId="16427"/>
    <cellStyle name="40% - Accent1 2 2 10 2 2" xfId="27570"/>
    <cellStyle name="40% - Accent1 2 2 10 3" xfId="22001"/>
    <cellStyle name="40% - Accent1 2 2 10 4" xfId="7965"/>
    <cellStyle name="40% - Accent1 2 2 11" xfId="10473"/>
    <cellStyle name="40% - Accent1 2 2 11 2" xfId="14358"/>
    <cellStyle name="40% - Accent1 2 2 11 2 2" xfId="25501"/>
    <cellStyle name="40% - Accent1 2 2 11 3" xfId="19932"/>
    <cellStyle name="40% - Accent1 2 2 12" xfId="12927"/>
    <cellStyle name="40% - Accent1 2 2 12 2" xfId="24071"/>
    <cellStyle name="40% - Accent1 2 2 13" xfId="18502"/>
    <cellStyle name="40% - Accent1 2 2 14" xfId="5895"/>
    <cellStyle name="40% - Accent1 2 2 2" xfId="266"/>
    <cellStyle name="40% - Accent1 2 2 2 10" xfId="10587"/>
    <cellStyle name="40% - Accent1 2 2 2 10 2" xfId="14396"/>
    <cellStyle name="40% - Accent1 2 2 2 10 2 2" xfId="25539"/>
    <cellStyle name="40% - Accent1 2 2 2 10 3" xfId="19970"/>
    <cellStyle name="40% - Accent1 2 2 2 11" xfId="12965"/>
    <cellStyle name="40% - Accent1 2 2 2 11 2" xfId="24109"/>
    <cellStyle name="40% - Accent1 2 2 2 12" xfId="18540"/>
    <cellStyle name="40% - Accent1 2 2 2 13" xfId="5933"/>
    <cellStyle name="40% - Accent1 2 2 2 2" xfId="342"/>
    <cellStyle name="40% - Accent1 2 2 2 2 10" xfId="13041"/>
    <cellStyle name="40% - Accent1 2 2 2 2 10 2" xfId="24185"/>
    <cellStyle name="40% - Accent1 2 2 2 2 11" xfId="18616"/>
    <cellStyle name="40% - Accent1 2 2 2 2 12" xfId="6009"/>
    <cellStyle name="40% - Accent1 2 2 2 2 2" xfId="2300"/>
    <cellStyle name="40% - Accent1 2 2 2 2 2 2" xfId="2944"/>
    <cellStyle name="40% - Accent1 2 2 2 2 2 2 2" xfId="5053"/>
    <cellStyle name="40% - Accent1 2 2 2 2 2 2 2 2" xfId="17666"/>
    <cellStyle name="40% - Accent1 2 2 2 2 2 2 2 2 2" xfId="28809"/>
    <cellStyle name="40% - Accent1 2 2 2 2 2 2 2 3" xfId="23240"/>
    <cellStyle name="40% - Accent1 2 2 2 2 2 2 2 4" xfId="9204"/>
    <cellStyle name="40% - Accent1 2 2 2 2 2 2 3" xfId="10716"/>
    <cellStyle name="40% - Accent1 2 2 2 2 2 2 3 2" xfId="15597"/>
    <cellStyle name="40% - Accent1 2 2 2 2 2 2 3 2 2" xfId="26740"/>
    <cellStyle name="40% - Accent1 2 2 2 2 2 2 3 3" xfId="21171"/>
    <cellStyle name="40% - Accent1 2 2 2 2 2 2 4" xfId="14167"/>
    <cellStyle name="40% - Accent1 2 2 2 2 2 2 4 2" xfId="25310"/>
    <cellStyle name="40% - Accent1 2 2 2 2 2 2 5" xfId="19741"/>
    <cellStyle name="40% - Accent1 2 2 2 2 2 2 6" xfId="7135"/>
    <cellStyle name="40% - Accent1 2 2 2 2 2 3" xfId="3582"/>
    <cellStyle name="40% - Accent1 2 2 2 2 2 3 2" xfId="5691"/>
    <cellStyle name="40% - Accent1 2 2 2 2 2 3 2 2" xfId="18304"/>
    <cellStyle name="40% - Accent1 2 2 2 2 2 3 2 2 2" xfId="29447"/>
    <cellStyle name="40% - Accent1 2 2 2 2 2 3 2 3" xfId="23878"/>
    <cellStyle name="40% - Accent1 2 2 2 2 2 3 2 4" xfId="9842"/>
    <cellStyle name="40% - Accent1 2 2 2 2 2 3 3" xfId="16235"/>
    <cellStyle name="40% - Accent1 2 2 2 2 2 3 3 2" xfId="27378"/>
    <cellStyle name="40% - Accent1 2 2 2 2 2 3 4" xfId="21809"/>
    <cellStyle name="40% - Accent1 2 2 2 2 2 3 5" xfId="7773"/>
    <cellStyle name="40% - Accent1 2 2 2 2 2 4" xfId="4261"/>
    <cellStyle name="40% - Accent1 2 2 2 2 2 4 2" xfId="16874"/>
    <cellStyle name="40% - Accent1 2 2 2 2 2 4 2 2" xfId="28017"/>
    <cellStyle name="40% - Accent1 2 2 2 2 2 4 3" xfId="22448"/>
    <cellStyle name="40% - Accent1 2 2 2 2 2 4 4" xfId="8412"/>
    <cellStyle name="40% - Accent1 2 2 2 2 2 5" xfId="11227"/>
    <cellStyle name="40% - Accent1 2 2 2 2 2 5 2" xfId="14958"/>
    <cellStyle name="40% - Accent1 2 2 2 2 2 5 2 2" xfId="26101"/>
    <cellStyle name="40% - Accent1 2 2 2 2 2 5 3" xfId="20532"/>
    <cellStyle name="40% - Accent1 2 2 2 2 2 6" xfId="13528"/>
    <cellStyle name="40% - Accent1 2 2 2 2 2 6 2" xfId="24671"/>
    <cellStyle name="40% - Accent1 2 2 2 2 2 7" xfId="19102"/>
    <cellStyle name="40% - Accent1 2 2 2 2 2 8" xfId="6496"/>
    <cellStyle name="40% - Accent1 2 2 2 2 3" xfId="2108"/>
    <cellStyle name="40% - Accent1 2 2 2 2 3 2" xfId="2763"/>
    <cellStyle name="40% - Accent1 2 2 2 2 3 2 2" xfId="4872"/>
    <cellStyle name="40% - Accent1 2 2 2 2 3 2 2 2" xfId="17485"/>
    <cellStyle name="40% - Accent1 2 2 2 2 3 2 2 2 2" xfId="28628"/>
    <cellStyle name="40% - Accent1 2 2 2 2 3 2 2 3" xfId="23059"/>
    <cellStyle name="40% - Accent1 2 2 2 2 3 2 2 4" xfId="9023"/>
    <cellStyle name="40% - Accent1 2 2 2 2 3 2 3" xfId="11097"/>
    <cellStyle name="40% - Accent1 2 2 2 2 3 2 3 2" xfId="15416"/>
    <cellStyle name="40% - Accent1 2 2 2 2 3 2 3 2 2" xfId="26559"/>
    <cellStyle name="40% - Accent1 2 2 2 2 3 2 3 3" xfId="20990"/>
    <cellStyle name="40% - Accent1 2 2 2 2 3 2 4" xfId="13986"/>
    <cellStyle name="40% - Accent1 2 2 2 2 3 2 4 2" xfId="25129"/>
    <cellStyle name="40% - Accent1 2 2 2 2 3 2 5" xfId="19560"/>
    <cellStyle name="40% - Accent1 2 2 2 2 3 2 6" xfId="6954"/>
    <cellStyle name="40% - Accent1 2 2 2 2 3 3" xfId="3401"/>
    <cellStyle name="40% - Accent1 2 2 2 2 3 3 2" xfId="5510"/>
    <cellStyle name="40% - Accent1 2 2 2 2 3 3 2 2" xfId="18123"/>
    <cellStyle name="40% - Accent1 2 2 2 2 3 3 2 2 2" xfId="29266"/>
    <cellStyle name="40% - Accent1 2 2 2 2 3 3 2 3" xfId="23697"/>
    <cellStyle name="40% - Accent1 2 2 2 2 3 3 2 4" xfId="9661"/>
    <cellStyle name="40% - Accent1 2 2 2 2 3 3 3" xfId="16054"/>
    <cellStyle name="40% - Accent1 2 2 2 2 3 3 3 2" xfId="27197"/>
    <cellStyle name="40% - Accent1 2 2 2 2 3 3 4" xfId="21628"/>
    <cellStyle name="40% - Accent1 2 2 2 2 3 3 5" xfId="7592"/>
    <cellStyle name="40% - Accent1 2 2 2 2 3 4" xfId="4080"/>
    <cellStyle name="40% - Accent1 2 2 2 2 3 4 2" xfId="16693"/>
    <cellStyle name="40% - Accent1 2 2 2 2 3 4 2 2" xfId="27836"/>
    <cellStyle name="40% - Accent1 2 2 2 2 3 4 3" xfId="22267"/>
    <cellStyle name="40% - Accent1 2 2 2 2 3 4 4" xfId="8231"/>
    <cellStyle name="40% - Accent1 2 2 2 2 3 5" xfId="10514"/>
    <cellStyle name="40% - Accent1 2 2 2 2 3 5 2" xfId="14777"/>
    <cellStyle name="40% - Accent1 2 2 2 2 3 5 2 2" xfId="25920"/>
    <cellStyle name="40% - Accent1 2 2 2 2 3 5 3" xfId="20351"/>
    <cellStyle name="40% - Accent1 2 2 2 2 3 6" xfId="13347"/>
    <cellStyle name="40% - Accent1 2 2 2 2 3 6 2" xfId="24490"/>
    <cellStyle name="40% - Accent1 2 2 2 2 3 7" xfId="18921"/>
    <cellStyle name="40% - Accent1 2 2 2 2 3 8" xfId="6315"/>
    <cellStyle name="40% - Accent1 2 2 2 2 4" xfId="2455"/>
    <cellStyle name="40% - Accent1 2 2 2 2 4 2" xfId="3096"/>
    <cellStyle name="40% - Accent1 2 2 2 2 4 2 2" xfId="5205"/>
    <cellStyle name="40% - Accent1 2 2 2 2 4 2 2 2" xfId="17818"/>
    <cellStyle name="40% - Accent1 2 2 2 2 4 2 2 2 2" xfId="28961"/>
    <cellStyle name="40% - Accent1 2 2 2 2 4 2 2 3" xfId="23392"/>
    <cellStyle name="40% - Accent1 2 2 2 2 4 2 2 4" xfId="9356"/>
    <cellStyle name="40% - Accent1 2 2 2 2 4 2 3" xfId="10457"/>
    <cellStyle name="40% - Accent1 2 2 2 2 4 2 3 2" xfId="15749"/>
    <cellStyle name="40% - Accent1 2 2 2 2 4 2 3 2 2" xfId="26892"/>
    <cellStyle name="40% - Accent1 2 2 2 2 4 2 3 3" xfId="21323"/>
    <cellStyle name="40% - Accent1 2 2 2 2 4 2 4" xfId="14319"/>
    <cellStyle name="40% - Accent1 2 2 2 2 4 2 4 2" xfId="25462"/>
    <cellStyle name="40% - Accent1 2 2 2 2 4 2 5" xfId="19893"/>
    <cellStyle name="40% - Accent1 2 2 2 2 4 2 6" xfId="7287"/>
    <cellStyle name="40% - Accent1 2 2 2 2 4 3" xfId="3734"/>
    <cellStyle name="40% - Accent1 2 2 2 2 4 3 2" xfId="5843"/>
    <cellStyle name="40% - Accent1 2 2 2 2 4 3 2 2" xfId="18456"/>
    <cellStyle name="40% - Accent1 2 2 2 2 4 3 2 2 2" xfId="29599"/>
    <cellStyle name="40% - Accent1 2 2 2 2 4 3 2 3" xfId="24030"/>
    <cellStyle name="40% - Accent1 2 2 2 2 4 3 2 4" xfId="9994"/>
    <cellStyle name="40% - Accent1 2 2 2 2 4 3 3" xfId="16387"/>
    <cellStyle name="40% - Accent1 2 2 2 2 4 3 3 2" xfId="27530"/>
    <cellStyle name="40% - Accent1 2 2 2 2 4 3 4" xfId="21961"/>
    <cellStyle name="40% - Accent1 2 2 2 2 4 3 5" xfId="7925"/>
    <cellStyle name="40% - Accent1 2 2 2 2 4 4" xfId="4413"/>
    <cellStyle name="40% - Accent1 2 2 2 2 4 4 2" xfId="17026"/>
    <cellStyle name="40% - Accent1 2 2 2 2 4 4 2 2" xfId="28169"/>
    <cellStyle name="40% - Accent1 2 2 2 2 4 4 3" xfId="22600"/>
    <cellStyle name="40% - Accent1 2 2 2 2 4 4 4" xfId="8564"/>
    <cellStyle name="40% - Accent1 2 2 2 2 4 5" xfId="11377"/>
    <cellStyle name="40% - Accent1 2 2 2 2 4 5 2" xfId="15110"/>
    <cellStyle name="40% - Accent1 2 2 2 2 4 5 2 2" xfId="26253"/>
    <cellStyle name="40% - Accent1 2 2 2 2 4 5 3" xfId="20684"/>
    <cellStyle name="40% - Accent1 2 2 2 2 4 6" xfId="13680"/>
    <cellStyle name="40% - Accent1 2 2 2 2 4 6 2" xfId="24823"/>
    <cellStyle name="40% - Accent1 2 2 2 2 4 7" xfId="19254"/>
    <cellStyle name="40% - Accent1 2 2 2 2 4 8" xfId="6648"/>
    <cellStyle name="40% - Accent1 2 2 2 2 5" xfId="1918"/>
    <cellStyle name="40% - Accent1 2 2 2 2 5 2" xfId="4566"/>
    <cellStyle name="40% - Accent1 2 2 2 2 5 2 2" xfId="17179"/>
    <cellStyle name="40% - Accent1 2 2 2 2 5 2 2 2" xfId="28322"/>
    <cellStyle name="40% - Accent1 2 2 2 2 5 2 3" xfId="22753"/>
    <cellStyle name="40% - Accent1 2 2 2 2 5 2 4" xfId="8717"/>
    <cellStyle name="40% - Accent1 2 2 2 2 5 3" xfId="10652"/>
    <cellStyle name="40% - Accent1 2 2 2 2 5 3 2" xfId="14625"/>
    <cellStyle name="40% - Accent1 2 2 2 2 5 3 2 2" xfId="25768"/>
    <cellStyle name="40% - Accent1 2 2 2 2 5 3 3" xfId="20199"/>
    <cellStyle name="40% - Accent1 2 2 2 2 5 4" xfId="13195"/>
    <cellStyle name="40% - Accent1 2 2 2 2 5 4 2" xfId="24338"/>
    <cellStyle name="40% - Accent1 2 2 2 2 5 5" xfId="18769"/>
    <cellStyle name="40% - Accent1 2 2 2 2 5 6" xfId="6163"/>
    <cellStyle name="40% - Accent1 2 2 2 2 6" xfId="2611"/>
    <cellStyle name="40% - Accent1 2 2 2 2 6 2" xfId="4720"/>
    <cellStyle name="40% - Accent1 2 2 2 2 6 2 2" xfId="17333"/>
    <cellStyle name="40% - Accent1 2 2 2 2 6 2 2 2" xfId="28476"/>
    <cellStyle name="40% - Accent1 2 2 2 2 6 2 3" xfId="22907"/>
    <cellStyle name="40% - Accent1 2 2 2 2 6 2 4" xfId="8871"/>
    <cellStyle name="40% - Accent1 2 2 2 2 6 3" xfId="10655"/>
    <cellStyle name="40% - Accent1 2 2 2 2 6 3 2" xfId="15264"/>
    <cellStyle name="40% - Accent1 2 2 2 2 6 3 2 2" xfId="26407"/>
    <cellStyle name="40% - Accent1 2 2 2 2 6 3 3" xfId="20838"/>
    <cellStyle name="40% - Accent1 2 2 2 2 6 4" xfId="13834"/>
    <cellStyle name="40% - Accent1 2 2 2 2 6 4 2" xfId="24977"/>
    <cellStyle name="40% - Accent1 2 2 2 2 6 5" xfId="19408"/>
    <cellStyle name="40% - Accent1 2 2 2 2 6 6" xfId="6802"/>
    <cellStyle name="40% - Accent1 2 2 2 2 7" xfId="3249"/>
    <cellStyle name="40% - Accent1 2 2 2 2 7 2" xfId="5358"/>
    <cellStyle name="40% - Accent1 2 2 2 2 7 2 2" xfId="17971"/>
    <cellStyle name="40% - Accent1 2 2 2 2 7 2 2 2" xfId="29114"/>
    <cellStyle name="40% - Accent1 2 2 2 2 7 2 3" xfId="23545"/>
    <cellStyle name="40% - Accent1 2 2 2 2 7 2 4" xfId="9509"/>
    <cellStyle name="40% - Accent1 2 2 2 2 7 3" xfId="15902"/>
    <cellStyle name="40% - Accent1 2 2 2 2 7 3 2" xfId="27045"/>
    <cellStyle name="40% - Accent1 2 2 2 2 7 4" xfId="21476"/>
    <cellStyle name="40% - Accent1 2 2 2 2 7 5" xfId="7440"/>
    <cellStyle name="40% - Accent1 2 2 2 2 8" xfId="3928"/>
    <cellStyle name="40% - Accent1 2 2 2 2 8 2" xfId="16541"/>
    <cellStyle name="40% - Accent1 2 2 2 2 8 2 2" xfId="27684"/>
    <cellStyle name="40% - Accent1 2 2 2 2 8 3" xfId="22115"/>
    <cellStyle name="40% - Accent1 2 2 2 2 8 4" xfId="8079"/>
    <cellStyle name="40% - Accent1 2 2 2 2 9" xfId="10635"/>
    <cellStyle name="40% - Accent1 2 2 2 2 9 2" xfId="14472"/>
    <cellStyle name="40% - Accent1 2 2 2 2 9 2 2" xfId="25615"/>
    <cellStyle name="40% - Accent1 2 2 2 2 9 3" xfId="20046"/>
    <cellStyle name="40% - Accent1 2 2 2 3" xfId="2224"/>
    <cellStyle name="40% - Accent1 2 2 2 3 2" xfId="2868"/>
    <cellStyle name="40% - Accent1 2 2 2 3 2 2" xfId="4977"/>
    <cellStyle name="40% - Accent1 2 2 2 3 2 2 2" xfId="17590"/>
    <cellStyle name="40% - Accent1 2 2 2 3 2 2 2 2" xfId="28733"/>
    <cellStyle name="40% - Accent1 2 2 2 3 2 2 3" xfId="23164"/>
    <cellStyle name="40% - Accent1 2 2 2 3 2 2 4" xfId="9128"/>
    <cellStyle name="40% - Accent1 2 2 2 3 2 3" xfId="10896"/>
    <cellStyle name="40% - Accent1 2 2 2 3 2 3 2" xfId="15521"/>
    <cellStyle name="40% - Accent1 2 2 2 3 2 3 2 2" xfId="26664"/>
    <cellStyle name="40% - Accent1 2 2 2 3 2 3 3" xfId="21095"/>
    <cellStyle name="40% - Accent1 2 2 2 3 2 4" xfId="14091"/>
    <cellStyle name="40% - Accent1 2 2 2 3 2 4 2" xfId="25234"/>
    <cellStyle name="40% - Accent1 2 2 2 3 2 5" xfId="19665"/>
    <cellStyle name="40% - Accent1 2 2 2 3 2 6" xfId="7059"/>
    <cellStyle name="40% - Accent1 2 2 2 3 3" xfId="3506"/>
    <cellStyle name="40% - Accent1 2 2 2 3 3 2" xfId="5615"/>
    <cellStyle name="40% - Accent1 2 2 2 3 3 2 2" xfId="18228"/>
    <cellStyle name="40% - Accent1 2 2 2 3 3 2 2 2" xfId="29371"/>
    <cellStyle name="40% - Accent1 2 2 2 3 3 2 3" xfId="23802"/>
    <cellStyle name="40% - Accent1 2 2 2 3 3 2 4" xfId="9766"/>
    <cellStyle name="40% - Accent1 2 2 2 3 3 3" xfId="16159"/>
    <cellStyle name="40% - Accent1 2 2 2 3 3 3 2" xfId="27302"/>
    <cellStyle name="40% - Accent1 2 2 2 3 3 4" xfId="21733"/>
    <cellStyle name="40% - Accent1 2 2 2 3 3 5" xfId="7697"/>
    <cellStyle name="40% - Accent1 2 2 2 3 4" xfId="4185"/>
    <cellStyle name="40% - Accent1 2 2 2 3 4 2" xfId="16798"/>
    <cellStyle name="40% - Accent1 2 2 2 3 4 2 2" xfId="27941"/>
    <cellStyle name="40% - Accent1 2 2 2 3 4 3" xfId="22372"/>
    <cellStyle name="40% - Accent1 2 2 2 3 4 4" xfId="8336"/>
    <cellStyle name="40% - Accent1 2 2 2 3 5" xfId="10799"/>
    <cellStyle name="40% - Accent1 2 2 2 3 5 2" xfId="14882"/>
    <cellStyle name="40% - Accent1 2 2 2 3 5 2 2" xfId="26025"/>
    <cellStyle name="40% - Accent1 2 2 2 3 5 3" xfId="20456"/>
    <cellStyle name="40% - Accent1 2 2 2 3 6" xfId="13452"/>
    <cellStyle name="40% - Accent1 2 2 2 3 6 2" xfId="24595"/>
    <cellStyle name="40% - Accent1 2 2 2 3 7" xfId="19026"/>
    <cellStyle name="40% - Accent1 2 2 2 3 8" xfId="6420"/>
    <cellStyle name="40% - Accent1 2 2 2 4" xfId="2032"/>
    <cellStyle name="40% - Accent1 2 2 2 4 2" xfId="2687"/>
    <cellStyle name="40% - Accent1 2 2 2 4 2 2" xfId="4796"/>
    <cellStyle name="40% - Accent1 2 2 2 4 2 2 2" xfId="17409"/>
    <cellStyle name="40% - Accent1 2 2 2 4 2 2 2 2" xfId="28552"/>
    <cellStyle name="40% - Accent1 2 2 2 4 2 2 3" xfId="22983"/>
    <cellStyle name="40% - Accent1 2 2 2 4 2 2 4" xfId="8947"/>
    <cellStyle name="40% - Accent1 2 2 2 4 2 3" xfId="11158"/>
    <cellStyle name="40% - Accent1 2 2 2 4 2 3 2" xfId="15340"/>
    <cellStyle name="40% - Accent1 2 2 2 4 2 3 2 2" xfId="26483"/>
    <cellStyle name="40% - Accent1 2 2 2 4 2 3 3" xfId="20914"/>
    <cellStyle name="40% - Accent1 2 2 2 4 2 4" xfId="13910"/>
    <cellStyle name="40% - Accent1 2 2 2 4 2 4 2" xfId="25053"/>
    <cellStyle name="40% - Accent1 2 2 2 4 2 5" xfId="19484"/>
    <cellStyle name="40% - Accent1 2 2 2 4 2 6" xfId="6878"/>
    <cellStyle name="40% - Accent1 2 2 2 4 3" xfId="3325"/>
    <cellStyle name="40% - Accent1 2 2 2 4 3 2" xfId="5434"/>
    <cellStyle name="40% - Accent1 2 2 2 4 3 2 2" xfId="18047"/>
    <cellStyle name="40% - Accent1 2 2 2 4 3 2 2 2" xfId="29190"/>
    <cellStyle name="40% - Accent1 2 2 2 4 3 2 3" xfId="23621"/>
    <cellStyle name="40% - Accent1 2 2 2 4 3 2 4" xfId="9585"/>
    <cellStyle name="40% - Accent1 2 2 2 4 3 3" xfId="15978"/>
    <cellStyle name="40% - Accent1 2 2 2 4 3 3 2" xfId="27121"/>
    <cellStyle name="40% - Accent1 2 2 2 4 3 4" xfId="21552"/>
    <cellStyle name="40% - Accent1 2 2 2 4 3 5" xfId="7516"/>
    <cellStyle name="40% - Accent1 2 2 2 4 4" xfId="4004"/>
    <cellStyle name="40% - Accent1 2 2 2 4 4 2" xfId="16617"/>
    <cellStyle name="40% - Accent1 2 2 2 4 4 2 2" xfId="27760"/>
    <cellStyle name="40% - Accent1 2 2 2 4 4 3" xfId="22191"/>
    <cellStyle name="40% - Accent1 2 2 2 4 4 4" xfId="8155"/>
    <cellStyle name="40% - Accent1 2 2 2 4 5" xfId="10539"/>
    <cellStyle name="40% - Accent1 2 2 2 4 5 2" xfId="14701"/>
    <cellStyle name="40% - Accent1 2 2 2 4 5 2 2" xfId="25844"/>
    <cellStyle name="40% - Accent1 2 2 2 4 5 3" xfId="20275"/>
    <cellStyle name="40% - Accent1 2 2 2 4 6" xfId="13271"/>
    <cellStyle name="40% - Accent1 2 2 2 4 6 2" xfId="24414"/>
    <cellStyle name="40% - Accent1 2 2 2 4 7" xfId="18845"/>
    <cellStyle name="40% - Accent1 2 2 2 4 8" xfId="6239"/>
    <cellStyle name="40% - Accent1 2 2 2 5" xfId="2379"/>
    <cellStyle name="40% - Accent1 2 2 2 5 2" xfId="3020"/>
    <cellStyle name="40% - Accent1 2 2 2 5 2 2" xfId="5129"/>
    <cellStyle name="40% - Accent1 2 2 2 5 2 2 2" xfId="17742"/>
    <cellStyle name="40% - Accent1 2 2 2 5 2 2 2 2" xfId="28885"/>
    <cellStyle name="40% - Accent1 2 2 2 5 2 2 3" xfId="23316"/>
    <cellStyle name="40% - Accent1 2 2 2 5 2 2 4" xfId="9280"/>
    <cellStyle name="40% - Accent1 2 2 2 5 2 3" xfId="10624"/>
    <cellStyle name="40% - Accent1 2 2 2 5 2 3 2" xfId="15673"/>
    <cellStyle name="40% - Accent1 2 2 2 5 2 3 2 2" xfId="26816"/>
    <cellStyle name="40% - Accent1 2 2 2 5 2 3 3" xfId="21247"/>
    <cellStyle name="40% - Accent1 2 2 2 5 2 4" xfId="14243"/>
    <cellStyle name="40% - Accent1 2 2 2 5 2 4 2" xfId="25386"/>
    <cellStyle name="40% - Accent1 2 2 2 5 2 5" xfId="19817"/>
    <cellStyle name="40% - Accent1 2 2 2 5 2 6" xfId="7211"/>
    <cellStyle name="40% - Accent1 2 2 2 5 3" xfId="3658"/>
    <cellStyle name="40% - Accent1 2 2 2 5 3 2" xfId="5767"/>
    <cellStyle name="40% - Accent1 2 2 2 5 3 2 2" xfId="18380"/>
    <cellStyle name="40% - Accent1 2 2 2 5 3 2 2 2" xfId="29523"/>
    <cellStyle name="40% - Accent1 2 2 2 5 3 2 3" xfId="23954"/>
    <cellStyle name="40% - Accent1 2 2 2 5 3 2 4" xfId="9918"/>
    <cellStyle name="40% - Accent1 2 2 2 5 3 3" xfId="16311"/>
    <cellStyle name="40% - Accent1 2 2 2 5 3 3 2" xfId="27454"/>
    <cellStyle name="40% - Accent1 2 2 2 5 3 4" xfId="21885"/>
    <cellStyle name="40% - Accent1 2 2 2 5 3 5" xfId="7849"/>
    <cellStyle name="40% - Accent1 2 2 2 5 4" xfId="4337"/>
    <cellStyle name="40% - Accent1 2 2 2 5 4 2" xfId="16950"/>
    <cellStyle name="40% - Accent1 2 2 2 5 4 2 2" xfId="28093"/>
    <cellStyle name="40% - Accent1 2 2 2 5 4 3" xfId="22524"/>
    <cellStyle name="40% - Accent1 2 2 2 5 4 4" xfId="8488"/>
    <cellStyle name="40% - Accent1 2 2 2 5 5" xfId="10982"/>
    <cellStyle name="40% - Accent1 2 2 2 5 5 2" xfId="15034"/>
    <cellStyle name="40% - Accent1 2 2 2 5 5 2 2" xfId="26177"/>
    <cellStyle name="40% - Accent1 2 2 2 5 5 3" xfId="20608"/>
    <cellStyle name="40% - Accent1 2 2 2 5 6" xfId="13604"/>
    <cellStyle name="40% - Accent1 2 2 2 5 6 2" xfId="24747"/>
    <cellStyle name="40% - Accent1 2 2 2 5 7" xfId="19178"/>
    <cellStyle name="40% - Accent1 2 2 2 5 8" xfId="6572"/>
    <cellStyle name="40% - Accent1 2 2 2 6" xfId="1842"/>
    <cellStyle name="40% - Accent1 2 2 2 6 2" xfId="4490"/>
    <cellStyle name="40% - Accent1 2 2 2 6 2 2" xfId="17103"/>
    <cellStyle name="40% - Accent1 2 2 2 6 2 2 2" xfId="28246"/>
    <cellStyle name="40% - Accent1 2 2 2 6 2 3" xfId="22677"/>
    <cellStyle name="40% - Accent1 2 2 2 6 2 4" xfId="8641"/>
    <cellStyle name="40% - Accent1 2 2 2 6 3" xfId="10295"/>
    <cellStyle name="40% - Accent1 2 2 2 6 3 2" xfId="14549"/>
    <cellStyle name="40% - Accent1 2 2 2 6 3 2 2" xfId="25692"/>
    <cellStyle name="40% - Accent1 2 2 2 6 3 3" xfId="20123"/>
    <cellStyle name="40% - Accent1 2 2 2 6 4" xfId="13119"/>
    <cellStyle name="40% - Accent1 2 2 2 6 4 2" xfId="24262"/>
    <cellStyle name="40% - Accent1 2 2 2 6 5" xfId="18693"/>
    <cellStyle name="40% - Accent1 2 2 2 6 6" xfId="6087"/>
    <cellStyle name="40% - Accent1 2 2 2 7" xfId="2535"/>
    <cellStyle name="40% - Accent1 2 2 2 7 2" xfId="4644"/>
    <cellStyle name="40% - Accent1 2 2 2 7 2 2" xfId="17257"/>
    <cellStyle name="40% - Accent1 2 2 2 7 2 2 2" xfId="28400"/>
    <cellStyle name="40% - Accent1 2 2 2 7 2 3" xfId="22831"/>
    <cellStyle name="40% - Accent1 2 2 2 7 2 4" xfId="8795"/>
    <cellStyle name="40% - Accent1 2 2 2 7 3" xfId="11262"/>
    <cellStyle name="40% - Accent1 2 2 2 7 3 2" xfId="15188"/>
    <cellStyle name="40% - Accent1 2 2 2 7 3 2 2" xfId="26331"/>
    <cellStyle name="40% - Accent1 2 2 2 7 3 3" xfId="20762"/>
    <cellStyle name="40% - Accent1 2 2 2 7 4" xfId="13758"/>
    <cellStyle name="40% - Accent1 2 2 2 7 4 2" xfId="24901"/>
    <cellStyle name="40% - Accent1 2 2 2 7 5" xfId="19332"/>
    <cellStyle name="40% - Accent1 2 2 2 7 6" xfId="6726"/>
    <cellStyle name="40% - Accent1 2 2 2 8" xfId="3173"/>
    <cellStyle name="40% - Accent1 2 2 2 8 2" xfId="5282"/>
    <cellStyle name="40% - Accent1 2 2 2 8 2 2" xfId="17895"/>
    <cellStyle name="40% - Accent1 2 2 2 8 2 2 2" xfId="29038"/>
    <cellStyle name="40% - Accent1 2 2 2 8 2 3" xfId="23469"/>
    <cellStyle name="40% - Accent1 2 2 2 8 2 4" xfId="9433"/>
    <cellStyle name="40% - Accent1 2 2 2 8 3" xfId="15826"/>
    <cellStyle name="40% - Accent1 2 2 2 8 3 2" xfId="26969"/>
    <cellStyle name="40% - Accent1 2 2 2 8 4" xfId="21400"/>
    <cellStyle name="40% - Accent1 2 2 2 8 5" xfId="7364"/>
    <cellStyle name="40% - Accent1 2 2 2 9" xfId="3852"/>
    <cellStyle name="40% - Accent1 2 2 2 9 2" xfId="16465"/>
    <cellStyle name="40% - Accent1 2 2 2 9 2 2" xfId="27608"/>
    <cellStyle name="40% - Accent1 2 2 2 9 3" xfId="22039"/>
    <cellStyle name="40% - Accent1 2 2 2 9 4" xfId="8003"/>
    <cellStyle name="40% - Accent1 2 2 3" xfId="304"/>
    <cellStyle name="40% - Accent1 2 2 3 10" xfId="13003"/>
    <cellStyle name="40% - Accent1 2 2 3 10 2" xfId="24147"/>
    <cellStyle name="40% - Accent1 2 2 3 11" xfId="18578"/>
    <cellStyle name="40% - Accent1 2 2 3 12" xfId="5971"/>
    <cellStyle name="40% - Accent1 2 2 3 2" xfId="2262"/>
    <cellStyle name="40% - Accent1 2 2 3 2 2" xfId="2906"/>
    <cellStyle name="40% - Accent1 2 2 3 2 2 2" xfId="5015"/>
    <cellStyle name="40% - Accent1 2 2 3 2 2 2 2" xfId="17628"/>
    <cellStyle name="40% - Accent1 2 2 3 2 2 2 2 2" xfId="28771"/>
    <cellStyle name="40% - Accent1 2 2 3 2 2 2 3" xfId="23202"/>
    <cellStyle name="40% - Accent1 2 2 3 2 2 2 4" xfId="9166"/>
    <cellStyle name="40% - Accent1 2 2 3 2 2 3" xfId="10737"/>
    <cellStyle name="40% - Accent1 2 2 3 2 2 3 2" xfId="15559"/>
    <cellStyle name="40% - Accent1 2 2 3 2 2 3 2 2" xfId="26702"/>
    <cellStyle name="40% - Accent1 2 2 3 2 2 3 3" xfId="21133"/>
    <cellStyle name="40% - Accent1 2 2 3 2 2 4" xfId="14129"/>
    <cellStyle name="40% - Accent1 2 2 3 2 2 4 2" xfId="25272"/>
    <cellStyle name="40% - Accent1 2 2 3 2 2 5" xfId="19703"/>
    <cellStyle name="40% - Accent1 2 2 3 2 2 6" xfId="7097"/>
    <cellStyle name="40% - Accent1 2 2 3 2 3" xfId="3544"/>
    <cellStyle name="40% - Accent1 2 2 3 2 3 2" xfId="5653"/>
    <cellStyle name="40% - Accent1 2 2 3 2 3 2 2" xfId="18266"/>
    <cellStyle name="40% - Accent1 2 2 3 2 3 2 2 2" xfId="29409"/>
    <cellStyle name="40% - Accent1 2 2 3 2 3 2 3" xfId="23840"/>
    <cellStyle name="40% - Accent1 2 2 3 2 3 2 4" xfId="9804"/>
    <cellStyle name="40% - Accent1 2 2 3 2 3 3" xfId="16197"/>
    <cellStyle name="40% - Accent1 2 2 3 2 3 3 2" xfId="27340"/>
    <cellStyle name="40% - Accent1 2 2 3 2 3 4" xfId="21771"/>
    <cellStyle name="40% - Accent1 2 2 3 2 3 5" xfId="7735"/>
    <cellStyle name="40% - Accent1 2 2 3 2 4" xfId="4223"/>
    <cellStyle name="40% - Accent1 2 2 3 2 4 2" xfId="16836"/>
    <cellStyle name="40% - Accent1 2 2 3 2 4 2 2" xfId="27979"/>
    <cellStyle name="40% - Accent1 2 2 3 2 4 3" xfId="22410"/>
    <cellStyle name="40% - Accent1 2 2 3 2 4 4" xfId="8374"/>
    <cellStyle name="40% - Accent1 2 2 3 2 5" xfId="11437"/>
    <cellStyle name="40% - Accent1 2 2 3 2 5 2" xfId="14920"/>
    <cellStyle name="40% - Accent1 2 2 3 2 5 2 2" xfId="26063"/>
    <cellStyle name="40% - Accent1 2 2 3 2 5 3" xfId="20494"/>
    <cellStyle name="40% - Accent1 2 2 3 2 6" xfId="13490"/>
    <cellStyle name="40% - Accent1 2 2 3 2 6 2" xfId="24633"/>
    <cellStyle name="40% - Accent1 2 2 3 2 7" xfId="19064"/>
    <cellStyle name="40% - Accent1 2 2 3 2 8" xfId="6458"/>
    <cellStyle name="40% - Accent1 2 2 3 3" xfId="2070"/>
    <cellStyle name="40% - Accent1 2 2 3 3 2" xfId="2725"/>
    <cellStyle name="40% - Accent1 2 2 3 3 2 2" xfId="4834"/>
    <cellStyle name="40% - Accent1 2 2 3 3 2 2 2" xfId="17447"/>
    <cellStyle name="40% - Accent1 2 2 3 3 2 2 2 2" xfId="28590"/>
    <cellStyle name="40% - Accent1 2 2 3 3 2 2 3" xfId="23021"/>
    <cellStyle name="40% - Accent1 2 2 3 3 2 2 4" xfId="8985"/>
    <cellStyle name="40% - Accent1 2 2 3 3 2 3" xfId="10358"/>
    <cellStyle name="40% - Accent1 2 2 3 3 2 3 2" xfId="15378"/>
    <cellStyle name="40% - Accent1 2 2 3 3 2 3 2 2" xfId="26521"/>
    <cellStyle name="40% - Accent1 2 2 3 3 2 3 3" xfId="20952"/>
    <cellStyle name="40% - Accent1 2 2 3 3 2 4" xfId="13948"/>
    <cellStyle name="40% - Accent1 2 2 3 3 2 4 2" xfId="25091"/>
    <cellStyle name="40% - Accent1 2 2 3 3 2 5" xfId="19522"/>
    <cellStyle name="40% - Accent1 2 2 3 3 2 6" xfId="6916"/>
    <cellStyle name="40% - Accent1 2 2 3 3 3" xfId="3363"/>
    <cellStyle name="40% - Accent1 2 2 3 3 3 2" xfId="5472"/>
    <cellStyle name="40% - Accent1 2 2 3 3 3 2 2" xfId="18085"/>
    <cellStyle name="40% - Accent1 2 2 3 3 3 2 2 2" xfId="29228"/>
    <cellStyle name="40% - Accent1 2 2 3 3 3 2 3" xfId="23659"/>
    <cellStyle name="40% - Accent1 2 2 3 3 3 2 4" xfId="9623"/>
    <cellStyle name="40% - Accent1 2 2 3 3 3 3" xfId="16016"/>
    <cellStyle name="40% - Accent1 2 2 3 3 3 3 2" xfId="27159"/>
    <cellStyle name="40% - Accent1 2 2 3 3 3 4" xfId="21590"/>
    <cellStyle name="40% - Accent1 2 2 3 3 3 5" xfId="7554"/>
    <cellStyle name="40% - Accent1 2 2 3 3 4" xfId="4042"/>
    <cellStyle name="40% - Accent1 2 2 3 3 4 2" xfId="16655"/>
    <cellStyle name="40% - Accent1 2 2 3 3 4 2 2" xfId="27798"/>
    <cellStyle name="40% - Accent1 2 2 3 3 4 3" xfId="22229"/>
    <cellStyle name="40% - Accent1 2 2 3 3 4 4" xfId="8193"/>
    <cellStyle name="40% - Accent1 2 2 3 3 5" xfId="11010"/>
    <cellStyle name="40% - Accent1 2 2 3 3 5 2" xfId="14739"/>
    <cellStyle name="40% - Accent1 2 2 3 3 5 2 2" xfId="25882"/>
    <cellStyle name="40% - Accent1 2 2 3 3 5 3" xfId="20313"/>
    <cellStyle name="40% - Accent1 2 2 3 3 6" xfId="13309"/>
    <cellStyle name="40% - Accent1 2 2 3 3 6 2" xfId="24452"/>
    <cellStyle name="40% - Accent1 2 2 3 3 7" xfId="18883"/>
    <cellStyle name="40% - Accent1 2 2 3 3 8" xfId="6277"/>
    <cellStyle name="40% - Accent1 2 2 3 4" xfId="2417"/>
    <cellStyle name="40% - Accent1 2 2 3 4 2" xfId="3058"/>
    <cellStyle name="40% - Accent1 2 2 3 4 2 2" xfId="5167"/>
    <cellStyle name="40% - Accent1 2 2 3 4 2 2 2" xfId="17780"/>
    <cellStyle name="40% - Accent1 2 2 3 4 2 2 2 2" xfId="28923"/>
    <cellStyle name="40% - Accent1 2 2 3 4 2 2 3" xfId="23354"/>
    <cellStyle name="40% - Accent1 2 2 3 4 2 2 4" xfId="9318"/>
    <cellStyle name="40% - Accent1 2 2 3 4 2 3" xfId="11084"/>
    <cellStyle name="40% - Accent1 2 2 3 4 2 3 2" xfId="15711"/>
    <cellStyle name="40% - Accent1 2 2 3 4 2 3 2 2" xfId="26854"/>
    <cellStyle name="40% - Accent1 2 2 3 4 2 3 3" xfId="21285"/>
    <cellStyle name="40% - Accent1 2 2 3 4 2 4" xfId="14281"/>
    <cellStyle name="40% - Accent1 2 2 3 4 2 4 2" xfId="25424"/>
    <cellStyle name="40% - Accent1 2 2 3 4 2 5" xfId="19855"/>
    <cellStyle name="40% - Accent1 2 2 3 4 2 6" xfId="7249"/>
    <cellStyle name="40% - Accent1 2 2 3 4 3" xfId="3696"/>
    <cellStyle name="40% - Accent1 2 2 3 4 3 2" xfId="5805"/>
    <cellStyle name="40% - Accent1 2 2 3 4 3 2 2" xfId="18418"/>
    <cellStyle name="40% - Accent1 2 2 3 4 3 2 2 2" xfId="29561"/>
    <cellStyle name="40% - Accent1 2 2 3 4 3 2 3" xfId="23992"/>
    <cellStyle name="40% - Accent1 2 2 3 4 3 2 4" xfId="9956"/>
    <cellStyle name="40% - Accent1 2 2 3 4 3 3" xfId="16349"/>
    <cellStyle name="40% - Accent1 2 2 3 4 3 3 2" xfId="27492"/>
    <cellStyle name="40% - Accent1 2 2 3 4 3 4" xfId="21923"/>
    <cellStyle name="40% - Accent1 2 2 3 4 3 5" xfId="7887"/>
    <cellStyle name="40% - Accent1 2 2 3 4 4" xfId="4375"/>
    <cellStyle name="40% - Accent1 2 2 3 4 4 2" xfId="16988"/>
    <cellStyle name="40% - Accent1 2 2 3 4 4 2 2" xfId="28131"/>
    <cellStyle name="40% - Accent1 2 2 3 4 4 3" xfId="22562"/>
    <cellStyle name="40% - Accent1 2 2 3 4 4 4" xfId="8526"/>
    <cellStyle name="40% - Accent1 2 2 3 4 5" xfId="10285"/>
    <cellStyle name="40% - Accent1 2 2 3 4 5 2" xfId="15072"/>
    <cellStyle name="40% - Accent1 2 2 3 4 5 2 2" xfId="26215"/>
    <cellStyle name="40% - Accent1 2 2 3 4 5 3" xfId="20646"/>
    <cellStyle name="40% - Accent1 2 2 3 4 6" xfId="13642"/>
    <cellStyle name="40% - Accent1 2 2 3 4 6 2" xfId="24785"/>
    <cellStyle name="40% - Accent1 2 2 3 4 7" xfId="19216"/>
    <cellStyle name="40% - Accent1 2 2 3 4 8" xfId="6610"/>
    <cellStyle name="40% - Accent1 2 2 3 5" xfId="1880"/>
    <cellStyle name="40% - Accent1 2 2 3 5 2" xfId="4528"/>
    <cellStyle name="40% - Accent1 2 2 3 5 2 2" xfId="17141"/>
    <cellStyle name="40% - Accent1 2 2 3 5 2 2 2" xfId="28284"/>
    <cellStyle name="40% - Accent1 2 2 3 5 2 3" xfId="22715"/>
    <cellStyle name="40% - Accent1 2 2 3 5 2 4" xfId="8679"/>
    <cellStyle name="40% - Accent1 2 2 3 5 3" xfId="11154"/>
    <cellStyle name="40% - Accent1 2 2 3 5 3 2" xfId="14587"/>
    <cellStyle name="40% - Accent1 2 2 3 5 3 2 2" xfId="25730"/>
    <cellStyle name="40% - Accent1 2 2 3 5 3 3" xfId="20161"/>
    <cellStyle name="40% - Accent1 2 2 3 5 4" xfId="13157"/>
    <cellStyle name="40% - Accent1 2 2 3 5 4 2" xfId="24300"/>
    <cellStyle name="40% - Accent1 2 2 3 5 5" xfId="18731"/>
    <cellStyle name="40% - Accent1 2 2 3 5 6" xfId="6125"/>
    <cellStyle name="40% - Accent1 2 2 3 6" xfId="2573"/>
    <cellStyle name="40% - Accent1 2 2 3 6 2" xfId="4682"/>
    <cellStyle name="40% - Accent1 2 2 3 6 2 2" xfId="17295"/>
    <cellStyle name="40% - Accent1 2 2 3 6 2 2 2" xfId="28438"/>
    <cellStyle name="40% - Accent1 2 2 3 6 2 3" xfId="22869"/>
    <cellStyle name="40% - Accent1 2 2 3 6 2 4" xfId="8833"/>
    <cellStyle name="40% - Accent1 2 2 3 6 3" xfId="10502"/>
    <cellStyle name="40% - Accent1 2 2 3 6 3 2" xfId="15226"/>
    <cellStyle name="40% - Accent1 2 2 3 6 3 2 2" xfId="26369"/>
    <cellStyle name="40% - Accent1 2 2 3 6 3 3" xfId="20800"/>
    <cellStyle name="40% - Accent1 2 2 3 6 4" xfId="13796"/>
    <cellStyle name="40% - Accent1 2 2 3 6 4 2" xfId="24939"/>
    <cellStyle name="40% - Accent1 2 2 3 6 5" xfId="19370"/>
    <cellStyle name="40% - Accent1 2 2 3 6 6" xfId="6764"/>
    <cellStyle name="40% - Accent1 2 2 3 7" xfId="3211"/>
    <cellStyle name="40% - Accent1 2 2 3 7 2" xfId="5320"/>
    <cellStyle name="40% - Accent1 2 2 3 7 2 2" xfId="17933"/>
    <cellStyle name="40% - Accent1 2 2 3 7 2 2 2" xfId="29076"/>
    <cellStyle name="40% - Accent1 2 2 3 7 2 3" xfId="23507"/>
    <cellStyle name="40% - Accent1 2 2 3 7 2 4" xfId="9471"/>
    <cellStyle name="40% - Accent1 2 2 3 7 3" xfId="15864"/>
    <cellStyle name="40% - Accent1 2 2 3 7 3 2" xfId="27007"/>
    <cellStyle name="40% - Accent1 2 2 3 7 4" xfId="21438"/>
    <cellStyle name="40% - Accent1 2 2 3 7 5" xfId="7402"/>
    <cellStyle name="40% - Accent1 2 2 3 8" xfId="3890"/>
    <cellStyle name="40% - Accent1 2 2 3 8 2" xfId="16503"/>
    <cellStyle name="40% - Accent1 2 2 3 8 2 2" xfId="27646"/>
    <cellStyle name="40% - Accent1 2 2 3 8 3" xfId="22077"/>
    <cellStyle name="40% - Accent1 2 2 3 8 4" xfId="8041"/>
    <cellStyle name="40% - Accent1 2 2 3 9" xfId="10238"/>
    <cellStyle name="40% - Accent1 2 2 3 9 2" xfId="14434"/>
    <cellStyle name="40% - Accent1 2 2 3 9 2 2" xfId="25577"/>
    <cellStyle name="40% - Accent1 2 2 3 9 3" xfId="20008"/>
    <cellStyle name="40% - Accent1 2 2 4" xfId="2186"/>
    <cellStyle name="40% - Accent1 2 2 4 2" xfId="2830"/>
    <cellStyle name="40% - Accent1 2 2 4 2 2" xfId="4939"/>
    <cellStyle name="40% - Accent1 2 2 4 2 2 2" xfId="17552"/>
    <cellStyle name="40% - Accent1 2 2 4 2 2 2 2" xfId="28695"/>
    <cellStyle name="40% - Accent1 2 2 4 2 2 3" xfId="23126"/>
    <cellStyle name="40% - Accent1 2 2 4 2 2 4" xfId="9090"/>
    <cellStyle name="40% - Accent1 2 2 4 2 3" xfId="10086"/>
    <cellStyle name="40% - Accent1 2 2 4 2 3 2" xfId="15483"/>
    <cellStyle name="40% - Accent1 2 2 4 2 3 2 2" xfId="26626"/>
    <cellStyle name="40% - Accent1 2 2 4 2 3 3" xfId="21057"/>
    <cellStyle name="40% - Accent1 2 2 4 2 4" xfId="14053"/>
    <cellStyle name="40% - Accent1 2 2 4 2 4 2" xfId="25196"/>
    <cellStyle name="40% - Accent1 2 2 4 2 5" xfId="19627"/>
    <cellStyle name="40% - Accent1 2 2 4 2 6" xfId="7021"/>
    <cellStyle name="40% - Accent1 2 2 4 3" xfId="3468"/>
    <cellStyle name="40% - Accent1 2 2 4 3 2" xfId="5577"/>
    <cellStyle name="40% - Accent1 2 2 4 3 2 2" xfId="18190"/>
    <cellStyle name="40% - Accent1 2 2 4 3 2 2 2" xfId="29333"/>
    <cellStyle name="40% - Accent1 2 2 4 3 2 3" xfId="23764"/>
    <cellStyle name="40% - Accent1 2 2 4 3 2 4" xfId="9728"/>
    <cellStyle name="40% - Accent1 2 2 4 3 3" xfId="16121"/>
    <cellStyle name="40% - Accent1 2 2 4 3 3 2" xfId="27264"/>
    <cellStyle name="40% - Accent1 2 2 4 3 4" xfId="21695"/>
    <cellStyle name="40% - Accent1 2 2 4 3 5" xfId="7659"/>
    <cellStyle name="40% - Accent1 2 2 4 4" xfId="4147"/>
    <cellStyle name="40% - Accent1 2 2 4 4 2" xfId="16760"/>
    <cellStyle name="40% - Accent1 2 2 4 4 2 2" xfId="27903"/>
    <cellStyle name="40% - Accent1 2 2 4 4 3" xfId="22334"/>
    <cellStyle name="40% - Accent1 2 2 4 4 4" xfId="8298"/>
    <cellStyle name="40% - Accent1 2 2 4 5" xfId="10471"/>
    <cellStyle name="40% - Accent1 2 2 4 5 2" xfId="14844"/>
    <cellStyle name="40% - Accent1 2 2 4 5 2 2" xfId="25987"/>
    <cellStyle name="40% - Accent1 2 2 4 5 3" xfId="20418"/>
    <cellStyle name="40% - Accent1 2 2 4 6" xfId="13414"/>
    <cellStyle name="40% - Accent1 2 2 4 6 2" xfId="24557"/>
    <cellStyle name="40% - Accent1 2 2 4 7" xfId="18988"/>
    <cellStyle name="40% - Accent1 2 2 4 8" xfId="6382"/>
    <cellStyle name="40% - Accent1 2 2 5" xfId="1994"/>
    <cellStyle name="40% - Accent1 2 2 5 2" xfId="2649"/>
    <cellStyle name="40% - Accent1 2 2 5 2 2" xfId="4758"/>
    <cellStyle name="40% - Accent1 2 2 5 2 2 2" xfId="17371"/>
    <cellStyle name="40% - Accent1 2 2 5 2 2 2 2" xfId="28514"/>
    <cellStyle name="40% - Accent1 2 2 5 2 2 3" xfId="22945"/>
    <cellStyle name="40% - Accent1 2 2 5 2 2 4" xfId="8909"/>
    <cellStyle name="40% - Accent1 2 2 5 2 3" xfId="11044"/>
    <cellStyle name="40% - Accent1 2 2 5 2 3 2" xfId="15302"/>
    <cellStyle name="40% - Accent1 2 2 5 2 3 2 2" xfId="26445"/>
    <cellStyle name="40% - Accent1 2 2 5 2 3 3" xfId="20876"/>
    <cellStyle name="40% - Accent1 2 2 5 2 4" xfId="13872"/>
    <cellStyle name="40% - Accent1 2 2 5 2 4 2" xfId="25015"/>
    <cellStyle name="40% - Accent1 2 2 5 2 5" xfId="19446"/>
    <cellStyle name="40% - Accent1 2 2 5 2 6" xfId="6840"/>
    <cellStyle name="40% - Accent1 2 2 5 3" xfId="3287"/>
    <cellStyle name="40% - Accent1 2 2 5 3 2" xfId="5396"/>
    <cellStyle name="40% - Accent1 2 2 5 3 2 2" xfId="18009"/>
    <cellStyle name="40% - Accent1 2 2 5 3 2 2 2" xfId="29152"/>
    <cellStyle name="40% - Accent1 2 2 5 3 2 3" xfId="23583"/>
    <cellStyle name="40% - Accent1 2 2 5 3 2 4" xfId="9547"/>
    <cellStyle name="40% - Accent1 2 2 5 3 3" xfId="15940"/>
    <cellStyle name="40% - Accent1 2 2 5 3 3 2" xfId="27083"/>
    <cellStyle name="40% - Accent1 2 2 5 3 4" xfId="21514"/>
    <cellStyle name="40% - Accent1 2 2 5 3 5" xfId="7478"/>
    <cellStyle name="40% - Accent1 2 2 5 4" xfId="3966"/>
    <cellStyle name="40% - Accent1 2 2 5 4 2" xfId="16579"/>
    <cellStyle name="40% - Accent1 2 2 5 4 2 2" xfId="27722"/>
    <cellStyle name="40% - Accent1 2 2 5 4 3" xfId="22153"/>
    <cellStyle name="40% - Accent1 2 2 5 4 4" xfId="8117"/>
    <cellStyle name="40% - Accent1 2 2 5 5" xfId="10390"/>
    <cellStyle name="40% - Accent1 2 2 5 5 2" xfId="14663"/>
    <cellStyle name="40% - Accent1 2 2 5 5 2 2" xfId="25806"/>
    <cellStyle name="40% - Accent1 2 2 5 5 3" xfId="20237"/>
    <cellStyle name="40% - Accent1 2 2 5 6" xfId="13233"/>
    <cellStyle name="40% - Accent1 2 2 5 6 2" xfId="24376"/>
    <cellStyle name="40% - Accent1 2 2 5 7" xfId="18807"/>
    <cellStyle name="40% - Accent1 2 2 5 8" xfId="6201"/>
    <cellStyle name="40% - Accent1 2 2 6" xfId="2341"/>
    <cellStyle name="40% - Accent1 2 2 6 2" xfId="2982"/>
    <cellStyle name="40% - Accent1 2 2 6 2 2" xfId="5091"/>
    <cellStyle name="40% - Accent1 2 2 6 2 2 2" xfId="17704"/>
    <cellStyle name="40% - Accent1 2 2 6 2 2 2 2" xfId="28847"/>
    <cellStyle name="40% - Accent1 2 2 6 2 2 3" xfId="23278"/>
    <cellStyle name="40% - Accent1 2 2 6 2 2 4" xfId="9242"/>
    <cellStyle name="40% - Accent1 2 2 6 2 3" xfId="10929"/>
    <cellStyle name="40% - Accent1 2 2 6 2 3 2" xfId="15635"/>
    <cellStyle name="40% - Accent1 2 2 6 2 3 2 2" xfId="26778"/>
    <cellStyle name="40% - Accent1 2 2 6 2 3 3" xfId="21209"/>
    <cellStyle name="40% - Accent1 2 2 6 2 4" xfId="14205"/>
    <cellStyle name="40% - Accent1 2 2 6 2 4 2" xfId="25348"/>
    <cellStyle name="40% - Accent1 2 2 6 2 5" xfId="19779"/>
    <cellStyle name="40% - Accent1 2 2 6 2 6" xfId="7173"/>
    <cellStyle name="40% - Accent1 2 2 6 3" xfId="3620"/>
    <cellStyle name="40% - Accent1 2 2 6 3 2" xfId="5729"/>
    <cellStyle name="40% - Accent1 2 2 6 3 2 2" xfId="18342"/>
    <cellStyle name="40% - Accent1 2 2 6 3 2 2 2" xfId="29485"/>
    <cellStyle name="40% - Accent1 2 2 6 3 2 3" xfId="23916"/>
    <cellStyle name="40% - Accent1 2 2 6 3 2 4" xfId="9880"/>
    <cellStyle name="40% - Accent1 2 2 6 3 3" xfId="16273"/>
    <cellStyle name="40% - Accent1 2 2 6 3 3 2" xfId="27416"/>
    <cellStyle name="40% - Accent1 2 2 6 3 4" xfId="21847"/>
    <cellStyle name="40% - Accent1 2 2 6 3 5" xfId="7811"/>
    <cellStyle name="40% - Accent1 2 2 6 4" xfId="4299"/>
    <cellStyle name="40% - Accent1 2 2 6 4 2" xfId="16912"/>
    <cellStyle name="40% - Accent1 2 2 6 4 2 2" xfId="28055"/>
    <cellStyle name="40% - Accent1 2 2 6 4 3" xfId="22486"/>
    <cellStyle name="40% - Accent1 2 2 6 4 4" xfId="8450"/>
    <cellStyle name="40% - Accent1 2 2 6 5" xfId="10827"/>
    <cellStyle name="40% - Accent1 2 2 6 5 2" xfId="14996"/>
    <cellStyle name="40% - Accent1 2 2 6 5 2 2" xfId="26139"/>
    <cellStyle name="40% - Accent1 2 2 6 5 3" xfId="20570"/>
    <cellStyle name="40% - Accent1 2 2 6 6" xfId="13566"/>
    <cellStyle name="40% - Accent1 2 2 6 6 2" xfId="24709"/>
    <cellStyle name="40% - Accent1 2 2 6 7" xfId="19140"/>
    <cellStyle name="40% - Accent1 2 2 6 8" xfId="6534"/>
    <cellStyle name="40% - Accent1 2 2 7" xfId="1804"/>
    <cellStyle name="40% - Accent1 2 2 7 2" xfId="4452"/>
    <cellStyle name="40% - Accent1 2 2 7 2 2" xfId="17065"/>
    <cellStyle name="40% - Accent1 2 2 7 2 2 2" xfId="28208"/>
    <cellStyle name="40% - Accent1 2 2 7 2 3" xfId="22639"/>
    <cellStyle name="40% - Accent1 2 2 7 2 4" xfId="8603"/>
    <cellStyle name="40% - Accent1 2 2 7 3" xfId="10050"/>
    <cellStyle name="40% - Accent1 2 2 7 3 2" xfId="14511"/>
    <cellStyle name="40% - Accent1 2 2 7 3 2 2" xfId="25654"/>
    <cellStyle name="40% - Accent1 2 2 7 3 3" xfId="20085"/>
    <cellStyle name="40% - Accent1 2 2 7 4" xfId="13081"/>
    <cellStyle name="40% - Accent1 2 2 7 4 2" xfId="24224"/>
    <cellStyle name="40% - Accent1 2 2 7 5" xfId="18655"/>
    <cellStyle name="40% - Accent1 2 2 7 6" xfId="6049"/>
    <cellStyle name="40% - Accent1 2 2 8" xfId="2497"/>
    <cellStyle name="40% - Accent1 2 2 8 2" xfId="4606"/>
    <cellStyle name="40% - Accent1 2 2 8 2 2" xfId="17219"/>
    <cellStyle name="40% - Accent1 2 2 8 2 2 2" xfId="28362"/>
    <cellStyle name="40% - Accent1 2 2 8 2 3" xfId="22793"/>
    <cellStyle name="40% - Accent1 2 2 8 2 4" xfId="8757"/>
    <cellStyle name="40% - Accent1 2 2 8 3" xfId="11308"/>
    <cellStyle name="40% - Accent1 2 2 8 3 2" xfId="15150"/>
    <cellStyle name="40% - Accent1 2 2 8 3 2 2" xfId="26293"/>
    <cellStyle name="40% - Accent1 2 2 8 3 3" xfId="20724"/>
    <cellStyle name="40% - Accent1 2 2 8 4" xfId="13720"/>
    <cellStyle name="40% - Accent1 2 2 8 4 2" xfId="24863"/>
    <cellStyle name="40% - Accent1 2 2 8 5" xfId="19294"/>
    <cellStyle name="40% - Accent1 2 2 8 6" xfId="6688"/>
    <cellStyle name="40% - Accent1 2 2 9" xfId="3135"/>
    <cellStyle name="40% - Accent1 2 2 9 2" xfId="5244"/>
    <cellStyle name="40% - Accent1 2 2 9 2 2" xfId="17857"/>
    <cellStyle name="40% - Accent1 2 2 9 2 2 2" xfId="29000"/>
    <cellStyle name="40% - Accent1 2 2 9 2 3" xfId="23431"/>
    <cellStyle name="40% - Accent1 2 2 9 2 4" xfId="9395"/>
    <cellStyle name="40% - Accent1 2 2 9 3" xfId="15788"/>
    <cellStyle name="40% - Accent1 2 2 9 3 2" xfId="26931"/>
    <cellStyle name="40% - Accent1 2 2 9 4" xfId="21362"/>
    <cellStyle name="40% - Accent1 2 2 9 5" xfId="7326"/>
    <cellStyle name="40% - Accent1 2 3" xfId="247"/>
    <cellStyle name="40% - Accent1 2 3 10" xfId="11354"/>
    <cellStyle name="40% - Accent1 2 3 10 2" xfId="14377"/>
    <cellStyle name="40% - Accent1 2 3 10 2 2" xfId="25520"/>
    <cellStyle name="40% - Accent1 2 3 10 3" xfId="19951"/>
    <cellStyle name="40% - Accent1 2 3 11" xfId="12946"/>
    <cellStyle name="40% - Accent1 2 3 11 2" xfId="24090"/>
    <cellStyle name="40% - Accent1 2 3 12" xfId="18521"/>
    <cellStyle name="40% - Accent1 2 3 13" xfId="5914"/>
    <cellStyle name="40% - Accent1 2 3 2" xfId="323"/>
    <cellStyle name="40% - Accent1 2 3 2 10" xfId="13022"/>
    <cellStyle name="40% - Accent1 2 3 2 10 2" xfId="24166"/>
    <cellStyle name="40% - Accent1 2 3 2 11" xfId="18597"/>
    <cellStyle name="40% - Accent1 2 3 2 12" xfId="5990"/>
    <cellStyle name="40% - Accent1 2 3 2 2" xfId="2281"/>
    <cellStyle name="40% - Accent1 2 3 2 2 2" xfId="2925"/>
    <cellStyle name="40% - Accent1 2 3 2 2 2 2" xfId="5034"/>
    <cellStyle name="40% - Accent1 2 3 2 2 2 2 2" xfId="17647"/>
    <cellStyle name="40% - Accent1 2 3 2 2 2 2 2 2" xfId="28790"/>
    <cellStyle name="40% - Accent1 2 3 2 2 2 2 3" xfId="23221"/>
    <cellStyle name="40% - Accent1 2 3 2 2 2 2 4" xfId="9185"/>
    <cellStyle name="40% - Accent1 2 3 2 2 2 3" xfId="10276"/>
    <cellStyle name="40% - Accent1 2 3 2 2 2 3 2" xfId="15578"/>
    <cellStyle name="40% - Accent1 2 3 2 2 2 3 2 2" xfId="26721"/>
    <cellStyle name="40% - Accent1 2 3 2 2 2 3 3" xfId="21152"/>
    <cellStyle name="40% - Accent1 2 3 2 2 2 4" xfId="14148"/>
    <cellStyle name="40% - Accent1 2 3 2 2 2 4 2" xfId="25291"/>
    <cellStyle name="40% - Accent1 2 3 2 2 2 5" xfId="19722"/>
    <cellStyle name="40% - Accent1 2 3 2 2 2 6" xfId="7116"/>
    <cellStyle name="40% - Accent1 2 3 2 2 3" xfId="3563"/>
    <cellStyle name="40% - Accent1 2 3 2 2 3 2" xfId="5672"/>
    <cellStyle name="40% - Accent1 2 3 2 2 3 2 2" xfId="18285"/>
    <cellStyle name="40% - Accent1 2 3 2 2 3 2 2 2" xfId="29428"/>
    <cellStyle name="40% - Accent1 2 3 2 2 3 2 3" xfId="23859"/>
    <cellStyle name="40% - Accent1 2 3 2 2 3 2 4" xfId="9823"/>
    <cellStyle name="40% - Accent1 2 3 2 2 3 3" xfId="16216"/>
    <cellStyle name="40% - Accent1 2 3 2 2 3 3 2" xfId="27359"/>
    <cellStyle name="40% - Accent1 2 3 2 2 3 4" xfId="21790"/>
    <cellStyle name="40% - Accent1 2 3 2 2 3 5" xfId="7754"/>
    <cellStyle name="40% - Accent1 2 3 2 2 4" xfId="4242"/>
    <cellStyle name="40% - Accent1 2 3 2 2 4 2" xfId="16855"/>
    <cellStyle name="40% - Accent1 2 3 2 2 4 2 2" xfId="27998"/>
    <cellStyle name="40% - Accent1 2 3 2 2 4 3" xfId="22429"/>
    <cellStyle name="40% - Accent1 2 3 2 2 4 4" xfId="8393"/>
    <cellStyle name="40% - Accent1 2 3 2 2 5" xfId="10142"/>
    <cellStyle name="40% - Accent1 2 3 2 2 5 2" xfId="14939"/>
    <cellStyle name="40% - Accent1 2 3 2 2 5 2 2" xfId="26082"/>
    <cellStyle name="40% - Accent1 2 3 2 2 5 3" xfId="20513"/>
    <cellStyle name="40% - Accent1 2 3 2 2 6" xfId="13509"/>
    <cellStyle name="40% - Accent1 2 3 2 2 6 2" xfId="24652"/>
    <cellStyle name="40% - Accent1 2 3 2 2 7" xfId="19083"/>
    <cellStyle name="40% - Accent1 2 3 2 2 8" xfId="6477"/>
    <cellStyle name="40% - Accent1 2 3 2 3" xfId="2089"/>
    <cellStyle name="40% - Accent1 2 3 2 3 2" xfId="2744"/>
    <cellStyle name="40% - Accent1 2 3 2 3 2 2" xfId="4853"/>
    <cellStyle name="40% - Accent1 2 3 2 3 2 2 2" xfId="17466"/>
    <cellStyle name="40% - Accent1 2 3 2 3 2 2 2 2" xfId="28609"/>
    <cellStyle name="40% - Accent1 2 3 2 3 2 2 3" xfId="23040"/>
    <cellStyle name="40% - Accent1 2 3 2 3 2 2 4" xfId="9004"/>
    <cellStyle name="40% - Accent1 2 3 2 3 2 3" xfId="10711"/>
    <cellStyle name="40% - Accent1 2 3 2 3 2 3 2" xfId="15397"/>
    <cellStyle name="40% - Accent1 2 3 2 3 2 3 2 2" xfId="26540"/>
    <cellStyle name="40% - Accent1 2 3 2 3 2 3 3" xfId="20971"/>
    <cellStyle name="40% - Accent1 2 3 2 3 2 4" xfId="13967"/>
    <cellStyle name="40% - Accent1 2 3 2 3 2 4 2" xfId="25110"/>
    <cellStyle name="40% - Accent1 2 3 2 3 2 5" xfId="19541"/>
    <cellStyle name="40% - Accent1 2 3 2 3 2 6" xfId="6935"/>
    <cellStyle name="40% - Accent1 2 3 2 3 3" xfId="3382"/>
    <cellStyle name="40% - Accent1 2 3 2 3 3 2" xfId="5491"/>
    <cellStyle name="40% - Accent1 2 3 2 3 3 2 2" xfId="18104"/>
    <cellStyle name="40% - Accent1 2 3 2 3 3 2 2 2" xfId="29247"/>
    <cellStyle name="40% - Accent1 2 3 2 3 3 2 3" xfId="23678"/>
    <cellStyle name="40% - Accent1 2 3 2 3 3 2 4" xfId="9642"/>
    <cellStyle name="40% - Accent1 2 3 2 3 3 3" xfId="16035"/>
    <cellStyle name="40% - Accent1 2 3 2 3 3 3 2" xfId="27178"/>
    <cellStyle name="40% - Accent1 2 3 2 3 3 4" xfId="21609"/>
    <cellStyle name="40% - Accent1 2 3 2 3 3 5" xfId="7573"/>
    <cellStyle name="40% - Accent1 2 3 2 3 4" xfId="4061"/>
    <cellStyle name="40% - Accent1 2 3 2 3 4 2" xfId="16674"/>
    <cellStyle name="40% - Accent1 2 3 2 3 4 2 2" xfId="27817"/>
    <cellStyle name="40% - Accent1 2 3 2 3 4 3" xfId="22248"/>
    <cellStyle name="40% - Accent1 2 3 2 3 4 4" xfId="8212"/>
    <cellStyle name="40% - Accent1 2 3 2 3 5" xfId="10360"/>
    <cellStyle name="40% - Accent1 2 3 2 3 5 2" xfId="14758"/>
    <cellStyle name="40% - Accent1 2 3 2 3 5 2 2" xfId="25901"/>
    <cellStyle name="40% - Accent1 2 3 2 3 5 3" xfId="20332"/>
    <cellStyle name="40% - Accent1 2 3 2 3 6" xfId="13328"/>
    <cellStyle name="40% - Accent1 2 3 2 3 6 2" xfId="24471"/>
    <cellStyle name="40% - Accent1 2 3 2 3 7" xfId="18902"/>
    <cellStyle name="40% - Accent1 2 3 2 3 8" xfId="6296"/>
    <cellStyle name="40% - Accent1 2 3 2 4" xfId="2436"/>
    <cellStyle name="40% - Accent1 2 3 2 4 2" xfId="3077"/>
    <cellStyle name="40% - Accent1 2 3 2 4 2 2" xfId="5186"/>
    <cellStyle name="40% - Accent1 2 3 2 4 2 2 2" xfId="17799"/>
    <cellStyle name="40% - Accent1 2 3 2 4 2 2 2 2" xfId="28942"/>
    <cellStyle name="40% - Accent1 2 3 2 4 2 2 3" xfId="23373"/>
    <cellStyle name="40% - Accent1 2 3 2 4 2 2 4" xfId="9337"/>
    <cellStyle name="40% - Accent1 2 3 2 4 2 3" xfId="10202"/>
    <cellStyle name="40% - Accent1 2 3 2 4 2 3 2" xfId="15730"/>
    <cellStyle name="40% - Accent1 2 3 2 4 2 3 2 2" xfId="26873"/>
    <cellStyle name="40% - Accent1 2 3 2 4 2 3 3" xfId="21304"/>
    <cellStyle name="40% - Accent1 2 3 2 4 2 4" xfId="14300"/>
    <cellStyle name="40% - Accent1 2 3 2 4 2 4 2" xfId="25443"/>
    <cellStyle name="40% - Accent1 2 3 2 4 2 5" xfId="19874"/>
    <cellStyle name="40% - Accent1 2 3 2 4 2 6" xfId="7268"/>
    <cellStyle name="40% - Accent1 2 3 2 4 3" xfId="3715"/>
    <cellStyle name="40% - Accent1 2 3 2 4 3 2" xfId="5824"/>
    <cellStyle name="40% - Accent1 2 3 2 4 3 2 2" xfId="18437"/>
    <cellStyle name="40% - Accent1 2 3 2 4 3 2 2 2" xfId="29580"/>
    <cellStyle name="40% - Accent1 2 3 2 4 3 2 3" xfId="24011"/>
    <cellStyle name="40% - Accent1 2 3 2 4 3 2 4" xfId="9975"/>
    <cellStyle name="40% - Accent1 2 3 2 4 3 3" xfId="16368"/>
    <cellStyle name="40% - Accent1 2 3 2 4 3 3 2" xfId="27511"/>
    <cellStyle name="40% - Accent1 2 3 2 4 3 4" xfId="21942"/>
    <cellStyle name="40% - Accent1 2 3 2 4 3 5" xfId="7906"/>
    <cellStyle name="40% - Accent1 2 3 2 4 4" xfId="4394"/>
    <cellStyle name="40% - Accent1 2 3 2 4 4 2" xfId="17007"/>
    <cellStyle name="40% - Accent1 2 3 2 4 4 2 2" xfId="28150"/>
    <cellStyle name="40% - Accent1 2 3 2 4 4 3" xfId="22581"/>
    <cellStyle name="40% - Accent1 2 3 2 4 4 4" xfId="8545"/>
    <cellStyle name="40% - Accent1 2 3 2 4 5" xfId="11127"/>
    <cellStyle name="40% - Accent1 2 3 2 4 5 2" xfId="15091"/>
    <cellStyle name="40% - Accent1 2 3 2 4 5 2 2" xfId="26234"/>
    <cellStyle name="40% - Accent1 2 3 2 4 5 3" xfId="20665"/>
    <cellStyle name="40% - Accent1 2 3 2 4 6" xfId="13661"/>
    <cellStyle name="40% - Accent1 2 3 2 4 6 2" xfId="24804"/>
    <cellStyle name="40% - Accent1 2 3 2 4 7" xfId="19235"/>
    <cellStyle name="40% - Accent1 2 3 2 4 8" xfId="6629"/>
    <cellStyle name="40% - Accent1 2 3 2 5" xfId="1899"/>
    <cellStyle name="40% - Accent1 2 3 2 5 2" xfId="4547"/>
    <cellStyle name="40% - Accent1 2 3 2 5 2 2" xfId="17160"/>
    <cellStyle name="40% - Accent1 2 3 2 5 2 2 2" xfId="28303"/>
    <cellStyle name="40% - Accent1 2 3 2 5 2 3" xfId="22734"/>
    <cellStyle name="40% - Accent1 2 3 2 5 2 4" xfId="8698"/>
    <cellStyle name="40% - Accent1 2 3 2 5 3" xfId="10141"/>
    <cellStyle name="40% - Accent1 2 3 2 5 3 2" xfId="14606"/>
    <cellStyle name="40% - Accent1 2 3 2 5 3 2 2" xfId="25749"/>
    <cellStyle name="40% - Accent1 2 3 2 5 3 3" xfId="20180"/>
    <cellStyle name="40% - Accent1 2 3 2 5 4" xfId="13176"/>
    <cellStyle name="40% - Accent1 2 3 2 5 4 2" xfId="24319"/>
    <cellStyle name="40% - Accent1 2 3 2 5 5" xfId="18750"/>
    <cellStyle name="40% - Accent1 2 3 2 5 6" xfId="6144"/>
    <cellStyle name="40% - Accent1 2 3 2 6" xfId="2592"/>
    <cellStyle name="40% - Accent1 2 3 2 6 2" xfId="4701"/>
    <cellStyle name="40% - Accent1 2 3 2 6 2 2" xfId="17314"/>
    <cellStyle name="40% - Accent1 2 3 2 6 2 2 2" xfId="28457"/>
    <cellStyle name="40% - Accent1 2 3 2 6 2 3" xfId="22888"/>
    <cellStyle name="40% - Accent1 2 3 2 6 2 4" xfId="8852"/>
    <cellStyle name="40% - Accent1 2 3 2 6 3" xfId="10746"/>
    <cellStyle name="40% - Accent1 2 3 2 6 3 2" xfId="15245"/>
    <cellStyle name="40% - Accent1 2 3 2 6 3 2 2" xfId="26388"/>
    <cellStyle name="40% - Accent1 2 3 2 6 3 3" xfId="20819"/>
    <cellStyle name="40% - Accent1 2 3 2 6 4" xfId="13815"/>
    <cellStyle name="40% - Accent1 2 3 2 6 4 2" xfId="24958"/>
    <cellStyle name="40% - Accent1 2 3 2 6 5" xfId="19389"/>
    <cellStyle name="40% - Accent1 2 3 2 6 6" xfId="6783"/>
    <cellStyle name="40% - Accent1 2 3 2 7" xfId="3230"/>
    <cellStyle name="40% - Accent1 2 3 2 7 2" xfId="5339"/>
    <cellStyle name="40% - Accent1 2 3 2 7 2 2" xfId="17952"/>
    <cellStyle name="40% - Accent1 2 3 2 7 2 2 2" xfId="29095"/>
    <cellStyle name="40% - Accent1 2 3 2 7 2 3" xfId="23526"/>
    <cellStyle name="40% - Accent1 2 3 2 7 2 4" xfId="9490"/>
    <cellStyle name="40% - Accent1 2 3 2 7 3" xfId="15883"/>
    <cellStyle name="40% - Accent1 2 3 2 7 3 2" xfId="27026"/>
    <cellStyle name="40% - Accent1 2 3 2 7 4" xfId="21457"/>
    <cellStyle name="40% - Accent1 2 3 2 7 5" xfId="7421"/>
    <cellStyle name="40% - Accent1 2 3 2 8" xfId="3909"/>
    <cellStyle name="40% - Accent1 2 3 2 8 2" xfId="16522"/>
    <cellStyle name="40% - Accent1 2 3 2 8 2 2" xfId="27665"/>
    <cellStyle name="40% - Accent1 2 3 2 8 3" xfId="22096"/>
    <cellStyle name="40% - Accent1 2 3 2 8 4" xfId="8060"/>
    <cellStyle name="40% - Accent1 2 3 2 9" xfId="10717"/>
    <cellStyle name="40% - Accent1 2 3 2 9 2" xfId="14453"/>
    <cellStyle name="40% - Accent1 2 3 2 9 2 2" xfId="25596"/>
    <cellStyle name="40% - Accent1 2 3 2 9 3" xfId="20027"/>
    <cellStyle name="40% - Accent1 2 3 3" xfId="2205"/>
    <cellStyle name="40% - Accent1 2 3 3 2" xfId="2849"/>
    <cellStyle name="40% - Accent1 2 3 3 2 2" xfId="4958"/>
    <cellStyle name="40% - Accent1 2 3 3 2 2 2" xfId="17571"/>
    <cellStyle name="40% - Accent1 2 3 3 2 2 2 2" xfId="28714"/>
    <cellStyle name="40% - Accent1 2 3 3 2 2 3" xfId="23145"/>
    <cellStyle name="40% - Accent1 2 3 3 2 2 4" xfId="9109"/>
    <cellStyle name="40% - Accent1 2 3 3 2 3" xfId="10952"/>
    <cellStyle name="40% - Accent1 2 3 3 2 3 2" xfId="15502"/>
    <cellStyle name="40% - Accent1 2 3 3 2 3 2 2" xfId="26645"/>
    <cellStyle name="40% - Accent1 2 3 3 2 3 3" xfId="21076"/>
    <cellStyle name="40% - Accent1 2 3 3 2 4" xfId="14072"/>
    <cellStyle name="40% - Accent1 2 3 3 2 4 2" xfId="25215"/>
    <cellStyle name="40% - Accent1 2 3 3 2 5" xfId="19646"/>
    <cellStyle name="40% - Accent1 2 3 3 2 6" xfId="7040"/>
    <cellStyle name="40% - Accent1 2 3 3 3" xfId="3487"/>
    <cellStyle name="40% - Accent1 2 3 3 3 2" xfId="5596"/>
    <cellStyle name="40% - Accent1 2 3 3 3 2 2" xfId="18209"/>
    <cellStyle name="40% - Accent1 2 3 3 3 2 2 2" xfId="29352"/>
    <cellStyle name="40% - Accent1 2 3 3 3 2 3" xfId="23783"/>
    <cellStyle name="40% - Accent1 2 3 3 3 2 4" xfId="9747"/>
    <cellStyle name="40% - Accent1 2 3 3 3 3" xfId="16140"/>
    <cellStyle name="40% - Accent1 2 3 3 3 3 2" xfId="27283"/>
    <cellStyle name="40% - Accent1 2 3 3 3 4" xfId="21714"/>
    <cellStyle name="40% - Accent1 2 3 3 3 5" xfId="7678"/>
    <cellStyle name="40% - Accent1 2 3 3 4" xfId="4166"/>
    <cellStyle name="40% - Accent1 2 3 3 4 2" xfId="16779"/>
    <cellStyle name="40% - Accent1 2 3 3 4 2 2" xfId="27922"/>
    <cellStyle name="40% - Accent1 2 3 3 4 3" xfId="22353"/>
    <cellStyle name="40% - Accent1 2 3 3 4 4" xfId="8317"/>
    <cellStyle name="40% - Accent1 2 3 3 5" xfId="10148"/>
    <cellStyle name="40% - Accent1 2 3 3 5 2" xfId="14863"/>
    <cellStyle name="40% - Accent1 2 3 3 5 2 2" xfId="26006"/>
    <cellStyle name="40% - Accent1 2 3 3 5 3" xfId="20437"/>
    <cellStyle name="40% - Accent1 2 3 3 6" xfId="13433"/>
    <cellStyle name="40% - Accent1 2 3 3 6 2" xfId="24576"/>
    <cellStyle name="40% - Accent1 2 3 3 7" xfId="19007"/>
    <cellStyle name="40% - Accent1 2 3 3 8" xfId="6401"/>
    <cellStyle name="40% - Accent1 2 3 4" xfId="2013"/>
    <cellStyle name="40% - Accent1 2 3 4 2" xfId="2668"/>
    <cellStyle name="40% - Accent1 2 3 4 2 2" xfId="4777"/>
    <cellStyle name="40% - Accent1 2 3 4 2 2 2" xfId="17390"/>
    <cellStyle name="40% - Accent1 2 3 4 2 2 2 2" xfId="28533"/>
    <cellStyle name="40% - Accent1 2 3 4 2 2 3" xfId="22964"/>
    <cellStyle name="40% - Accent1 2 3 4 2 2 4" xfId="8928"/>
    <cellStyle name="40% - Accent1 2 3 4 2 3" xfId="10749"/>
    <cellStyle name="40% - Accent1 2 3 4 2 3 2" xfId="15321"/>
    <cellStyle name="40% - Accent1 2 3 4 2 3 2 2" xfId="26464"/>
    <cellStyle name="40% - Accent1 2 3 4 2 3 3" xfId="20895"/>
    <cellStyle name="40% - Accent1 2 3 4 2 4" xfId="13891"/>
    <cellStyle name="40% - Accent1 2 3 4 2 4 2" xfId="25034"/>
    <cellStyle name="40% - Accent1 2 3 4 2 5" xfId="19465"/>
    <cellStyle name="40% - Accent1 2 3 4 2 6" xfId="6859"/>
    <cellStyle name="40% - Accent1 2 3 4 3" xfId="3306"/>
    <cellStyle name="40% - Accent1 2 3 4 3 2" xfId="5415"/>
    <cellStyle name="40% - Accent1 2 3 4 3 2 2" xfId="18028"/>
    <cellStyle name="40% - Accent1 2 3 4 3 2 2 2" xfId="29171"/>
    <cellStyle name="40% - Accent1 2 3 4 3 2 3" xfId="23602"/>
    <cellStyle name="40% - Accent1 2 3 4 3 2 4" xfId="9566"/>
    <cellStyle name="40% - Accent1 2 3 4 3 3" xfId="15959"/>
    <cellStyle name="40% - Accent1 2 3 4 3 3 2" xfId="27102"/>
    <cellStyle name="40% - Accent1 2 3 4 3 4" xfId="21533"/>
    <cellStyle name="40% - Accent1 2 3 4 3 5" xfId="7497"/>
    <cellStyle name="40% - Accent1 2 3 4 4" xfId="3985"/>
    <cellStyle name="40% - Accent1 2 3 4 4 2" xfId="16598"/>
    <cellStyle name="40% - Accent1 2 3 4 4 2 2" xfId="27741"/>
    <cellStyle name="40% - Accent1 2 3 4 4 3" xfId="22172"/>
    <cellStyle name="40% - Accent1 2 3 4 4 4" xfId="8136"/>
    <cellStyle name="40% - Accent1 2 3 4 5" xfId="11422"/>
    <cellStyle name="40% - Accent1 2 3 4 5 2" xfId="14682"/>
    <cellStyle name="40% - Accent1 2 3 4 5 2 2" xfId="25825"/>
    <cellStyle name="40% - Accent1 2 3 4 5 3" xfId="20256"/>
    <cellStyle name="40% - Accent1 2 3 4 6" xfId="13252"/>
    <cellStyle name="40% - Accent1 2 3 4 6 2" xfId="24395"/>
    <cellStyle name="40% - Accent1 2 3 4 7" xfId="18826"/>
    <cellStyle name="40% - Accent1 2 3 4 8" xfId="6220"/>
    <cellStyle name="40% - Accent1 2 3 5" xfId="2360"/>
    <cellStyle name="40% - Accent1 2 3 5 2" xfId="3001"/>
    <cellStyle name="40% - Accent1 2 3 5 2 2" xfId="5110"/>
    <cellStyle name="40% - Accent1 2 3 5 2 2 2" xfId="17723"/>
    <cellStyle name="40% - Accent1 2 3 5 2 2 2 2" xfId="28866"/>
    <cellStyle name="40% - Accent1 2 3 5 2 2 3" xfId="23297"/>
    <cellStyle name="40% - Accent1 2 3 5 2 2 4" xfId="9261"/>
    <cellStyle name="40% - Accent1 2 3 5 2 3" xfId="10629"/>
    <cellStyle name="40% - Accent1 2 3 5 2 3 2" xfId="15654"/>
    <cellStyle name="40% - Accent1 2 3 5 2 3 2 2" xfId="26797"/>
    <cellStyle name="40% - Accent1 2 3 5 2 3 3" xfId="21228"/>
    <cellStyle name="40% - Accent1 2 3 5 2 4" xfId="14224"/>
    <cellStyle name="40% - Accent1 2 3 5 2 4 2" xfId="25367"/>
    <cellStyle name="40% - Accent1 2 3 5 2 5" xfId="19798"/>
    <cellStyle name="40% - Accent1 2 3 5 2 6" xfId="7192"/>
    <cellStyle name="40% - Accent1 2 3 5 3" xfId="3639"/>
    <cellStyle name="40% - Accent1 2 3 5 3 2" xfId="5748"/>
    <cellStyle name="40% - Accent1 2 3 5 3 2 2" xfId="18361"/>
    <cellStyle name="40% - Accent1 2 3 5 3 2 2 2" xfId="29504"/>
    <cellStyle name="40% - Accent1 2 3 5 3 2 3" xfId="23935"/>
    <cellStyle name="40% - Accent1 2 3 5 3 2 4" xfId="9899"/>
    <cellStyle name="40% - Accent1 2 3 5 3 3" xfId="16292"/>
    <cellStyle name="40% - Accent1 2 3 5 3 3 2" xfId="27435"/>
    <cellStyle name="40% - Accent1 2 3 5 3 4" xfId="21866"/>
    <cellStyle name="40% - Accent1 2 3 5 3 5" xfId="7830"/>
    <cellStyle name="40% - Accent1 2 3 5 4" xfId="4318"/>
    <cellStyle name="40% - Accent1 2 3 5 4 2" xfId="16931"/>
    <cellStyle name="40% - Accent1 2 3 5 4 2 2" xfId="28074"/>
    <cellStyle name="40% - Accent1 2 3 5 4 3" xfId="22505"/>
    <cellStyle name="40% - Accent1 2 3 5 4 4" xfId="8469"/>
    <cellStyle name="40% - Accent1 2 3 5 5" xfId="10351"/>
    <cellStyle name="40% - Accent1 2 3 5 5 2" xfId="15015"/>
    <cellStyle name="40% - Accent1 2 3 5 5 2 2" xfId="26158"/>
    <cellStyle name="40% - Accent1 2 3 5 5 3" xfId="20589"/>
    <cellStyle name="40% - Accent1 2 3 5 6" xfId="13585"/>
    <cellStyle name="40% - Accent1 2 3 5 6 2" xfId="24728"/>
    <cellStyle name="40% - Accent1 2 3 5 7" xfId="19159"/>
    <cellStyle name="40% - Accent1 2 3 5 8" xfId="6553"/>
    <cellStyle name="40% - Accent1 2 3 6" xfId="1823"/>
    <cellStyle name="40% - Accent1 2 3 6 2" xfId="4471"/>
    <cellStyle name="40% - Accent1 2 3 6 2 2" xfId="17084"/>
    <cellStyle name="40% - Accent1 2 3 6 2 2 2" xfId="28227"/>
    <cellStyle name="40% - Accent1 2 3 6 2 3" xfId="22658"/>
    <cellStyle name="40% - Accent1 2 3 6 2 4" xfId="8622"/>
    <cellStyle name="40% - Accent1 2 3 6 3" xfId="10367"/>
    <cellStyle name="40% - Accent1 2 3 6 3 2" xfId="14530"/>
    <cellStyle name="40% - Accent1 2 3 6 3 2 2" xfId="25673"/>
    <cellStyle name="40% - Accent1 2 3 6 3 3" xfId="20104"/>
    <cellStyle name="40% - Accent1 2 3 6 4" xfId="13100"/>
    <cellStyle name="40% - Accent1 2 3 6 4 2" xfId="24243"/>
    <cellStyle name="40% - Accent1 2 3 6 5" xfId="18674"/>
    <cellStyle name="40% - Accent1 2 3 6 6" xfId="6068"/>
    <cellStyle name="40% - Accent1 2 3 7" xfId="2516"/>
    <cellStyle name="40% - Accent1 2 3 7 2" xfId="4625"/>
    <cellStyle name="40% - Accent1 2 3 7 2 2" xfId="17238"/>
    <cellStyle name="40% - Accent1 2 3 7 2 2 2" xfId="28381"/>
    <cellStyle name="40% - Accent1 2 3 7 2 3" xfId="22812"/>
    <cellStyle name="40% - Accent1 2 3 7 2 4" xfId="8776"/>
    <cellStyle name="40% - Accent1 2 3 7 3" xfId="11128"/>
    <cellStyle name="40% - Accent1 2 3 7 3 2" xfId="15169"/>
    <cellStyle name="40% - Accent1 2 3 7 3 2 2" xfId="26312"/>
    <cellStyle name="40% - Accent1 2 3 7 3 3" xfId="20743"/>
    <cellStyle name="40% - Accent1 2 3 7 4" xfId="13739"/>
    <cellStyle name="40% - Accent1 2 3 7 4 2" xfId="24882"/>
    <cellStyle name="40% - Accent1 2 3 7 5" xfId="19313"/>
    <cellStyle name="40% - Accent1 2 3 7 6" xfId="6707"/>
    <cellStyle name="40% - Accent1 2 3 8" xfId="3154"/>
    <cellStyle name="40% - Accent1 2 3 8 2" xfId="5263"/>
    <cellStyle name="40% - Accent1 2 3 8 2 2" xfId="17876"/>
    <cellStyle name="40% - Accent1 2 3 8 2 2 2" xfId="29019"/>
    <cellStyle name="40% - Accent1 2 3 8 2 3" xfId="23450"/>
    <cellStyle name="40% - Accent1 2 3 8 2 4" xfId="9414"/>
    <cellStyle name="40% - Accent1 2 3 8 3" xfId="15807"/>
    <cellStyle name="40% - Accent1 2 3 8 3 2" xfId="26950"/>
    <cellStyle name="40% - Accent1 2 3 8 4" xfId="21381"/>
    <cellStyle name="40% - Accent1 2 3 8 5" xfId="7345"/>
    <cellStyle name="40% - Accent1 2 3 9" xfId="3833"/>
    <cellStyle name="40% - Accent1 2 3 9 2" xfId="16446"/>
    <cellStyle name="40% - Accent1 2 3 9 2 2" xfId="27589"/>
    <cellStyle name="40% - Accent1 2 3 9 3" xfId="22020"/>
    <cellStyle name="40% - Accent1 2 3 9 4" xfId="7984"/>
    <cellStyle name="40% - Accent1 2 4" xfId="285"/>
    <cellStyle name="40% - Accent1 2 4 10" xfId="12984"/>
    <cellStyle name="40% - Accent1 2 4 10 2" xfId="24128"/>
    <cellStyle name="40% - Accent1 2 4 11" xfId="18559"/>
    <cellStyle name="40% - Accent1 2 4 12" xfId="5952"/>
    <cellStyle name="40% - Accent1 2 4 2" xfId="2243"/>
    <cellStyle name="40% - Accent1 2 4 2 2" xfId="2887"/>
    <cellStyle name="40% - Accent1 2 4 2 2 2" xfId="4996"/>
    <cellStyle name="40% - Accent1 2 4 2 2 2 2" xfId="17609"/>
    <cellStyle name="40% - Accent1 2 4 2 2 2 2 2" xfId="28752"/>
    <cellStyle name="40% - Accent1 2 4 2 2 2 3" xfId="23183"/>
    <cellStyle name="40% - Accent1 2 4 2 2 2 4" xfId="9147"/>
    <cellStyle name="40% - Accent1 2 4 2 2 3" xfId="10979"/>
    <cellStyle name="40% - Accent1 2 4 2 2 3 2" xfId="15540"/>
    <cellStyle name="40% - Accent1 2 4 2 2 3 2 2" xfId="26683"/>
    <cellStyle name="40% - Accent1 2 4 2 2 3 3" xfId="21114"/>
    <cellStyle name="40% - Accent1 2 4 2 2 4" xfId="14110"/>
    <cellStyle name="40% - Accent1 2 4 2 2 4 2" xfId="25253"/>
    <cellStyle name="40% - Accent1 2 4 2 2 5" xfId="19684"/>
    <cellStyle name="40% - Accent1 2 4 2 2 6" xfId="7078"/>
    <cellStyle name="40% - Accent1 2 4 2 3" xfId="3525"/>
    <cellStyle name="40% - Accent1 2 4 2 3 2" xfId="5634"/>
    <cellStyle name="40% - Accent1 2 4 2 3 2 2" xfId="18247"/>
    <cellStyle name="40% - Accent1 2 4 2 3 2 2 2" xfId="29390"/>
    <cellStyle name="40% - Accent1 2 4 2 3 2 3" xfId="23821"/>
    <cellStyle name="40% - Accent1 2 4 2 3 2 4" xfId="9785"/>
    <cellStyle name="40% - Accent1 2 4 2 3 3" xfId="16178"/>
    <cellStyle name="40% - Accent1 2 4 2 3 3 2" xfId="27321"/>
    <cellStyle name="40% - Accent1 2 4 2 3 4" xfId="21752"/>
    <cellStyle name="40% - Accent1 2 4 2 3 5" xfId="7716"/>
    <cellStyle name="40% - Accent1 2 4 2 4" xfId="4204"/>
    <cellStyle name="40% - Accent1 2 4 2 4 2" xfId="16817"/>
    <cellStyle name="40% - Accent1 2 4 2 4 2 2" xfId="27960"/>
    <cellStyle name="40% - Accent1 2 4 2 4 3" xfId="22391"/>
    <cellStyle name="40% - Accent1 2 4 2 4 4" xfId="8355"/>
    <cellStyle name="40% - Accent1 2 4 2 5" xfId="11408"/>
    <cellStyle name="40% - Accent1 2 4 2 5 2" xfId="14901"/>
    <cellStyle name="40% - Accent1 2 4 2 5 2 2" xfId="26044"/>
    <cellStyle name="40% - Accent1 2 4 2 5 3" xfId="20475"/>
    <cellStyle name="40% - Accent1 2 4 2 6" xfId="13471"/>
    <cellStyle name="40% - Accent1 2 4 2 6 2" xfId="24614"/>
    <cellStyle name="40% - Accent1 2 4 2 7" xfId="19045"/>
    <cellStyle name="40% - Accent1 2 4 2 8" xfId="6439"/>
    <cellStyle name="40% - Accent1 2 4 3" xfId="2051"/>
    <cellStyle name="40% - Accent1 2 4 3 2" xfId="2706"/>
    <cellStyle name="40% - Accent1 2 4 3 2 2" xfId="4815"/>
    <cellStyle name="40% - Accent1 2 4 3 2 2 2" xfId="17428"/>
    <cellStyle name="40% - Accent1 2 4 3 2 2 2 2" xfId="28571"/>
    <cellStyle name="40% - Accent1 2 4 3 2 2 3" xfId="23002"/>
    <cellStyle name="40% - Accent1 2 4 3 2 2 4" xfId="8966"/>
    <cellStyle name="40% - Accent1 2 4 3 2 3" xfId="10083"/>
    <cellStyle name="40% - Accent1 2 4 3 2 3 2" xfId="15359"/>
    <cellStyle name="40% - Accent1 2 4 3 2 3 2 2" xfId="26502"/>
    <cellStyle name="40% - Accent1 2 4 3 2 3 3" xfId="20933"/>
    <cellStyle name="40% - Accent1 2 4 3 2 4" xfId="13929"/>
    <cellStyle name="40% - Accent1 2 4 3 2 4 2" xfId="25072"/>
    <cellStyle name="40% - Accent1 2 4 3 2 5" xfId="19503"/>
    <cellStyle name="40% - Accent1 2 4 3 2 6" xfId="6897"/>
    <cellStyle name="40% - Accent1 2 4 3 3" xfId="3344"/>
    <cellStyle name="40% - Accent1 2 4 3 3 2" xfId="5453"/>
    <cellStyle name="40% - Accent1 2 4 3 3 2 2" xfId="18066"/>
    <cellStyle name="40% - Accent1 2 4 3 3 2 2 2" xfId="29209"/>
    <cellStyle name="40% - Accent1 2 4 3 3 2 3" xfId="23640"/>
    <cellStyle name="40% - Accent1 2 4 3 3 2 4" xfId="9604"/>
    <cellStyle name="40% - Accent1 2 4 3 3 3" xfId="15997"/>
    <cellStyle name="40% - Accent1 2 4 3 3 3 2" xfId="27140"/>
    <cellStyle name="40% - Accent1 2 4 3 3 4" xfId="21571"/>
    <cellStyle name="40% - Accent1 2 4 3 3 5" xfId="7535"/>
    <cellStyle name="40% - Accent1 2 4 3 4" xfId="4023"/>
    <cellStyle name="40% - Accent1 2 4 3 4 2" xfId="16636"/>
    <cellStyle name="40% - Accent1 2 4 3 4 2 2" xfId="27779"/>
    <cellStyle name="40% - Accent1 2 4 3 4 3" xfId="22210"/>
    <cellStyle name="40% - Accent1 2 4 3 4 4" xfId="8174"/>
    <cellStyle name="40% - Accent1 2 4 3 5" xfId="10722"/>
    <cellStyle name="40% - Accent1 2 4 3 5 2" xfId="14720"/>
    <cellStyle name="40% - Accent1 2 4 3 5 2 2" xfId="25863"/>
    <cellStyle name="40% - Accent1 2 4 3 5 3" xfId="20294"/>
    <cellStyle name="40% - Accent1 2 4 3 6" xfId="13290"/>
    <cellStyle name="40% - Accent1 2 4 3 6 2" xfId="24433"/>
    <cellStyle name="40% - Accent1 2 4 3 7" xfId="18864"/>
    <cellStyle name="40% - Accent1 2 4 3 8" xfId="6258"/>
    <cellStyle name="40% - Accent1 2 4 4" xfId="2398"/>
    <cellStyle name="40% - Accent1 2 4 4 2" xfId="3039"/>
    <cellStyle name="40% - Accent1 2 4 4 2 2" xfId="5148"/>
    <cellStyle name="40% - Accent1 2 4 4 2 2 2" xfId="17761"/>
    <cellStyle name="40% - Accent1 2 4 4 2 2 2 2" xfId="28904"/>
    <cellStyle name="40% - Accent1 2 4 4 2 2 3" xfId="23335"/>
    <cellStyle name="40% - Accent1 2 4 4 2 2 4" xfId="9299"/>
    <cellStyle name="40% - Accent1 2 4 4 2 3" xfId="10268"/>
    <cellStyle name="40% - Accent1 2 4 4 2 3 2" xfId="15692"/>
    <cellStyle name="40% - Accent1 2 4 4 2 3 2 2" xfId="26835"/>
    <cellStyle name="40% - Accent1 2 4 4 2 3 3" xfId="21266"/>
    <cellStyle name="40% - Accent1 2 4 4 2 4" xfId="14262"/>
    <cellStyle name="40% - Accent1 2 4 4 2 4 2" xfId="25405"/>
    <cellStyle name="40% - Accent1 2 4 4 2 5" xfId="19836"/>
    <cellStyle name="40% - Accent1 2 4 4 2 6" xfId="7230"/>
    <cellStyle name="40% - Accent1 2 4 4 3" xfId="3677"/>
    <cellStyle name="40% - Accent1 2 4 4 3 2" xfId="5786"/>
    <cellStyle name="40% - Accent1 2 4 4 3 2 2" xfId="18399"/>
    <cellStyle name="40% - Accent1 2 4 4 3 2 2 2" xfId="29542"/>
    <cellStyle name="40% - Accent1 2 4 4 3 2 3" xfId="23973"/>
    <cellStyle name="40% - Accent1 2 4 4 3 2 4" xfId="9937"/>
    <cellStyle name="40% - Accent1 2 4 4 3 3" xfId="16330"/>
    <cellStyle name="40% - Accent1 2 4 4 3 3 2" xfId="27473"/>
    <cellStyle name="40% - Accent1 2 4 4 3 4" xfId="21904"/>
    <cellStyle name="40% - Accent1 2 4 4 3 5" xfId="7868"/>
    <cellStyle name="40% - Accent1 2 4 4 4" xfId="4356"/>
    <cellStyle name="40% - Accent1 2 4 4 4 2" xfId="16969"/>
    <cellStyle name="40% - Accent1 2 4 4 4 2 2" xfId="28112"/>
    <cellStyle name="40% - Accent1 2 4 4 4 3" xfId="22543"/>
    <cellStyle name="40% - Accent1 2 4 4 4 4" xfId="8507"/>
    <cellStyle name="40% - Accent1 2 4 4 5" xfId="10867"/>
    <cellStyle name="40% - Accent1 2 4 4 5 2" xfId="15053"/>
    <cellStyle name="40% - Accent1 2 4 4 5 2 2" xfId="26196"/>
    <cellStyle name="40% - Accent1 2 4 4 5 3" xfId="20627"/>
    <cellStyle name="40% - Accent1 2 4 4 6" xfId="13623"/>
    <cellStyle name="40% - Accent1 2 4 4 6 2" xfId="24766"/>
    <cellStyle name="40% - Accent1 2 4 4 7" xfId="19197"/>
    <cellStyle name="40% - Accent1 2 4 4 8" xfId="6591"/>
    <cellStyle name="40% - Accent1 2 4 5" xfId="1861"/>
    <cellStyle name="40% - Accent1 2 4 5 2" xfId="4509"/>
    <cellStyle name="40% - Accent1 2 4 5 2 2" xfId="17122"/>
    <cellStyle name="40% - Accent1 2 4 5 2 2 2" xfId="28265"/>
    <cellStyle name="40% - Accent1 2 4 5 2 3" xfId="22696"/>
    <cellStyle name="40% - Accent1 2 4 5 2 4" xfId="8660"/>
    <cellStyle name="40% - Accent1 2 4 5 3" xfId="10106"/>
    <cellStyle name="40% - Accent1 2 4 5 3 2" xfId="14568"/>
    <cellStyle name="40% - Accent1 2 4 5 3 2 2" xfId="25711"/>
    <cellStyle name="40% - Accent1 2 4 5 3 3" xfId="20142"/>
    <cellStyle name="40% - Accent1 2 4 5 4" xfId="13138"/>
    <cellStyle name="40% - Accent1 2 4 5 4 2" xfId="24281"/>
    <cellStyle name="40% - Accent1 2 4 5 5" xfId="18712"/>
    <cellStyle name="40% - Accent1 2 4 5 6" xfId="6106"/>
    <cellStyle name="40% - Accent1 2 4 6" xfId="2554"/>
    <cellStyle name="40% - Accent1 2 4 6 2" xfId="4663"/>
    <cellStyle name="40% - Accent1 2 4 6 2 2" xfId="17276"/>
    <cellStyle name="40% - Accent1 2 4 6 2 2 2" xfId="28419"/>
    <cellStyle name="40% - Accent1 2 4 6 2 3" xfId="22850"/>
    <cellStyle name="40% - Accent1 2 4 6 2 4" xfId="8814"/>
    <cellStyle name="40% - Accent1 2 4 6 3" xfId="10851"/>
    <cellStyle name="40% - Accent1 2 4 6 3 2" xfId="15207"/>
    <cellStyle name="40% - Accent1 2 4 6 3 2 2" xfId="26350"/>
    <cellStyle name="40% - Accent1 2 4 6 3 3" xfId="20781"/>
    <cellStyle name="40% - Accent1 2 4 6 4" xfId="13777"/>
    <cellStyle name="40% - Accent1 2 4 6 4 2" xfId="24920"/>
    <cellStyle name="40% - Accent1 2 4 6 5" xfId="19351"/>
    <cellStyle name="40% - Accent1 2 4 6 6" xfId="6745"/>
    <cellStyle name="40% - Accent1 2 4 7" xfId="3192"/>
    <cellStyle name="40% - Accent1 2 4 7 2" xfId="5301"/>
    <cellStyle name="40% - Accent1 2 4 7 2 2" xfId="17914"/>
    <cellStyle name="40% - Accent1 2 4 7 2 2 2" xfId="29057"/>
    <cellStyle name="40% - Accent1 2 4 7 2 3" xfId="23488"/>
    <cellStyle name="40% - Accent1 2 4 7 2 4" xfId="9452"/>
    <cellStyle name="40% - Accent1 2 4 7 3" xfId="15845"/>
    <cellStyle name="40% - Accent1 2 4 7 3 2" xfId="26988"/>
    <cellStyle name="40% - Accent1 2 4 7 4" xfId="21419"/>
    <cellStyle name="40% - Accent1 2 4 7 5" xfId="7383"/>
    <cellStyle name="40% - Accent1 2 4 8" xfId="3871"/>
    <cellStyle name="40% - Accent1 2 4 8 2" xfId="16484"/>
    <cellStyle name="40% - Accent1 2 4 8 2 2" xfId="27627"/>
    <cellStyle name="40% - Accent1 2 4 8 3" xfId="22058"/>
    <cellStyle name="40% - Accent1 2 4 8 4" xfId="8022"/>
    <cellStyle name="40% - Accent1 2 4 9" xfId="11294"/>
    <cellStyle name="40% - Accent1 2 4 9 2" xfId="14415"/>
    <cellStyle name="40% - Accent1 2 4 9 2 2" xfId="25558"/>
    <cellStyle name="40% - Accent1 2 4 9 3" xfId="19989"/>
    <cellStyle name="40% - Accent1 2 5" xfId="2167"/>
    <cellStyle name="40% - Accent1 2 5 2" xfId="2811"/>
    <cellStyle name="40% - Accent1 2 5 2 2" xfId="4920"/>
    <cellStyle name="40% - Accent1 2 5 2 2 2" xfId="17533"/>
    <cellStyle name="40% - Accent1 2 5 2 2 2 2" xfId="28676"/>
    <cellStyle name="40% - Accent1 2 5 2 2 3" xfId="23107"/>
    <cellStyle name="40% - Accent1 2 5 2 2 4" xfId="9071"/>
    <cellStyle name="40% - Accent1 2 5 2 3" xfId="11303"/>
    <cellStyle name="40% - Accent1 2 5 2 3 2" xfId="15464"/>
    <cellStyle name="40% - Accent1 2 5 2 3 2 2" xfId="26607"/>
    <cellStyle name="40% - Accent1 2 5 2 3 3" xfId="21038"/>
    <cellStyle name="40% - Accent1 2 5 2 4" xfId="14034"/>
    <cellStyle name="40% - Accent1 2 5 2 4 2" xfId="25177"/>
    <cellStyle name="40% - Accent1 2 5 2 5" xfId="19608"/>
    <cellStyle name="40% - Accent1 2 5 2 6" xfId="7002"/>
    <cellStyle name="40% - Accent1 2 5 3" xfId="3449"/>
    <cellStyle name="40% - Accent1 2 5 3 2" xfId="5558"/>
    <cellStyle name="40% - Accent1 2 5 3 2 2" xfId="18171"/>
    <cellStyle name="40% - Accent1 2 5 3 2 2 2" xfId="29314"/>
    <cellStyle name="40% - Accent1 2 5 3 2 3" xfId="23745"/>
    <cellStyle name="40% - Accent1 2 5 3 2 4" xfId="9709"/>
    <cellStyle name="40% - Accent1 2 5 3 3" xfId="16102"/>
    <cellStyle name="40% - Accent1 2 5 3 3 2" xfId="27245"/>
    <cellStyle name="40% - Accent1 2 5 3 4" xfId="21676"/>
    <cellStyle name="40% - Accent1 2 5 3 5" xfId="7640"/>
    <cellStyle name="40% - Accent1 2 5 4" xfId="4128"/>
    <cellStyle name="40% - Accent1 2 5 4 2" xfId="16741"/>
    <cellStyle name="40% - Accent1 2 5 4 2 2" xfId="27884"/>
    <cellStyle name="40% - Accent1 2 5 4 3" xfId="22315"/>
    <cellStyle name="40% - Accent1 2 5 4 4" xfId="8279"/>
    <cellStyle name="40% - Accent1 2 5 5" xfId="10422"/>
    <cellStyle name="40% - Accent1 2 5 5 2" xfId="14825"/>
    <cellStyle name="40% - Accent1 2 5 5 2 2" xfId="25968"/>
    <cellStyle name="40% - Accent1 2 5 5 3" xfId="20399"/>
    <cellStyle name="40% - Accent1 2 5 6" xfId="13395"/>
    <cellStyle name="40% - Accent1 2 5 6 2" xfId="24538"/>
    <cellStyle name="40% - Accent1 2 5 7" xfId="18969"/>
    <cellStyle name="40% - Accent1 2 5 8" xfId="6363"/>
    <cellStyle name="40% - Accent1 2 6" xfId="1960"/>
    <cellStyle name="40% - Accent1 2 6 2" xfId="2630"/>
    <cellStyle name="40% - Accent1 2 6 2 2" xfId="4739"/>
    <cellStyle name="40% - Accent1 2 6 2 2 2" xfId="17352"/>
    <cellStyle name="40% - Accent1 2 6 2 2 2 2" xfId="28495"/>
    <cellStyle name="40% - Accent1 2 6 2 2 3" xfId="22926"/>
    <cellStyle name="40% - Accent1 2 6 2 2 4" xfId="8890"/>
    <cellStyle name="40% - Accent1 2 6 2 3" xfId="11040"/>
    <cellStyle name="40% - Accent1 2 6 2 3 2" xfId="15283"/>
    <cellStyle name="40% - Accent1 2 6 2 3 2 2" xfId="26426"/>
    <cellStyle name="40% - Accent1 2 6 2 3 3" xfId="20857"/>
    <cellStyle name="40% - Accent1 2 6 2 4" xfId="13853"/>
    <cellStyle name="40% - Accent1 2 6 2 4 2" xfId="24996"/>
    <cellStyle name="40% - Accent1 2 6 2 5" xfId="19427"/>
    <cellStyle name="40% - Accent1 2 6 2 6" xfId="6821"/>
    <cellStyle name="40% - Accent1 2 6 3" xfId="3268"/>
    <cellStyle name="40% - Accent1 2 6 3 2" xfId="5377"/>
    <cellStyle name="40% - Accent1 2 6 3 2 2" xfId="17990"/>
    <cellStyle name="40% - Accent1 2 6 3 2 2 2" xfId="29133"/>
    <cellStyle name="40% - Accent1 2 6 3 2 3" xfId="23564"/>
    <cellStyle name="40% - Accent1 2 6 3 2 4" xfId="9528"/>
    <cellStyle name="40% - Accent1 2 6 3 3" xfId="15921"/>
    <cellStyle name="40% - Accent1 2 6 3 3 2" xfId="27064"/>
    <cellStyle name="40% - Accent1 2 6 3 4" xfId="21495"/>
    <cellStyle name="40% - Accent1 2 6 3 5" xfId="7459"/>
    <cellStyle name="40% - Accent1 2 6 4" xfId="3947"/>
    <cellStyle name="40% - Accent1 2 6 4 2" xfId="16560"/>
    <cellStyle name="40% - Accent1 2 6 4 2 2" xfId="27703"/>
    <cellStyle name="40% - Accent1 2 6 4 3" xfId="22134"/>
    <cellStyle name="40% - Accent1 2 6 4 4" xfId="8098"/>
    <cellStyle name="40% - Accent1 2 6 5" xfId="10971"/>
    <cellStyle name="40% - Accent1 2 6 5 2" xfId="14644"/>
    <cellStyle name="40% - Accent1 2 6 5 2 2" xfId="25787"/>
    <cellStyle name="40% - Accent1 2 6 5 3" xfId="20218"/>
    <cellStyle name="40% - Accent1 2 6 6" xfId="13214"/>
    <cellStyle name="40% - Accent1 2 6 6 2" xfId="24357"/>
    <cellStyle name="40% - Accent1 2 6 7" xfId="18788"/>
    <cellStyle name="40% - Accent1 2 6 8" xfId="6182"/>
    <cellStyle name="40% - Accent1 2 7" xfId="2321"/>
    <cellStyle name="40% - Accent1 2 7 2" xfId="2963"/>
    <cellStyle name="40% - Accent1 2 7 2 2" xfId="5072"/>
    <cellStyle name="40% - Accent1 2 7 2 2 2" xfId="17685"/>
    <cellStyle name="40% - Accent1 2 7 2 2 2 2" xfId="28828"/>
    <cellStyle name="40% - Accent1 2 7 2 2 3" xfId="23259"/>
    <cellStyle name="40% - Accent1 2 7 2 2 4" xfId="9223"/>
    <cellStyle name="40% - Accent1 2 7 2 3" xfId="10097"/>
    <cellStyle name="40% - Accent1 2 7 2 3 2" xfId="15616"/>
    <cellStyle name="40% - Accent1 2 7 2 3 2 2" xfId="26759"/>
    <cellStyle name="40% - Accent1 2 7 2 3 3" xfId="21190"/>
    <cellStyle name="40% - Accent1 2 7 2 4" xfId="14186"/>
    <cellStyle name="40% - Accent1 2 7 2 4 2" xfId="25329"/>
    <cellStyle name="40% - Accent1 2 7 2 5" xfId="19760"/>
    <cellStyle name="40% - Accent1 2 7 2 6" xfId="7154"/>
    <cellStyle name="40% - Accent1 2 7 3" xfId="3601"/>
    <cellStyle name="40% - Accent1 2 7 3 2" xfId="5710"/>
    <cellStyle name="40% - Accent1 2 7 3 2 2" xfId="18323"/>
    <cellStyle name="40% - Accent1 2 7 3 2 2 2" xfId="29466"/>
    <cellStyle name="40% - Accent1 2 7 3 2 3" xfId="23897"/>
    <cellStyle name="40% - Accent1 2 7 3 2 4" xfId="9861"/>
    <cellStyle name="40% - Accent1 2 7 3 3" xfId="16254"/>
    <cellStyle name="40% - Accent1 2 7 3 3 2" xfId="27397"/>
    <cellStyle name="40% - Accent1 2 7 3 4" xfId="21828"/>
    <cellStyle name="40% - Accent1 2 7 3 5" xfId="7792"/>
    <cellStyle name="40% - Accent1 2 7 4" xfId="4280"/>
    <cellStyle name="40% - Accent1 2 7 4 2" xfId="16893"/>
    <cellStyle name="40% - Accent1 2 7 4 2 2" xfId="28036"/>
    <cellStyle name="40% - Accent1 2 7 4 3" xfId="22467"/>
    <cellStyle name="40% - Accent1 2 7 4 4" xfId="8431"/>
    <cellStyle name="40% - Accent1 2 7 5" xfId="11209"/>
    <cellStyle name="40% - Accent1 2 7 5 2" xfId="14977"/>
    <cellStyle name="40% - Accent1 2 7 5 2 2" xfId="26120"/>
    <cellStyle name="40% - Accent1 2 7 5 3" xfId="20551"/>
    <cellStyle name="40% - Accent1 2 7 6" xfId="13547"/>
    <cellStyle name="40% - Accent1 2 7 6 2" xfId="24690"/>
    <cellStyle name="40% - Accent1 2 7 7" xfId="19121"/>
    <cellStyle name="40% - Accent1 2 7 8" xfId="6515"/>
    <cellStyle name="40% - Accent1 2 8" xfId="1785"/>
    <cellStyle name="40% - Accent1 2 8 2" xfId="4433"/>
    <cellStyle name="40% - Accent1 2 8 2 2" xfId="17046"/>
    <cellStyle name="40% - Accent1 2 8 2 2 2" xfId="28189"/>
    <cellStyle name="40% - Accent1 2 8 2 3" xfId="22620"/>
    <cellStyle name="40% - Accent1 2 8 2 4" xfId="8584"/>
    <cellStyle name="40% - Accent1 2 8 3" xfId="11027"/>
    <cellStyle name="40% - Accent1 2 8 3 2" xfId="14492"/>
    <cellStyle name="40% - Accent1 2 8 3 2 2" xfId="25635"/>
    <cellStyle name="40% - Accent1 2 8 3 3" xfId="20066"/>
    <cellStyle name="40% - Accent1 2 8 4" xfId="13062"/>
    <cellStyle name="40% - Accent1 2 8 4 2" xfId="24205"/>
    <cellStyle name="40% - Accent1 2 8 5" xfId="18636"/>
    <cellStyle name="40% - Accent1 2 8 6" xfId="6030"/>
    <cellStyle name="40% - Accent1 2 9" xfId="2478"/>
    <cellStyle name="40% - Accent1 2 9 2" xfId="4587"/>
    <cellStyle name="40% - Accent1 2 9 2 2" xfId="17200"/>
    <cellStyle name="40% - Accent1 2 9 2 2 2" xfId="28343"/>
    <cellStyle name="40% - Accent1 2 9 2 3" xfId="22774"/>
    <cellStyle name="40% - Accent1 2 9 2 4" xfId="8738"/>
    <cellStyle name="40% - Accent1 2 9 3" xfId="10643"/>
    <cellStyle name="40% - Accent1 2 9 3 2" xfId="15131"/>
    <cellStyle name="40% - Accent1 2 9 3 2 2" xfId="26274"/>
    <cellStyle name="40% - Accent1 2 9 3 3" xfId="20705"/>
    <cellStyle name="40% - Accent1 2 9 4" xfId="13701"/>
    <cellStyle name="40% - Accent1 2 9 4 2" xfId="24844"/>
    <cellStyle name="40% - Accent1 2 9 5" xfId="19275"/>
    <cellStyle name="40% - Accent1 2 9 6" xfId="6669"/>
    <cellStyle name="40% - Accent1 3" xfId="136"/>
    <cellStyle name="40% - Accent1 3 2" xfId="386"/>
    <cellStyle name="40% - Accent1 3 2 2" xfId="565"/>
    <cellStyle name="40% - Accent1 3 2 2 2" xfId="948"/>
    <cellStyle name="40% - Accent1 3 2 2 2 2" xfId="1687"/>
    <cellStyle name="40% - Accent1 3 2 2 2 2 2" xfId="12783"/>
    <cellStyle name="40% - Accent1 3 2 2 2 3" xfId="12073"/>
    <cellStyle name="40% - Accent1 3 2 2 3" xfId="1332"/>
    <cellStyle name="40% - Accent1 3 2 2 3 2" xfId="12428"/>
    <cellStyle name="40% - Accent1 3 2 2 4" xfId="11718"/>
    <cellStyle name="40% - Accent1 3 2 3" xfId="770"/>
    <cellStyle name="40% - Accent1 3 2 3 2" xfId="1509"/>
    <cellStyle name="40% - Accent1 3 2 3 2 2" xfId="12605"/>
    <cellStyle name="40% - Accent1 3 2 3 3" xfId="11895"/>
    <cellStyle name="40% - Accent1 3 2 4" xfId="1154"/>
    <cellStyle name="40% - Accent1 3 2 4 2" xfId="12250"/>
    <cellStyle name="40% - Accent1 3 2 5" xfId="11540"/>
    <cellStyle name="40% - Accent1 3 3" xfId="441"/>
    <cellStyle name="40% - Accent1 3 3 2" xfId="620"/>
    <cellStyle name="40% - Accent1 3 3 2 2" xfId="1003"/>
    <cellStyle name="40% - Accent1 3 3 2 2 2" xfId="1742"/>
    <cellStyle name="40% - Accent1 3 3 2 2 2 2" xfId="12838"/>
    <cellStyle name="40% - Accent1 3 3 2 2 3" xfId="12128"/>
    <cellStyle name="40% - Accent1 3 3 2 3" xfId="1387"/>
    <cellStyle name="40% - Accent1 3 3 2 3 2" xfId="12483"/>
    <cellStyle name="40% - Accent1 3 3 2 4" xfId="11773"/>
    <cellStyle name="40% - Accent1 3 3 3" xfId="825"/>
    <cellStyle name="40% - Accent1 3 3 3 2" xfId="1564"/>
    <cellStyle name="40% - Accent1 3 3 3 2 2" xfId="12660"/>
    <cellStyle name="40% - Accent1 3 3 3 3" xfId="11950"/>
    <cellStyle name="40% - Accent1 3 3 4" xfId="1209"/>
    <cellStyle name="40% - Accent1 3 3 4 2" xfId="12305"/>
    <cellStyle name="40% - Accent1 3 3 5" xfId="11595"/>
    <cellStyle name="40% - Accent1 3 4" xfId="503"/>
    <cellStyle name="40% - Accent1 3 4 2" xfId="887"/>
    <cellStyle name="40% - Accent1 3 4 2 2" xfId="1626"/>
    <cellStyle name="40% - Accent1 3 4 2 2 2" xfId="12722"/>
    <cellStyle name="40% - Accent1 3 4 2 3" xfId="12012"/>
    <cellStyle name="40% - Accent1 3 4 3" xfId="1271"/>
    <cellStyle name="40% - Accent1 3 4 3 2" xfId="12367"/>
    <cellStyle name="40% - Accent1 3 4 4" xfId="11657"/>
    <cellStyle name="40% - Accent1 3 5" xfId="709"/>
    <cellStyle name="40% - Accent1 3 5 2" xfId="1448"/>
    <cellStyle name="40% - Accent1 3 5 2 2" xfId="12544"/>
    <cellStyle name="40% - Accent1 3 5 3" xfId="11834"/>
    <cellStyle name="40% - Accent1 3 6" xfId="1093"/>
    <cellStyle name="40% - Accent1 3 6 2" xfId="12189"/>
    <cellStyle name="40% - Accent1 3 7" xfId="11479"/>
    <cellStyle name="40% - Accent1 4" xfId="72"/>
    <cellStyle name="40% - Accent1 4 2" xfId="380"/>
    <cellStyle name="40% - Accent1 4 2 2" xfId="559"/>
    <cellStyle name="40% - Accent1 4 2 2 2" xfId="942"/>
    <cellStyle name="40% - Accent1 4 2 2 2 2" xfId="1681"/>
    <cellStyle name="40% - Accent1 4 2 2 2 2 2" xfId="12777"/>
    <cellStyle name="40% - Accent1 4 2 2 2 3" xfId="12067"/>
    <cellStyle name="40% - Accent1 4 2 2 3" xfId="1326"/>
    <cellStyle name="40% - Accent1 4 2 2 3 2" xfId="12422"/>
    <cellStyle name="40% - Accent1 4 2 2 4" xfId="11712"/>
    <cellStyle name="40% - Accent1 4 2 3" xfId="764"/>
    <cellStyle name="40% - Accent1 4 2 3 2" xfId="1503"/>
    <cellStyle name="40% - Accent1 4 2 3 2 2" xfId="12599"/>
    <cellStyle name="40% - Accent1 4 2 3 3" xfId="11889"/>
    <cellStyle name="40% - Accent1 4 2 4" xfId="1148"/>
    <cellStyle name="40% - Accent1 4 2 4 2" xfId="12244"/>
    <cellStyle name="40% - Accent1 4 2 5" xfId="11534"/>
    <cellStyle name="40% - Accent1 4 3" xfId="435"/>
    <cellStyle name="40% - Accent1 4 3 2" xfId="614"/>
    <cellStyle name="40% - Accent1 4 3 2 2" xfId="997"/>
    <cellStyle name="40% - Accent1 4 3 2 2 2" xfId="1736"/>
    <cellStyle name="40% - Accent1 4 3 2 2 2 2" xfId="12832"/>
    <cellStyle name="40% - Accent1 4 3 2 2 3" xfId="12122"/>
    <cellStyle name="40% - Accent1 4 3 2 3" xfId="1381"/>
    <cellStyle name="40% - Accent1 4 3 2 3 2" xfId="12477"/>
    <cellStyle name="40% - Accent1 4 3 2 4" xfId="11767"/>
    <cellStyle name="40% - Accent1 4 3 3" xfId="819"/>
    <cellStyle name="40% - Accent1 4 3 3 2" xfId="1558"/>
    <cellStyle name="40% - Accent1 4 3 3 2 2" xfId="12654"/>
    <cellStyle name="40% - Accent1 4 3 3 3" xfId="11944"/>
    <cellStyle name="40% - Accent1 4 3 4" xfId="1203"/>
    <cellStyle name="40% - Accent1 4 3 4 2" xfId="12299"/>
    <cellStyle name="40% - Accent1 4 3 5" xfId="11589"/>
    <cellStyle name="40% - Accent1 4 4" xfId="497"/>
    <cellStyle name="40% - Accent1 4 4 2" xfId="881"/>
    <cellStyle name="40% - Accent1 4 4 2 2" xfId="1620"/>
    <cellStyle name="40% - Accent1 4 4 2 2 2" xfId="12716"/>
    <cellStyle name="40% - Accent1 4 4 2 3" xfId="12006"/>
    <cellStyle name="40% - Accent1 4 4 3" xfId="1265"/>
    <cellStyle name="40% - Accent1 4 4 3 2" xfId="12361"/>
    <cellStyle name="40% - Accent1 4 4 4" xfId="11651"/>
    <cellStyle name="40% - Accent1 4 5" xfId="703"/>
    <cellStyle name="40% - Accent1 4 5 2" xfId="1442"/>
    <cellStyle name="40% - Accent1 4 5 2 2" xfId="12538"/>
    <cellStyle name="40% - Accent1 4 5 3" xfId="11828"/>
    <cellStyle name="40% - Accent1 4 6" xfId="1087"/>
    <cellStyle name="40% - Accent1 4 6 2" xfId="12183"/>
    <cellStyle name="40% - Accent1 4 7" xfId="11473"/>
    <cellStyle name="40% - Accent1 5" xfId="198"/>
    <cellStyle name="40% - Accent1 5 2" xfId="410"/>
    <cellStyle name="40% - Accent1 5 2 2" xfId="589"/>
    <cellStyle name="40% - Accent1 5 2 2 2" xfId="972"/>
    <cellStyle name="40% - Accent1 5 2 2 2 2" xfId="1711"/>
    <cellStyle name="40% - Accent1 5 2 2 2 2 2" xfId="12807"/>
    <cellStyle name="40% - Accent1 5 2 2 2 3" xfId="12097"/>
    <cellStyle name="40% - Accent1 5 2 2 3" xfId="1356"/>
    <cellStyle name="40% - Accent1 5 2 2 3 2" xfId="12452"/>
    <cellStyle name="40% - Accent1 5 2 2 4" xfId="11742"/>
    <cellStyle name="40% - Accent1 5 2 3" xfId="794"/>
    <cellStyle name="40% - Accent1 5 2 3 2" xfId="1533"/>
    <cellStyle name="40% - Accent1 5 2 3 2 2" xfId="12629"/>
    <cellStyle name="40% - Accent1 5 2 3 3" xfId="11919"/>
    <cellStyle name="40% - Accent1 5 2 4" xfId="1178"/>
    <cellStyle name="40% - Accent1 5 2 4 2" xfId="12274"/>
    <cellStyle name="40% - Accent1 5 2 5" xfId="11564"/>
    <cellStyle name="40% - Accent1 5 3" xfId="465"/>
    <cellStyle name="40% - Accent1 5 3 2" xfId="644"/>
    <cellStyle name="40% - Accent1 5 3 2 2" xfId="1027"/>
    <cellStyle name="40% - Accent1 5 3 2 2 2" xfId="1766"/>
    <cellStyle name="40% - Accent1 5 3 2 2 2 2" xfId="12862"/>
    <cellStyle name="40% - Accent1 5 3 2 2 3" xfId="12152"/>
    <cellStyle name="40% - Accent1 5 3 2 3" xfId="1411"/>
    <cellStyle name="40% - Accent1 5 3 2 3 2" xfId="12507"/>
    <cellStyle name="40% - Accent1 5 3 2 4" xfId="11797"/>
    <cellStyle name="40% - Accent1 5 3 3" xfId="849"/>
    <cellStyle name="40% - Accent1 5 3 3 2" xfId="1588"/>
    <cellStyle name="40% - Accent1 5 3 3 2 2" xfId="12684"/>
    <cellStyle name="40% - Accent1 5 3 3 3" xfId="11974"/>
    <cellStyle name="40% - Accent1 5 3 4" xfId="1233"/>
    <cellStyle name="40% - Accent1 5 3 4 2" xfId="12329"/>
    <cellStyle name="40% - Accent1 5 3 5" xfId="11619"/>
    <cellStyle name="40% - Accent1 5 4" xfId="528"/>
    <cellStyle name="40% - Accent1 5 4 2" xfId="911"/>
    <cellStyle name="40% - Accent1 5 4 2 2" xfId="1650"/>
    <cellStyle name="40% - Accent1 5 4 2 2 2" xfId="12746"/>
    <cellStyle name="40% - Accent1 5 4 2 3" xfId="12036"/>
    <cellStyle name="40% - Accent1 5 4 3" xfId="1295"/>
    <cellStyle name="40% - Accent1 5 4 3 2" xfId="12391"/>
    <cellStyle name="40% - Accent1 5 4 4" xfId="11681"/>
    <cellStyle name="40% - Accent1 5 5" xfId="733"/>
    <cellStyle name="40% - Accent1 5 5 2" xfId="1472"/>
    <cellStyle name="40% - Accent1 5 5 2 2" xfId="12568"/>
    <cellStyle name="40% - Accent1 5 5 3" xfId="11858"/>
    <cellStyle name="40% - Accent1 5 6" xfId="1117"/>
    <cellStyle name="40% - Accent1 5 6 2" xfId="12213"/>
    <cellStyle name="40% - Accent1 5 7" xfId="11503"/>
    <cellStyle name="40% - Accent1 6" xfId="55"/>
    <cellStyle name="40% - Accent1 6 2" xfId="367"/>
    <cellStyle name="40% - Accent1 6 2 2" xfId="546"/>
    <cellStyle name="40% - Accent1 6 2 2 2" xfId="929"/>
    <cellStyle name="40% - Accent1 6 2 2 2 2" xfId="1668"/>
    <cellStyle name="40% - Accent1 6 2 2 2 2 2" xfId="12764"/>
    <cellStyle name="40% - Accent1 6 2 2 2 3" xfId="12054"/>
    <cellStyle name="40% - Accent1 6 2 2 3" xfId="1313"/>
    <cellStyle name="40% - Accent1 6 2 2 3 2" xfId="12409"/>
    <cellStyle name="40% - Accent1 6 2 2 4" xfId="11699"/>
    <cellStyle name="40% - Accent1 6 2 3" xfId="751"/>
    <cellStyle name="40% - Accent1 6 2 3 2" xfId="1490"/>
    <cellStyle name="40% - Accent1 6 2 3 2 2" xfId="12586"/>
    <cellStyle name="40% - Accent1 6 2 3 3" xfId="11876"/>
    <cellStyle name="40% - Accent1 6 2 4" xfId="1135"/>
    <cellStyle name="40% - Accent1 6 2 4 2" xfId="12231"/>
    <cellStyle name="40% - Accent1 6 2 5" xfId="11521"/>
    <cellStyle name="40% - Accent1 6 3" xfId="491"/>
    <cellStyle name="40% - Accent1 6 3 2" xfId="875"/>
    <cellStyle name="40% - Accent1 6 3 2 2" xfId="1614"/>
    <cellStyle name="40% - Accent1 6 3 2 2 2" xfId="12710"/>
    <cellStyle name="40% - Accent1 6 3 2 3" xfId="12000"/>
    <cellStyle name="40% - Accent1 6 3 3" xfId="1259"/>
    <cellStyle name="40% - Accent1 6 3 3 2" xfId="12355"/>
    <cellStyle name="40% - Accent1 6 3 4" xfId="11645"/>
    <cellStyle name="40% - Accent1 6 4" xfId="697"/>
    <cellStyle name="40% - Accent1 6 4 2" xfId="1436"/>
    <cellStyle name="40% - Accent1 6 4 2 2" xfId="12532"/>
    <cellStyle name="40% - Accent1 6 4 3" xfId="11822"/>
    <cellStyle name="40% - Accent1 6 5" xfId="1081"/>
    <cellStyle name="40% - Accent1 6 5 2" xfId="12177"/>
    <cellStyle name="40% - Accent1 6 6" xfId="11467"/>
    <cellStyle name="40% - Accent1 7" xfId="422"/>
    <cellStyle name="40% - Accent1 7 2" xfId="601"/>
    <cellStyle name="40% - Accent1 7 2 2" xfId="984"/>
    <cellStyle name="40% - Accent1 7 2 2 2" xfId="1723"/>
    <cellStyle name="40% - Accent1 7 2 2 2 2" xfId="12819"/>
    <cellStyle name="40% - Accent1 7 2 2 3" xfId="12109"/>
    <cellStyle name="40% - Accent1 7 2 3" xfId="1368"/>
    <cellStyle name="40% - Accent1 7 2 3 2" xfId="12464"/>
    <cellStyle name="40% - Accent1 7 2 4" xfId="11754"/>
    <cellStyle name="40% - Accent1 7 3" xfId="806"/>
    <cellStyle name="40% - Accent1 7 3 2" xfId="1545"/>
    <cellStyle name="40% - Accent1 7 3 2 2" xfId="12641"/>
    <cellStyle name="40% - Accent1 7 3 3" xfId="11931"/>
    <cellStyle name="40% - Accent1 7 4" xfId="1190"/>
    <cellStyle name="40% - Accent1 7 4 2" xfId="12286"/>
    <cellStyle name="40% - Accent1 7 5" xfId="11576"/>
    <cellStyle name="40% - Accent1 8" xfId="478"/>
    <cellStyle name="40% - Accent1 8 2" xfId="862"/>
    <cellStyle name="40% - Accent1 8 2 2" xfId="1601"/>
    <cellStyle name="40% - Accent1 8 2 2 2" xfId="12697"/>
    <cellStyle name="40% - Accent1 8 2 3" xfId="11987"/>
    <cellStyle name="40% - Accent1 8 3" xfId="1246"/>
    <cellStyle name="40% - Accent1 8 3 2" xfId="12342"/>
    <cellStyle name="40% - Accent1 8 4" xfId="11632"/>
    <cellStyle name="40% - Accent1 9" xfId="673"/>
    <cellStyle name="40% - Accent1 9 2" xfId="1423"/>
    <cellStyle name="40% - Accent1 9 2 2" xfId="12519"/>
    <cellStyle name="40% - Accent1 9 3" xfId="11809"/>
    <cellStyle name="40% - Accent2" xfId="23" builtinId="35" customBuiltin="1"/>
    <cellStyle name="40% - Accent2 10" xfId="1061"/>
    <cellStyle name="40% - Accent2 10 2" xfId="12166"/>
    <cellStyle name="40% - Accent2 11" xfId="1974"/>
    <cellStyle name="40% - Accent2 11 2" xfId="12883"/>
    <cellStyle name="40% - Accent2 12" xfId="3769"/>
    <cellStyle name="40% - Accent2 12 2" xfId="11456"/>
    <cellStyle name="40% - Accent2 2" xfId="129"/>
    <cellStyle name="40% - Accent2 2 10" xfId="3121"/>
    <cellStyle name="40% - Accent2 2 10 2" xfId="5230"/>
    <cellStyle name="40% - Accent2 2 10 2 2" xfId="17843"/>
    <cellStyle name="40% - Accent2 2 10 2 2 2" xfId="28986"/>
    <cellStyle name="40% - Accent2 2 10 2 3" xfId="23417"/>
    <cellStyle name="40% - Accent2 2 10 2 4" xfId="9381"/>
    <cellStyle name="40% - Accent2 2 10 3" xfId="15774"/>
    <cellStyle name="40% - Accent2 2 10 3 2" xfId="26917"/>
    <cellStyle name="40% - Accent2 2 10 4" xfId="21348"/>
    <cellStyle name="40% - Accent2 2 10 5" xfId="7312"/>
    <cellStyle name="40% - Accent2 2 11" xfId="3800"/>
    <cellStyle name="40% - Accent2 2 11 2" xfId="16413"/>
    <cellStyle name="40% - Accent2 2 11 2 2" xfId="27556"/>
    <cellStyle name="40% - Accent2 2 11 3" xfId="21987"/>
    <cellStyle name="40% - Accent2 2 11 4" xfId="7951"/>
    <cellStyle name="40% - Accent2 2 12" xfId="10866"/>
    <cellStyle name="40% - Accent2 2 12 2" xfId="14344"/>
    <cellStyle name="40% - Accent2 2 12 2 2" xfId="25487"/>
    <cellStyle name="40% - Accent2 2 12 3" xfId="19918"/>
    <cellStyle name="40% - Accent2 2 13" xfId="12913"/>
    <cellStyle name="40% - Accent2 2 13 2" xfId="24057"/>
    <cellStyle name="40% - Accent2 2 14" xfId="18488"/>
    <cellStyle name="40% - Accent2 2 15" xfId="5881"/>
    <cellStyle name="40% - Accent2 2 2" xfId="233"/>
    <cellStyle name="40% - Accent2 2 2 10" xfId="3819"/>
    <cellStyle name="40% - Accent2 2 2 10 2" xfId="16432"/>
    <cellStyle name="40% - Accent2 2 2 10 2 2" xfId="27575"/>
    <cellStyle name="40% - Accent2 2 2 10 3" xfId="22006"/>
    <cellStyle name="40% - Accent2 2 2 10 4" xfId="7970"/>
    <cellStyle name="40% - Accent2 2 2 11" xfId="10745"/>
    <cellStyle name="40% - Accent2 2 2 11 2" xfId="14363"/>
    <cellStyle name="40% - Accent2 2 2 11 2 2" xfId="25506"/>
    <cellStyle name="40% - Accent2 2 2 11 3" xfId="19937"/>
    <cellStyle name="40% - Accent2 2 2 12" xfId="12932"/>
    <cellStyle name="40% - Accent2 2 2 12 2" xfId="24076"/>
    <cellStyle name="40% - Accent2 2 2 13" xfId="18507"/>
    <cellStyle name="40% - Accent2 2 2 14" xfId="5900"/>
    <cellStyle name="40% - Accent2 2 2 2" xfId="271"/>
    <cellStyle name="40% - Accent2 2 2 2 10" xfId="10725"/>
    <cellStyle name="40% - Accent2 2 2 2 10 2" xfId="14401"/>
    <cellStyle name="40% - Accent2 2 2 2 10 2 2" xfId="25544"/>
    <cellStyle name="40% - Accent2 2 2 2 10 3" xfId="19975"/>
    <cellStyle name="40% - Accent2 2 2 2 11" xfId="12970"/>
    <cellStyle name="40% - Accent2 2 2 2 11 2" xfId="24114"/>
    <cellStyle name="40% - Accent2 2 2 2 12" xfId="18545"/>
    <cellStyle name="40% - Accent2 2 2 2 13" xfId="5938"/>
    <cellStyle name="40% - Accent2 2 2 2 2" xfId="347"/>
    <cellStyle name="40% - Accent2 2 2 2 2 10" xfId="13046"/>
    <cellStyle name="40% - Accent2 2 2 2 2 10 2" xfId="24190"/>
    <cellStyle name="40% - Accent2 2 2 2 2 11" xfId="18621"/>
    <cellStyle name="40% - Accent2 2 2 2 2 12" xfId="6014"/>
    <cellStyle name="40% - Accent2 2 2 2 2 2" xfId="2305"/>
    <cellStyle name="40% - Accent2 2 2 2 2 2 2" xfId="2949"/>
    <cellStyle name="40% - Accent2 2 2 2 2 2 2 2" xfId="5058"/>
    <cellStyle name="40% - Accent2 2 2 2 2 2 2 2 2" xfId="17671"/>
    <cellStyle name="40% - Accent2 2 2 2 2 2 2 2 2 2" xfId="28814"/>
    <cellStyle name="40% - Accent2 2 2 2 2 2 2 2 3" xfId="23245"/>
    <cellStyle name="40% - Accent2 2 2 2 2 2 2 2 4" xfId="9209"/>
    <cellStyle name="40% - Accent2 2 2 2 2 2 2 3" xfId="10489"/>
    <cellStyle name="40% - Accent2 2 2 2 2 2 2 3 2" xfId="15602"/>
    <cellStyle name="40% - Accent2 2 2 2 2 2 2 3 2 2" xfId="26745"/>
    <cellStyle name="40% - Accent2 2 2 2 2 2 2 3 3" xfId="21176"/>
    <cellStyle name="40% - Accent2 2 2 2 2 2 2 4" xfId="14172"/>
    <cellStyle name="40% - Accent2 2 2 2 2 2 2 4 2" xfId="25315"/>
    <cellStyle name="40% - Accent2 2 2 2 2 2 2 5" xfId="19746"/>
    <cellStyle name="40% - Accent2 2 2 2 2 2 2 6" xfId="7140"/>
    <cellStyle name="40% - Accent2 2 2 2 2 2 3" xfId="3587"/>
    <cellStyle name="40% - Accent2 2 2 2 2 2 3 2" xfId="5696"/>
    <cellStyle name="40% - Accent2 2 2 2 2 2 3 2 2" xfId="18309"/>
    <cellStyle name="40% - Accent2 2 2 2 2 2 3 2 2 2" xfId="29452"/>
    <cellStyle name="40% - Accent2 2 2 2 2 2 3 2 3" xfId="23883"/>
    <cellStyle name="40% - Accent2 2 2 2 2 2 3 2 4" xfId="9847"/>
    <cellStyle name="40% - Accent2 2 2 2 2 2 3 3" xfId="16240"/>
    <cellStyle name="40% - Accent2 2 2 2 2 2 3 3 2" xfId="27383"/>
    <cellStyle name="40% - Accent2 2 2 2 2 2 3 4" xfId="21814"/>
    <cellStyle name="40% - Accent2 2 2 2 2 2 3 5" xfId="7778"/>
    <cellStyle name="40% - Accent2 2 2 2 2 2 4" xfId="4266"/>
    <cellStyle name="40% - Accent2 2 2 2 2 2 4 2" xfId="16879"/>
    <cellStyle name="40% - Accent2 2 2 2 2 2 4 2 2" xfId="28022"/>
    <cellStyle name="40% - Accent2 2 2 2 2 2 4 3" xfId="22453"/>
    <cellStyle name="40% - Accent2 2 2 2 2 2 4 4" xfId="8417"/>
    <cellStyle name="40% - Accent2 2 2 2 2 2 5" xfId="10304"/>
    <cellStyle name="40% - Accent2 2 2 2 2 2 5 2" xfId="14963"/>
    <cellStyle name="40% - Accent2 2 2 2 2 2 5 2 2" xfId="26106"/>
    <cellStyle name="40% - Accent2 2 2 2 2 2 5 3" xfId="20537"/>
    <cellStyle name="40% - Accent2 2 2 2 2 2 6" xfId="13533"/>
    <cellStyle name="40% - Accent2 2 2 2 2 2 6 2" xfId="24676"/>
    <cellStyle name="40% - Accent2 2 2 2 2 2 7" xfId="19107"/>
    <cellStyle name="40% - Accent2 2 2 2 2 2 8" xfId="6501"/>
    <cellStyle name="40% - Accent2 2 2 2 2 3" xfId="2113"/>
    <cellStyle name="40% - Accent2 2 2 2 2 3 2" xfId="2768"/>
    <cellStyle name="40% - Accent2 2 2 2 2 3 2 2" xfId="4877"/>
    <cellStyle name="40% - Accent2 2 2 2 2 3 2 2 2" xfId="17490"/>
    <cellStyle name="40% - Accent2 2 2 2 2 3 2 2 2 2" xfId="28633"/>
    <cellStyle name="40% - Accent2 2 2 2 2 3 2 2 3" xfId="23064"/>
    <cellStyle name="40% - Accent2 2 2 2 2 3 2 2 4" xfId="9028"/>
    <cellStyle name="40% - Accent2 2 2 2 2 3 2 3" xfId="10691"/>
    <cellStyle name="40% - Accent2 2 2 2 2 3 2 3 2" xfId="15421"/>
    <cellStyle name="40% - Accent2 2 2 2 2 3 2 3 2 2" xfId="26564"/>
    <cellStyle name="40% - Accent2 2 2 2 2 3 2 3 3" xfId="20995"/>
    <cellStyle name="40% - Accent2 2 2 2 2 3 2 4" xfId="13991"/>
    <cellStyle name="40% - Accent2 2 2 2 2 3 2 4 2" xfId="25134"/>
    <cellStyle name="40% - Accent2 2 2 2 2 3 2 5" xfId="19565"/>
    <cellStyle name="40% - Accent2 2 2 2 2 3 2 6" xfId="6959"/>
    <cellStyle name="40% - Accent2 2 2 2 2 3 3" xfId="3406"/>
    <cellStyle name="40% - Accent2 2 2 2 2 3 3 2" xfId="5515"/>
    <cellStyle name="40% - Accent2 2 2 2 2 3 3 2 2" xfId="18128"/>
    <cellStyle name="40% - Accent2 2 2 2 2 3 3 2 2 2" xfId="29271"/>
    <cellStyle name="40% - Accent2 2 2 2 2 3 3 2 3" xfId="23702"/>
    <cellStyle name="40% - Accent2 2 2 2 2 3 3 2 4" xfId="9666"/>
    <cellStyle name="40% - Accent2 2 2 2 2 3 3 3" xfId="16059"/>
    <cellStyle name="40% - Accent2 2 2 2 2 3 3 3 2" xfId="27202"/>
    <cellStyle name="40% - Accent2 2 2 2 2 3 3 4" xfId="21633"/>
    <cellStyle name="40% - Accent2 2 2 2 2 3 3 5" xfId="7597"/>
    <cellStyle name="40% - Accent2 2 2 2 2 3 4" xfId="4085"/>
    <cellStyle name="40% - Accent2 2 2 2 2 3 4 2" xfId="16698"/>
    <cellStyle name="40% - Accent2 2 2 2 2 3 4 2 2" xfId="27841"/>
    <cellStyle name="40% - Accent2 2 2 2 2 3 4 3" xfId="22272"/>
    <cellStyle name="40% - Accent2 2 2 2 2 3 4 4" xfId="8236"/>
    <cellStyle name="40% - Accent2 2 2 2 2 3 5" xfId="10592"/>
    <cellStyle name="40% - Accent2 2 2 2 2 3 5 2" xfId="14782"/>
    <cellStyle name="40% - Accent2 2 2 2 2 3 5 2 2" xfId="25925"/>
    <cellStyle name="40% - Accent2 2 2 2 2 3 5 3" xfId="20356"/>
    <cellStyle name="40% - Accent2 2 2 2 2 3 6" xfId="13352"/>
    <cellStyle name="40% - Accent2 2 2 2 2 3 6 2" xfId="24495"/>
    <cellStyle name="40% - Accent2 2 2 2 2 3 7" xfId="18926"/>
    <cellStyle name="40% - Accent2 2 2 2 2 3 8" xfId="6320"/>
    <cellStyle name="40% - Accent2 2 2 2 2 4" xfId="2460"/>
    <cellStyle name="40% - Accent2 2 2 2 2 4 2" xfId="3101"/>
    <cellStyle name="40% - Accent2 2 2 2 2 4 2 2" xfId="5210"/>
    <cellStyle name="40% - Accent2 2 2 2 2 4 2 2 2" xfId="17823"/>
    <cellStyle name="40% - Accent2 2 2 2 2 4 2 2 2 2" xfId="28966"/>
    <cellStyle name="40% - Accent2 2 2 2 2 4 2 2 3" xfId="23397"/>
    <cellStyle name="40% - Accent2 2 2 2 2 4 2 2 4" xfId="9361"/>
    <cellStyle name="40% - Accent2 2 2 2 2 4 2 3" xfId="10712"/>
    <cellStyle name="40% - Accent2 2 2 2 2 4 2 3 2" xfId="15754"/>
    <cellStyle name="40% - Accent2 2 2 2 2 4 2 3 2 2" xfId="26897"/>
    <cellStyle name="40% - Accent2 2 2 2 2 4 2 3 3" xfId="21328"/>
    <cellStyle name="40% - Accent2 2 2 2 2 4 2 4" xfId="14324"/>
    <cellStyle name="40% - Accent2 2 2 2 2 4 2 4 2" xfId="25467"/>
    <cellStyle name="40% - Accent2 2 2 2 2 4 2 5" xfId="19898"/>
    <cellStyle name="40% - Accent2 2 2 2 2 4 2 6" xfId="7292"/>
    <cellStyle name="40% - Accent2 2 2 2 2 4 3" xfId="3739"/>
    <cellStyle name="40% - Accent2 2 2 2 2 4 3 2" xfId="5848"/>
    <cellStyle name="40% - Accent2 2 2 2 2 4 3 2 2" xfId="18461"/>
    <cellStyle name="40% - Accent2 2 2 2 2 4 3 2 2 2" xfId="29604"/>
    <cellStyle name="40% - Accent2 2 2 2 2 4 3 2 3" xfId="24035"/>
    <cellStyle name="40% - Accent2 2 2 2 2 4 3 2 4" xfId="9999"/>
    <cellStyle name="40% - Accent2 2 2 2 2 4 3 3" xfId="16392"/>
    <cellStyle name="40% - Accent2 2 2 2 2 4 3 3 2" xfId="27535"/>
    <cellStyle name="40% - Accent2 2 2 2 2 4 3 4" xfId="21966"/>
    <cellStyle name="40% - Accent2 2 2 2 2 4 3 5" xfId="7930"/>
    <cellStyle name="40% - Accent2 2 2 2 2 4 4" xfId="4418"/>
    <cellStyle name="40% - Accent2 2 2 2 2 4 4 2" xfId="17031"/>
    <cellStyle name="40% - Accent2 2 2 2 2 4 4 2 2" xfId="28174"/>
    <cellStyle name="40% - Accent2 2 2 2 2 4 4 3" xfId="22605"/>
    <cellStyle name="40% - Accent2 2 2 2 2 4 4 4" xfId="8569"/>
    <cellStyle name="40% - Accent2 2 2 2 2 4 5" xfId="10572"/>
    <cellStyle name="40% - Accent2 2 2 2 2 4 5 2" xfId="15115"/>
    <cellStyle name="40% - Accent2 2 2 2 2 4 5 2 2" xfId="26258"/>
    <cellStyle name="40% - Accent2 2 2 2 2 4 5 3" xfId="20689"/>
    <cellStyle name="40% - Accent2 2 2 2 2 4 6" xfId="13685"/>
    <cellStyle name="40% - Accent2 2 2 2 2 4 6 2" xfId="24828"/>
    <cellStyle name="40% - Accent2 2 2 2 2 4 7" xfId="19259"/>
    <cellStyle name="40% - Accent2 2 2 2 2 4 8" xfId="6653"/>
    <cellStyle name="40% - Accent2 2 2 2 2 5" xfId="1923"/>
    <cellStyle name="40% - Accent2 2 2 2 2 5 2" xfId="4571"/>
    <cellStyle name="40% - Accent2 2 2 2 2 5 2 2" xfId="17184"/>
    <cellStyle name="40% - Accent2 2 2 2 2 5 2 2 2" xfId="28327"/>
    <cellStyle name="40% - Accent2 2 2 2 2 5 2 3" xfId="22758"/>
    <cellStyle name="40% - Accent2 2 2 2 2 5 2 4" xfId="8722"/>
    <cellStyle name="40% - Accent2 2 2 2 2 5 3" xfId="11273"/>
    <cellStyle name="40% - Accent2 2 2 2 2 5 3 2" xfId="14630"/>
    <cellStyle name="40% - Accent2 2 2 2 2 5 3 2 2" xfId="25773"/>
    <cellStyle name="40% - Accent2 2 2 2 2 5 3 3" xfId="20204"/>
    <cellStyle name="40% - Accent2 2 2 2 2 5 4" xfId="13200"/>
    <cellStyle name="40% - Accent2 2 2 2 2 5 4 2" xfId="24343"/>
    <cellStyle name="40% - Accent2 2 2 2 2 5 5" xfId="18774"/>
    <cellStyle name="40% - Accent2 2 2 2 2 5 6" xfId="6168"/>
    <cellStyle name="40% - Accent2 2 2 2 2 6" xfId="2616"/>
    <cellStyle name="40% - Accent2 2 2 2 2 6 2" xfId="4725"/>
    <cellStyle name="40% - Accent2 2 2 2 2 6 2 2" xfId="17338"/>
    <cellStyle name="40% - Accent2 2 2 2 2 6 2 2 2" xfId="28481"/>
    <cellStyle name="40% - Accent2 2 2 2 2 6 2 3" xfId="22912"/>
    <cellStyle name="40% - Accent2 2 2 2 2 6 2 4" xfId="8876"/>
    <cellStyle name="40% - Accent2 2 2 2 2 6 3" xfId="10718"/>
    <cellStyle name="40% - Accent2 2 2 2 2 6 3 2" xfId="15269"/>
    <cellStyle name="40% - Accent2 2 2 2 2 6 3 2 2" xfId="26412"/>
    <cellStyle name="40% - Accent2 2 2 2 2 6 3 3" xfId="20843"/>
    <cellStyle name="40% - Accent2 2 2 2 2 6 4" xfId="13839"/>
    <cellStyle name="40% - Accent2 2 2 2 2 6 4 2" xfId="24982"/>
    <cellStyle name="40% - Accent2 2 2 2 2 6 5" xfId="19413"/>
    <cellStyle name="40% - Accent2 2 2 2 2 6 6" xfId="6807"/>
    <cellStyle name="40% - Accent2 2 2 2 2 7" xfId="3254"/>
    <cellStyle name="40% - Accent2 2 2 2 2 7 2" xfId="5363"/>
    <cellStyle name="40% - Accent2 2 2 2 2 7 2 2" xfId="17976"/>
    <cellStyle name="40% - Accent2 2 2 2 2 7 2 2 2" xfId="29119"/>
    <cellStyle name="40% - Accent2 2 2 2 2 7 2 3" xfId="23550"/>
    <cellStyle name="40% - Accent2 2 2 2 2 7 2 4" xfId="9514"/>
    <cellStyle name="40% - Accent2 2 2 2 2 7 3" xfId="15907"/>
    <cellStyle name="40% - Accent2 2 2 2 2 7 3 2" xfId="27050"/>
    <cellStyle name="40% - Accent2 2 2 2 2 7 4" xfId="21481"/>
    <cellStyle name="40% - Accent2 2 2 2 2 7 5" xfId="7445"/>
    <cellStyle name="40% - Accent2 2 2 2 2 8" xfId="3933"/>
    <cellStyle name="40% - Accent2 2 2 2 2 8 2" xfId="16546"/>
    <cellStyle name="40% - Accent2 2 2 2 2 8 2 2" xfId="27689"/>
    <cellStyle name="40% - Accent2 2 2 2 2 8 3" xfId="22120"/>
    <cellStyle name="40% - Accent2 2 2 2 2 8 4" xfId="8084"/>
    <cellStyle name="40% - Accent2 2 2 2 2 9" xfId="10144"/>
    <cellStyle name="40% - Accent2 2 2 2 2 9 2" xfId="14477"/>
    <cellStyle name="40% - Accent2 2 2 2 2 9 2 2" xfId="25620"/>
    <cellStyle name="40% - Accent2 2 2 2 2 9 3" xfId="20051"/>
    <cellStyle name="40% - Accent2 2 2 2 3" xfId="2229"/>
    <cellStyle name="40% - Accent2 2 2 2 3 2" xfId="2873"/>
    <cellStyle name="40% - Accent2 2 2 2 3 2 2" xfId="4982"/>
    <cellStyle name="40% - Accent2 2 2 2 3 2 2 2" xfId="17595"/>
    <cellStyle name="40% - Accent2 2 2 2 3 2 2 2 2" xfId="28738"/>
    <cellStyle name="40% - Accent2 2 2 2 3 2 2 3" xfId="23169"/>
    <cellStyle name="40% - Accent2 2 2 2 3 2 2 4" xfId="9133"/>
    <cellStyle name="40% - Accent2 2 2 2 3 2 3" xfId="10177"/>
    <cellStyle name="40% - Accent2 2 2 2 3 2 3 2" xfId="15526"/>
    <cellStyle name="40% - Accent2 2 2 2 3 2 3 2 2" xfId="26669"/>
    <cellStyle name="40% - Accent2 2 2 2 3 2 3 3" xfId="21100"/>
    <cellStyle name="40% - Accent2 2 2 2 3 2 4" xfId="14096"/>
    <cellStyle name="40% - Accent2 2 2 2 3 2 4 2" xfId="25239"/>
    <cellStyle name="40% - Accent2 2 2 2 3 2 5" xfId="19670"/>
    <cellStyle name="40% - Accent2 2 2 2 3 2 6" xfId="7064"/>
    <cellStyle name="40% - Accent2 2 2 2 3 3" xfId="3511"/>
    <cellStyle name="40% - Accent2 2 2 2 3 3 2" xfId="5620"/>
    <cellStyle name="40% - Accent2 2 2 2 3 3 2 2" xfId="18233"/>
    <cellStyle name="40% - Accent2 2 2 2 3 3 2 2 2" xfId="29376"/>
    <cellStyle name="40% - Accent2 2 2 2 3 3 2 3" xfId="23807"/>
    <cellStyle name="40% - Accent2 2 2 2 3 3 2 4" xfId="9771"/>
    <cellStyle name="40% - Accent2 2 2 2 3 3 3" xfId="16164"/>
    <cellStyle name="40% - Accent2 2 2 2 3 3 3 2" xfId="27307"/>
    <cellStyle name="40% - Accent2 2 2 2 3 3 4" xfId="21738"/>
    <cellStyle name="40% - Accent2 2 2 2 3 3 5" xfId="7702"/>
    <cellStyle name="40% - Accent2 2 2 2 3 4" xfId="4190"/>
    <cellStyle name="40% - Accent2 2 2 2 3 4 2" xfId="16803"/>
    <cellStyle name="40% - Accent2 2 2 2 3 4 2 2" xfId="27946"/>
    <cellStyle name="40% - Accent2 2 2 2 3 4 3" xfId="22377"/>
    <cellStyle name="40% - Accent2 2 2 2 3 4 4" xfId="8341"/>
    <cellStyle name="40% - Accent2 2 2 2 3 5" xfId="11369"/>
    <cellStyle name="40% - Accent2 2 2 2 3 5 2" xfId="14887"/>
    <cellStyle name="40% - Accent2 2 2 2 3 5 2 2" xfId="26030"/>
    <cellStyle name="40% - Accent2 2 2 2 3 5 3" xfId="20461"/>
    <cellStyle name="40% - Accent2 2 2 2 3 6" xfId="13457"/>
    <cellStyle name="40% - Accent2 2 2 2 3 6 2" xfId="24600"/>
    <cellStyle name="40% - Accent2 2 2 2 3 7" xfId="19031"/>
    <cellStyle name="40% - Accent2 2 2 2 3 8" xfId="6425"/>
    <cellStyle name="40% - Accent2 2 2 2 4" xfId="2037"/>
    <cellStyle name="40% - Accent2 2 2 2 4 2" xfId="2692"/>
    <cellStyle name="40% - Accent2 2 2 2 4 2 2" xfId="4801"/>
    <cellStyle name="40% - Accent2 2 2 2 4 2 2 2" xfId="17414"/>
    <cellStyle name="40% - Accent2 2 2 2 4 2 2 2 2" xfId="28557"/>
    <cellStyle name="40% - Accent2 2 2 2 4 2 2 3" xfId="22988"/>
    <cellStyle name="40% - Accent2 2 2 2 4 2 2 4" xfId="8952"/>
    <cellStyle name="40% - Accent2 2 2 2 4 2 3" xfId="10099"/>
    <cellStyle name="40% - Accent2 2 2 2 4 2 3 2" xfId="15345"/>
    <cellStyle name="40% - Accent2 2 2 2 4 2 3 2 2" xfId="26488"/>
    <cellStyle name="40% - Accent2 2 2 2 4 2 3 3" xfId="20919"/>
    <cellStyle name="40% - Accent2 2 2 2 4 2 4" xfId="13915"/>
    <cellStyle name="40% - Accent2 2 2 2 4 2 4 2" xfId="25058"/>
    <cellStyle name="40% - Accent2 2 2 2 4 2 5" xfId="19489"/>
    <cellStyle name="40% - Accent2 2 2 2 4 2 6" xfId="6883"/>
    <cellStyle name="40% - Accent2 2 2 2 4 3" xfId="3330"/>
    <cellStyle name="40% - Accent2 2 2 2 4 3 2" xfId="5439"/>
    <cellStyle name="40% - Accent2 2 2 2 4 3 2 2" xfId="18052"/>
    <cellStyle name="40% - Accent2 2 2 2 4 3 2 2 2" xfId="29195"/>
    <cellStyle name="40% - Accent2 2 2 2 4 3 2 3" xfId="23626"/>
    <cellStyle name="40% - Accent2 2 2 2 4 3 2 4" xfId="9590"/>
    <cellStyle name="40% - Accent2 2 2 2 4 3 3" xfId="15983"/>
    <cellStyle name="40% - Accent2 2 2 2 4 3 3 2" xfId="27126"/>
    <cellStyle name="40% - Accent2 2 2 2 4 3 4" xfId="21557"/>
    <cellStyle name="40% - Accent2 2 2 2 4 3 5" xfId="7521"/>
    <cellStyle name="40% - Accent2 2 2 2 4 4" xfId="4009"/>
    <cellStyle name="40% - Accent2 2 2 2 4 4 2" xfId="16622"/>
    <cellStyle name="40% - Accent2 2 2 2 4 4 2 2" xfId="27765"/>
    <cellStyle name="40% - Accent2 2 2 2 4 4 3" xfId="22196"/>
    <cellStyle name="40% - Accent2 2 2 2 4 4 4" xfId="8160"/>
    <cellStyle name="40% - Accent2 2 2 2 4 5" xfId="10548"/>
    <cellStyle name="40% - Accent2 2 2 2 4 5 2" xfId="14706"/>
    <cellStyle name="40% - Accent2 2 2 2 4 5 2 2" xfId="25849"/>
    <cellStyle name="40% - Accent2 2 2 2 4 5 3" xfId="20280"/>
    <cellStyle name="40% - Accent2 2 2 2 4 6" xfId="13276"/>
    <cellStyle name="40% - Accent2 2 2 2 4 6 2" xfId="24419"/>
    <cellStyle name="40% - Accent2 2 2 2 4 7" xfId="18850"/>
    <cellStyle name="40% - Accent2 2 2 2 4 8" xfId="6244"/>
    <cellStyle name="40% - Accent2 2 2 2 5" xfId="2384"/>
    <cellStyle name="40% - Accent2 2 2 2 5 2" xfId="3025"/>
    <cellStyle name="40% - Accent2 2 2 2 5 2 2" xfId="5134"/>
    <cellStyle name="40% - Accent2 2 2 2 5 2 2 2" xfId="17747"/>
    <cellStyle name="40% - Accent2 2 2 2 5 2 2 2 2" xfId="28890"/>
    <cellStyle name="40% - Accent2 2 2 2 5 2 2 3" xfId="23321"/>
    <cellStyle name="40% - Accent2 2 2 2 5 2 2 4" xfId="9285"/>
    <cellStyle name="40% - Accent2 2 2 2 5 2 3" xfId="10897"/>
    <cellStyle name="40% - Accent2 2 2 2 5 2 3 2" xfId="15678"/>
    <cellStyle name="40% - Accent2 2 2 2 5 2 3 2 2" xfId="26821"/>
    <cellStyle name="40% - Accent2 2 2 2 5 2 3 3" xfId="21252"/>
    <cellStyle name="40% - Accent2 2 2 2 5 2 4" xfId="14248"/>
    <cellStyle name="40% - Accent2 2 2 2 5 2 4 2" xfId="25391"/>
    <cellStyle name="40% - Accent2 2 2 2 5 2 5" xfId="19822"/>
    <cellStyle name="40% - Accent2 2 2 2 5 2 6" xfId="7216"/>
    <cellStyle name="40% - Accent2 2 2 2 5 3" xfId="3663"/>
    <cellStyle name="40% - Accent2 2 2 2 5 3 2" xfId="5772"/>
    <cellStyle name="40% - Accent2 2 2 2 5 3 2 2" xfId="18385"/>
    <cellStyle name="40% - Accent2 2 2 2 5 3 2 2 2" xfId="29528"/>
    <cellStyle name="40% - Accent2 2 2 2 5 3 2 3" xfId="23959"/>
    <cellStyle name="40% - Accent2 2 2 2 5 3 2 4" xfId="9923"/>
    <cellStyle name="40% - Accent2 2 2 2 5 3 3" xfId="16316"/>
    <cellStyle name="40% - Accent2 2 2 2 5 3 3 2" xfId="27459"/>
    <cellStyle name="40% - Accent2 2 2 2 5 3 4" xfId="21890"/>
    <cellStyle name="40% - Accent2 2 2 2 5 3 5" xfId="7854"/>
    <cellStyle name="40% - Accent2 2 2 2 5 4" xfId="4342"/>
    <cellStyle name="40% - Accent2 2 2 2 5 4 2" xfId="16955"/>
    <cellStyle name="40% - Accent2 2 2 2 5 4 2 2" xfId="28098"/>
    <cellStyle name="40% - Accent2 2 2 2 5 4 3" xfId="22529"/>
    <cellStyle name="40% - Accent2 2 2 2 5 4 4" xfId="8493"/>
    <cellStyle name="40% - Accent2 2 2 2 5 5" xfId="11070"/>
    <cellStyle name="40% - Accent2 2 2 2 5 5 2" xfId="15039"/>
    <cellStyle name="40% - Accent2 2 2 2 5 5 2 2" xfId="26182"/>
    <cellStyle name="40% - Accent2 2 2 2 5 5 3" xfId="20613"/>
    <cellStyle name="40% - Accent2 2 2 2 5 6" xfId="13609"/>
    <cellStyle name="40% - Accent2 2 2 2 5 6 2" xfId="24752"/>
    <cellStyle name="40% - Accent2 2 2 2 5 7" xfId="19183"/>
    <cellStyle name="40% - Accent2 2 2 2 5 8" xfId="6577"/>
    <cellStyle name="40% - Accent2 2 2 2 6" xfId="1847"/>
    <cellStyle name="40% - Accent2 2 2 2 6 2" xfId="4495"/>
    <cellStyle name="40% - Accent2 2 2 2 6 2 2" xfId="17108"/>
    <cellStyle name="40% - Accent2 2 2 2 6 2 2 2" xfId="28251"/>
    <cellStyle name="40% - Accent2 2 2 2 6 2 3" xfId="22682"/>
    <cellStyle name="40% - Accent2 2 2 2 6 2 4" xfId="8646"/>
    <cellStyle name="40% - Accent2 2 2 2 6 3" xfId="10209"/>
    <cellStyle name="40% - Accent2 2 2 2 6 3 2" xfId="14554"/>
    <cellStyle name="40% - Accent2 2 2 2 6 3 2 2" xfId="25697"/>
    <cellStyle name="40% - Accent2 2 2 2 6 3 3" xfId="20128"/>
    <cellStyle name="40% - Accent2 2 2 2 6 4" xfId="13124"/>
    <cellStyle name="40% - Accent2 2 2 2 6 4 2" xfId="24267"/>
    <cellStyle name="40% - Accent2 2 2 2 6 5" xfId="18698"/>
    <cellStyle name="40% - Accent2 2 2 2 6 6" xfId="6092"/>
    <cellStyle name="40% - Accent2 2 2 2 7" xfId="2540"/>
    <cellStyle name="40% - Accent2 2 2 2 7 2" xfId="4649"/>
    <cellStyle name="40% - Accent2 2 2 2 7 2 2" xfId="17262"/>
    <cellStyle name="40% - Accent2 2 2 2 7 2 2 2" xfId="28405"/>
    <cellStyle name="40% - Accent2 2 2 2 7 2 3" xfId="22836"/>
    <cellStyle name="40% - Accent2 2 2 2 7 2 4" xfId="8800"/>
    <cellStyle name="40% - Accent2 2 2 2 7 3" xfId="10689"/>
    <cellStyle name="40% - Accent2 2 2 2 7 3 2" xfId="15193"/>
    <cellStyle name="40% - Accent2 2 2 2 7 3 2 2" xfId="26336"/>
    <cellStyle name="40% - Accent2 2 2 2 7 3 3" xfId="20767"/>
    <cellStyle name="40% - Accent2 2 2 2 7 4" xfId="13763"/>
    <cellStyle name="40% - Accent2 2 2 2 7 4 2" xfId="24906"/>
    <cellStyle name="40% - Accent2 2 2 2 7 5" xfId="19337"/>
    <cellStyle name="40% - Accent2 2 2 2 7 6" xfId="6731"/>
    <cellStyle name="40% - Accent2 2 2 2 8" xfId="3178"/>
    <cellStyle name="40% - Accent2 2 2 2 8 2" xfId="5287"/>
    <cellStyle name="40% - Accent2 2 2 2 8 2 2" xfId="17900"/>
    <cellStyle name="40% - Accent2 2 2 2 8 2 2 2" xfId="29043"/>
    <cellStyle name="40% - Accent2 2 2 2 8 2 3" xfId="23474"/>
    <cellStyle name="40% - Accent2 2 2 2 8 2 4" xfId="9438"/>
    <cellStyle name="40% - Accent2 2 2 2 8 3" xfId="15831"/>
    <cellStyle name="40% - Accent2 2 2 2 8 3 2" xfId="26974"/>
    <cellStyle name="40% - Accent2 2 2 2 8 4" xfId="21405"/>
    <cellStyle name="40% - Accent2 2 2 2 8 5" xfId="7369"/>
    <cellStyle name="40% - Accent2 2 2 2 9" xfId="3857"/>
    <cellStyle name="40% - Accent2 2 2 2 9 2" xfId="16470"/>
    <cellStyle name="40% - Accent2 2 2 2 9 2 2" xfId="27613"/>
    <cellStyle name="40% - Accent2 2 2 2 9 3" xfId="22044"/>
    <cellStyle name="40% - Accent2 2 2 2 9 4" xfId="8008"/>
    <cellStyle name="40% - Accent2 2 2 3" xfId="309"/>
    <cellStyle name="40% - Accent2 2 2 3 10" xfId="13008"/>
    <cellStyle name="40% - Accent2 2 2 3 10 2" xfId="24152"/>
    <cellStyle name="40% - Accent2 2 2 3 11" xfId="18583"/>
    <cellStyle name="40% - Accent2 2 2 3 12" xfId="5976"/>
    <cellStyle name="40% - Accent2 2 2 3 2" xfId="2267"/>
    <cellStyle name="40% - Accent2 2 2 3 2 2" xfId="2911"/>
    <cellStyle name="40% - Accent2 2 2 3 2 2 2" xfId="5020"/>
    <cellStyle name="40% - Accent2 2 2 3 2 2 2 2" xfId="17633"/>
    <cellStyle name="40% - Accent2 2 2 3 2 2 2 2 2" xfId="28776"/>
    <cellStyle name="40% - Accent2 2 2 3 2 2 2 3" xfId="23207"/>
    <cellStyle name="40% - Accent2 2 2 3 2 2 2 4" xfId="9171"/>
    <cellStyle name="40% - Accent2 2 2 3 2 2 3" xfId="10970"/>
    <cellStyle name="40% - Accent2 2 2 3 2 2 3 2" xfId="15564"/>
    <cellStyle name="40% - Accent2 2 2 3 2 2 3 2 2" xfId="26707"/>
    <cellStyle name="40% - Accent2 2 2 3 2 2 3 3" xfId="21138"/>
    <cellStyle name="40% - Accent2 2 2 3 2 2 4" xfId="14134"/>
    <cellStyle name="40% - Accent2 2 2 3 2 2 4 2" xfId="25277"/>
    <cellStyle name="40% - Accent2 2 2 3 2 2 5" xfId="19708"/>
    <cellStyle name="40% - Accent2 2 2 3 2 2 6" xfId="7102"/>
    <cellStyle name="40% - Accent2 2 2 3 2 3" xfId="3549"/>
    <cellStyle name="40% - Accent2 2 2 3 2 3 2" xfId="5658"/>
    <cellStyle name="40% - Accent2 2 2 3 2 3 2 2" xfId="18271"/>
    <cellStyle name="40% - Accent2 2 2 3 2 3 2 2 2" xfId="29414"/>
    <cellStyle name="40% - Accent2 2 2 3 2 3 2 3" xfId="23845"/>
    <cellStyle name="40% - Accent2 2 2 3 2 3 2 4" xfId="9809"/>
    <cellStyle name="40% - Accent2 2 2 3 2 3 3" xfId="16202"/>
    <cellStyle name="40% - Accent2 2 2 3 2 3 3 2" xfId="27345"/>
    <cellStyle name="40% - Accent2 2 2 3 2 3 4" xfId="21776"/>
    <cellStyle name="40% - Accent2 2 2 3 2 3 5" xfId="7740"/>
    <cellStyle name="40% - Accent2 2 2 3 2 4" xfId="4228"/>
    <cellStyle name="40% - Accent2 2 2 3 2 4 2" xfId="16841"/>
    <cellStyle name="40% - Accent2 2 2 3 2 4 2 2" xfId="27984"/>
    <cellStyle name="40% - Accent2 2 2 3 2 4 3" xfId="22415"/>
    <cellStyle name="40% - Accent2 2 2 3 2 4 4" xfId="8379"/>
    <cellStyle name="40% - Accent2 2 2 3 2 5" xfId="10438"/>
    <cellStyle name="40% - Accent2 2 2 3 2 5 2" xfId="14925"/>
    <cellStyle name="40% - Accent2 2 2 3 2 5 2 2" xfId="26068"/>
    <cellStyle name="40% - Accent2 2 2 3 2 5 3" xfId="20499"/>
    <cellStyle name="40% - Accent2 2 2 3 2 6" xfId="13495"/>
    <cellStyle name="40% - Accent2 2 2 3 2 6 2" xfId="24638"/>
    <cellStyle name="40% - Accent2 2 2 3 2 7" xfId="19069"/>
    <cellStyle name="40% - Accent2 2 2 3 2 8" xfId="6463"/>
    <cellStyle name="40% - Accent2 2 2 3 3" xfId="2075"/>
    <cellStyle name="40% - Accent2 2 2 3 3 2" xfId="2730"/>
    <cellStyle name="40% - Accent2 2 2 3 3 2 2" xfId="4839"/>
    <cellStyle name="40% - Accent2 2 2 3 3 2 2 2" xfId="17452"/>
    <cellStyle name="40% - Accent2 2 2 3 3 2 2 2 2" xfId="28595"/>
    <cellStyle name="40% - Accent2 2 2 3 3 2 2 3" xfId="23026"/>
    <cellStyle name="40% - Accent2 2 2 3 3 2 2 4" xfId="8990"/>
    <cellStyle name="40% - Accent2 2 2 3 3 2 3" xfId="10639"/>
    <cellStyle name="40% - Accent2 2 2 3 3 2 3 2" xfId="15383"/>
    <cellStyle name="40% - Accent2 2 2 3 3 2 3 2 2" xfId="26526"/>
    <cellStyle name="40% - Accent2 2 2 3 3 2 3 3" xfId="20957"/>
    <cellStyle name="40% - Accent2 2 2 3 3 2 4" xfId="13953"/>
    <cellStyle name="40% - Accent2 2 2 3 3 2 4 2" xfId="25096"/>
    <cellStyle name="40% - Accent2 2 2 3 3 2 5" xfId="19527"/>
    <cellStyle name="40% - Accent2 2 2 3 3 2 6" xfId="6921"/>
    <cellStyle name="40% - Accent2 2 2 3 3 3" xfId="3368"/>
    <cellStyle name="40% - Accent2 2 2 3 3 3 2" xfId="5477"/>
    <cellStyle name="40% - Accent2 2 2 3 3 3 2 2" xfId="18090"/>
    <cellStyle name="40% - Accent2 2 2 3 3 3 2 2 2" xfId="29233"/>
    <cellStyle name="40% - Accent2 2 2 3 3 3 2 3" xfId="23664"/>
    <cellStyle name="40% - Accent2 2 2 3 3 3 2 4" xfId="9628"/>
    <cellStyle name="40% - Accent2 2 2 3 3 3 3" xfId="16021"/>
    <cellStyle name="40% - Accent2 2 2 3 3 3 3 2" xfId="27164"/>
    <cellStyle name="40% - Accent2 2 2 3 3 3 4" xfId="21595"/>
    <cellStyle name="40% - Accent2 2 2 3 3 3 5" xfId="7559"/>
    <cellStyle name="40% - Accent2 2 2 3 3 4" xfId="4047"/>
    <cellStyle name="40% - Accent2 2 2 3 3 4 2" xfId="16660"/>
    <cellStyle name="40% - Accent2 2 2 3 3 4 2 2" xfId="27803"/>
    <cellStyle name="40% - Accent2 2 2 3 3 4 3" xfId="22234"/>
    <cellStyle name="40% - Accent2 2 2 3 3 4 4" xfId="8198"/>
    <cellStyle name="40% - Accent2 2 2 3 3 5" xfId="11221"/>
    <cellStyle name="40% - Accent2 2 2 3 3 5 2" xfId="14744"/>
    <cellStyle name="40% - Accent2 2 2 3 3 5 2 2" xfId="25887"/>
    <cellStyle name="40% - Accent2 2 2 3 3 5 3" xfId="20318"/>
    <cellStyle name="40% - Accent2 2 2 3 3 6" xfId="13314"/>
    <cellStyle name="40% - Accent2 2 2 3 3 6 2" xfId="24457"/>
    <cellStyle name="40% - Accent2 2 2 3 3 7" xfId="18888"/>
    <cellStyle name="40% - Accent2 2 2 3 3 8" xfId="6282"/>
    <cellStyle name="40% - Accent2 2 2 3 4" xfId="2422"/>
    <cellStyle name="40% - Accent2 2 2 3 4 2" xfId="3063"/>
    <cellStyle name="40% - Accent2 2 2 3 4 2 2" xfId="5172"/>
    <cellStyle name="40% - Accent2 2 2 3 4 2 2 2" xfId="17785"/>
    <cellStyle name="40% - Accent2 2 2 3 4 2 2 2 2" xfId="28928"/>
    <cellStyle name="40% - Accent2 2 2 3 4 2 2 3" xfId="23359"/>
    <cellStyle name="40% - Accent2 2 2 3 4 2 2 4" xfId="9323"/>
    <cellStyle name="40% - Accent2 2 2 3 4 2 3" xfId="10567"/>
    <cellStyle name="40% - Accent2 2 2 3 4 2 3 2" xfId="15716"/>
    <cellStyle name="40% - Accent2 2 2 3 4 2 3 2 2" xfId="26859"/>
    <cellStyle name="40% - Accent2 2 2 3 4 2 3 3" xfId="21290"/>
    <cellStyle name="40% - Accent2 2 2 3 4 2 4" xfId="14286"/>
    <cellStyle name="40% - Accent2 2 2 3 4 2 4 2" xfId="25429"/>
    <cellStyle name="40% - Accent2 2 2 3 4 2 5" xfId="19860"/>
    <cellStyle name="40% - Accent2 2 2 3 4 2 6" xfId="7254"/>
    <cellStyle name="40% - Accent2 2 2 3 4 3" xfId="3701"/>
    <cellStyle name="40% - Accent2 2 2 3 4 3 2" xfId="5810"/>
    <cellStyle name="40% - Accent2 2 2 3 4 3 2 2" xfId="18423"/>
    <cellStyle name="40% - Accent2 2 2 3 4 3 2 2 2" xfId="29566"/>
    <cellStyle name="40% - Accent2 2 2 3 4 3 2 3" xfId="23997"/>
    <cellStyle name="40% - Accent2 2 2 3 4 3 2 4" xfId="9961"/>
    <cellStyle name="40% - Accent2 2 2 3 4 3 3" xfId="16354"/>
    <cellStyle name="40% - Accent2 2 2 3 4 3 3 2" xfId="27497"/>
    <cellStyle name="40% - Accent2 2 2 3 4 3 4" xfId="21928"/>
    <cellStyle name="40% - Accent2 2 2 3 4 3 5" xfId="7892"/>
    <cellStyle name="40% - Accent2 2 2 3 4 4" xfId="4380"/>
    <cellStyle name="40% - Accent2 2 2 3 4 4 2" xfId="16993"/>
    <cellStyle name="40% - Accent2 2 2 3 4 4 2 2" xfId="28136"/>
    <cellStyle name="40% - Accent2 2 2 3 4 4 3" xfId="22567"/>
    <cellStyle name="40% - Accent2 2 2 3 4 4 4" xfId="8531"/>
    <cellStyle name="40% - Accent2 2 2 3 4 5" xfId="11387"/>
    <cellStyle name="40% - Accent2 2 2 3 4 5 2" xfId="15077"/>
    <cellStyle name="40% - Accent2 2 2 3 4 5 2 2" xfId="26220"/>
    <cellStyle name="40% - Accent2 2 2 3 4 5 3" xfId="20651"/>
    <cellStyle name="40% - Accent2 2 2 3 4 6" xfId="13647"/>
    <cellStyle name="40% - Accent2 2 2 3 4 6 2" xfId="24790"/>
    <cellStyle name="40% - Accent2 2 2 3 4 7" xfId="19221"/>
    <cellStyle name="40% - Accent2 2 2 3 4 8" xfId="6615"/>
    <cellStyle name="40% - Accent2 2 2 3 5" xfId="1885"/>
    <cellStyle name="40% - Accent2 2 2 3 5 2" xfId="4533"/>
    <cellStyle name="40% - Accent2 2 2 3 5 2 2" xfId="17146"/>
    <cellStyle name="40% - Accent2 2 2 3 5 2 2 2" xfId="28289"/>
    <cellStyle name="40% - Accent2 2 2 3 5 2 3" xfId="22720"/>
    <cellStyle name="40% - Accent2 2 2 3 5 2 4" xfId="8684"/>
    <cellStyle name="40% - Accent2 2 2 3 5 3" xfId="11139"/>
    <cellStyle name="40% - Accent2 2 2 3 5 3 2" xfId="14592"/>
    <cellStyle name="40% - Accent2 2 2 3 5 3 2 2" xfId="25735"/>
    <cellStyle name="40% - Accent2 2 2 3 5 3 3" xfId="20166"/>
    <cellStyle name="40% - Accent2 2 2 3 5 4" xfId="13162"/>
    <cellStyle name="40% - Accent2 2 2 3 5 4 2" xfId="24305"/>
    <cellStyle name="40% - Accent2 2 2 3 5 5" xfId="18736"/>
    <cellStyle name="40% - Accent2 2 2 3 5 6" xfId="6130"/>
    <cellStyle name="40% - Accent2 2 2 3 6" xfId="2578"/>
    <cellStyle name="40% - Accent2 2 2 3 6 2" xfId="4687"/>
    <cellStyle name="40% - Accent2 2 2 3 6 2 2" xfId="17300"/>
    <cellStyle name="40% - Accent2 2 2 3 6 2 2 2" xfId="28443"/>
    <cellStyle name="40% - Accent2 2 2 3 6 2 3" xfId="22874"/>
    <cellStyle name="40% - Accent2 2 2 3 6 2 4" xfId="8838"/>
    <cellStyle name="40% - Accent2 2 2 3 6 3" xfId="11392"/>
    <cellStyle name="40% - Accent2 2 2 3 6 3 2" xfId="15231"/>
    <cellStyle name="40% - Accent2 2 2 3 6 3 2 2" xfId="26374"/>
    <cellStyle name="40% - Accent2 2 2 3 6 3 3" xfId="20805"/>
    <cellStyle name="40% - Accent2 2 2 3 6 4" xfId="13801"/>
    <cellStyle name="40% - Accent2 2 2 3 6 4 2" xfId="24944"/>
    <cellStyle name="40% - Accent2 2 2 3 6 5" xfId="19375"/>
    <cellStyle name="40% - Accent2 2 2 3 6 6" xfId="6769"/>
    <cellStyle name="40% - Accent2 2 2 3 7" xfId="3216"/>
    <cellStyle name="40% - Accent2 2 2 3 7 2" xfId="5325"/>
    <cellStyle name="40% - Accent2 2 2 3 7 2 2" xfId="17938"/>
    <cellStyle name="40% - Accent2 2 2 3 7 2 2 2" xfId="29081"/>
    <cellStyle name="40% - Accent2 2 2 3 7 2 3" xfId="23512"/>
    <cellStyle name="40% - Accent2 2 2 3 7 2 4" xfId="9476"/>
    <cellStyle name="40% - Accent2 2 2 3 7 3" xfId="15869"/>
    <cellStyle name="40% - Accent2 2 2 3 7 3 2" xfId="27012"/>
    <cellStyle name="40% - Accent2 2 2 3 7 4" xfId="21443"/>
    <cellStyle name="40% - Accent2 2 2 3 7 5" xfId="7407"/>
    <cellStyle name="40% - Accent2 2 2 3 8" xfId="3895"/>
    <cellStyle name="40% - Accent2 2 2 3 8 2" xfId="16508"/>
    <cellStyle name="40% - Accent2 2 2 3 8 2 2" xfId="27651"/>
    <cellStyle name="40% - Accent2 2 2 3 8 3" xfId="22082"/>
    <cellStyle name="40% - Accent2 2 2 3 8 4" xfId="8046"/>
    <cellStyle name="40% - Accent2 2 2 3 9" xfId="10968"/>
    <cellStyle name="40% - Accent2 2 2 3 9 2" xfId="14439"/>
    <cellStyle name="40% - Accent2 2 2 3 9 2 2" xfId="25582"/>
    <cellStyle name="40% - Accent2 2 2 3 9 3" xfId="20013"/>
    <cellStyle name="40% - Accent2 2 2 4" xfId="2191"/>
    <cellStyle name="40% - Accent2 2 2 4 2" xfId="2835"/>
    <cellStyle name="40% - Accent2 2 2 4 2 2" xfId="4944"/>
    <cellStyle name="40% - Accent2 2 2 4 2 2 2" xfId="17557"/>
    <cellStyle name="40% - Accent2 2 2 4 2 2 2 2" xfId="28700"/>
    <cellStyle name="40% - Accent2 2 2 4 2 2 3" xfId="23131"/>
    <cellStyle name="40% - Accent2 2 2 4 2 2 4" xfId="9095"/>
    <cellStyle name="40% - Accent2 2 2 4 2 3" xfId="10332"/>
    <cellStyle name="40% - Accent2 2 2 4 2 3 2" xfId="15488"/>
    <cellStyle name="40% - Accent2 2 2 4 2 3 2 2" xfId="26631"/>
    <cellStyle name="40% - Accent2 2 2 4 2 3 3" xfId="21062"/>
    <cellStyle name="40% - Accent2 2 2 4 2 4" xfId="14058"/>
    <cellStyle name="40% - Accent2 2 2 4 2 4 2" xfId="25201"/>
    <cellStyle name="40% - Accent2 2 2 4 2 5" xfId="19632"/>
    <cellStyle name="40% - Accent2 2 2 4 2 6" xfId="7026"/>
    <cellStyle name="40% - Accent2 2 2 4 3" xfId="3473"/>
    <cellStyle name="40% - Accent2 2 2 4 3 2" xfId="5582"/>
    <cellStyle name="40% - Accent2 2 2 4 3 2 2" xfId="18195"/>
    <cellStyle name="40% - Accent2 2 2 4 3 2 2 2" xfId="29338"/>
    <cellStyle name="40% - Accent2 2 2 4 3 2 3" xfId="23769"/>
    <cellStyle name="40% - Accent2 2 2 4 3 2 4" xfId="9733"/>
    <cellStyle name="40% - Accent2 2 2 4 3 3" xfId="16126"/>
    <cellStyle name="40% - Accent2 2 2 4 3 3 2" xfId="27269"/>
    <cellStyle name="40% - Accent2 2 2 4 3 4" xfId="21700"/>
    <cellStyle name="40% - Accent2 2 2 4 3 5" xfId="7664"/>
    <cellStyle name="40% - Accent2 2 2 4 4" xfId="4152"/>
    <cellStyle name="40% - Accent2 2 2 4 4 2" xfId="16765"/>
    <cellStyle name="40% - Accent2 2 2 4 4 2 2" xfId="27908"/>
    <cellStyle name="40% - Accent2 2 2 4 4 3" xfId="22339"/>
    <cellStyle name="40% - Accent2 2 2 4 4 4" xfId="8303"/>
    <cellStyle name="40% - Accent2 2 2 4 5" xfId="11210"/>
    <cellStyle name="40% - Accent2 2 2 4 5 2" xfId="14849"/>
    <cellStyle name="40% - Accent2 2 2 4 5 2 2" xfId="25992"/>
    <cellStyle name="40% - Accent2 2 2 4 5 3" xfId="20423"/>
    <cellStyle name="40% - Accent2 2 2 4 6" xfId="13419"/>
    <cellStyle name="40% - Accent2 2 2 4 6 2" xfId="24562"/>
    <cellStyle name="40% - Accent2 2 2 4 7" xfId="18993"/>
    <cellStyle name="40% - Accent2 2 2 4 8" xfId="6387"/>
    <cellStyle name="40% - Accent2 2 2 5" xfId="1999"/>
    <cellStyle name="40% - Accent2 2 2 5 2" xfId="2654"/>
    <cellStyle name="40% - Accent2 2 2 5 2 2" xfId="4763"/>
    <cellStyle name="40% - Accent2 2 2 5 2 2 2" xfId="17376"/>
    <cellStyle name="40% - Accent2 2 2 5 2 2 2 2" xfId="28519"/>
    <cellStyle name="40% - Accent2 2 2 5 2 2 3" xfId="22950"/>
    <cellStyle name="40% - Accent2 2 2 5 2 2 4" xfId="8914"/>
    <cellStyle name="40% - Accent2 2 2 5 2 3" xfId="11445"/>
    <cellStyle name="40% - Accent2 2 2 5 2 3 2" xfId="15307"/>
    <cellStyle name="40% - Accent2 2 2 5 2 3 2 2" xfId="26450"/>
    <cellStyle name="40% - Accent2 2 2 5 2 3 3" xfId="20881"/>
    <cellStyle name="40% - Accent2 2 2 5 2 4" xfId="13877"/>
    <cellStyle name="40% - Accent2 2 2 5 2 4 2" xfId="25020"/>
    <cellStyle name="40% - Accent2 2 2 5 2 5" xfId="19451"/>
    <cellStyle name="40% - Accent2 2 2 5 2 6" xfId="6845"/>
    <cellStyle name="40% - Accent2 2 2 5 3" xfId="3292"/>
    <cellStyle name="40% - Accent2 2 2 5 3 2" xfId="5401"/>
    <cellStyle name="40% - Accent2 2 2 5 3 2 2" xfId="18014"/>
    <cellStyle name="40% - Accent2 2 2 5 3 2 2 2" xfId="29157"/>
    <cellStyle name="40% - Accent2 2 2 5 3 2 3" xfId="23588"/>
    <cellStyle name="40% - Accent2 2 2 5 3 2 4" xfId="9552"/>
    <cellStyle name="40% - Accent2 2 2 5 3 3" xfId="15945"/>
    <cellStyle name="40% - Accent2 2 2 5 3 3 2" xfId="27088"/>
    <cellStyle name="40% - Accent2 2 2 5 3 4" xfId="21519"/>
    <cellStyle name="40% - Accent2 2 2 5 3 5" xfId="7483"/>
    <cellStyle name="40% - Accent2 2 2 5 4" xfId="3971"/>
    <cellStyle name="40% - Accent2 2 2 5 4 2" xfId="16584"/>
    <cellStyle name="40% - Accent2 2 2 5 4 2 2" xfId="27727"/>
    <cellStyle name="40% - Accent2 2 2 5 4 3" xfId="22158"/>
    <cellStyle name="40% - Accent2 2 2 5 4 4" xfId="8122"/>
    <cellStyle name="40% - Accent2 2 2 5 5" xfId="11019"/>
    <cellStyle name="40% - Accent2 2 2 5 5 2" xfId="14668"/>
    <cellStyle name="40% - Accent2 2 2 5 5 2 2" xfId="25811"/>
    <cellStyle name="40% - Accent2 2 2 5 5 3" xfId="20242"/>
    <cellStyle name="40% - Accent2 2 2 5 6" xfId="13238"/>
    <cellStyle name="40% - Accent2 2 2 5 6 2" xfId="24381"/>
    <cellStyle name="40% - Accent2 2 2 5 7" xfId="18812"/>
    <cellStyle name="40% - Accent2 2 2 5 8" xfId="6206"/>
    <cellStyle name="40% - Accent2 2 2 6" xfId="2346"/>
    <cellStyle name="40% - Accent2 2 2 6 2" xfId="2987"/>
    <cellStyle name="40% - Accent2 2 2 6 2 2" xfId="5096"/>
    <cellStyle name="40% - Accent2 2 2 6 2 2 2" xfId="17709"/>
    <cellStyle name="40% - Accent2 2 2 6 2 2 2 2" xfId="28852"/>
    <cellStyle name="40% - Accent2 2 2 6 2 2 3" xfId="23283"/>
    <cellStyle name="40% - Accent2 2 2 6 2 2 4" xfId="9247"/>
    <cellStyle name="40% - Accent2 2 2 6 2 3" xfId="10911"/>
    <cellStyle name="40% - Accent2 2 2 6 2 3 2" xfId="15640"/>
    <cellStyle name="40% - Accent2 2 2 6 2 3 2 2" xfId="26783"/>
    <cellStyle name="40% - Accent2 2 2 6 2 3 3" xfId="21214"/>
    <cellStyle name="40% - Accent2 2 2 6 2 4" xfId="14210"/>
    <cellStyle name="40% - Accent2 2 2 6 2 4 2" xfId="25353"/>
    <cellStyle name="40% - Accent2 2 2 6 2 5" xfId="19784"/>
    <cellStyle name="40% - Accent2 2 2 6 2 6" xfId="7178"/>
    <cellStyle name="40% - Accent2 2 2 6 3" xfId="3625"/>
    <cellStyle name="40% - Accent2 2 2 6 3 2" xfId="5734"/>
    <cellStyle name="40% - Accent2 2 2 6 3 2 2" xfId="18347"/>
    <cellStyle name="40% - Accent2 2 2 6 3 2 2 2" xfId="29490"/>
    <cellStyle name="40% - Accent2 2 2 6 3 2 3" xfId="23921"/>
    <cellStyle name="40% - Accent2 2 2 6 3 2 4" xfId="9885"/>
    <cellStyle name="40% - Accent2 2 2 6 3 3" xfId="16278"/>
    <cellStyle name="40% - Accent2 2 2 6 3 3 2" xfId="27421"/>
    <cellStyle name="40% - Accent2 2 2 6 3 4" xfId="21852"/>
    <cellStyle name="40% - Accent2 2 2 6 3 5" xfId="7816"/>
    <cellStyle name="40% - Accent2 2 2 6 4" xfId="4304"/>
    <cellStyle name="40% - Accent2 2 2 6 4 2" xfId="16917"/>
    <cellStyle name="40% - Accent2 2 2 6 4 2 2" xfId="28060"/>
    <cellStyle name="40% - Accent2 2 2 6 4 3" xfId="22491"/>
    <cellStyle name="40% - Accent2 2 2 6 4 4" xfId="8455"/>
    <cellStyle name="40% - Accent2 2 2 6 5" xfId="10684"/>
    <cellStyle name="40% - Accent2 2 2 6 5 2" xfId="15001"/>
    <cellStyle name="40% - Accent2 2 2 6 5 2 2" xfId="26144"/>
    <cellStyle name="40% - Accent2 2 2 6 5 3" xfId="20575"/>
    <cellStyle name="40% - Accent2 2 2 6 6" xfId="13571"/>
    <cellStyle name="40% - Accent2 2 2 6 6 2" xfId="24714"/>
    <cellStyle name="40% - Accent2 2 2 6 7" xfId="19145"/>
    <cellStyle name="40% - Accent2 2 2 6 8" xfId="6539"/>
    <cellStyle name="40% - Accent2 2 2 7" xfId="1809"/>
    <cellStyle name="40% - Accent2 2 2 7 2" xfId="4457"/>
    <cellStyle name="40% - Accent2 2 2 7 2 2" xfId="17070"/>
    <cellStyle name="40% - Accent2 2 2 7 2 2 2" xfId="28213"/>
    <cellStyle name="40% - Accent2 2 2 7 2 3" xfId="22644"/>
    <cellStyle name="40% - Accent2 2 2 7 2 4" xfId="8608"/>
    <cellStyle name="40% - Accent2 2 2 7 3" xfId="10843"/>
    <cellStyle name="40% - Accent2 2 2 7 3 2" xfId="14516"/>
    <cellStyle name="40% - Accent2 2 2 7 3 2 2" xfId="25659"/>
    <cellStyle name="40% - Accent2 2 2 7 3 3" xfId="20090"/>
    <cellStyle name="40% - Accent2 2 2 7 4" xfId="13086"/>
    <cellStyle name="40% - Accent2 2 2 7 4 2" xfId="24229"/>
    <cellStyle name="40% - Accent2 2 2 7 5" xfId="18660"/>
    <cellStyle name="40% - Accent2 2 2 7 6" xfId="6054"/>
    <cellStyle name="40% - Accent2 2 2 8" xfId="2502"/>
    <cellStyle name="40% - Accent2 2 2 8 2" xfId="4611"/>
    <cellStyle name="40% - Accent2 2 2 8 2 2" xfId="17224"/>
    <cellStyle name="40% - Accent2 2 2 8 2 2 2" xfId="28367"/>
    <cellStyle name="40% - Accent2 2 2 8 2 3" xfId="22798"/>
    <cellStyle name="40% - Accent2 2 2 8 2 4" xfId="8762"/>
    <cellStyle name="40% - Accent2 2 2 8 3" xfId="10507"/>
    <cellStyle name="40% - Accent2 2 2 8 3 2" xfId="15155"/>
    <cellStyle name="40% - Accent2 2 2 8 3 2 2" xfId="26298"/>
    <cellStyle name="40% - Accent2 2 2 8 3 3" xfId="20729"/>
    <cellStyle name="40% - Accent2 2 2 8 4" xfId="13725"/>
    <cellStyle name="40% - Accent2 2 2 8 4 2" xfId="24868"/>
    <cellStyle name="40% - Accent2 2 2 8 5" xfId="19299"/>
    <cellStyle name="40% - Accent2 2 2 8 6" xfId="6693"/>
    <cellStyle name="40% - Accent2 2 2 9" xfId="3140"/>
    <cellStyle name="40% - Accent2 2 2 9 2" xfId="5249"/>
    <cellStyle name="40% - Accent2 2 2 9 2 2" xfId="17862"/>
    <cellStyle name="40% - Accent2 2 2 9 2 2 2" xfId="29005"/>
    <cellStyle name="40% - Accent2 2 2 9 2 3" xfId="23436"/>
    <cellStyle name="40% - Accent2 2 2 9 2 4" xfId="9400"/>
    <cellStyle name="40% - Accent2 2 2 9 3" xfId="15793"/>
    <cellStyle name="40% - Accent2 2 2 9 3 2" xfId="26936"/>
    <cellStyle name="40% - Accent2 2 2 9 4" xfId="21367"/>
    <cellStyle name="40% - Accent2 2 2 9 5" xfId="7331"/>
    <cellStyle name="40% - Accent2 2 3" xfId="252"/>
    <cellStyle name="40% - Accent2 2 3 10" xfId="10342"/>
    <cellStyle name="40% - Accent2 2 3 10 2" xfId="14382"/>
    <cellStyle name="40% - Accent2 2 3 10 2 2" xfId="25525"/>
    <cellStyle name="40% - Accent2 2 3 10 3" xfId="19956"/>
    <cellStyle name="40% - Accent2 2 3 11" xfId="12951"/>
    <cellStyle name="40% - Accent2 2 3 11 2" xfId="24095"/>
    <cellStyle name="40% - Accent2 2 3 12" xfId="18526"/>
    <cellStyle name="40% - Accent2 2 3 13" xfId="5919"/>
    <cellStyle name="40% - Accent2 2 3 2" xfId="328"/>
    <cellStyle name="40% - Accent2 2 3 2 10" xfId="13027"/>
    <cellStyle name="40% - Accent2 2 3 2 10 2" xfId="24171"/>
    <cellStyle name="40% - Accent2 2 3 2 11" xfId="18602"/>
    <cellStyle name="40% - Accent2 2 3 2 12" xfId="5995"/>
    <cellStyle name="40% - Accent2 2 3 2 2" xfId="2286"/>
    <cellStyle name="40% - Accent2 2 3 2 2 2" xfId="2930"/>
    <cellStyle name="40% - Accent2 2 3 2 2 2 2" xfId="5039"/>
    <cellStyle name="40% - Accent2 2 3 2 2 2 2 2" xfId="17652"/>
    <cellStyle name="40% - Accent2 2 3 2 2 2 2 2 2" xfId="28795"/>
    <cellStyle name="40% - Accent2 2 3 2 2 2 2 3" xfId="23226"/>
    <cellStyle name="40% - Accent2 2 3 2 2 2 2 4" xfId="9190"/>
    <cellStyle name="40% - Accent2 2 3 2 2 2 3" xfId="11381"/>
    <cellStyle name="40% - Accent2 2 3 2 2 2 3 2" xfId="15583"/>
    <cellStyle name="40% - Accent2 2 3 2 2 2 3 2 2" xfId="26726"/>
    <cellStyle name="40% - Accent2 2 3 2 2 2 3 3" xfId="21157"/>
    <cellStyle name="40% - Accent2 2 3 2 2 2 4" xfId="14153"/>
    <cellStyle name="40% - Accent2 2 3 2 2 2 4 2" xfId="25296"/>
    <cellStyle name="40% - Accent2 2 3 2 2 2 5" xfId="19727"/>
    <cellStyle name="40% - Accent2 2 3 2 2 2 6" xfId="7121"/>
    <cellStyle name="40% - Accent2 2 3 2 2 3" xfId="3568"/>
    <cellStyle name="40% - Accent2 2 3 2 2 3 2" xfId="5677"/>
    <cellStyle name="40% - Accent2 2 3 2 2 3 2 2" xfId="18290"/>
    <cellStyle name="40% - Accent2 2 3 2 2 3 2 2 2" xfId="29433"/>
    <cellStyle name="40% - Accent2 2 3 2 2 3 2 3" xfId="23864"/>
    <cellStyle name="40% - Accent2 2 3 2 2 3 2 4" xfId="9828"/>
    <cellStyle name="40% - Accent2 2 3 2 2 3 3" xfId="16221"/>
    <cellStyle name="40% - Accent2 2 3 2 2 3 3 2" xfId="27364"/>
    <cellStyle name="40% - Accent2 2 3 2 2 3 4" xfId="21795"/>
    <cellStyle name="40% - Accent2 2 3 2 2 3 5" xfId="7759"/>
    <cellStyle name="40% - Accent2 2 3 2 2 4" xfId="4247"/>
    <cellStyle name="40% - Accent2 2 3 2 2 4 2" xfId="16860"/>
    <cellStyle name="40% - Accent2 2 3 2 2 4 2 2" xfId="28003"/>
    <cellStyle name="40% - Accent2 2 3 2 2 4 3" xfId="22434"/>
    <cellStyle name="40% - Accent2 2 3 2 2 4 4" xfId="8398"/>
    <cellStyle name="40% - Accent2 2 3 2 2 5" xfId="10294"/>
    <cellStyle name="40% - Accent2 2 3 2 2 5 2" xfId="14944"/>
    <cellStyle name="40% - Accent2 2 3 2 2 5 2 2" xfId="26087"/>
    <cellStyle name="40% - Accent2 2 3 2 2 5 3" xfId="20518"/>
    <cellStyle name="40% - Accent2 2 3 2 2 6" xfId="13514"/>
    <cellStyle name="40% - Accent2 2 3 2 2 6 2" xfId="24657"/>
    <cellStyle name="40% - Accent2 2 3 2 2 7" xfId="19088"/>
    <cellStyle name="40% - Accent2 2 3 2 2 8" xfId="6482"/>
    <cellStyle name="40% - Accent2 2 3 2 3" xfId="2094"/>
    <cellStyle name="40% - Accent2 2 3 2 3 2" xfId="2749"/>
    <cellStyle name="40% - Accent2 2 3 2 3 2 2" xfId="4858"/>
    <cellStyle name="40% - Accent2 2 3 2 3 2 2 2" xfId="17471"/>
    <cellStyle name="40% - Accent2 2 3 2 3 2 2 2 2" xfId="28614"/>
    <cellStyle name="40% - Accent2 2 3 2 3 2 2 3" xfId="23045"/>
    <cellStyle name="40% - Accent2 2 3 2 3 2 2 4" xfId="9009"/>
    <cellStyle name="40% - Accent2 2 3 2 3 2 3" xfId="10126"/>
    <cellStyle name="40% - Accent2 2 3 2 3 2 3 2" xfId="15402"/>
    <cellStyle name="40% - Accent2 2 3 2 3 2 3 2 2" xfId="26545"/>
    <cellStyle name="40% - Accent2 2 3 2 3 2 3 3" xfId="20976"/>
    <cellStyle name="40% - Accent2 2 3 2 3 2 4" xfId="13972"/>
    <cellStyle name="40% - Accent2 2 3 2 3 2 4 2" xfId="25115"/>
    <cellStyle name="40% - Accent2 2 3 2 3 2 5" xfId="19546"/>
    <cellStyle name="40% - Accent2 2 3 2 3 2 6" xfId="6940"/>
    <cellStyle name="40% - Accent2 2 3 2 3 3" xfId="3387"/>
    <cellStyle name="40% - Accent2 2 3 2 3 3 2" xfId="5496"/>
    <cellStyle name="40% - Accent2 2 3 2 3 3 2 2" xfId="18109"/>
    <cellStyle name="40% - Accent2 2 3 2 3 3 2 2 2" xfId="29252"/>
    <cellStyle name="40% - Accent2 2 3 2 3 3 2 3" xfId="23683"/>
    <cellStyle name="40% - Accent2 2 3 2 3 3 2 4" xfId="9647"/>
    <cellStyle name="40% - Accent2 2 3 2 3 3 3" xfId="16040"/>
    <cellStyle name="40% - Accent2 2 3 2 3 3 3 2" xfId="27183"/>
    <cellStyle name="40% - Accent2 2 3 2 3 3 4" xfId="21614"/>
    <cellStyle name="40% - Accent2 2 3 2 3 3 5" xfId="7578"/>
    <cellStyle name="40% - Accent2 2 3 2 3 4" xfId="4066"/>
    <cellStyle name="40% - Accent2 2 3 2 3 4 2" xfId="16679"/>
    <cellStyle name="40% - Accent2 2 3 2 3 4 2 2" xfId="27822"/>
    <cellStyle name="40% - Accent2 2 3 2 3 4 3" xfId="22253"/>
    <cellStyle name="40% - Accent2 2 3 2 3 4 4" xfId="8217"/>
    <cellStyle name="40% - Accent2 2 3 2 3 5" xfId="10750"/>
    <cellStyle name="40% - Accent2 2 3 2 3 5 2" xfId="14763"/>
    <cellStyle name="40% - Accent2 2 3 2 3 5 2 2" xfId="25906"/>
    <cellStyle name="40% - Accent2 2 3 2 3 5 3" xfId="20337"/>
    <cellStyle name="40% - Accent2 2 3 2 3 6" xfId="13333"/>
    <cellStyle name="40% - Accent2 2 3 2 3 6 2" xfId="24476"/>
    <cellStyle name="40% - Accent2 2 3 2 3 7" xfId="18907"/>
    <cellStyle name="40% - Accent2 2 3 2 3 8" xfId="6301"/>
    <cellStyle name="40% - Accent2 2 3 2 4" xfId="2441"/>
    <cellStyle name="40% - Accent2 2 3 2 4 2" xfId="3082"/>
    <cellStyle name="40% - Accent2 2 3 2 4 2 2" xfId="5191"/>
    <cellStyle name="40% - Accent2 2 3 2 4 2 2 2" xfId="17804"/>
    <cellStyle name="40% - Accent2 2 3 2 4 2 2 2 2" xfId="28947"/>
    <cellStyle name="40% - Accent2 2 3 2 4 2 2 3" xfId="23378"/>
    <cellStyle name="40% - Accent2 2 3 2 4 2 2 4" xfId="9342"/>
    <cellStyle name="40% - Accent2 2 3 2 4 2 3" xfId="11435"/>
    <cellStyle name="40% - Accent2 2 3 2 4 2 3 2" xfId="15735"/>
    <cellStyle name="40% - Accent2 2 3 2 4 2 3 2 2" xfId="26878"/>
    <cellStyle name="40% - Accent2 2 3 2 4 2 3 3" xfId="21309"/>
    <cellStyle name="40% - Accent2 2 3 2 4 2 4" xfId="14305"/>
    <cellStyle name="40% - Accent2 2 3 2 4 2 4 2" xfId="25448"/>
    <cellStyle name="40% - Accent2 2 3 2 4 2 5" xfId="19879"/>
    <cellStyle name="40% - Accent2 2 3 2 4 2 6" xfId="7273"/>
    <cellStyle name="40% - Accent2 2 3 2 4 3" xfId="3720"/>
    <cellStyle name="40% - Accent2 2 3 2 4 3 2" xfId="5829"/>
    <cellStyle name="40% - Accent2 2 3 2 4 3 2 2" xfId="18442"/>
    <cellStyle name="40% - Accent2 2 3 2 4 3 2 2 2" xfId="29585"/>
    <cellStyle name="40% - Accent2 2 3 2 4 3 2 3" xfId="24016"/>
    <cellStyle name="40% - Accent2 2 3 2 4 3 2 4" xfId="9980"/>
    <cellStyle name="40% - Accent2 2 3 2 4 3 3" xfId="16373"/>
    <cellStyle name="40% - Accent2 2 3 2 4 3 3 2" xfId="27516"/>
    <cellStyle name="40% - Accent2 2 3 2 4 3 4" xfId="21947"/>
    <cellStyle name="40% - Accent2 2 3 2 4 3 5" xfId="7911"/>
    <cellStyle name="40% - Accent2 2 3 2 4 4" xfId="4399"/>
    <cellStyle name="40% - Accent2 2 3 2 4 4 2" xfId="17012"/>
    <cellStyle name="40% - Accent2 2 3 2 4 4 2 2" xfId="28155"/>
    <cellStyle name="40% - Accent2 2 3 2 4 4 3" xfId="22586"/>
    <cellStyle name="40% - Accent2 2 3 2 4 4 4" xfId="8550"/>
    <cellStyle name="40% - Accent2 2 3 2 4 5" xfId="10713"/>
    <cellStyle name="40% - Accent2 2 3 2 4 5 2" xfId="15096"/>
    <cellStyle name="40% - Accent2 2 3 2 4 5 2 2" xfId="26239"/>
    <cellStyle name="40% - Accent2 2 3 2 4 5 3" xfId="20670"/>
    <cellStyle name="40% - Accent2 2 3 2 4 6" xfId="13666"/>
    <cellStyle name="40% - Accent2 2 3 2 4 6 2" xfId="24809"/>
    <cellStyle name="40% - Accent2 2 3 2 4 7" xfId="19240"/>
    <cellStyle name="40% - Accent2 2 3 2 4 8" xfId="6634"/>
    <cellStyle name="40% - Accent2 2 3 2 5" xfId="1904"/>
    <cellStyle name="40% - Accent2 2 3 2 5 2" xfId="4552"/>
    <cellStyle name="40% - Accent2 2 3 2 5 2 2" xfId="17165"/>
    <cellStyle name="40% - Accent2 2 3 2 5 2 2 2" xfId="28308"/>
    <cellStyle name="40% - Accent2 2 3 2 5 2 3" xfId="22739"/>
    <cellStyle name="40% - Accent2 2 3 2 5 2 4" xfId="8703"/>
    <cellStyle name="40% - Accent2 2 3 2 5 3" xfId="10841"/>
    <cellStyle name="40% - Accent2 2 3 2 5 3 2" xfId="14611"/>
    <cellStyle name="40% - Accent2 2 3 2 5 3 2 2" xfId="25754"/>
    <cellStyle name="40% - Accent2 2 3 2 5 3 3" xfId="20185"/>
    <cellStyle name="40% - Accent2 2 3 2 5 4" xfId="13181"/>
    <cellStyle name="40% - Accent2 2 3 2 5 4 2" xfId="24324"/>
    <cellStyle name="40% - Accent2 2 3 2 5 5" xfId="18755"/>
    <cellStyle name="40% - Accent2 2 3 2 5 6" xfId="6149"/>
    <cellStyle name="40% - Accent2 2 3 2 6" xfId="2597"/>
    <cellStyle name="40% - Accent2 2 3 2 6 2" xfId="4706"/>
    <cellStyle name="40% - Accent2 2 3 2 6 2 2" xfId="17319"/>
    <cellStyle name="40% - Accent2 2 3 2 6 2 2 2" xfId="28462"/>
    <cellStyle name="40% - Accent2 2 3 2 6 2 3" xfId="22893"/>
    <cellStyle name="40% - Accent2 2 3 2 6 2 4" xfId="8857"/>
    <cellStyle name="40% - Accent2 2 3 2 6 3" xfId="10375"/>
    <cellStyle name="40% - Accent2 2 3 2 6 3 2" xfId="15250"/>
    <cellStyle name="40% - Accent2 2 3 2 6 3 2 2" xfId="26393"/>
    <cellStyle name="40% - Accent2 2 3 2 6 3 3" xfId="20824"/>
    <cellStyle name="40% - Accent2 2 3 2 6 4" xfId="13820"/>
    <cellStyle name="40% - Accent2 2 3 2 6 4 2" xfId="24963"/>
    <cellStyle name="40% - Accent2 2 3 2 6 5" xfId="19394"/>
    <cellStyle name="40% - Accent2 2 3 2 6 6" xfId="6788"/>
    <cellStyle name="40% - Accent2 2 3 2 7" xfId="3235"/>
    <cellStyle name="40% - Accent2 2 3 2 7 2" xfId="5344"/>
    <cellStyle name="40% - Accent2 2 3 2 7 2 2" xfId="17957"/>
    <cellStyle name="40% - Accent2 2 3 2 7 2 2 2" xfId="29100"/>
    <cellStyle name="40% - Accent2 2 3 2 7 2 3" xfId="23531"/>
    <cellStyle name="40% - Accent2 2 3 2 7 2 4" xfId="9495"/>
    <cellStyle name="40% - Accent2 2 3 2 7 3" xfId="15888"/>
    <cellStyle name="40% - Accent2 2 3 2 7 3 2" xfId="27031"/>
    <cellStyle name="40% - Accent2 2 3 2 7 4" xfId="21462"/>
    <cellStyle name="40% - Accent2 2 3 2 7 5" xfId="7426"/>
    <cellStyle name="40% - Accent2 2 3 2 8" xfId="3914"/>
    <cellStyle name="40% - Accent2 2 3 2 8 2" xfId="16527"/>
    <cellStyle name="40% - Accent2 2 3 2 8 2 2" xfId="27670"/>
    <cellStyle name="40% - Accent2 2 3 2 8 3" xfId="22101"/>
    <cellStyle name="40% - Accent2 2 3 2 8 4" xfId="8065"/>
    <cellStyle name="40% - Accent2 2 3 2 9" xfId="11353"/>
    <cellStyle name="40% - Accent2 2 3 2 9 2" xfId="14458"/>
    <cellStyle name="40% - Accent2 2 3 2 9 2 2" xfId="25601"/>
    <cellStyle name="40% - Accent2 2 3 2 9 3" xfId="20032"/>
    <cellStyle name="40% - Accent2 2 3 3" xfId="2210"/>
    <cellStyle name="40% - Accent2 2 3 3 2" xfId="2854"/>
    <cellStyle name="40% - Accent2 2 3 3 2 2" xfId="4963"/>
    <cellStyle name="40% - Accent2 2 3 3 2 2 2" xfId="17576"/>
    <cellStyle name="40% - Accent2 2 3 3 2 2 2 2" xfId="28719"/>
    <cellStyle name="40% - Accent2 2 3 3 2 2 3" xfId="23150"/>
    <cellStyle name="40% - Accent2 2 3 3 2 2 4" xfId="9114"/>
    <cellStyle name="40% - Accent2 2 3 3 2 3" xfId="10252"/>
    <cellStyle name="40% - Accent2 2 3 3 2 3 2" xfId="15507"/>
    <cellStyle name="40% - Accent2 2 3 3 2 3 2 2" xfId="26650"/>
    <cellStyle name="40% - Accent2 2 3 3 2 3 3" xfId="21081"/>
    <cellStyle name="40% - Accent2 2 3 3 2 4" xfId="14077"/>
    <cellStyle name="40% - Accent2 2 3 3 2 4 2" xfId="25220"/>
    <cellStyle name="40% - Accent2 2 3 3 2 5" xfId="19651"/>
    <cellStyle name="40% - Accent2 2 3 3 2 6" xfId="7045"/>
    <cellStyle name="40% - Accent2 2 3 3 3" xfId="3492"/>
    <cellStyle name="40% - Accent2 2 3 3 3 2" xfId="5601"/>
    <cellStyle name="40% - Accent2 2 3 3 3 2 2" xfId="18214"/>
    <cellStyle name="40% - Accent2 2 3 3 3 2 2 2" xfId="29357"/>
    <cellStyle name="40% - Accent2 2 3 3 3 2 3" xfId="23788"/>
    <cellStyle name="40% - Accent2 2 3 3 3 2 4" xfId="9752"/>
    <cellStyle name="40% - Accent2 2 3 3 3 3" xfId="16145"/>
    <cellStyle name="40% - Accent2 2 3 3 3 3 2" xfId="27288"/>
    <cellStyle name="40% - Accent2 2 3 3 3 4" xfId="21719"/>
    <cellStyle name="40% - Accent2 2 3 3 3 5" xfId="7683"/>
    <cellStyle name="40% - Accent2 2 3 3 4" xfId="4171"/>
    <cellStyle name="40% - Accent2 2 3 3 4 2" xfId="16784"/>
    <cellStyle name="40% - Accent2 2 3 3 4 2 2" xfId="27927"/>
    <cellStyle name="40% - Accent2 2 3 3 4 3" xfId="22358"/>
    <cellStyle name="40% - Accent2 2 3 3 4 4" xfId="8322"/>
    <cellStyle name="40% - Accent2 2 3 3 5" xfId="11117"/>
    <cellStyle name="40% - Accent2 2 3 3 5 2" xfId="14868"/>
    <cellStyle name="40% - Accent2 2 3 3 5 2 2" xfId="26011"/>
    <cellStyle name="40% - Accent2 2 3 3 5 3" xfId="20442"/>
    <cellStyle name="40% - Accent2 2 3 3 6" xfId="13438"/>
    <cellStyle name="40% - Accent2 2 3 3 6 2" xfId="24581"/>
    <cellStyle name="40% - Accent2 2 3 3 7" xfId="19012"/>
    <cellStyle name="40% - Accent2 2 3 3 8" xfId="6406"/>
    <cellStyle name="40% - Accent2 2 3 4" xfId="2018"/>
    <cellStyle name="40% - Accent2 2 3 4 2" xfId="2673"/>
    <cellStyle name="40% - Accent2 2 3 4 2 2" xfId="4782"/>
    <cellStyle name="40% - Accent2 2 3 4 2 2 2" xfId="17395"/>
    <cellStyle name="40% - Accent2 2 3 4 2 2 2 2" xfId="28538"/>
    <cellStyle name="40% - Accent2 2 3 4 2 2 3" xfId="22969"/>
    <cellStyle name="40% - Accent2 2 3 4 2 2 4" xfId="8933"/>
    <cellStyle name="40% - Accent2 2 3 4 2 3" xfId="10752"/>
    <cellStyle name="40% - Accent2 2 3 4 2 3 2" xfId="15326"/>
    <cellStyle name="40% - Accent2 2 3 4 2 3 2 2" xfId="26469"/>
    <cellStyle name="40% - Accent2 2 3 4 2 3 3" xfId="20900"/>
    <cellStyle name="40% - Accent2 2 3 4 2 4" xfId="13896"/>
    <cellStyle name="40% - Accent2 2 3 4 2 4 2" xfId="25039"/>
    <cellStyle name="40% - Accent2 2 3 4 2 5" xfId="19470"/>
    <cellStyle name="40% - Accent2 2 3 4 2 6" xfId="6864"/>
    <cellStyle name="40% - Accent2 2 3 4 3" xfId="3311"/>
    <cellStyle name="40% - Accent2 2 3 4 3 2" xfId="5420"/>
    <cellStyle name="40% - Accent2 2 3 4 3 2 2" xfId="18033"/>
    <cellStyle name="40% - Accent2 2 3 4 3 2 2 2" xfId="29176"/>
    <cellStyle name="40% - Accent2 2 3 4 3 2 3" xfId="23607"/>
    <cellStyle name="40% - Accent2 2 3 4 3 2 4" xfId="9571"/>
    <cellStyle name="40% - Accent2 2 3 4 3 3" xfId="15964"/>
    <cellStyle name="40% - Accent2 2 3 4 3 3 2" xfId="27107"/>
    <cellStyle name="40% - Accent2 2 3 4 3 4" xfId="21538"/>
    <cellStyle name="40% - Accent2 2 3 4 3 5" xfId="7502"/>
    <cellStyle name="40% - Accent2 2 3 4 4" xfId="3990"/>
    <cellStyle name="40% - Accent2 2 3 4 4 2" xfId="16603"/>
    <cellStyle name="40% - Accent2 2 3 4 4 2 2" xfId="27746"/>
    <cellStyle name="40% - Accent2 2 3 4 4 3" xfId="22177"/>
    <cellStyle name="40% - Accent2 2 3 4 4 4" xfId="8141"/>
    <cellStyle name="40% - Accent2 2 3 4 5" xfId="10667"/>
    <cellStyle name="40% - Accent2 2 3 4 5 2" xfId="14687"/>
    <cellStyle name="40% - Accent2 2 3 4 5 2 2" xfId="25830"/>
    <cellStyle name="40% - Accent2 2 3 4 5 3" xfId="20261"/>
    <cellStyle name="40% - Accent2 2 3 4 6" xfId="13257"/>
    <cellStyle name="40% - Accent2 2 3 4 6 2" xfId="24400"/>
    <cellStyle name="40% - Accent2 2 3 4 7" xfId="18831"/>
    <cellStyle name="40% - Accent2 2 3 4 8" xfId="6225"/>
    <cellStyle name="40% - Accent2 2 3 5" xfId="2365"/>
    <cellStyle name="40% - Accent2 2 3 5 2" xfId="3006"/>
    <cellStyle name="40% - Accent2 2 3 5 2 2" xfId="5115"/>
    <cellStyle name="40% - Accent2 2 3 5 2 2 2" xfId="17728"/>
    <cellStyle name="40% - Accent2 2 3 5 2 2 2 2" xfId="28871"/>
    <cellStyle name="40% - Accent2 2 3 5 2 2 3" xfId="23302"/>
    <cellStyle name="40% - Accent2 2 3 5 2 2 4" xfId="9266"/>
    <cellStyle name="40% - Accent2 2 3 5 2 3" xfId="11124"/>
    <cellStyle name="40% - Accent2 2 3 5 2 3 2" xfId="15659"/>
    <cellStyle name="40% - Accent2 2 3 5 2 3 2 2" xfId="26802"/>
    <cellStyle name="40% - Accent2 2 3 5 2 3 3" xfId="21233"/>
    <cellStyle name="40% - Accent2 2 3 5 2 4" xfId="14229"/>
    <cellStyle name="40% - Accent2 2 3 5 2 4 2" xfId="25372"/>
    <cellStyle name="40% - Accent2 2 3 5 2 5" xfId="19803"/>
    <cellStyle name="40% - Accent2 2 3 5 2 6" xfId="7197"/>
    <cellStyle name="40% - Accent2 2 3 5 3" xfId="3644"/>
    <cellStyle name="40% - Accent2 2 3 5 3 2" xfId="5753"/>
    <cellStyle name="40% - Accent2 2 3 5 3 2 2" xfId="18366"/>
    <cellStyle name="40% - Accent2 2 3 5 3 2 2 2" xfId="29509"/>
    <cellStyle name="40% - Accent2 2 3 5 3 2 3" xfId="23940"/>
    <cellStyle name="40% - Accent2 2 3 5 3 2 4" xfId="9904"/>
    <cellStyle name="40% - Accent2 2 3 5 3 3" xfId="16297"/>
    <cellStyle name="40% - Accent2 2 3 5 3 3 2" xfId="27440"/>
    <cellStyle name="40% - Accent2 2 3 5 3 4" xfId="21871"/>
    <cellStyle name="40% - Accent2 2 3 5 3 5" xfId="7835"/>
    <cellStyle name="40% - Accent2 2 3 5 4" xfId="4323"/>
    <cellStyle name="40% - Accent2 2 3 5 4 2" xfId="16936"/>
    <cellStyle name="40% - Accent2 2 3 5 4 2 2" xfId="28079"/>
    <cellStyle name="40% - Accent2 2 3 5 4 3" xfId="22510"/>
    <cellStyle name="40% - Accent2 2 3 5 4 4" xfId="8474"/>
    <cellStyle name="40% - Accent2 2 3 5 5" xfId="11150"/>
    <cellStyle name="40% - Accent2 2 3 5 5 2" xfId="15020"/>
    <cellStyle name="40% - Accent2 2 3 5 5 2 2" xfId="26163"/>
    <cellStyle name="40% - Accent2 2 3 5 5 3" xfId="20594"/>
    <cellStyle name="40% - Accent2 2 3 5 6" xfId="13590"/>
    <cellStyle name="40% - Accent2 2 3 5 6 2" xfId="24733"/>
    <cellStyle name="40% - Accent2 2 3 5 7" xfId="19164"/>
    <cellStyle name="40% - Accent2 2 3 5 8" xfId="6558"/>
    <cellStyle name="40% - Accent2 2 3 6" xfId="1828"/>
    <cellStyle name="40% - Accent2 2 3 6 2" xfId="4476"/>
    <cellStyle name="40% - Accent2 2 3 6 2 2" xfId="17089"/>
    <cellStyle name="40% - Accent2 2 3 6 2 2 2" xfId="28232"/>
    <cellStyle name="40% - Accent2 2 3 6 2 3" xfId="22663"/>
    <cellStyle name="40% - Accent2 2 3 6 2 4" xfId="8627"/>
    <cellStyle name="40% - Accent2 2 3 6 3" xfId="10456"/>
    <cellStyle name="40% - Accent2 2 3 6 3 2" xfId="14535"/>
    <cellStyle name="40% - Accent2 2 3 6 3 2 2" xfId="25678"/>
    <cellStyle name="40% - Accent2 2 3 6 3 3" xfId="20109"/>
    <cellStyle name="40% - Accent2 2 3 6 4" xfId="13105"/>
    <cellStyle name="40% - Accent2 2 3 6 4 2" xfId="24248"/>
    <cellStyle name="40% - Accent2 2 3 6 5" xfId="18679"/>
    <cellStyle name="40% - Accent2 2 3 6 6" xfId="6073"/>
    <cellStyle name="40% - Accent2 2 3 7" xfId="2521"/>
    <cellStyle name="40% - Accent2 2 3 7 2" xfId="4630"/>
    <cellStyle name="40% - Accent2 2 3 7 2 2" xfId="17243"/>
    <cellStyle name="40% - Accent2 2 3 7 2 2 2" xfId="28386"/>
    <cellStyle name="40% - Accent2 2 3 7 2 3" xfId="22817"/>
    <cellStyle name="40% - Accent2 2 3 7 2 4" xfId="8781"/>
    <cellStyle name="40% - Accent2 2 3 7 3" xfId="10060"/>
    <cellStyle name="40% - Accent2 2 3 7 3 2" xfId="15174"/>
    <cellStyle name="40% - Accent2 2 3 7 3 2 2" xfId="26317"/>
    <cellStyle name="40% - Accent2 2 3 7 3 3" xfId="20748"/>
    <cellStyle name="40% - Accent2 2 3 7 4" xfId="13744"/>
    <cellStyle name="40% - Accent2 2 3 7 4 2" xfId="24887"/>
    <cellStyle name="40% - Accent2 2 3 7 5" xfId="19318"/>
    <cellStyle name="40% - Accent2 2 3 7 6" xfId="6712"/>
    <cellStyle name="40% - Accent2 2 3 8" xfId="3159"/>
    <cellStyle name="40% - Accent2 2 3 8 2" xfId="5268"/>
    <cellStyle name="40% - Accent2 2 3 8 2 2" xfId="17881"/>
    <cellStyle name="40% - Accent2 2 3 8 2 2 2" xfId="29024"/>
    <cellStyle name="40% - Accent2 2 3 8 2 3" xfId="23455"/>
    <cellStyle name="40% - Accent2 2 3 8 2 4" xfId="9419"/>
    <cellStyle name="40% - Accent2 2 3 8 3" xfId="15812"/>
    <cellStyle name="40% - Accent2 2 3 8 3 2" xfId="26955"/>
    <cellStyle name="40% - Accent2 2 3 8 4" xfId="21386"/>
    <cellStyle name="40% - Accent2 2 3 8 5" xfId="7350"/>
    <cellStyle name="40% - Accent2 2 3 9" xfId="3838"/>
    <cellStyle name="40% - Accent2 2 3 9 2" xfId="16451"/>
    <cellStyle name="40% - Accent2 2 3 9 2 2" xfId="27594"/>
    <cellStyle name="40% - Accent2 2 3 9 3" xfId="22025"/>
    <cellStyle name="40% - Accent2 2 3 9 4" xfId="7989"/>
    <cellStyle name="40% - Accent2 2 4" xfId="290"/>
    <cellStyle name="40% - Accent2 2 4 10" xfId="12989"/>
    <cellStyle name="40% - Accent2 2 4 10 2" xfId="24133"/>
    <cellStyle name="40% - Accent2 2 4 11" xfId="18564"/>
    <cellStyle name="40% - Accent2 2 4 12" xfId="5957"/>
    <cellStyle name="40% - Accent2 2 4 2" xfId="2248"/>
    <cellStyle name="40% - Accent2 2 4 2 2" xfId="2892"/>
    <cellStyle name="40% - Accent2 2 4 2 2 2" xfId="5001"/>
    <cellStyle name="40% - Accent2 2 4 2 2 2 2" xfId="17614"/>
    <cellStyle name="40% - Accent2 2 4 2 2 2 2 2" xfId="28757"/>
    <cellStyle name="40% - Accent2 2 4 2 2 2 3" xfId="23188"/>
    <cellStyle name="40% - Accent2 2 4 2 2 2 4" xfId="9152"/>
    <cellStyle name="40% - Accent2 2 4 2 2 3" xfId="10116"/>
    <cellStyle name="40% - Accent2 2 4 2 2 3 2" xfId="15545"/>
    <cellStyle name="40% - Accent2 2 4 2 2 3 2 2" xfId="26688"/>
    <cellStyle name="40% - Accent2 2 4 2 2 3 3" xfId="21119"/>
    <cellStyle name="40% - Accent2 2 4 2 2 4" xfId="14115"/>
    <cellStyle name="40% - Accent2 2 4 2 2 4 2" xfId="25258"/>
    <cellStyle name="40% - Accent2 2 4 2 2 5" xfId="19689"/>
    <cellStyle name="40% - Accent2 2 4 2 2 6" xfId="7083"/>
    <cellStyle name="40% - Accent2 2 4 2 3" xfId="3530"/>
    <cellStyle name="40% - Accent2 2 4 2 3 2" xfId="5639"/>
    <cellStyle name="40% - Accent2 2 4 2 3 2 2" xfId="18252"/>
    <cellStyle name="40% - Accent2 2 4 2 3 2 2 2" xfId="29395"/>
    <cellStyle name="40% - Accent2 2 4 2 3 2 3" xfId="23826"/>
    <cellStyle name="40% - Accent2 2 4 2 3 2 4" xfId="9790"/>
    <cellStyle name="40% - Accent2 2 4 2 3 3" xfId="16183"/>
    <cellStyle name="40% - Accent2 2 4 2 3 3 2" xfId="27326"/>
    <cellStyle name="40% - Accent2 2 4 2 3 4" xfId="21757"/>
    <cellStyle name="40% - Accent2 2 4 2 3 5" xfId="7721"/>
    <cellStyle name="40% - Accent2 2 4 2 4" xfId="4209"/>
    <cellStyle name="40% - Accent2 2 4 2 4 2" xfId="16822"/>
    <cellStyle name="40% - Accent2 2 4 2 4 2 2" xfId="27965"/>
    <cellStyle name="40% - Accent2 2 4 2 4 3" xfId="22396"/>
    <cellStyle name="40% - Accent2 2 4 2 4 4" xfId="8360"/>
    <cellStyle name="40% - Accent2 2 4 2 5" xfId="10990"/>
    <cellStyle name="40% - Accent2 2 4 2 5 2" xfId="14906"/>
    <cellStyle name="40% - Accent2 2 4 2 5 2 2" xfId="26049"/>
    <cellStyle name="40% - Accent2 2 4 2 5 3" xfId="20480"/>
    <cellStyle name="40% - Accent2 2 4 2 6" xfId="13476"/>
    <cellStyle name="40% - Accent2 2 4 2 6 2" xfId="24619"/>
    <cellStyle name="40% - Accent2 2 4 2 7" xfId="19050"/>
    <cellStyle name="40% - Accent2 2 4 2 8" xfId="6444"/>
    <cellStyle name="40% - Accent2 2 4 3" xfId="2056"/>
    <cellStyle name="40% - Accent2 2 4 3 2" xfId="2711"/>
    <cellStyle name="40% - Accent2 2 4 3 2 2" xfId="4820"/>
    <cellStyle name="40% - Accent2 2 4 3 2 2 2" xfId="17433"/>
    <cellStyle name="40% - Accent2 2 4 3 2 2 2 2" xfId="28576"/>
    <cellStyle name="40% - Accent2 2 4 3 2 2 3" xfId="23007"/>
    <cellStyle name="40% - Accent2 2 4 3 2 2 4" xfId="8971"/>
    <cellStyle name="40% - Accent2 2 4 3 2 3" xfId="10125"/>
    <cellStyle name="40% - Accent2 2 4 3 2 3 2" xfId="15364"/>
    <cellStyle name="40% - Accent2 2 4 3 2 3 2 2" xfId="26507"/>
    <cellStyle name="40% - Accent2 2 4 3 2 3 3" xfId="20938"/>
    <cellStyle name="40% - Accent2 2 4 3 2 4" xfId="13934"/>
    <cellStyle name="40% - Accent2 2 4 3 2 4 2" xfId="25077"/>
    <cellStyle name="40% - Accent2 2 4 3 2 5" xfId="19508"/>
    <cellStyle name="40% - Accent2 2 4 3 2 6" xfId="6902"/>
    <cellStyle name="40% - Accent2 2 4 3 3" xfId="3349"/>
    <cellStyle name="40% - Accent2 2 4 3 3 2" xfId="5458"/>
    <cellStyle name="40% - Accent2 2 4 3 3 2 2" xfId="18071"/>
    <cellStyle name="40% - Accent2 2 4 3 3 2 2 2" xfId="29214"/>
    <cellStyle name="40% - Accent2 2 4 3 3 2 3" xfId="23645"/>
    <cellStyle name="40% - Accent2 2 4 3 3 2 4" xfId="9609"/>
    <cellStyle name="40% - Accent2 2 4 3 3 3" xfId="16002"/>
    <cellStyle name="40% - Accent2 2 4 3 3 3 2" xfId="27145"/>
    <cellStyle name="40% - Accent2 2 4 3 3 4" xfId="21576"/>
    <cellStyle name="40% - Accent2 2 4 3 3 5" xfId="7540"/>
    <cellStyle name="40% - Accent2 2 4 3 4" xfId="4028"/>
    <cellStyle name="40% - Accent2 2 4 3 4 2" xfId="16641"/>
    <cellStyle name="40% - Accent2 2 4 3 4 2 2" xfId="27784"/>
    <cellStyle name="40% - Accent2 2 4 3 4 3" xfId="22215"/>
    <cellStyle name="40% - Accent2 2 4 3 4 4" xfId="8179"/>
    <cellStyle name="40% - Accent2 2 4 3 5" xfId="10053"/>
    <cellStyle name="40% - Accent2 2 4 3 5 2" xfId="14725"/>
    <cellStyle name="40% - Accent2 2 4 3 5 2 2" xfId="25868"/>
    <cellStyle name="40% - Accent2 2 4 3 5 3" xfId="20299"/>
    <cellStyle name="40% - Accent2 2 4 3 6" xfId="13295"/>
    <cellStyle name="40% - Accent2 2 4 3 6 2" xfId="24438"/>
    <cellStyle name="40% - Accent2 2 4 3 7" xfId="18869"/>
    <cellStyle name="40% - Accent2 2 4 3 8" xfId="6263"/>
    <cellStyle name="40% - Accent2 2 4 4" xfId="2403"/>
    <cellStyle name="40% - Accent2 2 4 4 2" xfId="3044"/>
    <cellStyle name="40% - Accent2 2 4 4 2 2" xfId="5153"/>
    <cellStyle name="40% - Accent2 2 4 4 2 2 2" xfId="17766"/>
    <cellStyle name="40% - Accent2 2 4 4 2 2 2 2" xfId="28909"/>
    <cellStyle name="40% - Accent2 2 4 4 2 2 3" xfId="23340"/>
    <cellStyle name="40% - Accent2 2 4 4 2 2 4" xfId="9304"/>
    <cellStyle name="40% - Accent2 2 4 4 2 3" xfId="11428"/>
    <cellStyle name="40% - Accent2 2 4 4 2 3 2" xfId="15697"/>
    <cellStyle name="40% - Accent2 2 4 4 2 3 2 2" xfId="26840"/>
    <cellStyle name="40% - Accent2 2 4 4 2 3 3" xfId="21271"/>
    <cellStyle name="40% - Accent2 2 4 4 2 4" xfId="14267"/>
    <cellStyle name="40% - Accent2 2 4 4 2 4 2" xfId="25410"/>
    <cellStyle name="40% - Accent2 2 4 4 2 5" xfId="19841"/>
    <cellStyle name="40% - Accent2 2 4 4 2 6" xfId="7235"/>
    <cellStyle name="40% - Accent2 2 4 4 3" xfId="3682"/>
    <cellStyle name="40% - Accent2 2 4 4 3 2" xfId="5791"/>
    <cellStyle name="40% - Accent2 2 4 4 3 2 2" xfId="18404"/>
    <cellStyle name="40% - Accent2 2 4 4 3 2 2 2" xfId="29547"/>
    <cellStyle name="40% - Accent2 2 4 4 3 2 3" xfId="23978"/>
    <cellStyle name="40% - Accent2 2 4 4 3 2 4" xfId="9942"/>
    <cellStyle name="40% - Accent2 2 4 4 3 3" xfId="16335"/>
    <cellStyle name="40% - Accent2 2 4 4 3 3 2" xfId="27478"/>
    <cellStyle name="40% - Accent2 2 4 4 3 4" xfId="21909"/>
    <cellStyle name="40% - Accent2 2 4 4 3 5" xfId="7873"/>
    <cellStyle name="40% - Accent2 2 4 4 4" xfId="4361"/>
    <cellStyle name="40% - Accent2 2 4 4 4 2" xfId="16974"/>
    <cellStyle name="40% - Accent2 2 4 4 4 2 2" xfId="28117"/>
    <cellStyle name="40% - Accent2 2 4 4 4 3" xfId="22548"/>
    <cellStyle name="40% - Accent2 2 4 4 4 4" xfId="8512"/>
    <cellStyle name="40% - Accent2 2 4 4 5" xfId="10906"/>
    <cellStyle name="40% - Accent2 2 4 4 5 2" xfId="15058"/>
    <cellStyle name="40% - Accent2 2 4 4 5 2 2" xfId="26201"/>
    <cellStyle name="40% - Accent2 2 4 4 5 3" xfId="20632"/>
    <cellStyle name="40% - Accent2 2 4 4 6" xfId="13628"/>
    <cellStyle name="40% - Accent2 2 4 4 6 2" xfId="24771"/>
    <cellStyle name="40% - Accent2 2 4 4 7" xfId="19202"/>
    <cellStyle name="40% - Accent2 2 4 4 8" xfId="6596"/>
    <cellStyle name="40% - Accent2 2 4 5" xfId="1866"/>
    <cellStyle name="40% - Accent2 2 4 5 2" xfId="4514"/>
    <cellStyle name="40% - Accent2 2 4 5 2 2" xfId="17127"/>
    <cellStyle name="40% - Accent2 2 4 5 2 2 2" xfId="28270"/>
    <cellStyle name="40% - Accent2 2 4 5 2 3" xfId="22701"/>
    <cellStyle name="40% - Accent2 2 4 5 2 4" xfId="8665"/>
    <cellStyle name="40% - Accent2 2 4 5 3" xfId="11202"/>
    <cellStyle name="40% - Accent2 2 4 5 3 2" xfId="14573"/>
    <cellStyle name="40% - Accent2 2 4 5 3 2 2" xfId="25716"/>
    <cellStyle name="40% - Accent2 2 4 5 3 3" xfId="20147"/>
    <cellStyle name="40% - Accent2 2 4 5 4" xfId="13143"/>
    <cellStyle name="40% - Accent2 2 4 5 4 2" xfId="24286"/>
    <cellStyle name="40% - Accent2 2 4 5 5" xfId="18717"/>
    <cellStyle name="40% - Accent2 2 4 5 6" xfId="6111"/>
    <cellStyle name="40% - Accent2 2 4 6" xfId="2559"/>
    <cellStyle name="40% - Accent2 2 4 6 2" xfId="4668"/>
    <cellStyle name="40% - Accent2 2 4 6 2 2" xfId="17281"/>
    <cellStyle name="40% - Accent2 2 4 6 2 2 2" xfId="28424"/>
    <cellStyle name="40% - Accent2 2 4 6 2 3" xfId="22855"/>
    <cellStyle name="40% - Accent2 2 4 6 2 4" xfId="8819"/>
    <cellStyle name="40% - Accent2 2 4 6 3" xfId="10011"/>
    <cellStyle name="40% - Accent2 2 4 6 3 2" xfId="15212"/>
    <cellStyle name="40% - Accent2 2 4 6 3 2 2" xfId="26355"/>
    <cellStyle name="40% - Accent2 2 4 6 3 3" xfId="20786"/>
    <cellStyle name="40% - Accent2 2 4 6 4" xfId="13782"/>
    <cellStyle name="40% - Accent2 2 4 6 4 2" xfId="24925"/>
    <cellStyle name="40% - Accent2 2 4 6 5" xfId="19356"/>
    <cellStyle name="40% - Accent2 2 4 6 6" xfId="6750"/>
    <cellStyle name="40% - Accent2 2 4 7" xfId="3197"/>
    <cellStyle name="40% - Accent2 2 4 7 2" xfId="5306"/>
    <cellStyle name="40% - Accent2 2 4 7 2 2" xfId="17919"/>
    <cellStyle name="40% - Accent2 2 4 7 2 2 2" xfId="29062"/>
    <cellStyle name="40% - Accent2 2 4 7 2 3" xfId="23493"/>
    <cellStyle name="40% - Accent2 2 4 7 2 4" xfId="9457"/>
    <cellStyle name="40% - Accent2 2 4 7 3" xfId="15850"/>
    <cellStyle name="40% - Accent2 2 4 7 3 2" xfId="26993"/>
    <cellStyle name="40% - Accent2 2 4 7 4" xfId="21424"/>
    <cellStyle name="40% - Accent2 2 4 7 5" xfId="7388"/>
    <cellStyle name="40% - Accent2 2 4 8" xfId="3876"/>
    <cellStyle name="40% - Accent2 2 4 8 2" xfId="16489"/>
    <cellStyle name="40% - Accent2 2 4 8 2 2" xfId="27632"/>
    <cellStyle name="40% - Accent2 2 4 8 3" xfId="22063"/>
    <cellStyle name="40% - Accent2 2 4 8 4" xfId="8027"/>
    <cellStyle name="40% - Accent2 2 4 9" xfId="10814"/>
    <cellStyle name="40% - Accent2 2 4 9 2" xfId="14420"/>
    <cellStyle name="40% - Accent2 2 4 9 2 2" xfId="25563"/>
    <cellStyle name="40% - Accent2 2 4 9 3" xfId="19994"/>
    <cellStyle name="40% - Accent2 2 5" xfId="2172"/>
    <cellStyle name="40% - Accent2 2 5 2" xfId="2816"/>
    <cellStyle name="40% - Accent2 2 5 2 2" xfId="4925"/>
    <cellStyle name="40% - Accent2 2 5 2 2 2" xfId="17538"/>
    <cellStyle name="40% - Accent2 2 5 2 2 2 2" xfId="28681"/>
    <cellStyle name="40% - Accent2 2 5 2 2 3" xfId="23112"/>
    <cellStyle name="40% - Accent2 2 5 2 2 4" xfId="9076"/>
    <cellStyle name="40% - Accent2 2 5 2 3" xfId="10778"/>
    <cellStyle name="40% - Accent2 2 5 2 3 2" xfId="15469"/>
    <cellStyle name="40% - Accent2 2 5 2 3 2 2" xfId="26612"/>
    <cellStyle name="40% - Accent2 2 5 2 3 3" xfId="21043"/>
    <cellStyle name="40% - Accent2 2 5 2 4" xfId="14039"/>
    <cellStyle name="40% - Accent2 2 5 2 4 2" xfId="25182"/>
    <cellStyle name="40% - Accent2 2 5 2 5" xfId="19613"/>
    <cellStyle name="40% - Accent2 2 5 2 6" xfId="7007"/>
    <cellStyle name="40% - Accent2 2 5 3" xfId="3454"/>
    <cellStyle name="40% - Accent2 2 5 3 2" xfId="5563"/>
    <cellStyle name="40% - Accent2 2 5 3 2 2" xfId="18176"/>
    <cellStyle name="40% - Accent2 2 5 3 2 2 2" xfId="29319"/>
    <cellStyle name="40% - Accent2 2 5 3 2 3" xfId="23750"/>
    <cellStyle name="40% - Accent2 2 5 3 2 4" xfId="9714"/>
    <cellStyle name="40% - Accent2 2 5 3 3" xfId="16107"/>
    <cellStyle name="40% - Accent2 2 5 3 3 2" xfId="27250"/>
    <cellStyle name="40% - Accent2 2 5 3 4" xfId="21681"/>
    <cellStyle name="40% - Accent2 2 5 3 5" xfId="7645"/>
    <cellStyle name="40% - Accent2 2 5 4" xfId="4133"/>
    <cellStyle name="40% - Accent2 2 5 4 2" xfId="16746"/>
    <cellStyle name="40% - Accent2 2 5 4 2 2" xfId="27889"/>
    <cellStyle name="40% - Accent2 2 5 4 3" xfId="22320"/>
    <cellStyle name="40% - Accent2 2 5 4 4" xfId="8284"/>
    <cellStyle name="40% - Accent2 2 5 5" xfId="11073"/>
    <cellStyle name="40% - Accent2 2 5 5 2" xfId="14830"/>
    <cellStyle name="40% - Accent2 2 5 5 2 2" xfId="25973"/>
    <cellStyle name="40% - Accent2 2 5 5 3" xfId="20404"/>
    <cellStyle name="40% - Accent2 2 5 6" xfId="13400"/>
    <cellStyle name="40% - Accent2 2 5 6 2" xfId="24543"/>
    <cellStyle name="40% - Accent2 2 5 7" xfId="18974"/>
    <cellStyle name="40% - Accent2 2 5 8" xfId="6368"/>
    <cellStyle name="40% - Accent2 2 6" xfId="1965"/>
    <cellStyle name="40% - Accent2 2 6 2" xfId="2635"/>
    <cellStyle name="40% - Accent2 2 6 2 2" xfId="4744"/>
    <cellStyle name="40% - Accent2 2 6 2 2 2" xfId="17357"/>
    <cellStyle name="40% - Accent2 2 6 2 2 2 2" xfId="28500"/>
    <cellStyle name="40% - Accent2 2 6 2 2 3" xfId="22931"/>
    <cellStyle name="40% - Accent2 2 6 2 2 4" xfId="8895"/>
    <cellStyle name="40% - Accent2 2 6 2 3" xfId="11398"/>
    <cellStyle name="40% - Accent2 2 6 2 3 2" xfId="15288"/>
    <cellStyle name="40% - Accent2 2 6 2 3 2 2" xfId="26431"/>
    <cellStyle name="40% - Accent2 2 6 2 3 3" xfId="20862"/>
    <cellStyle name="40% - Accent2 2 6 2 4" xfId="13858"/>
    <cellStyle name="40% - Accent2 2 6 2 4 2" xfId="25001"/>
    <cellStyle name="40% - Accent2 2 6 2 5" xfId="19432"/>
    <cellStyle name="40% - Accent2 2 6 2 6" xfId="6826"/>
    <cellStyle name="40% - Accent2 2 6 3" xfId="3273"/>
    <cellStyle name="40% - Accent2 2 6 3 2" xfId="5382"/>
    <cellStyle name="40% - Accent2 2 6 3 2 2" xfId="17995"/>
    <cellStyle name="40% - Accent2 2 6 3 2 2 2" xfId="29138"/>
    <cellStyle name="40% - Accent2 2 6 3 2 3" xfId="23569"/>
    <cellStyle name="40% - Accent2 2 6 3 2 4" xfId="9533"/>
    <cellStyle name="40% - Accent2 2 6 3 3" xfId="15926"/>
    <cellStyle name="40% - Accent2 2 6 3 3 2" xfId="27069"/>
    <cellStyle name="40% - Accent2 2 6 3 4" xfId="21500"/>
    <cellStyle name="40% - Accent2 2 6 3 5" xfId="7464"/>
    <cellStyle name="40% - Accent2 2 6 4" xfId="3952"/>
    <cellStyle name="40% - Accent2 2 6 4 2" xfId="16565"/>
    <cellStyle name="40% - Accent2 2 6 4 2 2" xfId="27708"/>
    <cellStyle name="40% - Accent2 2 6 4 3" xfId="22139"/>
    <cellStyle name="40% - Accent2 2 6 4 4" xfId="8103"/>
    <cellStyle name="40% - Accent2 2 6 5" xfId="10327"/>
    <cellStyle name="40% - Accent2 2 6 5 2" xfId="14649"/>
    <cellStyle name="40% - Accent2 2 6 5 2 2" xfId="25792"/>
    <cellStyle name="40% - Accent2 2 6 5 3" xfId="20223"/>
    <cellStyle name="40% - Accent2 2 6 6" xfId="13219"/>
    <cellStyle name="40% - Accent2 2 6 6 2" xfId="24362"/>
    <cellStyle name="40% - Accent2 2 6 7" xfId="18793"/>
    <cellStyle name="40% - Accent2 2 6 8" xfId="6187"/>
    <cellStyle name="40% - Accent2 2 7" xfId="2326"/>
    <cellStyle name="40% - Accent2 2 7 2" xfId="2968"/>
    <cellStyle name="40% - Accent2 2 7 2 2" xfId="5077"/>
    <cellStyle name="40% - Accent2 2 7 2 2 2" xfId="17690"/>
    <cellStyle name="40% - Accent2 2 7 2 2 2 2" xfId="28833"/>
    <cellStyle name="40% - Accent2 2 7 2 2 3" xfId="23264"/>
    <cellStyle name="40% - Accent2 2 7 2 2 4" xfId="9228"/>
    <cellStyle name="40% - Accent2 2 7 2 3" xfId="10455"/>
    <cellStyle name="40% - Accent2 2 7 2 3 2" xfId="15621"/>
    <cellStyle name="40% - Accent2 2 7 2 3 2 2" xfId="26764"/>
    <cellStyle name="40% - Accent2 2 7 2 3 3" xfId="21195"/>
    <cellStyle name="40% - Accent2 2 7 2 4" xfId="14191"/>
    <cellStyle name="40% - Accent2 2 7 2 4 2" xfId="25334"/>
    <cellStyle name="40% - Accent2 2 7 2 5" xfId="19765"/>
    <cellStyle name="40% - Accent2 2 7 2 6" xfId="7159"/>
    <cellStyle name="40% - Accent2 2 7 3" xfId="3606"/>
    <cellStyle name="40% - Accent2 2 7 3 2" xfId="5715"/>
    <cellStyle name="40% - Accent2 2 7 3 2 2" xfId="18328"/>
    <cellStyle name="40% - Accent2 2 7 3 2 2 2" xfId="29471"/>
    <cellStyle name="40% - Accent2 2 7 3 2 3" xfId="23902"/>
    <cellStyle name="40% - Accent2 2 7 3 2 4" xfId="9866"/>
    <cellStyle name="40% - Accent2 2 7 3 3" xfId="16259"/>
    <cellStyle name="40% - Accent2 2 7 3 3 2" xfId="27402"/>
    <cellStyle name="40% - Accent2 2 7 3 4" xfId="21833"/>
    <cellStyle name="40% - Accent2 2 7 3 5" xfId="7797"/>
    <cellStyle name="40% - Accent2 2 7 4" xfId="4285"/>
    <cellStyle name="40% - Accent2 2 7 4 2" xfId="16898"/>
    <cellStyle name="40% - Accent2 2 7 4 2 2" xfId="28041"/>
    <cellStyle name="40% - Accent2 2 7 4 3" xfId="22472"/>
    <cellStyle name="40% - Accent2 2 7 4 4" xfId="8436"/>
    <cellStyle name="40% - Accent2 2 7 5" xfId="10231"/>
    <cellStyle name="40% - Accent2 2 7 5 2" xfId="14982"/>
    <cellStyle name="40% - Accent2 2 7 5 2 2" xfId="26125"/>
    <cellStyle name="40% - Accent2 2 7 5 3" xfId="20556"/>
    <cellStyle name="40% - Accent2 2 7 6" xfId="13552"/>
    <cellStyle name="40% - Accent2 2 7 6 2" xfId="24695"/>
    <cellStyle name="40% - Accent2 2 7 7" xfId="19126"/>
    <cellStyle name="40% - Accent2 2 7 8" xfId="6520"/>
    <cellStyle name="40% - Accent2 2 8" xfId="1790"/>
    <cellStyle name="40% - Accent2 2 8 2" xfId="4438"/>
    <cellStyle name="40% - Accent2 2 8 2 2" xfId="17051"/>
    <cellStyle name="40% - Accent2 2 8 2 2 2" xfId="28194"/>
    <cellStyle name="40% - Accent2 2 8 2 3" xfId="22625"/>
    <cellStyle name="40% - Accent2 2 8 2 4" xfId="8589"/>
    <cellStyle name="40% - Accent2 2 8 3" xfId="10512"/>
    <cellStyle name="40% - Accent2 2 8 3 2" xfId="14497"/>
    <cellStyle name="40% - Accent2 2 8 3 2 2" xfId="25640"/>
    <cellStyle name="40% - Accent2 2 8 3 3" xfId="20071"/>
    <cellStyle name="40% - Accent2 2 8 4" xfId="13067"/>
    <cellStyle name="40% - Accent2 2 8 4 2" xfId="24210"/>
    <cellStyle name="40% - Accent2 2 8 5" xfId="18641"/>
    <cellStyle name="40% - Accent2 2 8 6" xfId="6035"/>
    <cellStyle name="40% - Accent2 2 9" xfId="2483"/>
    <cellStyle name="40% - Accent2 2 9 2" xfId="4592"/>
    <cellStyle name="40% - Accent2 2 9 2 2" xfId="17205"/>
    <cellStyle name="40% - Accent2 2 9 2 2 2" xfId="28348"/>
    <cellStyle name="40% - Accent2 2 9 2 3" xfId="22779"/>
    <cellStyle name="40% - Accent2 2 9 2 4" xfId="8743"/>
    <cellStyle name="40% - Accent2 2 9 3" xfId="10763"/>
    <cellStyle name="40% - Accent2 2 9 3 2" xfId="15136"/>
    <cellStyle name="40% - Accent2 2 9 3 2 2" xfId="26279"/>
    <cellStyle name="40% - Accent2 2 9 3 3" xfId="20710"/>
    <cellStyle name="40% - Accent2 2 9 4" xfId="13706"/>
    <cellStyle name="40% - Accent2 2 9 4 2" xfId="24849"/>
    <cellStyle name="40% - Accent2 2 9 5" xfId="19280"/>
    <cellStyle name="40% - Accent2 2 9 6" xfId="6674"/>
    <cellStyle name="40% - Accent2 3" xfId="138"/>
    <cellStyle name="40% - Accent2 3 2" xfId="388"/>
    <cellStyle name="40% - Accent2 3 2 2" xfId="567"/>
    <cellStyle name="40% - Accent2 3 2 2 2" xfId="950"/>
    <cellStyle name="40% - Accent2 3 2 2 2 2" xfId="1689"/>
    <cellStyle name="40% - Accent2 3 2 2 2 2 2" xfId="12785"/>
    <cellStyle name="40% - Accent2 3 2 2 2 3" xfId="12075"/>
    <cellStyle name="40% - Accent2 3 2 2 3" xfId="1334"/>
    <cellStyle name="40% - Accent2 3 2 2 3 2" xfId="12430"/>
    <cellStyle name="40% - Accent2 3 2 2 4" xfId="11720"/>
    <cellStyle name="40% - Accent2 3 2 3" xfId="772"/>
    <cellStyle name="40% - Accent2 3 2 3 2" xfId="1511"/>
    <cellStyle name="40% - Accent2 3 2 3 2 2" xfId="12607"/>
    <cellStyle name="40% - Accent2 3 2 3 3" xfId="11897"/>
    <cellStyle name="40% - Accent2 3 2 4" xfId="1156"/>
    <cellStyle name="40% - Accent2 3 2 4 2" xfId="12252"/>
    <cellStyle name="40% - Accent2 3 2 5" xfId="11542"/>
    <cellStyle name="40% - Accent2 3 3" xfId="443"/>
    <cellStyle name="40% - Accent2 3 3 2" xfId="622"/>
    <cellStyle name="40% - Accent2 3 3 2 2" xfId="1005"/>
    <cellStyle name="40% - Accent2 3 3 2 2 2" xfId="1744"/>
    <cellStyle name="40% - Accent2 3 3 2 2 2 2" xfId="12840"/>
    <cellStyle name="40% - Accent2 3 3 2 2 3" xfId="12130"/>
    <cellStyle name="40% - Accent2 3 3 2 3" xfId="1389"/>
    <cellStyle name="40% - Accent2 3 3 2 3 2" xfId="12485"/>
    <cellStyle name="40% - Accent2 3 3 2 4" xfId="11775"/>
    <cellStyle name="40% - Accent2 3 3 3" xfId="827"/>
    <cellStyle name="40% - Accent2 3 3 3 2" xfId="1566"/>
    <cellStyle name="40% - Accent2 3 3 3 2 2" xfId="12662"/>
    <cellStyle name="40% - Accent2 3 3 3 3" xfId="11952"/>
    <cellStyle name="40% - Accent2 3 3 4" xfId="1211"/>
    <cellStyle name="40% - Accent2 3 3 4 2" xfId="12307"/>
    <cellStyle name="40% - Accent2 3 3 5" xfId="11597"/>
    <cellStyle name="40% - Accent2 3 4" xfId="505"/>
    <cellStyle name="40% - Accent2 3 4 2" xfId="889"/>
    <cellStyle name="40% - Accent2 3 4 2 2" xfId="1628"/>
    <cellStyle name="40% - Accent2 3 4 2 2 2" xfId="12724"/>
    <cellStyle name="40% - Accent2 3 4 2 3" xfId="12014"/>
    <cellStyle name="40% - Accent2 3 4 3" xfId="1273"/>
    <cellStyle name="40% - Accent2 3 4 3 2" xfId="12369"/>
    <cellStyle name="40% - Accent2 3 4 4" xfId="11659"/>
    <cellStyle name="40% - Accent2 3 5" xfId="711"/>
    <cellStyle name="40% - Accent2 3 5 2" xfId="1450"/>
    <cellStyle name="40% - Accent2 3 5 2 2" xfId="12546"/>
    <cellStyle name="40% - Accent2 3 5 3" xfId="11836"/>
    <cellStyle name="40% - Accent2 3 6" xfId="1095"/>
    <cellStyle name="40% - Accent2 3 6 2" xfId="12191"/>
    <cellStyle name="40% - Accent2 3 7" xfId="11481"/>
    <cellStyle name="40% - Accent2 4" xfId="160"/>
    <cellStyle name="40% - Accent2 4 2" xfId="400"/>
    <cellStyle name="40% - Accent2 4 2 2" xfId="579"/>
    <cellStyle name="40% - Accent2 4 2 2 2" xfId="962"/>
    <cellStyle name="40% - Accent2 4 2 2 2 2" xfId="1701"/>
    <cellStyle name="40% - Accent2 4 2 2 2 2 2" xfId="12797"/>
    <cellStyle name="40% - Accent2 4 2 2 2 3" xfId="12087"/>
    <cellStyle name="40% - Accent2 4 2 2 3" xfId="1346"/>
    <cellStyle name="40% - Accent2 4 2 2 3 2" xfId="12442"/>
    <cellStyle name="40% - Accent2 4 2 2 4" xfId="11732"/>
    <cellStyle name="40% - Accent2 4 2 3" xfId="784"/>
    <cellStyle name="40% - Accent2 4 2 3 2" xfId="1523"/>
    <cellStyle name="40% - Accent2 4 2 3 2 2" xfId="12619"/>
    <cellStyle name="40% - Accent2 4 2 3 3" xfId="11909"/>
    <cellStyle name="40% - Accent2 4 2 4" xfId="1168"/>
    <cellStyle name="40% - Accent2 4 2 4 2" xfId="12264"/>
    <cellStyle name="40% - Accent2 4 2 5" xfId="11554"/>
    <cellStyle name="40% - Accent2 4 3" xfId="455"/>
    <cellStyle name="40% - Accent2 4 3 2" xfId="634"/>
    <cellStyle name="40% - Accent2 4 3 2 2" xfId="1017"/>
    <cellStyle name="40% - Accent2 4 3 2 2 2" xfId="1756"/>
    <cellStyle name="40% - Accent2 4 3 2 2 2 2" xfId="12852"/>
    <cellStyle name="40% - Accent2 4 3 2 2 3" xfId="12142"/>
    <cellStyle name="40% - Accent2 4 3 2 3" xfId="1401"/>
    <cellStyle name="40% - Accent2 4 3 2 3 2" xfId="12497"/>
    <cellStyle name="40% - Accent2 4 3 2 4" xfId="11787"/>
    <cellStyle name="40% - Accent2 4 3 3" xfId="839"/>
    <cellStyle name="40% - Accent2 4 3 3 2" xfId="1578"/>
    <cellStyle name="40% - Accent2 4 3 3 2 2" xfId="12674"/>
    <cellStyle name="40% - Accent2 4 3 3 3" xfId="11964"/>
    <cellStyle name="40% - Accent2 4 3 4" xfId="1223"/>
    <cellStyle name="40% - Accent2 4 3 4 2" xfId="12319"/>
    <cellStyle name="40% - Accent2 4 3 5" xfId="11609"/>
    <cellStyle name="40% - Accent2 4 4" xfId="518"/>
    <cellStyle name="40% - Accent2 4 4 2" xfId="901"/>
    <cellStyle name="40% - Accent2 4 4 2 2" xfId="1640"/>
    <cellStyle name="40% - Accent2 4 4 2 2 2" xfId="12736"/>
    <cellStyle name="40% - Accent2 4 4 2 3" xfId="12026"/>
    <cellStyle name="40% - Accent2 4 4 3" xfId="1285"/>
    <cellStyle name="40% - Accent2 4 4 3 2" xfId="12381"/>
    <cellStyle name="40% - Accent2 4 4 4" xfId="11671"/>
    <cellStyle name="40% - Accent2 4 5" xfId="723"/>
    <cellStyle name="40% - Accent2 4 5 2" xfId="1462"/>
    <cellStyle name="40% - Accent2 4 5 2 2" xfId="12558"/>
    <cellStyle name="40% - Accent2 4 5 3" xfId="11848"/>
    <cellStyle name="40% - Accent2 4 6" xfId="1107"/>
    <cellStyle name="40% - Accent2 4 6 2" xfId="12203"/>
    <cellStyle name="40% - Accent2 4 7" xfId="11493"/>
    <cellStyle name="40% - Accent2 5" xfId="202"/>
    <cellStyle name="40% - Accent2 5 2" xfId="412"/>
    <cellStyle name="40% - Accent2 5 2 2" xfId="591"/>
    <cellStyle name="40% - Accent2 5 2 2 2" xfId="974"/>
    <cellStyle name="40% - Accent2 5 2 2 2 2" xfId="1713"/>
    <cellStyle name="40% - Accent2 5 2 2 2 2 2" xfId="12809"/>
    <cellStyle name="40% - Accent2 5 2 2 2 3" xfId="12099"/>
    <cellStyle name="40% - Accent2 5 2 2 3" xfId="1358"/>
    <cellStyle name="40% - Accent2 5 2 2 3 2" xfId="12454"/>
    <cellStyle name="40% - Accent2 5 2 2 4" xfId="11744"/>
    <cellStyle name="40% - Accent2 5 2 3" xfId="796"/>
    <cellStyle name="40% - Accent2 5 2 3 2" xfId="1535"/>
    <cellStyle name="40% - Accent2 5 2 3 2 2" xfId="12631"/>
    <cellStyle name="40% - Accent2 5 2 3 3" xfId="11921"/>
    <cellStyle name="40% - Accent2 5 2 4" xfId="1180"/>
    <cellStyle name="40% - Accent2 5 2 4 2" xfId="12276"/>
    <cellStyle name="40% - Accent2 5 2 5" xfId="11566"/>
    <cellStyle name="40% - Accent2 5 3" xfId="467"/>
    <cellStyle name="40% - Accent2 5 3 2" xfId="646"/>
    <cellStyle name="40% - Accent2 5 3 2 2" xfId="1029"/>
    <cellStyle name="40% - Accent2 5 3 2 2 2" xfId="1768"/>
    <cellStyle name="40% - Accent2 5 3 2 2 2 2" xfId="12864"/>
    <cellStyle name="40% - Accent2 5 3 2 2 3" xfId="12154"/>
    <cellStyle name="40% - Accent2 5 3 2 3" xfId="1413"/>
    <cellStyle name="40% - Accent2 5 3 2 3 2" xfId="12509"/>
    <cellStyle name="40% - Accent2 5 3 2 4" xfId="11799"/>
    <cellStyle name="40% - Accent2 5 3 3" xfId="851"/>
    <cellStyle name="40% - Accent2 5 3 3 2" xfId="1590"/>
    <cellStyle name="40% - Accent2 5 3 3 2 2" xfId="12686"/>
    <cellStyle name="40% - Accent2 5 3 3 3" xfId="11976"/>
    <cellStyle name="40% - Accent2 5 3 4" xfId="1235"/>
    <cellStyle name="40% - Accent2 5 3 4 2" xfId="12331"/>
    <cellStyle name="40% - Accent2 5 3 5" xfId="11621"/>
    <cellStyle name="40% - Accent2 5 4" xfId="530"/>
    <cellStyle name="40% - Accent2 5 4 2" xfId="913"/>
    <cellStyle name="40% - Accent2 5 4 2 2" xfId="1652"/>
    <cellStyle name="40% - Accent2 5 4 2 2 2" xfId="12748"/>
    <cellStyle name="40% - Accent2 5 4 2 3" xfId="12038"/>
    <cellStyle name="40% - Accent2 5 4 3" xfId="1297"/>
    <cellStyle name="40% - Accent2 5 4 3 2" xfId="12393"/>
    <cellStyle name="40% - Accent2 5 4 4" xfId="11683"/>
    <cellStyle name="40% - Accent2 5 5" xfId="735"/>
    <cellStyle name="40% - Accent2 5 5 2" xfId="1474"/>
    <cellStyle name="40% - Accent2 5 5 2 2" xfId="12570"/>
    <cellStyle name="40% - Accent2 5 5 3" xfId="11860"/>
    <cellStyle name="40% - Accent2 5 6" xfId="1119"/>
    <cellStyle name="40% - Accent2 5 6 2" xfId="12215"/>
    <cellStyle name="40% - Accent2 5 7" xfId="11505"/>
    <cellStyle name="40% - Accent2 6" xfId="62"/>
    <cellStyle name="40% - Accent2 6 2" xfId="369"/>
    <cellStyle name="40% - Accent2 6 2 2" xfId="548"/>
    <cellStyle name="40% - Accent2 6 2 2 2" xfId="931"/>
    <cellStyle name="40% - Accent2 6 2 2 2 2" xfId="1670"/>
    <cellStyle name="40% - Accent2 6 2 2 2 2 2" xfId="12766"/>
    <cellStyle name="40% - Accent2 6 2 2 2 3" xfId="12056"/>
    <cellStyle name="40% - Accent2 6 2 2 3" xfId="1315"/>
    <cellStyle name="40% - Accent2 6 2 2 3 2" xfId="12411"/>
    <cellStyle name="40% - Accent2 6 2 2 4" xfId="11701"/>
    <cellStyle name="40% - Accent2 6 2 3" xfId="753"/>
    <cellStyle name="40% - Accent2 6 2 3 2" xfId="1492"/>
    <cellStyle name="40% - Accent2 6 2 3 2 2" xfId="12588"/>
    <cellStyle name="40% - Accent2 6 2 3 3" xfId="11878"/>
    <cellStyle name="40% - Accent2 6 2 4" xfId="1137"/>
    <cellStyle name="40% - Accent2 6 2 4 2" xfId="12233"/>
    <cellStyle name="40% - Accent2 6 2 5" xfId="11523"/>
    <cellStyle name="40% - Accent2 6 3" xfId="493"/>
    <cellStyle name="40% - Accent2 6 3 2" xfId="877"/>
    <cellStyle name="40% - Accent2 6 3 2 2" xfId="1616"/>
    <cellStyle name="40% - Accent2 6 3 2 2 2" xfId="12712"/>
    <cellStyle name="40% - Accent2 6 3 2 3" xfId="12002"/>
    <cellStyle name="40% - Accent2 6 3 3" xfId="1261"/>
    <cellStyle name="40% - Accent2 6 3 3 2" xfId="12357"/>
    <cellStyle name="40% - Accent2 6 3 4" xfId="11647"/>
    <cellStyle name="40% - Accent2 6 4" xfId="699"/>
    <cellStyle name="40% - Accent2 6 4 2" xfId="1438"/>
    <cellStyle name="40% - Accent2 6 4 2 2" xfId="12534"/>
    <cellStyle name="40% - Accent2 6 4 3" xfId="11824"/>
    <cellStyle name="40% - Accent2 6 5" xfId="1083"/>
    <cellStyle name="40% - Accent2 6 5 2" xfId="12179"/>
    <cellStyle name="40% - Accent2 6 6" xfId="11469"/>
    <cellStyle name="40% - Accent2 7" xfId="424"/>
    <cellStyle name="40% - Accent2 7 2" xfId="603"/>
    <cellStyle name="40% - Accent2 7 2 2" xfId="986"/>
    <cellStyle name="40% - Accent2 7 2 2 2" xfId="1725"/>
    <cellStyle name="40% - Accent2 7 2 2 2 2" xfId="12821"/>
    <cellStyle name="40% - Accent2 7 2 2 3" xfId="12111"/>
    <cellStyle name="40% - Accent2 7 2 3" xfId="1370"/>
    <cellStyle name="40% - Accent2 7 2 3 2" xfId="12466"/>
    <cellStyle name="40% - Accent2 7 2 4" xfId="11756"/>
    <cellStyle name="40% - Accent2 7 3" xfId="808"/>
    <cellStyle name="40% - Accent2 7 3 2" xfId="1547"/>
    <cellStyle name="40% - Accent2 7 3 2 2" xfId="12643"/>
    <cellStyle name="40% - Accent2 7 3 3" xfId="11933"/>
    <cellStyle name="40% - Accent2 7 4" xfId="1192"/>
    <cellStyle name="40% - Accent2 7 4 2" xfId="12288"/>
    <cellStyle name="40% - Accent2 7 5" xfId="11578"/>
    <cellStyle name="40% - Accent2 8" xfId="480"/>
    <cellStyle name="40% - Accent2 8 2" xfId="864"/>
    <cellStyle name="40% - Accent2 8 2 2" xfId="1603"/>
    <cellStyle name="40% - Accent2 8 2 2 2" xfId="12699"/>
    <cellStyle name="40% - Accent2 8 2 3" xfId="11989"/>
    <cellStyle name="40% - Accent2 8 3" xfId="1248"/>
    <cellStyle name="40% - Accent2 8 3 2" xfId="12344"/>
    <cellStyle name="40% - Accent2 8 4" xfId="11634"/>
    <cellStyle name="40% - Accent2 9" xfId="677"/>
    <cellStyle name="40% - Accent2 9 2" xfId="1425"/>
    <cellStyle name="40% - Accent2 9 2 2" xfId="12521"/>
    <cellStyle name="40% - Accent2 9 3" xfId="11811"/>
    <cellStyle name="40% - Accent3" xfId="27" builtinId="39" customBuiltin="1"/>
    <cellStyle name="40% - Accent3 10" xfId="1065"/>
    <cellStyle name="40% - Accent3 10 2" xfId="12168"/>
    <cellStyle name="40% - Accent3 11" xfId="1935"/>
    <cellStyle name="40% - Accent3 11 2" xfId="12876"/>
    <cellStyle name="40% - Accent3 12" xfId="3773"/>
    <cellStyle name="40% - Accent3 12 2" xfId="11458"/>
    <cellStyle name="40% - Accent3 2" xfId="113"/>
    <cellStyle name="40% - Accent3 2 10" xfId="3113"/>
    <cellStyle name="40% - Accent3 2 10 2" xfId="5222"/>
    <cellStyle name="40% - Accent3 2 10 2 2" xfId="17835"/>
    <cellStyle name="40% - Accent3 2 10 2 2 2" xfId="28978"/>
    <cellStyle name="40% - Accent3 2 10 2 3" xfId="23409"/>
    <cellStyle name="40% - Accent3 2 10 2 4" xfId="9373"/>
    <cellStyle name="40% - Accent3 2 10 3" xfId="15766"/>
    <cellStyle name="40% - Accent3 2 10 3 2" xfId="26909"/>
    <cellStyle name="40% - Accent3 2 10 4" xfId="21340"/>
    <cellStyle name="40% - Accent3 2 10 5" xfId="7304"/>
    <cellStyle name="40% - Accent3 2 11" xfId="3792"/>
    <cellStyle name="40% - Accent3 2 11 2" xfId="16405"/>
    <cellStyle name="40% - Accent3 2 11 2 2" xfId="27548"/>
    <cellStyle name="40% - Accent3 2 11 3" xfId="21979"/>
    <cellStyle name="40% - Accent3 2 11 4" xfId="7943"/>
    <cellStyle name="40% - Accent3 2 12" xfId="10175"/>
    <cellStyle name="40% - Accent3 2 12 2" xfId="14336"/>
    <cellStyle name="40% - Accent3 2 12 2 2" xfId="25479"/>
    <cellStyle name="40% - Accent3 2 12 3" xfId="19910"/>
    <cellStyle name="40% - Accent3 2 13" xfId="12904"/>
    <cellStyle name="40% - Accent3 2 13 2" xfId="24048"/>
    <cellStyle name="40% - Accent3 2 14" xfId="18480"/>
    <cellStyle name="40% - Accent3 2 15" xfId="5873"/>
    <cellStyle name="40% - Accent3 2 2" xfId="225"/>
    <cellStyle name="40% - Accent3 2 2 10" xfId="3811"/>
    <cellStyle name="40% - Accent3 2 2 10 2" xfId="16424"/>
    <cellStyle name="40% - Accent3 2 2 10 2 2" xfId="27567"/>
    <cellStyle name="40% - Accent3 2 2 10 3" xfId="21998"/>
    <cellStyle name="40% - Accent3 2 2 10 4" xfId="7962"/>
    <cellStyle name="40% - Accent3 2 2 11" xfId="10282"/>
    <cellStyle name="40% - Accent3 2 2 11 2" xfId="14355"/>
    <cellStyle name="40% - Accent3 2 2 11 2 2" xfId="25498"/>
    <cellStyle name="40% - Accent3 2 2 11 3" xfId="19929"/>
    <cellStyle name="40% - Accent3 2 2 12" xfId="12924"/>
    <cellStyle name="40% - Accent3 2 2 12 2" xfId="24068"/>
    <cellStyle name="40% - Accent3 2 2 13" xfId="18499"/>
    <cellStyle name="40% - Accent3 2 2 14" xfId="5892"/>
    <cellStyle name="40% - Accent3 2 2 2" xfId="263"/>
    <cellStyle name="40% - Accent3 2 2 2 10" xfId="11284"/>
    <cellStyle name="40% - Accent3 2 2 2 10 2" xfId="14393"/>
    <cellStyle name="40% - Accent3 2 2 2 10 2 2" xfId="25536"/>
    <cellStyle name="40% - Accent3 2 2 2 10 3" xfId="19967"/>
    <cellStyle name="40% - Accent3 2 2 2 11" xfId="12962"/>
    <cellStyle name="40% - Accent3 2 2 2 11 2" xfId="24106"/>
    <cellStyle name="40% - Accent3 2 2 2 12" xfId="18537"/>
    <cellStyle name="40% - Accent3 2 2 2 13" xfId="5930"/>
    <cellStyle name="40% - Accent3 2 2 2 2" xfId="339"/>
    <cellStyle name="40% - Accent3 2 2 2 2 10" xfId="13038"/>
    <cellStyle name="40% - Accent3 2 2 2 2 10 2" xfId="24182"/>
    <cellStyle name="40% - Accent3 2 2 2 2 11" xfId="18613"/>
    <cellStyle name="40% - Accent3 2 2 2 2 12" xfId="6006"/>
    <cellStyle name="40% - Accent3 2 2 2 2 2" xfId="2297"/>
    <cellStyle name="40% - Accent3 2 2 2 2 2 2" xfId="2941"/>
    <cellStyle name="40% - Accent3 2 2 2 2 2 2 2" xfId="5050"/>
    <cellStyle name="40% - Accent3 2 2 2 2 2 2 2 2" xfId="17663"/>
    <cellStyle name="40% - Accent3 2 2 2 2 2 2 2 2 2" xfId="28806"/>
    <cellStyle name="40% - Accent3 2 2 2 2 2 2 2 3" xfId="23237"/>
    <cellStyle name="40% - Accent3 2 2 2 2 2 2 2 4" xfId="9201"/>
    <cellStyle name="40% - Accent3 2 2 2 2 2 2 3" xfId="11075"/>
    <cellStyle name="40% - Accent3 2 2 2 2 2 2 3 2" xfId="15594"/>
    <cellStyle name="40% - Accent3 2 2 2 2 2 2 3 2 2" xfId="26737"/>
    <cellStyle name="40% - Accent3 2 2 2 2 2 2 3 3" xfId="21168"/>
    <cellStyle name="40% - Accent3 2 2 2 2 2 2 4" xfId="14164"/>
    <cellStyle name="40% - Accent3 2 2 2 2 2 2 4 2" xfId="25307"/>
    <cellStyle name="40% - Accent3 2 2 2 2 2 2 5" xfId="19738"/>
    <cellStyle name="40% - Accent3 2 2 2 2 2 2 6" xfId="7132"/>
    <cellStyle name="40% - Accent3 2 2 2 2 2 3" xfId="3579"/>
    <cellStyle name="40% - Accent3 2 2 2 2 2 3 2" xfId="5688"/>
    <cellStyle name="40% - Accent3 2 2 2 2 2 3 2 2" xfId="18301"/>
    <cellStyle name="40% - Accent3 2 2 2 2 2 3 2 2 2" xfId="29444"/>
    <cellStyle name="40% - Accent3 2 2 2 2 2 3 2 3" xfId="23875"/>
    <cellStyle name="40% - Accent3 2 2 2 2 2 3 2 4" xfId="9839"/>
    <cellStyle name="40% - Accent3 2 2 2 2 2 3 3" xfId="16232"/>
    <cellStyle name="40% - Accent3 2 2 2 2 2 3 3 2" xfId="27375"/>
    <cellStyle name="40% - Accent3 2 2 2 2 2 3 4" xfId="21806"/>
    <cellStyle name="40% - Accent3 2 2 2 2 2 3 5" xfId="7770"/>
    <cellStyle name="40% - Accent3 2 2 2 2 2 4" xfId="4258"/>
    <cellStyle name="40% - Accent3 2 2 2 2 2 4 2" xfId="16871"/>
    <cellStyle name="40% - Accent3 2 2 2 2 2 4 2 2" xfId="28014"/>
    <cellStyle name="40% - Accent3 2 2 2 2 2 4 3" xfId="22445"/>
    <cellStyle name="40% - Accent3 2 2 2 2 2 4 4" xfId="8409"/>
    <cellStyle name="40% - Accent3 2 2 2 2 2 5" xfId="10087"/>
    <cellStyle name="40% - Accent3 2 2 2 2 2 5 2" xfId="14955"/>
    <cellStyle name="40% - Accent3 2 2 2 2 2 5 2 2" xfId="26098"/>
    <cellStyle name="40% - Accent3 2 2 2 2 2 5 3" xfId="20529"/>
    <cellStyle name="40% - Accent3 2 2 2 2 2 6" xfId="13525"/>
    <cellStyle name="40% - Accent3 2 2 2 2 2 6 2" xfId="24668"/>
    <cellStyle name="40% - Accent3 2 2 2 2 2 7" xfId="19099"/>
    <cellStyle name="40% - Accent3 2 2 2 2 2 8" xfId="6493"/>
    <cellStyle name="40% - Accent3 2 2 2 2 3" xfId="2105"/>
    <cellStyle name="40% - Accent3 2 2 2 2 3 2" xfId="2760"/>
    <cellStyle name="40% - Accent3 2 2 2 2 3 2 2" xfId="4869"/>
    <cellStyle name="40% - Accent3 2 2 2 2 3 2 2 2" xfId="17482"/>
    <cellStyle name="40% - Accent3 2 2 2 2 3 2 2 2 2" xfId="28625"/>
    <cellStyle name="40% - Accent3 2 2 2 2 3 2 2 3" xfId="23056"/>
    <cellStyle name="40% - Accent3 2 2 2 2 3 2 2 4" xfId="9020"/>
    <cellStyle name="40% - Accent3 2 2 2 2 3 2 3" xfId="11034"/>
    <cellStyle name="40% - Accent3 2 2 2 2 3 2 3 2" xfId="15413"/>
    <cellStyle name="40% - Accent3 2 2 2 2 3 2 3 2 2" xfId="26556"/>
    <cellStyle name="40% - Accent3 2 2 2 2 3 2 3 3" xfId="20987"/>
    <cellStyle name="40% - Accent3 2 2 2 2 3 2 4" xfId="13983"/>
    <cellStyle name="40% - Accent3 2 2 2 2 3 2 4 2" xfId="25126"/>
    <cellStyle name="40% - Accent3 2 2 2 2 3 2 5" xfId="19557"/>
    <cellStyle name="40% - Accent3 2 2 2 2 3 2 6" xfId="6951"/>
    <cellStyle name="40% - Accent3 2 2 2 2 3 3" xfId="3398"/>
    <cellStyle name="40% - Accent3 2 2 2 2 3 3 2" xfId="5507"/>
    <cellStyle name="40% - Accent3 2 2 2 2 3 3 2 2" xfId="18120"/>
    <cellStyle name="40% - Accent3 2 2 2 2 3 3 2 2 2" xfId="29263"/>
    <cellStyle name="40% - Accent3 2 2 2 2 3 3 2 3" xfId="23694"/>
    <cellStyle name="40% - Accent3 2 2 2 2 3 3 2 4" xfId="9658"/>
    <cellStyle name="40% - Accent3 2 2 2 2 3 3 3" xfId="16051"/>
    <cellStyle name="40% - Accent3 2 2 2 2 3 3 3 2" xfId="27194"/>
    <cellStyle name="40% - Accent3 2 2 2 2 3 3 4" xfId="21625"/>
    <cellStyle name="40% - Accent3 2 2 2 2 3 3 5" xfId="7589"/>
    <cellStyle name="40% - Accent3 2 2 2 2 3 4" xfId="4077"/>
    <cellStyle name="40% - Accent3 2 2 2 2 3 4 2" xfId="16690"/>
    <cellStyle name="40% - Accent3 2 2 2 2 3 4 2 2" xfId="27833"/>
    <cellStyle name="40% - Accent3 2 2 2 2 3 4 3" xfId="22264"/>
    <cellStyle name="40% - Accent3 2 2 2 2 3 4 4" xfId="8228"/>
    <cellStyle name="40% - Accent3 2 2 2 2 3 5" xfId="10334"/>
    <cellStyle name="40% - Accent3 2 2 2 2 3 5 2" xfId="14774"/>
    <cellStyle name="40% - Accent3 2 2 2 2 3 5 2 2" xfId="25917"/>
    <cellStyle name="40% - Accent3 2 2 2 2 3 5 3" xfId="20348"/>
    <cellStyle name="40% - Accent3 2 2 2 2 3 6" xfId="13344"/>
    <cellStyle name="40% - Accent3 2 2 2 2 3 6 2" xfId="24487"/>
    <cellStyle name="40% - Accent3 2 2 2 2 3 7" xfId="18918"/>
    <cellStyle name="40% - Accent3 2 2 2 2 3 8" xfId="6312"/>
    <cellStyle name="40% - Accent3 2 2 2 2 4" xfId="2452"/>
    <cellStyle name="40% - Accent3 2 2 2 2 4 2" xfId="3093"/>
    <cellStyle name="40% - Accent3 2 2 2 2 4 2 2" xfId="5202"/>
    <cellStyle name="40% - Accent3 2 2 2 2 4 2 2 2" xfId="17815"/>
    <cellStyle name="40% - Accent3 2 2 2 2 4 2 2 2 2" xfId="28958"/>
    <cellStyle name="40% - Accent3 2 2 2 2 4 2 2 3" xfId="23389"/>
    <cellStyle name="40% - Accent3 2 2 2 2 4 2 2 4" xfId="9353"/>
    <cellStyle name="40% - Accent3 2 2 2 2 4 2 3" xfId="11061"/>
    <cellStyle name="40% - Accent3 2 2 2 2 4 2 3 2" xfId="15746"/>
    <cellStyle name="40% - Accent3 2 2 2 2 4 2 3 2 2" xfId="26889"/>
    <cellStyle name="40% - Accent3 2 2 2 2 4 2 3 3" xfId="21320"/>
    <cellStyle name="40% - Accent3 2 2 2 2 4 2 4" xfId="14316"/>
    <cellStyle name="40% - Accent3 2 2 2 2 4 2 4 2" xfId="25459"/>
    <cellStyle name="40% - Accent3 2 2 2 2 4 2 5" xfId="19890"/>
    <cellStyle name="40% - Accent3 2 2 2 2 4 2 6" xfId="7284"/>
    <cellStyle name="40% - Accent3 2 2 2 2 4 3" xfId="3731"/>
    <cellStyle name="40% - Accent3 2 2 2 2 4 3 2" xfId="5840"/>
    <cellStyle name="40% - Accent3 2 2 2 2 4 3 2 2" xfId="18453"/>
    <cellStyle name="40% - Accent3 2 2 2 2 4 3 2 2 2" xfId="29596"/>
    <cellStyle name="40% - Accent3 2 2 2 2 4 3 2 3" xfId="24027"/>
    <cellStyle name="40% - Accent3 2 2 2 2 4 3 2 4" xfId="9991"/>
    <cellStyle name="40% - Accent3 2 2 2 2 4 3 3" xfId="16384"/>
    <cellStyle name="40% - Accent3 2 2 2 2 4 3 3 2" xfId="27527"/>
    <cellStyle name="40% - Accent3 2 2 2 2 4 3 4" xfId="21958"/>
    <cellStyle name="40% - Accent3 2 2 2 2 4 3 5" xfId="7922"/>
    <cellStyle name="40% - Accent3 2 2 2 2 4 4" xfId="4410"/>
    <cellStyle name="40% - Accent3 2 2 2 2 4 4 2" xfId="17023"/>
    <cellStyle name="40% - Accent3 2 2 2 2 4 4 2 2" xfId="28166"/>
    <cellStyle name="40% - Accent3 2 2 2 2 4 4 3" xfId="22597"/>
    <cellStyle name="40% - Accent3 2 2 2 2 4 4 4" xfId="8561"/>
    <cellStyle name="40% - Accent3 2 2 2 2 4 5" xfId="5864"/>
    <cellStyle name="40% - Accent3 2 2 2 2 4 5 2" xfId="15107"/>
    <cellStyle name="40% - Accent3 2 2 2 2 4 5 2 2" xfId="26250"/>
    <cellStyle name="40% - Accent3 2 2 2 2 4 5 3" xfId="20681"/>
    <cellStyle name="40% - Accent3 2 2 2 2 4 6" xfId="13677"/>
    <cellStyle name="40% - Accent3 2 2 2 2 4 6 2" xfId="24820"/>
    <cellStyle name="40% - Accent3 2 2 2 2 4 7" xfId="19251"/>
    <cellStyle name="40% - Accent3 2 2 2 2 4 8" xfId="6645"/>
    <cellStyle name="40% - Accent3 2 2 2 2 5" xfId="1915"/>
    <cellStyle name="40% - Accent3 2 2 2 2 5 2" xfId="4563"/>
    <cellStyle name="40% - Accent3 2 2 2 2 5 2 2" xfId="17176"/>
    <cellStyle name="40% - Accent3 2 2 2 2 5 2 2 2" xfId="28319"/>
    <cellStyle name="40% - Accent3 2 2 2 2 5 2 3" xfId="22750"/>
    <cellStyle name="40% - Accent3 2 2 2 2 5 2 4" xfId="8714"/>
    <cellStyle name="40% - Accent3 2 2 2 2 5 3" xfId="10582"/>
    <cellStyle name="40% - Accent3 2 2 2 2 5 3 2" xfId="14622"/>
    <cellStyle name="40% - Accent3 2 2 2 2 5 3 2 2" xfId="25765"/>
    <cellStyle name="40% - Accent3 2 2 2 2 5 3 3" xfId="20196"/>
    <cellStyle name="40% - Accent3 2 2 2 2 5 4" xfId="13192"/>
    <cellStyle name="40% - Accent3 2 2 2 2 5 4 2" xfId="24335"/>
    <cellStyle name="40% - Accent3 2 2 2 2 5 5" xfId="18766"/>
    <cellStyle name="40% - Accent3 2 2 2 2 5 6" xfId="6160"/>
    <cellStyle name="40% - Accent3 2 2 2 2 6" xfId="2608"/>
    <cellStyle name="40% - Accent3 2 2 2 2 6 2" xfId="4717"/>
    <cellStyle name="40% - Accent3 2 2 2 2 6 2 2" xfId="17330"/>
    <cellStyle name="40% - Accent3 2 2 2 2 6 2 2 2" xfId="28473"/>
    <cellStyle name="40% - Accent3 2 2 2 2 6 2 3" xfId="22904"/>
    <cellStyle name="40% - Accent3 2 2 2 2 6 2 4" xfId="8868"/>
    <cellStyle name="40% - Accent3 2 2 2 2 6 3" xfId="10182"/>
    <cellStyle name="40% - Accent3 2 2 2 2 6 3 2" xfId="15261"/>
    <cellStyle name="40% - Accent3 2 2 2 2 6 3 2 2" xfId="26404"/>
    <cellStyle name="40% - Accent3 2 2 2 2 6 3 3" xfId="20835"/>
    <cellStyle name="40% - Accent3 2 2 2 2 6 4" xfId="13831"/>
    <cellStyle name="40% - Accent3 2 2 2 2 6 4 2" xfId="24974"/>
    <cellStyle name="40% - Accent3 2 2 2 2 6 5" xfId="19405"/>
    <cellStyle name="40% - Accent3 2 2 2 2 6 6" xfId="6799"/>
    <cellStyle name="40% - Accent3 2 2 2 2 7" xfId="3246"/>
    <cellStyle name="40% - Accent3 2 2 2 2 7 2" xfId="5355"/>
    <cellStyle name="40% - Accent3 2 2 2 2 7 2 2" xfId="17968"/>
    <cellStyle name="40% - Accent3 2 2 2 2 7 2 2 2" xfId="29111"/>
    <cellStyle name="40% - Accent3 2 2 2 2 7 2 3" xfId="23542"/>
    <cellStyle name="40% - Accent3 2 2 2 2 7 2 4" xfId="9506"/>
    <cellStyle name="40% - Accent3 2 2 2 2 7 3" xfId="15899"/>
    <cellStyle name="40% - Accent3 2 2 2 2 7 3 2" xfId="27042"/>
    <cellStyle name="40% - Accent3 2 2 2 2 7 4" xfId="21473"/>
    <cellStyle name="40% - Accent3 2 2 2 2 7 5" xfId="7437"/>
    <cellStyle name="40% - Accent3 2 2 2 2 8" xfId="3925"/>
    <cellStyle name="40% - Accent3 2 2 2 2 8 2" xfId="16538"/>
    <cellStyle name="40% - Accent3 2 2 2 2 8 2 2" xfId="27681"/>
    <cellStyle name="40% - Accent3 2 2 2 2 8 3" xfId="22112"/>
    <cellStyle name="40% - Accent3 2 2 2 2 8 4" xfId="8076"/>
    <cellStyle name="40% - Accent3 2 2 2 2 9" xfId="10273"/>
    <cellStyle name="40% - Accent3 2 2 2 2 9 2" xfId="14469"/>
    <cellStyle name="40% - Accent3 2 2 2 2 9 2 2" xfId="25612"/>
    <cellStyle name="40% - Accent3 2 2 2 2 9 3" xfId="20043"/>
    <cellStyle name="40% - Accent3 2 2 2 3" xfId="2221"/>
    <cellStyle name="40% - Accent3 2 2 2 3 2" xfId="2865"/>
    <cellStyle name="40% - Accent3 2 2 2 3 2 2" xfId="4974"/>
    <cellStyle name="40% - Accent3 2 2 2 3 2 2 2" xfId="17587"/>
    <cellStyle name="40% - Accent3 2 2 2 3 2 2 2 2" xfId="28730"/>
    <cellStyle name="40% - Accent3 2 2 2 3 2 2 3" xfId="23161"/>
    <cellStyle name="40% - Accent3 2 2 2 3 2 2 4" xfId="9125"/>
    <cellStyle name="40% - Accent3 2 2 2 3 2 3" xfId="11331"/>
    <cellStyle name="40% - Accent3 2 2 2 3 2 3 2" xfId="15518"/>
    <cellStyle name="40% - Accent3 2 2 2 3 2 3 2 2" xfId="26661"/>
    <cellStyle name="40% - Accent3 2 2 2 3 2 3 3" xfId="21092"/>
    <cellStyle name="40% - Accent3 2 2 2 3 2 4" xfId="14088"/>
    <cellStyle name="40% - Accent3 2 2 2 3 2 4 2" xfId="25231"/>
    <cellStyle name="40% - Accent3 2 2 2 3 2 5" xfId="19662"/>
    <cellStyle name="40% - Accent3 2 2 2 3 2 6" xfId="7056"/>
    <cellStyle name="40% - Accent3 2 2 2 3 3" xfId="3503"/>
    <cellStyle name="40% - Accent3 2 2 2 3 3 2" xfId="5612"/>
    <cellStyle name="40% - Accent3 2 2 2 3 3 2 2" xfId="18225"/>
    <cellStyle name="40% - Accent3 2 2 2 3 3 2 2 2" xfId="29368"/>
    <cellStyle name="40% - Accent3 2 2 2 3 3 2 3" xfId="23799"/>
    <cellStyle name="40% - Accent3 2 2 2 3 3 2 4" xfId="9763"/>
    <cellStyle name="40% - Accent3 2 2 2 3 3 3" xfId="16156"/>
    <cellStyle name="40% - Accent3 2 2 2 3 3 3 2" xfId="27299"/>
    <cellStyle name="40% - Accent3 2 2 2 3 3 4" xfId="21730"/>
    <cellStyle name="40% - Accent3 2 2 2 3 3 5" xfId="7694"/>
    <cellStyle name="40% - Accent3 2 2 2 3 4" xfId="4182"/>
    <cellStyle name="40% - Accent3 2 2 2 3 4 2" xfId="16795"/>
    <cellStyle name="40% - Accent3 2 2 2 3 4 2 2" xfId="27938"/>
    <cellStyle name="40% - Accent3 2 2 2 3 4 3" xfId="22369"/>
    <cellStyle name="40% - Accent3 2 2 2 3 4 4" xfId="8333"/>
    <cellStyle name="40% - Accent3 2 2 2 3 5" xfId="10350"/>
    <cellStyle name="40% - Accent3 2 2 2 3 5 2" xfId="14879"/>
    <cellStyle name="40% - Accent3 2 2 2 3 5 2 2" xfId="26022"/>
    <cellStyle name="40% - Accent3 2 2 2 3 5 3" xfId="20453"/>
    <cellStyle name="40% - Accent3 2 2 2 3 6" xfId="13449"/>
    <cellStyle name="40% - Accent3 2 2 2 3 6 2" xfId="24592"/>
    <cellStyle name="40% - Accent3 2 2 2 3 7" xfId="19023"/>
    <cellStyle name="40% - Accent3 2 2 2 3 8" xfId="6417"/>
    <cellStyle name="40% - Accent3 2 2 2 4" xfId="2029"/>
    <cellStyle name="40% - Accent3 2 2 2 4 2" xfId="2684"/>
    <cellStyle name="40% - Accent3 2 2 2 4 2 2" xfId="4793"/>
    <cellStyle name="40% - Accent3 2 2 2 4 2 2 2" xfId="17406"/>
    <cellStyle name="40% - Accent3 2 2 2 4 2 2 2 2" xfId="28549"/>
    <cellStyle name="40% - Accent3 2 2 2 4 2 2 3" xfId="22980"/>
    <cellStyle name="40% - Accent3 2 2 2 4 2 2 4" xfId="8944"/>
    <cellStyle name="40% - Accent3 2 2 2 4 2 3" xfId="10385"/>
    <cellStyle name="40% - Accent3 2 2 2 4 2 3 2" xfId="15337"/>
    <cellStyle name="40% - Accent3 2 2 2 4 2 3 2 2" xfId="26480"/>
    <cellStyle name="40% - Accent3 2 2 2 4 2 3 3" xfId="20911"/>
    <cellStyle name="40% - Accent3 2 2 2 4 2 4" xfId="13907"/>
    <cellStyle name="40% - Accent3 2 2 2 4 2 4 2" xfId="25050"/>
    <cellStyle name="40% - Accent3 2 2 2 4 2 5" xfId="19481"/>
    <cellStyle name="40% - Accent3 2 2 2 4 2 6" xfId="6875"/>
    <cellStyle name="40% - Accent3 2 2 2 4 3" xfId="3322"/>
    <cellStyle name="40% - Accent3 2 2 2 4 3 2" xfId="5431"/>
    <cellStyle name="40% - Accent3 2 2 2 4 3 2 2" xfId="18044"/>
    <cellStyle name="40% - Accent3 2 2 2 4 3 2 2 2" xfId="29187"/>
    <cellStyle name="40% - Accent3 2 2 2 4 3 2 3" xfId="23618"/>
    <cellStyle name="40% - Accent3 2 2 2 4 3 2 4" xfId="9582"/>
    <cellStyle name="40% - Accent3 2 2 2 4 3 3" xfId="15975"/>
    <cellStyle name="40% - Accent3 2 2 2 4 3 3 2" xfId="27118"/>
    <cellStyle name="40% - Accent3 2 2 2 4 3 4" xfId="21549"/>
    <cellStyle name="40% - Accent3 2 2 2 4 3 5" xfId="7513"/>
    <cellStyle name="40% - Accent3 2 2 2 4 4" xfId="4001"/>
    <cellStyle name="40% - Accent3 2 2 2 4 4 2" xfId="16614"/>
    <cellStyle name="40% - Accent3 2 2 2 4 4 2 2" xfId="27757"/>
    <cellStyle name="40% - Accent3 2 2 2 4 4 3" xfId="22188"/>
    <cellStyle name="40% - Accent3 2 2 2 4 4 4" xfId="8152"/>
    <cellStyle name="40% - Accent3 2 2 2 4 5" xfId="11267"/>
    <cellStyle name="40% - Accent3 2 2 2 4 5 2" xfId="14698"/>
    <cellStyle name="40% - Accent3 2 2 2 4 5 2 2" xfId="25841"/>
    <cellStyle name="40% - Accent3 2 2 2 4 5 3" xfId="20272"/>
    <cellStyle name="40% - Accent3 2 2 2 4 6" xfId="13268"/>
    <cellStyle name="40% - Accent3 2 2 2 4 6 2" xfId="24411"/>
    <cellStyle name="40% - Accent3 2 2 2 4 7" xfId="18842"/>
    <cellStyle name="40% - Accent3 2 2 2 4 8" xfId="6236"/>
    <cellStyle name="40% - Accent3 2 2 2 5" xfId="2376"/>
    <cellStyle name="40% - Accent3 2 2 2 5 2" xfId="3017"/>
    <cellStyle name="40% - Accent3 2 2 2 5 2 2" xfId="5126"/>
    <cellStyle name="40% - Accent3 2 2 2 5 2 2 2" xfId="17739"/>
    <cellStyle name="40% - Accent3 2 2 2 5 2 2 2 2" xfId="28882"/>
    <cellStyle name="40% - Accent3 2 2 2 5 2 2 3" xfId="23313"/>
    <cellStyle name="40% - Accent3 2 2 2 5 2 2 4" xfId="9277"/>
    <cellStyle name="40% - Accent3 2 2 2 5 2 3" xfId="10291"/>
    <cellStyle name="40% - Accent3 2 2 2 5 2 3 2" xfId="15670"/>
    <cellStyle name="40% - Accent3 2 2 2 5 2 3 2 2" xfId="26813"/>
    <cellStyle name="40% - Accent3 2 2 2 5 2 3 3" xfId="21244"/>
    <cellStyle name="40% - Accent3 2 2 2 5 2 4" xfId="14240"/>
    <cellStyle name="40% - Accent3 2 2 2 5 2 4 2" xfId="25383"/>
    <cellStyle name="40% - Accent3 2 2 2 5 2 5" xfId="19814"/>
    <cellStyle name="40% - Accent3 2 2 2 5 2 6" xfId="7208"/>
    <cellStyle name="40% - Accent3 2 2 2 5 3" xfId="3655"/>
    <cellStyle name="40% - Accent3 2 2 2 5 3 2" xfId="5764"/>
    <cellStyle name="40% - Accent3 2 2 2 5 3 2 2" xfId="18377"/>
    <cellStyle name="40% - Accent3 2 2 2 5 3 2 2 2" xfId="29520"/>
    <cellStyle name="40% - Accent3 2 2 2 5 3 2 3" xfId="23951"/>
    <cellStyle name="40% - Accent3 2 2 2 5 3 2 4" xfId="9915"/>
    <cellStyle name="40% - Accent3 2 2 2 5 3 3" xfId="16308"/>
    <cellStyle name="40% - Accent3 2 2 2 5 3 3 2" xfId="27451"/>
    <cellStyle name="40% - Accent3 2 2 2 5 3 4" xfId="21882"/>
    <cellStyle name="40% - Accent3 2 2 2 5 3 5" xfId="7846"/>
    <cellStyle name="40% - Accent3 2 2 2 5 4" xfId="4334"/>
    <cellStyle name="40% - Accent3 2 2 2 5 4 2" xfId="16947"/>
    <cellStyle name="40% - Accent3 2 2 2 5 4 2 2" xfId="28090"/>
    <cellStyle name="40% - Accent3 2 2 2 5 4 3" xfId="22521"/>
    <cellStyle name="40% - Accent3 2 2 2 5 4 4" xfId="8485"/>
    <cellStyle name="40% - Accent3 2 2 2 5 5" xfId="10719"/>
    <cellStyle name="40% - Accent3 2 2 2 5 5 2" xfId="15031"/>
    <cellStyle name="40% - Accent3 2 2 2 5 5 2 2" xfId="26174"/>
    <cellStyle name="40% - Accent3 2 2 2 5 5 3" xfId="20605"/>
    <cellStyle name="40% - Accent3 2 2 2 5 6" xfId="13601"/>
    <cellStyle name="40% - Accent3 2 2 2 5 6 2" xfId="24744"/>
    <cellStyle name="40% - Accent3 2 2 2 5 7" xfId="19175"/>
    <cellStyle name="40% - Accent3 2 2 2 5 8" xfId="6569"/>
    <cellStyle name="40% - Accent3 2 2 2 6" xfId="1839"/>
    <cellStyle name="40% - Accent3 2 2 2 6 2" xfId="4487"/>
    <cellStyle name="40% - Accent3 2 2 2 6 2 2" xfId="17100"/>
    <cellStyle name="40% - Accent3 2 2 2 6 2 2 2" xfId="28243"/>
    <cellStyle name="40% - Accent3 2 2 2 6 2 3" xfId="22674"/>
    <cellStyle name="40% - Accent3 2 2 2 6 2 4" xfId="8638"/>
    <cellStyle name="40% - Accent3 2 2 2 6 3" xfId="11432"/>
    <cellStyle name="40% - Accent3 2 2 2 6 3 2" xfId="14546"/>
    <cellStyle name="40% - Accent3 2 2 2 6 3 2 2" xfId="25689"/>
    <cellStyle name="40% - Accent3 2 2 2 6 3 3" xfId="20120"/>
    <cellStyle name="40% - Accent3 2 2 2 6 4" xfId="13116"/>
    <cellStyle name="40% - Accent3 2 2 2 6 4 2" xfId="24259"/>
    <cellStyle name="40% - Accent3 2 2 2 6 5" xfId="18690"/>
    <cellStyle name="40% - Accent3 2 2 2 6 6" xfId="6084"/>
    <cellStyle name="40% - Accent3 2 2 2 7" xfId="2532"/>
    <cellStyle name="40% - Accent3 2 2 2 7 2" xfId="4641"/>
    <cellStyle name="40% - Accent3 2 2 2 7 2 2" xfId="17254"/>
    <cellStyle name="40% - Accent3 2 2 2 7 2 2 2" xfId="28397"/>
    <cellStyle name="40% - Accent3 2 2 2 7 2 3" xfId="22828"/>
    <cellStyle name="40% - Accent3 2 2 2 7 2 4" xfId="8792"/>
    <cellStyle name="40% - Accent3 2 2 2 7 3" xfId="10012"/>
    <cellStyle name="40% - Accent3 2 2 2 7 3 2" xfId="15185"/>
    <cellStyle name="40% - Accent3 2 2 2 7 3 2 2" xfId="26328"/>
    <cellStyle name="40% - Accent3 2 2 2 7 3 3" xfId="20759"/>
    <cellStyle name="40% - Accent3 2 2 2 7 4" xfId="13755"/>
    <cellStyle name="40% - Accent3 2 2 2 7 4 2" xfId="24898"/>
    <cellStyle name="40% - Accent3 2 2 2 7 5" xfId="19329"/>
    <cellStyle name="40% - Accent3 2 2 2 7 6" xfId="6723"/>
    <cellStyle name="40% - Accent3 2 2 2 8" xfId="3170"/>
    <cellStyle name="40% - Accent3 2 2 2 8 2" xfId="5279"/>
    <cellStyle name="40% - Accent3 2 2 2 8 2 2" xfId="17892"/>
    <cellStyle name="40% - Accent3 2 2 2 8 2 2 2" xfId="29035"/>
    <cellStyle name="40% - Accent3 2 2 2 8 2 3" xfId="23466"/>
    <cellStyle name="40% - Accent3 2 2 2 8 2 4" xfId="9430"/>
    <cellStyle name="40% - Accent3 2 2 2 8 3" xfId="15823"/>
    <cellStyle name="40% - Accent3 2 2 2 8 3 2" xfId="26966"/>
    <cellStyle name="40% - Accent3 2 2 2 8 4" xfId="21397"/>
    <cellStyle name="40% - Accent3 2 2 2 8 5" xfId="7361"/>
    <cellStyle name="40% - Accent3 2 2 2 9" xfId="3849"/>
    <cellStyle name="40% - Accent3 2 2 2 9 2" xfId="16462"/>
    <cellStyle name="40% - Accent3 2 2 2 9 2 2" xfId="27605"/>
    <cellStyle name="40% - Accent3 2 2 2 9 3" xfId="22036"/>
    <cellStyle name="40% - Accent3 2 2 2 9 4" xfId="8000"/>
    <cellStyle name="40% - Accent3 2 2 3" xfId="301"/>
    <cellStyle name="40% - Accent3 2 2 3 10" xfId="13000"/>
    <cellStyle name="40% - Accent3 2 2 3 10 2" xfId="24144"/>
    <cellStyle name="40% - Accent3 2 2 3 11" xfId="18575"/>
    <cellStyle name="40% - Accent3 2 2 3 12" xfId="5968"/>
    <cellStyle name="40% - Accent3 2 2 3 2" xfId="2259"/>
    <cellStyle name="40% - Accent3 2 2 3 2 2" xfId="2903"/>
    <cellStyle name="40% - Accent3 2 2 3 2 2 2" xfId="5012"/>
    <cellStyle name="40% - Accent3 2 2 3 2 2 2 2" xfId="17625"/>
    <cellStyle name="40% - Accent3 2 2 3 2 2 2 2 2" xfId="28768"/>
    <cellStyle name="40% - Accent3 2 2 3 2 2 2 3" xfId="23199"/>
    <cellStyle name="40% - Accent3 2 2 3 2 2 2 4" xfId="9163"/>
    <cellStyle name="40% - Accent3 2 2 3 2 2 3" xfId="10465"/>
    <cellStyle name="40% - Accent3 2 2 3 2 2 3 2" xfId="15556"/>
    <cellStyle name="40% - Accent3 2 2 3 2 2 3 2 2" xfId="26699"/>
    <cellStyle name="40% - Accent3 2 2 3 2 2 3 3" xfId="21130"/>
    <cellStyle name="40% - Accent3 2 2 3 2 2 4" xfId="14126"/>
    <cellStyle name="40% - Accent3 2 2 3 2 2 4 2" xfId="25269"/>
    <cellStyle name="40% - Accent3 2 2 3 2 2 5" xfId="19700"/>
    <cellStyle name="40% - Accent3 2 2 3 2 2 6" xfId="7094"/>
    <cellStyle name="40% - Accent3 2 2 3 2 3" xfId="3541"/>
    <cellStyle name="40% - Accent3 2 2 3 2 3 2" xfId="5650"/>
    <cellStyle name="40% - Accent3 2 2 3 2 3 2 2" xfId="18263"/>
    <cellStyle name="40% - Accent3 2 2 3 2 3 2 2 2" xfId="29406"/>
    <cellStyle name="40% - Accent3 2 2 3 2 3 2 3" xfId="23837"/>
    <cellStyle name="40% - Accent3 2 2 3 2 3 2 4" xfId="9801"/>
    <cellStyle name="40% - Accent3 2 2 3 2 3 3" xfId="16194"/>
    <cellStyle name="40% - Accent3 2 2 3 2 3 3 2" xfId="27337"/>
    <cellStyle name="40% - Accent3 2 2 3 2 3 4" xfId="21768"/>
    <cellStyle name="40% - Accent3 2 2 3 2 3 5" xfId="7732"/>
    <cellStyle name="40% - Accent3 2 2 3 2 4" xfId="4220"/>
    <cellStyle name="40% - Accent3 2 2 3 2 4 2" xfId="16833"/>
    <cellStyle name="40% - Accent3 2 2 3 2 4 2 2" xfId="27976"/>
    <cellStyle name="40% - Accent3 2 2 3 2 4 3" xfId="22407"/>
    <cellStyle name="40% - Accent3 2 2 3 2 4 4" xfId="8371"/>
    <cellStyle name="40% - Accent3 2 2 3 2 5" xfId="10758"/>
    <cellStyle name="40% - Accent3 2 2 3 2 5 2" xfId="14917"/>
    <cellStyle name="40% - Accent3 2 2 3 2 5 2 2" xfId="26060"/>
    <cellStyle name="40% - Accent3 2 2 3 2 5 3" xfId="20491"/>
    <cellStyle name="40% - Accent3 2 2 3 2 6" xfId="13487"/>
    <cellStyle name="40% - Accent3 2 2 3 2 6 2" xfId="24630"/>
    <cellStyle name="40% - Accent3 2 2 3 2 7" xfId="19061"/>
    <cellStyle name="40% - Accent3 2 2 3 2 8" xfId="6455"/>
    <cellStyle name="40% - Accent3 2 2 3 3" xfId="2067"/>
    <cellStyle name="40% - Accent3 2 2 3 3 2" xfId="2722"/>
    <cellStyle name="40% - Accent3 2 2 3 3 2 2" xfId="4831"/>
    <cellStyle name="40% - Accent3 2 2 3 3 2 2 2" xfId="17444"/>
    <cellStyle name="40% - Accent3 2 2 3 3 2 2 2 2" xfId="28587"/>
    <cellStyle name="40% - Accent3 2 2 3 3 2 2 3" xfId="23018"/>
    <cellStyle name="40% - Accent3 2 2 3 3 2 2 4" xfId="8982"/>
    <cellStyle name="40% - Accent3 2 2 3 3 2 3" xfId="11096"/>
    <cellStyle name="40% - Accent3 2 2 3 3 2 3 2" xfId="15375"/>
    <cellStyle name="40% - Accent3 2 2 3 3 2 3 2 2" xfId="26518"/>
    <cellStyle name="40% - Accent3 2 2 3 3 2 3 3" xfId="20949"/>
    <cellStyle name="40% - Accent3 2 2 3 3 2 4" xfId="13945"/>
    <cellStyle name="40% - Accent3 2 2 3 3 2 4 2" xfId="25088"/>
    <cellStyle name="40% - Accent3 2 2 3 3 2 5" xfId="19519"/>
    <cellStyle name="40% - Accent3 2 2 3 3 2 6" xfId="6913"/>
    <cellStyle name="40% - Accent3 2 2 3 3 3" xfId="3360"/>
    <cellStyle name="40% - Accent3 2 2 3 3 3 2" xfId="5469"/>
    <cellStyle name="40% - Accent3 2 2 3 3 3 2 2" xfId="18082"/>
    <cellStyle name="40% - Accent3 2 2 3 3 3 2 2 2" xfId="29225"/>
    <cellStyle name="40% - Accent3 2 2 3 3 3 2 3" xfId="23656"/>
    <cellStyle name="40% - Accent3 2 2 3 3 3 2 4" xfId="9620"/>
    <cellStyle name="40% - Accent3 2 2 3 3 3 3" xfId="16013"/>
    <cellStyle name="40% - Accent3 2 2 3 3 3 3 2" xfId="27156"/>
    <cellStyle name="40% - Accent3 2 2 3 3 3 4" xfId="21587"/>
    <cellStyle name="40% - Accent3 2 2 3 3 3 5" xfId="7551"/>
    <cellStyle name="40% - Accent3 2 2 3 3 4" xfId="4039"/>
    <cellStyle name="40% - Accent3 2 2 3 3 4 2" xfId="16652"/>
    <cellStyle name="40% - Accent3 2 2 3 3 4 2 2" xfId="27795"/>
    <cellStyle name="40% - Accent3 2 2 3 3 4 3" xfId="22226"/>
    <cellStyle name="40% - Accent3 2 2 3 3 4 4" xfId="8190"/>
    <cellStyle name="40% - Accent3 2 2 3 3 5" xfId="11143"/>
    <cellStyle name="40% - Accent3 2 2 3 3 5 2" xfId="14736"/>
    <cellStyle name="40% - Accent3 2 2 3 3 5 2 2" xfId="25879"/>
    <cellStyle name="40% - Accent3 2 2 3 3 5 3" xfId="20310"/>
    <cellStyle name="40% - Accent3 2 2 3 3 6" xfId="13306"/>
    <cellStyle name="40% - Accent3 2 2 3 3 6 2" xfId="24449"/>
    <cellStyle name="40% - Accent3 2 2 3 3 7" xfId="18880"/>
    <cellStyle name="40% - Accent3 2 2 3 3 8" xfId="6274"/>
    <cellStyle name="40% - Accent3 2 2 3 4" xfId="2414"/>
    <cellStyle name="40% - Accent3 2 2 3 4 2" xfId="3055"/>
    <cellStyle name="40% - Accent3 2 2 3 4 2 2" xfId="5164"/>
    <cellStyle name="40% - Accent3 2 2 3 4 2 2 2" xfId="17777"/>
    <cellStyle name="40% - Accent3 2 2 3 4 2 2 2 2" xfId="28920"/>
    <cellStyle name="40% - Accent3 2 2 3 4 2 2 3" xfId="23351"/>
    <cellStyle name="40% - Accent3 2 2 3 4 2 2 4" xfId="9315"/>
    <cellStyle name="40% - Accent3 2 2 3 4 2 3" xfId="10079"/>
    <cellStyle name="40% - Accent3 2 2 3 4 2 3 2" xfId="15708"/>
    <cellStyle name="40% - Accent3 2 2 3 4 2 3 2 2" xfId="26851"/>
    <cellStyle name="40% - Accent3 2 2 3 4 2 3 3" xfId="21282"/>
    <cellStyle name="40% - Accent3 2 2 3 4 2 4" xfId="14278"/>
    <cellStyle name="40% - Accent3 2 2 3 4 2 4 2" xfId="25421"/>
    <cellStyle name="40% - Accent3 2 2 3 4 2 5" xfId="19852"/>
    <cellStyle name="40% - Accent3 2 2 3 4 2 6" xfId="7246"/>
    <cellStyle name="40% - Accent3 2 2 3 4 3" xfId="3693"/>
    <cellStyle name="40% - Accent3 2 2 3 4 3 2" xfId="5802"/>
    <cellStyle name="40% - Accent3 2 2 3 4 3 2 2" xfId="18415"/>
    <cellStyle name="40% - Accent3 2 2 3 4 3 2 2 2" xfId="29558"/>
    <cellStyle name="40% - Accent3 2 2 3 4 3 2 3" xfId="23989"/>
    <cellStyle name="40% - Accent3 2 2 3 4 3 2 4" xfId="9953"/>
    <cellStyle name="40% - Accent3 2 2 3 4 3 3" xfId="16346"/>
    <cellStyle name="40% - Accent3 2 2 3 4 3 3 2" xfId="27489"/>
    <cellStyle name="40% - Accent3 2 2 3 4 3 4" xfId="21920"/>
    <cellStyle name="40% - Accent3 2 2 3 4 3 5" xfId="7884"/>
    <cellStyle name="40% - Accent3 2 2 3 4 4" xfId="4372"/>
    <cellStyle name="40% - Accent3 2 2 3 4 4 2" xfId="16985"/>
    <cellStyle name="40% - Accent3 2 2 3 4 4 2 2" xfId="28128"/>
    <cellStyle name="40% - Accent3 2 2 3 4 4 3" xfId="22559"/>
    <cellStyle name="40% - Accent3 2 2 3 4 4 4" xfId="8523"/>
    <cellStyle name="40% - Accent3 2 2 3 4 5" xfId="11052"/>
    <cellStyle name="40% - Accent3 2 2 3 4 5 2" xfId="15069"/>
    <cellStyle name="40% - Accent3 2 2 3 4 5 2 2" xfId="26212"/>
    <cellStyle name="40% - Accent3 2 2 3 4 5 3" xfId="20643"/>
    <cellStyle name="40% - Accent3 2 2 3 4 6" xfId="13639"/>
    <cellStyle name="40% - Accent3 2 2 3 4 6 2" xfId="24782"/>
    <cellStyle name="40% - Accent3 2 2 3 4 7" xfId="19213"/>
    <cellStyle name="40% - Accent3 2 2 3 4 8" xfId="6607"/>
    <cellStyle name="40% - Accent3 2 2 3 5" xfId="1877"/>
    <cellStyle name="40% - Accent3 2 2 3 5 2" xfId="4525"/>
    <cellStyle name="40% - Accent3 2 2 3 5 2 2" xfId="17138"/>
    <cellStyle name="40% - Accent3 2 2 3 5 2 2 2" xfId="28281"/>
    <cellStyle name="40% - Accent3 2 2 3 5 2 3" xfId="22712"/>
    <cellStyle name="40% - Accent3 2 2 3 5 2 4" xfId="8676"/>
    <cellStyle name="40% - Accent3 2 2 3 5 3" xfId="10067"/>
    <cellStyle name="40% - Accent3 2 2 3 5 3 2" xfId="14584"/>
    <cellStyle name="40% - Accent3 2 2 3 5 3 2 2" xfId="25727"/>
    <cellStyle name="40% - Accent3 2 2 3 5 3 3" xfId="20158"/>
    <cellStyle name="40% - Accent3 2 2 3 5 4" xfId="13154"/>
    <cellStyle name="40% - Accent3 2 2 3 5 4 2" xfId="24297"/>
    <cellStyle name="40% - Accent3 2 2 3 5 5" xfId="18728"/>
    <cellStyle name="40% - Accent3 2 2 3 5 6" xfId="6122"/>
    <cellStyle name="40% - Accent3 2 2 3 6" xfId="2570"/>
    <cellStyle name="40% - Accent3 2 2 3 6 2" xfId="4679"/>
    <cellStyle name="40% - Accent3 2 2 3 6 2 2" xfId="17292"/>
    <cellStyle name="40% - Accent3 2 2 3 6 2 2 2" xfId="28435"/>
    <cellStyle name="40% - Accent3 2 2 3 6 2 3" xfId="22866"/>
    <cellStyle name="40% - Accent3 2 2 3 6 2 4" xfId="8830"/>
    <cellStyle name="40% - Accent3 2 2 3 6 3" xfId="10935"/>
    <cellStyle name="40% - Accent3 2 2 3 6 3 2" xfId="15223"/>
    <cellStyle name="40% - Accent3 2 2 3 6 3 2 2" xfId="26366"/>
    <cellStyle name="40% - Accent3 2 2 3 6 3 3" xfId="20797"/>
    <cellStyle name="40% - Accent3 2 2 3 6 4" xfId="13793"/>
    <cellStyle name="40% - Accent3 2 2 3 6 4 2" xfId="24936"/>
    <cellStyle name="40% - Accent3 2 2 3 6 5" xfId="19367"/>
    <cellStyle name="40% - Accent3 2 2 3 6 6" xfId="6761"/>
    <cellStyle name="40% - Accent3 2 2 3 7" xfId="3208"/>
    <cellStyle name="40% - Accent3 2 2 3 7 2" xfId="5317"/>
    <cellStyle name="40% - Accent3 2 2 3 7 2 2" xfId="17930"/>
    <cellStyle name="40% - Accent3 2 2 3 7 2 2 2" xfId="29073"/>
    <cellStyle name="40% - Accent3 2 2 3 7 2 3" xfId="23504"/>
    <cellStyle name="40% - Accent3 2 2 3 7 2 4" xfId="9468"/>
    <cellStyle name="40% - Accent3 2 2 3 7 3" xfId="15861"/>
    <cellStyle name="40% - Accent3 2 2 3 7 3 2" xfId="27004"/>
    <cellStyle name="40% - Accent3 2 2 3 7 4" xfId="21435"/>
    <cellStyle name="40% - Accent3 2 2 3 7 5" xfId="7399"/>
    <cellStyle name="40% - Accent3 2 2 3 8" xfId="3887"/>
    <cellStyle name="40% - Accent3 2 2 3 8 2" xfId="16500"/>
    <cellStyle name="40% - Accent3 2 2 3 8 2 2" xfId="27643"/>
    <cellStyle name="40% - Accent3 2 2 3 8 3" xfId="22074"/>
    <cellStyle name="40% - Accent3 2 2 3 8 4" xfId="8038"/>
    <cellStyle name="40% - Accent3 2 2 3 9" xfId="10651"/>
    <cellStyle name="40% - Accent3 2 2 3 9 2" xfId="14431"/>
    <cellStyle name="40% - Accent3 2 2 3 9 2 2" xfId="25574"/>
    <cellStyle name="40% - Accent3 2 2 3 9 3" xfId="20005"/>
    <cellStyle name="40% - Accent3 2 2 4" xfId="2183"/>
    <cellStyle name="40% - Accent3 2 2 4 2" xfId="2827"/>
    <cellStyle name="40% - Accent3 2 2 4 2 2" xfId="4936"/>
    <cellStyle name="40% - Accent3 2 2 4 2 2 2" xfId="17549"/>
    <cellStyle name="40% - Accent3 2 2 4 2 2 2 2" xfId="28692"/>
    <cellStyle name="40% - Accent3 2 2 4 2 2 3" xfId="23123"/>
    <cellStyle name="40% - Accent3 2 2 4 2 2 4" xfId="9087"/>
    <cellStyle name="40% - Accent3 2 2 4 2 3" xfId="11242"/>
    <cellStyle name="40% - Accent3 2 2 4 2 3 2" xfId="15480"/>
    <cellStyle name="40% - Accent3 2 2 4 2 3 2 2" xfId="26623"/>
    <cellStyle name="40% - Accent3 2 2 4 2 3 3" xfId="21054"/>
    <cellStyle name="40% - Accent3 2 2 4 2 4" xfId="14050"/>
    <cellStyle name="40% - Accent3 2 2 4 2 4 2" xfId="25193"/>
    <cellStyle name="40% - Accent3 2 2 4 2 5" xfId="19624"/>
    <cellStyle name="40% - Accent3 2 2 4 2 6" xfId="7018"/>
    <cellStyle name="40% - Accent3 2 2 4 3" xfId="3465"/>
    <cellStyle name="40% - Accent3 2 2 4 3 2" xfId="5574"/>
    <cellStyle name="40% - Accent3 2 2 4 3 2 2" xfId="18187"/>
    <cellStyle name="40% - Accent3 2 2 4 3 2 2 2" xfId="29330"/>
    <cellStyle name="40% - Accent3 2 2 4 3 2 3" xfId="23761"/>
    <cellStyle name="40% - Accent3 2 2 4 3 2 4" xfId="9725"/>
    <cellStyle name="40% - Accent3 2 2 4 3 3" xfId="16118"/>
    <cellStyle name="40% - Accent3 2 2 4 3 3 2" xfId="27261"/>
    <cellStyle name="40% - Accent3 2 2 4 3 4" xfId="21692"/>
    <cellStyle name="40% - Accent3 2 2 4 3 5" xfId="7656"/>
    <cellStyle name="40% - Accent3 2 2 4 4" xfId="4144"/>
    <cellStyle name="40% - Accent3 2 2 4 4 2" xfId="16757"/>
    <cellStyle name="40% - Accent3 2 2 4 4 2 2" xfId="27900"/>
    <cellStyle name="40% - Accent3 2 2 4 4 3" xfId="22331"/>
    <cellStyle name="40% - Accent3 2 2 4 4 4" xfId="8295"/>
    <cellStyle name="40% - Accent3 2 2 4 5" xfId="10145"/>
    <cellStyle name="40% - Accent3 2 2 4 5 2" xfId="14841"/>
    <cellStyle name="40% - Accent3 2 2 4 5 2 2" xfId="25984"/>
    <cellStyle name="40% - Accent3 2 2 4 5 3" xfId="20415"/>
    <cellStyle name="40% - Accent3 2 2 4 6" xfId="13411"/>
    <cellStyle name="40% - Accent3 2 2 4 6 2" xfId="24554"/>
    <cellStyle name="40% - Accent3 2 2 4 7" xfId="18985"/>
    <cellStyle name="40% - Accent3 2 2 4 8" xfId="6379"/>
    <cellStyle name="40% - Accent3 2 2 5" xfId="1991"/>
    <cellStyle name="40% - Accent3 2 2 5 2" xfId="2646"/>
    <cellStyle name="40% - Accent3 2 2 5 2 2" xfId="4755"/>
    <cellStyle name="40% - Accent3 2 2 5 2 2 2" xfId="17368"/>
    <cellStyle name="40% - Accent3 2 2 5 2 2 2 2" xfId="28511"/>
    <cellStyle name="40% - Accent3 2 2 5 2 2 3" xfId="22942"/>
    <cellStyle name="40% - Accent3 2 2 5 2 2 4" xfId="8906"/>
    <cellStyle name="40% - Accent3 2 2 5 2 3" xfId="10739"/>
    <cellStyle name="40% - Accent3 2 2 5 2 3 2" xfId="15299"/>
    <cellStyle name="40% - Accent3 2 2 5 2 3 2 2" xfId="26442"/>
    <cellStyle name="40% - Accent3 2 2 5 2 3 3" xfId="20873"/>
    <cellStyle name="40% - Accent3 2 2 5 2 4" xfId="13869"/>
    <cellStyle name="40% - Accent3 2 2 5 2 4 2" xfId="25012"/>
    <cellStyle name="40% - Accent3 2 2 5 2 5" xfId="19443"/>
    <cellStyle name="40% - Accent3 2 2 5 2 6" xfId="6837"/>
    <cellStyle name="40% - Accent3 2 2 5 3" xfId="3284"/>
    <cellStyle name="40% - Accent3 2 2 5 3 2" xfId="5393"/>
    <cellStyle name="40% - Accent3 2 2 5 3 2 2" xfId="18006"/>
    <cellStyle name="40% - Accent3 2 2 5 3 2 2 2" xfId="29149"/>
    <cellStyle name="40% - Accent3 2 2 5 3 2 3" xfId="23580"/>
    <cellStyle name="40% - Accent3 2 2 5 3 2 4" xfId="9544"/>
    <cellStyle name="40% - Accent3 2 2 5 3 3" xfId="15937"/>
    <cellStyle name="40% - Accent3 2 2 5 3 3 2" xfId="27080"/>
    <cellStyle name="40% - Accent3 2 2 5 3 4" xfId="21511"/>
    <cellStyle name="40% - Accent3 2 2 5 3 5" xfId="7475"/>
    <cellStyle name="40% - Accent3 2 2 5 4" xfId="3963"/>
    <cellStyle name="40% - Accent3 2 2 5 4 2" xfId="16576"/>
    <cellStyle name="40% - Accent3 2 2 5 4 2 2" xfId="27719"/>
    <cellStyle name="40% - Accent3 2 2 5 4 3" xfId="22150"/>
    <cellStyle name="40% - Accent3 2 2 5 4 4" xfId="8114"/>
    <cellStyle name="40% - Accent3 2 2 5 5" xfId="10631"/>
    <cellStyle name="40% - Accent3 2 2 5 5 2" xfId="14660"/>
    <cellStyle name="40% - Accent3 2 2 5 5 2 2" xfId="25803"/>
    <cellStyle name="40% - Accent3 2 2 5 5 3" xfId="20234"/>
    <cellStyle name="40% - Accent3 2 2 5 6" xfId="13230"/>
    <cellStyle name="40% - Accent3 2 2 5 6 2" xfId="24373"/>
    <cellStyle name="40% - Accent3 2 2 5 7" xfId="18804"/>
    <cellStyle name="40% - Accent3 2 2 5 8" xfId="6198"/>
    <cellStyle name="40% - Accent3 2 2 6" xfId="2338"/>
    <cellStyle name="40% - Accent3 2 2 6 2" xfId="2979"/>
    <cellStyle name="40% - Accent3 2 2 6 2 2" xfId="5088"/>
    <cellStyle name="40% - Accent3 2 2 6 2 2 2" xfId="17701"/>
    <cellStyle name="40% - Accent3 2 2 6 2 2 2 2" xfId="28844"/>
    <cellStyle name="40% - Accent3 2 2 6 2 2 3" xfId="23275"/>
    <cellStyle name="40% - Accent3 2 2 6 2 2 4" xfId="9239"/>
    <cellStyle name="40% - Accent3 2 2 6 2 3" xfId="10885"/>
    <cellStyle name="40% - Accent3 2 2 6 2 3 2" xfId="15632"/>
    <cellStyle name="40% - Accent3 2 2 6 2 3 2 2" xfId="26775"/>
    <cellStyle name="40% - Accent3 2 2 6 2 3 3" xfId="21206"/>
    <cellStyle name="40% - Accent3 2 2 6 2 4" xfId="14202"/>
    <cellStyle name="40% - Accent3 2 2 6 2 4 2" xfId="25345"/>
    <cellStyle name="40% - Accent3 2 2 6 2 5" xfId="19776"/>
    <cellStyle name="40% - Accent3 2 2 6 2 6" xfId="7170"/>
    <cellStyle name="40% - Accent3 2 2 6 3" xfId="3617"/>
    <cellStyle name="40% - Accent3 2 2 6 3 2" xfId="5726"/>
    <cellStyle name="40% - Accent3 2 2 6 3 2 2" xfId="18339"/>
    <cellStyle name="40% - Accent3 2 2 6 3 2 2 2" xfId="29482"/>
    <cellStyle name="40% - Accent3 2 2 6 3 2 3" xfId="23913"/>
    <cellStyle name="40% - Accent3 2 2 6 3 2 4" xfId="9877"/>
    <cellStyle name="40% - Accent3 2 2 6 3 3" xfId="16270"/>
    <cellStyle name="40% - Accent3 2 2 6 3 3 2" xfId="27413"/>
    <cellStyle name="40% - Accent3 2 2 6 3 4" xfId="21844"/>
    <cellStyle name="40% - Accent3 2 2 6 3 5" xfId="7808"/>
    <cellStyle name="40% - Accent3 2 2 6 4" xfId="4296"/>
    <cellStyle name="40% - Accent3 2 2 6 4 2" xfId="16909"/>
    <cellStyle name="40% - Accent3 2 2 6 4 2 2" xfId="28052"/>
    <cellStyle name="40% - Accent3 2 2 6 4 3" xfId="22483"/>
    <cellStyle name="40% - Accent3 2 2 6 4 4" xfId="8447"/>
    <cellStyle name="40% - Accent3 2 2 6 5" xfId="11309"/>
    <cellStyle name="40% - Accent3 2 2 6 5 2" xfId="14993"/>
    <cellStyle name="40% - Accent3 2 2 6 5 2 2" xfId="26136"/>
    <cellStyle name="40% - Accent3 2 2 6 5 3" xfId="20567"/>
    <cellStyle name="40% - Accent3 2 2 6 6" xfId="13563"/>
    <cellStyle name="40% - Accent3 2 2 6 6 2" xfId="24706"/>
    <cellStyle name="40% - Accent3 2 2 6 7" xfId="19137"/>
    <cellStyle name="40% - Accent3 2 2 6 8" xfId="6531"/>
    <cellStyle name="40% - Accent3 2 2 7" xfId="1801"/>
    <cellStyle name="40% - Accent3 2 2 7 2" xfId="4449"/>
    <cellStyle name="40% - Accent3 2 2 7 2 2" xfId="17062"/>
    <cellStyle name="40% - Accent3 2 2 7 2 2 2" xfId="28205"/>
    <cellStyle name="40% - Accent3 2 2 7 2 3" xfId="22636"/>
    <cellStyle name="40% - Accent3 2 2 7 2 4" xfId="8600"/>
    <cellStyle name="40% - Accent3 2 2 7 3" xfId="10877"/>
    <cellStyle name="40% - Accent3 2 2 7 3 2" xfId="14508"/>
    <cellStyle name="40% - Accent3 2 2 7 3 2 2" xfId="25651"/>
    <cellStyle name="40% - Accent3 2 2 7 3 3" xfId="20082"/>
    <cellStyle name="40% - Accent3 2 2 7 4" xfId="13078"/>
    <cellStyle name="40% - Accent3 2 2 7 4 2" xfId="24221"/>
    <cellStyle name="40% - Accent3 2 2 7 5" xfId="18652"/>
    <cellStyle name="40% - Accent3 2 2 7 6" xfId="6046"/>
    <cellStyle name="40% - Accent3 2 2 8" xfId="2494"/>
    <cellStyle name="40% - Accent3 2 2 8 2" xfId="4603"/>
    <cellStyle name="40% - Accent3 2 2 8 2 2" xfId="17216"/>
    <cellStyle name="40% - Accent3 2 2 8 2 2 2" xfId="28359"/>
    <cellStyle name="40% - Accent3 2 2 8 2 3" xfId="22790"/>
    <cellStyle name="40% - Accent3 2 2 8 2 4" xfId="8754"/>
    <cellStyle name="40% - Accent3 2 2 8 3" xfId="10839"/>
    <cellStyle name="40% - Accent3 2 2 8 3 2" xfId="15147"/>
    <cellStyle name="40% - Accent3 2 2 8 3 2 2" xfId="26290"/>
    <cellStyle name="40% - Accent3 2 2 8 3 3" xfId="20721"/>
    <cellStyle name="40% - Accent3 2 2 8 4" xfId="13717"/>
    <cellStyle name="40% - Accent3 2 2 8 4 2" xfId="24860"/>
    <cellStyle name="40% - Accent3 2 2 8 5" xfId="19291"/>
    <cellStyle name="40% - Accent3 2 2 8 6" xfId="6685"/>
    <cellStyle name="40% - Accent3 2 2 9" xfId="3132"/>
    <cellStyle name="40% - Accent3 2 2 9 2" xfId="5241"/>
    <cellStyle name="40% - Accent3 2 2 9 2 2" xfId="17854"/>
    <cellStyle name="40% - Accent3 2 2 9 2 2 2" xfId="28997"/>
    <cellStyle name="40% - Accent3 2 2 9 2 3" xfId="23428"/>
    <cellStyle name="40% - Accent3 2 2 9 2 4" xfId="9392"/>
    <cellStyle name="40% - Accent3 2 2 9 3" xfId="15785"/>
    <cellStyle name="40% - Accent3 2 2 9 3 2" xfId="26928"/>
    <cellStyle name="40% - Accent3 2 2 9 4" xfId="21359"/>
    <cellStyle name="40% - Accent3 2 2 9 5" xfId="7323"/>
    <cellStyle name="40% - Accent3 2 3" xfId="244"/>
    <cellStyle name="40% - Accent3 2 3 10" xfId="11411"/>
    <cellStyle name="40% - Accent3 2 3 10 2" xfId="14374"/>
    <cellStyle name="40% - Accent3 2 3 10 2 2" xfId="25517"/>
    <cellStyle name="40% - Accent3 2 3 10 3" xfId="19948"/>
    <cellStyle name="40% - Accent3 2 3 11" xfId="12943"/>
    <cellStyle name="40% - Accent3 2 3 11 2" xfId="24087"/>
    <cellStyle name="40% - Accent3 2 3 12" xfId="18518"/>
    <cellStyle name="40% - Accent3 2 3 13" xfId="5911"/>
    <cellStyle name="40% - Accent3 2 3 2" xfId="320"/>
    <cellStyle name="40% - Accent3 2 3 2 10" xfId="13019"/>
    <cellStyle name="40% - Accent3 2 3 2 10 2" xfId="24163"/>
    <cellStyle name="40% - Accent3 2 3 2 11" xfId="18594"/>
    <cellStyle name="40% - Accent3 2 3 2 12" xfId="5987"/>
    <cellStyle name="40% - Accent3 2 3 2 2" xfId="2278"/>
    <cellStyle name="40% - Accent3 2 3 2 2 2" xfId="2922"/>
    <cellStyle name="40% - Accent3 2 3 2 2 2 2" xfId="5031"/>
    <cellStyle name="40% - Accent3 2 3 2 2 2 2 2" xfId="17644"/>
    <cellStyle name="40% - Accent3 2 3 2 2 2 2 2 2" xfId="28787"/>
    <cellStyle name="40% - Accent3 2 3 2 2 2 2 3" xfId="23218"/>
    <cellStyle name="40% - Accent3 2 3 2 2 2 2 4" xfId="9182"/>
    <cellStyle name="40% - Accent3 2 3 2 2 2 3" xfId="10869"/>
    <cellStyle name="40% - Accent3 2 3 2 2 2 3 2" xfId="15575"/>
    <cellStyle name="40% - Accent3 2 3 2 2 2 3 2 2" xfId="26718"/>
    <cellStyle name="40% - Accent3 2 3 2 2 2 3 3" xfId="21149"/>
    <cellStyle name="40% - Accent3 2 3 2 2 2 4" xfId="14145"/>
    <cellStyle name="40% - Accent3 2 3 2 2 2 4 2" xfId="25288"/>
    <cellStyle name="40% - Accent3 2 3 2 2 2 5" xfId="19719"/>
    <cellStyle name="40% - Accent3 2 3 2 2 2 6" xfId="7113"/>
    <cellStyle name="40% - Accent3 2 3 2 2 3" xfId="3560"/>
    <cellStyle name="40% - Accent3 2 3 2 2 3 2" xfId="5669"/>
    <cellStyle name="40% - Accent3 2 3 2 2 3 2 2" xfId="18282"/>
    <cellStyle name="40% - Accent3 2 3 2 2 3 2 2 2" xfId="29425"/>
    <cellStyle name="40% - Accent3 2 3 2 2 3 2 3" xfId="23856"/>
    <cellStyle name="40% - Accent3 2 3 2 2 3 2 4" xfId="9820"/>
    <cellStyle name="40% - Accent3 2 3 2 2 3 3" xfId="16213"/>
    <cellStyle name="40% - Accent3 2 3 2 2 3 3 2" xfId="27356"/>
    <cellStyle name="40% - Accent3 2 3 2 2 3 4" xfId="21787"/>
    <cellStyle name="40% - Accent3 2 3 2 2 3 5" xfId="7751"/>
    <cellStyle name="40% - Accent3 2 3 2 2 4" xfId="4239"/>
    <cellStyle name="40% - Accent3 2 3 2 2 4 2" xfId="16852"/>
    <cellStyle name="40% - Accent3 2 3 2 2 4 2 2" xfId="27995"/>
    <cellStyle name="40% - Accent3 2 3 2 2 4 3" xfId="22426"/>
    <cellStyle name="40% - Accent3 2 3 2 2 4 4" xfId="8390"/>
    <cellStyle name="40% - Accent3 2 3 2 2 5" xfId="11365"/>
    <cellStyle name="40% - Accent3 2 3 2 2 5 2" xfId="14936"/>
    <cellStyle name="40% - Accent3 2 3 2 2 5 2 2" xfId="26079"/>
    <cellStyle name="40% - Accent3 2 3 2 2 5 3" xfId="20510"/>
    <cellStyle name="40% - Accent3 2 3 2 2 6" xfId="13506"/>
    <cellStyle name="40% - Accent3 2 3 2 2 6 2" xfId="24649"/>
    <cellStyle name="40% - Accent3 2 3 2 2 7" xfId="19080"/>
    <cellStyle name="40% - Accent3 2 3 2 2 8" xfId="6474"/>
    <cellStyle name="40% - Accent3 2 3 2 3" xfId="2086"/>
    <cellStyle name="40% - Accent3 2 3 2 3 2" xfId="2741"/>
    <cellStyle name="40% - Accent3 2 3 2 3 2 2" xfId="4850"/>
    <cellStyle name="40% - Accent3 2 3 2 3 2 2 2" xfId="17463"/>
    <cellStyle name="40% - Accent3 2 3 2 3 2 2 2 2" xfId="28606"/>
    <cellStyle name="40% - Accent3 2 3 2 3 2 2 3" xfId="23037"/>
    <cellStyle name="40% - Accent3 2 3 2 3 2 2 4" xfId="9001"/>
    <cellStyle name="40% - Accent3 2 3 2 3 2 3" xfId="10279"/>
    <cellStyle name="40% - Accent3 2 3 2 3 2 3 2" xfId="15394"/>
    <cellStyle name="40% - Accent3 2 3 2 3 2 3 2 2" xfId="26537"/>
    <cellStyle name="40% - Accent3 2 3 2 3 2 3 3" xfId="20968"/>
    <cellStyle name="40% - Accent3 2 3 2 3 2 4" xfId="13964"/>
    <cellStyle name="40% - Accent3 2 3 2 3 2 4 2" xfId="25107"/>
    <cellStyle name="40% - Accent3 2 3 2 3 2 5" xfId="19538"/>
    <cellStyle name="40% - Accent3 2 3 2 3 2 6" xfId="6932"/>
    <cellStyle name="40% - Accent3 2 3 2 3 3" xfId="3379"/>
    <cellStyle name="40% - Accent3 2 3 2 3 3 2" xfId="5488"/>
    <cellStyle name="40% - Accent3 2 3 2 3 3 2 2" xfId="18101"/>
    <cellStyle name="40% - Accent3 2 3 2 3 3 2 2 2" xfId="29244"/>
    <cellStyle name="40% - Accent3 2 3 2 3 3 2 3" xfId="23675"/>
    <cellStyle name="40% - Accent3 2 3 2 3 3 2 4" xfId="9639"/>
    <cellStyle name="40% - Accent3 2 3 2 3 3 3" xfId="16032"/>
    <cellStyle name="40% - Accent3 2 3 2 3 3 3 2" xfId="27175"/>
    <cellStyle name="40% - Accent3 2 3 2 3 3 4" xfId="21606"/>
    <cellStyle name="40% - Accent3 2 3 2 3 3 5" xfId="7570"/>
    <cellStyle name="40% - Accent3 2 3 2 3 4" xfId="4058"/>
    <cellStyle name="40% - Accent3 2 3 2 3 4 2" xfId="16671"/>
    <cellStyle name="40% - Accent3 2 3 2 3 4 2 2" xfId="27814"/>
    <cellStyle name="40% - Accent3 2 3 2 3 4 3" xfId="22245"/>
    <cellStyle name="40% - Accent3 2 3 2 3 4 4" xfId="8209"/>
    <cellStyle name="40% - Accent3 2 3 2 3 5" xfId="10707"/>
    <cellStyle name="40% - Accent3 2 3 2 3 5 2" xfId="14755"/>
    <cellStyle name="40% - Accent3 2 3 2 3 5 2 2" xfId="25898"/>
    <cellStyle name="40% - Accent3 2 3 2 3 5 3" xfId="20329"/>
    <cellStyle name="40% - Accent3 2 3 2 3 6" xfId="13325"/>
    <cellStyle name="40% - Accent3 2 3 2 3 6 2" xfId="24468"/>
    <cellStyle name="40% - Accent3 2 3 2 3 7" xfId="18899"/>
    <cellStyle name="40% - Accent3 2 3 2 3 8" xfId="6293"/>
    <cellStyle name="40% - Accent3 2 3 2 4" xfId="2433"/>
    <cellStyle name="40% - Accent3 2 3 2 4 2" xfId="3074"/>
    <cellStyle name="40% - Accent3 2 3 2 4 2 2" xfId="5183"/>
    <cellStyle name="40% - Accent3 2 3 2 4 2 2 2" xfId="17796"/>
    <cellStyle name="40% - Accent3 2 3 2 4 2 2 2 2" xfId="28939"/>
    <cellStyle name="40% - Accent3 2 3 2 4 2 2 3" xfId="23370"/>
    <cellStyle name="40% - Accent3 2 3 2 4 2 2 4" xfId="9334"/>
    <cellStyle name="40% - Accent3 2 3 2 4 2 3" xfId="11058"/>
    <cellStyle name="40% - Accent3 2 3 2 4 2 3 2" xfId="15727"/>
    <cellStyle name="40% - Accent3 2 3 2 4 2 3 2 2" xfId="26870"/>
    <cellStyle name="40% - Accent3 2 3 2 4 2 3 3" xfId="21301"/>
    <cellStyle name="40% - Accent3 2 3 2 4 2 4" xfId="14297"/>
    <cellStyle name="40% - Accent3 2 3 2 4 2 4 2" xfId="25440"/>
    <cellStyle name="40% - Accent3 2 3 2 4 2 5" xfId="19871"/>
    <cellStyle name="40% - Accent3 2 3 2 4 2 6" xfId="7265"/>
    <cellStyle name="40% - Accent3 2 3 2 4 3" xfId="3712"/>
    <cellStyle name="40% - Accent3 2 3 2 4 3 2" xfId="5821"/>
    <cellStyle name="40% - Accent3 2 3 2 4 3 2 2" xfId="18434"/>
    <cellStyle name="40% - Accent3 2 3 2 4 3 2 2 2" xfId="29577"/>
    <cellStyle name="40% - Accent3 2 3 2 4 3 2 3" xfId="24008"/>
    <cellStyle name="40% - Accent3 2 3 2 4 3 2 4" xfId="9972"/>
    <cellStyle name="40% - Accent3 2 3 2 4 3 3" xfId="16365"/>
    <cellStyle name="40% - Accent3 2 3 2 4 3 3 2" xfId="27508"/>
    <cellStyle name="40% - Accent3 2 3 2 4 3 4" xfId="21939"/>
    <cellStyle name="40% - Accent3 2 3 2 4 3 5" xfId="7903"/>
    <cellStyle name="40% - Accent3 2 3 2 4 4" xfId="4391"/>
    <cellStyle name="40% - Accent3 2 3 2 4 4 2" xfId="17004"/>
    <cellStyle name="40% - Accent3 2 3 2 4 4 2 2" xfId="28147"/>
    <cellStyle name="40% - Accent3 2 3 2 4 4 3" xfId="22578"/>
    <cellStyle name="40% - Accent3 2 3 2 4 4 4" xfId="8542"/>
    <cellStyle name="40% - Accent3 2 3 2 4 5" xfId="10528"/>
    <cellStyle name="40% - Accent3 2 3 2 4 5 2" xfId="15088"/>
    <cellStyle name="40% - Accent3 2 3 2 4 5 2 2" xfId="26231"/>
    <cellStyle name="40% - Accent3 2 3 2 4 5 3" xfId="20662"/>
    <cellStyle name="40% - Accent3 2 3 2 4 6" xfId="13658"/>
    <cellStyle name="40% - Accent3 2 3 2 4 6 2" xfId="24801"/>
    <cellStyle name="40% - Accent3 2 3 2 4 7" xfId="19232"/>
    <cellStyle name="40% - Accent3 2 3 2 4 8" xfId="6626"/>
    <cellStyle name="40% - Accent3 2 3 2 5" xfId="1896"/>
    <cellStyle name="40% - Accent3 2 3 2 5 2" xfId="4544"/>
    <cellStyle name="40% - Accent3 2 3 2 5 2 2" xfId="17157"/>
    <cellStyle name="40% - Accent3 2 3 2 5 2 2 2" xfId="28300"/>
    <cellStyle name="40% - Accent3 2 3 2 5 2 3" xfId="22731"/>
    <cellStyle name="40% - Accent3 2 3 2 5 2 4" xfId="8695"/>
    <cellStyle name="40% - Accent3 2 3 2 5 3" xfId="10930"/>
    <cellStyle name="40% - Accent3 2 3 2 5 3 2" xfId="14603"/>
    <cellStyle name="40% - Accent3 2 3 2 5 3 2 2" xfId="25746"/>
    <cellStyle name="40% - Accent3 2 3 2 5 3 3" xfId="20177"/>
    <cellStyle name="40% - Accent3 2 3 2 5 4" xfId="13173"/>
    <cellStyle name="40% - Accent3 2 3 2 5 4 2" xfId="24316"/>
    <cellStyle name="40% - Accent3 2 3 2 5 5" xfId="18747"/>
    <cellStyle name="40% - Accent3 2 3 2 5 6" xfId="6141"/>
    <cellStyle name="40% - Accent3 2 3 2 6" xfId="2589"/>
    <cellStyle name="40% - Accent3 2 3 2 6 2" xfId="4698"/>
    <cellStyle name="40% - Accent3 2 3 2 6 2 2" xfId="17311"/>
    <cellStyle name="40% - Accent3 2 3 2 6 2 2 2" xfId="28454"/>
    <cellStyle name="40% - Accent3 2 3 2 6 2 3" xfId="22885"/>
    <cellStyle name="40% - Accent3 2 3 2 6 2 4" xfId="8849"/>
    <cellStyle name="40% - Accent3 2 3 2 6 3" xfId="10181"/>
    <cellStyle name="40% - Accent3 2 3 2 6 3 2" xfId="15242"/>
    <cellStyle name="40% - Accent3 2 3 2 6 3 2 2" xfId="26385"/>
    <cellStyle name="40% - Accent3 2 3 2 6 3 3" xfId="20816"/>
    <cellStyle name="40% - Accent3 2 3 2 6 4" xfId="13812"/>
    <cellStyle name="40% - Accent3 2 3 2 6 4 2" xfId="24955"/>
    <cellStyle name="40% - Accent3 2 3 2 6 5" xfId="19386"/>
    <cellStyle name="40% - Accent3 2 3 2 6 6" xfId="6780"/>
    <cellStyle name="40% - Accent3 2 3 2 7" xfId="3227"/>
    <cellStyle name="40% - Accent3 2 3 2 7 2" xfId="5336"/>
    <cellStyle name="40% - Accent3 2 3 2 7 2 2" xfId="17949"/>
    <cellStyle name="40% - Accent3 2 3 2 7 2 2 2" xfId="29092"/>
    <cellStyle name="40% - Accent3 2 3 2 7 2 3" xfId="23523"/>
    <cellStyle name="40% - Accent3 2 3 2 7 2 4" xfId="9487"/>
    <cellStyle name="40% - Accent3 2 3 2 7 3" xfId="15880"/>
    <cellStyle name="40% - Accent3 2 3 2 7 3 2" xfId="27023"/>
    <cellStyle name="40% - Accent3 2 3 2 7 4" xfId="21454"/>
    <cellStyle name="40% - Accent3 2 3 2 7 5" xfId="7418"/>
    <cellStyle name="40% - Accent3 2 3 2 8" xfId="3906"/>
    <cellStyle name="40% - Accent3 2 3 2 8 2" xfId="16519"/>
    <cellStyle name="40% - Accent3 2 3 2 8 2 2" xfId="27662"/>
    <cellStyle name="40% - Accent3 2 3 2 8 3" xfId="22093"/>
    <cellStyle name="40% - Accent3 2 3 2 8 4" xfId="8057"/>
    <cellStyle name="40% - Accent3 2 3 2 9" xfId="10777"/>
    <cellStyle name="40% - Accent3 2 3 2 9 2" xfId="14450"/>
    <cellStyle name="40% - Accent3 2 3 2 9 2 2" xfId="25593"/>
    <cellStyle name="40% - Accent3 2 3 2 9 3" xfId="20024"/>
    <cellStyle name="40% - Accent3 2 3 3" xfId="2202"/>
    <cellStyle name="40% - Accent3 2 3 3 2" xfId="2846"/>
    <cellStyle name="40% - Accent3 2 3 3 2 2" xfId="4955"/>
    <cellStyle name="40% - Accent3 2 3 3 2 2 2" xfId="17568"/>
    <cellStyle name="40% - Accent3 2 3 3 2 2 2 2" xfId="28711"/>
    <cellStyle name="40% - Accent3 2 3 3 2 2 3" xfId="23142"/>
    <cellStyle name="40% - Accent3 2 3 3 2 2 4" xfId="9106"/>
    <cellStyle name="40% - Accent3 2 3 3 2 3" xfId="10835"/>
    <cellStyle name="40% - Accent3 2 3 3 2 3 2" xfId="15499"/>
    <cellStyle name="40% - Accent3 2 3 3 2 3 2 2" xfId="26642"/>
    <cellStyle name="40% - Accent3 2 3 3 2 3 3" xfId="21073"/>
    <cellStyle name="40% - Accent3 2 3 3 2 4" xfId="14069"/>
    <cellStyle name="40% - Accent3 2 3 3 2 4 2" xfId="25212"/>
    <cellStyle name="40% - Accent3 2 3 3 2 5" xfId="19643"/>
    <cellStyle name="40% - Accent3 2 3 3 2 6" xfId="7037"/>
    <cellStyle name="40% - Accent3 2 3 3 3" xfId="3484"/>
    <cellStyle name="40% - Accent3 2 3 3 3 2" xfId="5593"/>
    <cellStyle name="40% - Accent3 2 3 3 3 2 2" xfId="18206"/>
    <cellStyle name="40% - Accent3 2 3 3 3 2 2 2" xfId="29349"/>
    <cellStyle name="40% - Accent3 2 3 3 3 2 3" xfId="23780"/>
    <cellStyle name="40% - Accent3 2 3 3 3 2 4" xfId="9744"/>
    <cellStyle name="40% - Accent3 2 3 3 3 3" xfId="16137"/>
    <cellStyle name="40% - Accent3 2 3 3 3 3 2" xfId="27280"/>
    <cellStyle name="40% - Accent3 2 3 3 3 4" xfId="21711"/>
    <cellStyle name="40% - Accent3 2 3 3 3 5" xfId="7675"/>
    <cellStyle name="40% - Accent3 2 3 3 4" xfId="4163"/>
    <cellStyle name="40% - Accent3 2 3 3 4 2" xfId="16776"/>
    <cellStyle name="40% - Accent3 2 3 3 4 2 2" xfId="27919"/>
    <cellStyle name="40% - Accent3 2 3 3 4 3" xfId="22350"/>
    <cellStyle name="40% - Accent3 2 3 3 4 4" xfId="8314"/>
    <cellStyle name="40% - Accent3 2 3 3 5" xfId="11441"/>
    <cellStyle name="40% - Accent3 2 3 3 5 2" xfId="14860"/>
    <cellStyle name="40% - Accent3 2 3 3 5 2 2" xfId="26003"/>
    <cellStyle name="40% - Accent3 2 3 3 5 3" xfId="20434"/>
    <cellStyle name="40% - Accent3 2 3 3 6" xfId="13430"/>
    <cellStyle name="40% - Accent3 2 3 3 6 2" xfId="24573"/>
    <cellStyle name="40% - Accent3 2 3 3 7" xfId="19004"/>
    <cellStyle name="40% - Accent3 2 3 3 8" xfId="6398"/>
    <cellStyle name="40% - Accent3 2 3 4" xfId="2010"/>
    <cellStyle name="40% - Accent3 2 3 4 2" xfId="2665"/>
    <cellStyle name="40% - Accent3 2 3 4 2 2" xfId="4774"/>
    <cellStyle name="40% - Accent3 2 3 4 2 2 2" xfId="17387"/>
    <cellStyle name="40% - Accent3 2 3 4 2 2 2 2" xfId="28530"/>
    <cellStyle name="40% - Accent3 2 3 4 2 2 3" xfId="22961"/>
    <cellStyle name="40% - Accent3 2 3 4 2 2 4" xfId="8925"/>
    <cellStyle name="40% - Accent3 2 3 4 2 3" xfId="11181"/>
    <cellStyle name="40% - Accent3 2 3 4 2 3 2" xfId="15318"/>
    <cellStyle name="40% - Accent3 2 3 4 2 3 2 2" xfId="26461"/>
    <cellStyle name="40% - Accent3 2 3 4 2 3 3" xfId="20892"/>
    <cellStyle name="40% - Accent3 2 3 4 2 4" xfId="13888"/>
    <cellStyle name="40% - Accent3 2 3 4 2 4 2" xfId="25031"/>
    <cellStyle name="40% - Accent3 2 3 4 2 5" xfId="19462"/>
    <cellStyle name="40% - Accent3 2 3 4 2 6" xfId="6856"/>
    <cellStyle name="40% - Accent3 2 3 4 3" xfId="3303"/>
    <cellStyle name="40% - Accent3 2 3 4 3 2" xfId="5412"/>
    <cellStyle name="40% - Accent3 2 3 4 3 2 2" xfId="18025"/>
    <cellStyle name="40% - Accent3 2 3 4 3 2 2 2" xfId="29168"/>
    <cellStyle name="40% - Accent3 2 3 4 3 2 3" xfId="23599"/>
    <cellStyle name="40% - Accent3 2 3 4 3 2 4" xfId="9563"/>
    <cellStyle name="40% - Accent3 2 3 4 3 3" xfId="15956"/>
    <cellStyle name="40% - Accent3 2 3 4 3 3 2" xfId="27099"/>
    <cellStyle name="40% - Accent3 2 3 4 3 4" xfId="21530"/>
    <cellStyle name="40% - Accent3 2 3 4 3 5" xfId="7494"/>
    <cellStyle name="40% - Accent3 2 3 4 4" xfId="3982"/>
    <cellStyle name="40% - Accent3 2 3 4 4 2" xfId="16595"/>
    <cellStyle name="40% - Accent3 2 3 4 4 2 2" xfId="27738"/>
    <cellStyle name="40% - Accent3 2 3 4 4 3" xfId="22169"/>
    <cellStyle name="40% - Accent3 2 3 4 4 4" xfId="8133"/>
    <cellStyle name="40% - Accent3 2 3 4 5" xfId="11167"/>
    <cellStyle name="40% - Accent3 2 3 4 5 2" xfId="14679"/>
    <cellStyle name="40% - Accent3 2 3 4 5 2 2" xfId="25822"/>
    <cellStyle name="40% - Accent3 2 3 4 5 3" xfId="20253"/>
    <cellStyle name="40% - Accent3 2 3 4 6" xfId="13249"/>
    <cellStyle name="40% - Accent3 2 3 4 6 2" xfId="24392"/>
    <cellStyle name="40% - Accent3 2 3 4 7" xfId="18823"/>
    <cellStyle name="40% - Accent3 2 3 4 8" xfId="6217"/>
    <cellStyle name="40% - Accent3 2 3 5" xfId="2357"/>
    <cellStyle name="40% - Accent3 2 3 5 2" xfId="2998"/>
    <cellStyle name="40% - Accent3 2 3 5 2 2" xfId="5107"/>
    <cellStyle name="40% - Accent3 2 3 5 2 2 2" xfId="17720"/>
    <cellStyle name="40% - Accent3 2 3 5 2 2 2 2" xfId="28863"/>
    <cellStyle name="40% - Accent3 2 3 5 2 2 3" xfId="23294"/>
    <cellStyle name="40% - Accent3 2 3 5 2 2 4" xfId="9258"/>
    <cellStyle name="40% - Accent3 2 3 5 2 3" xfId="11213"/>
    <cellStyle name="40% - Accent3 2 3 5 2 3 2" xfId="15651"/>
    <cellStyle name="40% - Accent3 2 3 5 2 3 2 2" xfId="26794"/>
    <cellStyle name="40% - Accent3 2 3 5 2 3 3" xfId="21225"/>
    <cellStyle name="40% - Accent3 2 3 5 2 4" xfId="14221"/>
    <cellStyle name="40% - Accent3 2 3 5 2 4 2" xfId="25364"/>
    <cellStyle name="40% - Accent3 2 3 5 2 5" xfId="19795"/>
    <cellStyle name="40% - Accent3 2 3 5 2 6" xfId="7189"/>
    <cellStyle name="40% - Accent3 2 3 5 3" xfId="3636"/>
    <cellStyle name="40% - Accent3 2 3 5 3 2" xfId="5745"/>
    <cellStyle name="40% - Accent3 2 3 5 3 2 2" xfId="18358"/>
    <cellStyle name="40% - Accent3 2 3 5 3 2 2 2" xfId="29501"/>
    <cellStyle name="40% - Accent3 2 3 5 3 2 3" xfId="23932"/>
    <cellStyle name="40% - Accent3 2 3 5 3 2 4" xfId="9896"/>
    <cellStyle name="40% - Accent3 2 3 5 3 3" xfId="16289"/>
    <cellStyle name="40% - Accent3 2 3 5 3 3 2" xfId="27432"/>
    <cellStyle name="40% - Accent3 2 3 5 3 4" xfId="21863"/>
    <cellStyle name="40% - Accent3 2 3 5 3 5" xfId="7827"/>
    <cellStyle name="40% - Accent3 2 3 5 4" xfId="4315"/>
    <cellStyle name="40% - Accent3 2 3 5 4 2" xfId="16928"/>
    <cellStyle name="40% - Accent3 2 3 5 4 2 2" xfId="28071"/>
    <cellStyle name="40% - Accent3 2 3 5 4 3" xfId="22502"/>
    <cellStyle name="40% - Accent3 2 3 5 4 4" xfId="8466"/>
    <cellStyle name="40% - Accent3 2 3 5 5" xfId="11165"/>
    <cellStyle name="40% - Accent3 2 3 5 5 2" xfId="15012"/>
    <cellStyle name="40% - Accent3 2 3 5 5 2 2" xfId="26155"/>
    <cellStyle name="40% - Accent3 2 3 5 5 3" xfId="20586"/>
    <cellStyle name="40% - Accent3 2 3 5 6" xfId="13582"/>
    <cellStyle name="40% - Accent3 2 3 5 6 2" xfId="24725"/>
    <cellStyle name="40% - Accent3 2 3 5 7" xfId="19156"/>
    <cellStyle name="40% - Accent3 2 3 5 8" xfId="6550"/>
    <cellStyle name="40% - Accent3 2 3 6" xfId="1820"/>
    <cellStyle name="40% - Accent3 2 3 6 2" xfId="4468"/>
    <cellStyle name="40% - Accent3 2 3 6 2 2" xfId="17081"/>
    <cellStyle name="40% - Accent3 2 3 6 2 2 2" xfId="28224"/>
    <cellStyle name="40% - Accent3 2 3 6 2 3" xfId="22655"/>
    <cellStyle name="40% - Accent3 2 3 6 2 4" xfId="8619"/>
    <cellStyle name="40% - Accent3 2 3 6 3" xfId="10756"/>
    <cellStyle name="40% - Accent3 2 3 6 3 2" xfId="14527"/>
    <cellStyle name="40% - Accent3 2 3 6 3 2 2" xfId="25670"/>
    <cellStyle name="40% - Accent3 2 3 6 3 3" xfId="20101"/>
    <cellStyle name="40% - Accent3 2 3 6 4" xfId="13097"/>
    <cellStyle name="40% - Accent3 2 3 6 4 2" xfId="24240"/>
    <cellStyle name="40% - Accent3 2 3 6 5" xfId="18671"/>
    <cellStyle name="40% - Accent3 2 3 6 6" xfId="6065"/>
    <cellStyle name="40% - Accent3 2 3 7" xfId="2513"/>
    <cellStyle name="40% - Accent3 2 3 7 2" xfId="4622"/>
    <cellStyle name="40% - Accent3 2 3 7 2 2" xfId="17235"/>
    <cellStyle name="40% - Accent3 2 3 7 2 2 2" xfId="28378"/>
    <cellStyle name="40% - Accent3 2 3 7 2 3" xfId="22809"/>
    <cellStyle name="40% - Accent3 2 3 7 2 4" xfId="8773"/>
    <cellStyle name="40% - Accent3 2 3 7 3" xfId="10288"/>
    <cellStyle name="40% - Accent3 2 3 7 3 2" xfId="15166"/>
    <cellStyle name="40% - Accent3 2 3 7 3 2 2" xfId="26309"/>
    <cellStyle name="40% - Accent3 2 3 7 3 3" xfId="20740"/>
    <cellStyle name="40% - Accent3 2 3 7 4" xfId="13736"/>
    <cellStyle name="40% - Accent3 2 3 7 4 2" xfId="24879"/>
    <cellStyle name="40% - Accent3 2 3 7 5" xfId="19310"/>
    <cellStyle name="40% - Accent3 2 3 7 6" xfId="6704"/>
    <cellStyle name="40% - Accent3 2 3 8" xfId="3151"/>
    <cellStyle name="40% - Accent3 2 3 8 2" xfId="5260"/>
    <cellStyle name="40% - Accent3 2 3 8 2 2" xfId="17873"/>
    <cellStyle name="40% - Accent3 2 3 8 2 2 2" xfId="29016"/>
    <cellStyle name="40% - Accent3 2 3 8 2 3" xfId="23447"/>
    <cellStyle name="40% - Accent3 2 3 8 2 4" xfId="9411"/>
    <cellStyle name="40% - Accent3 2 3 8 3" xfId="15804"/>
    <cellStyle name="40% - Accent3 2 3 8 3 2" xfId="26947"/>
    <cellStyle name="40% - Accent3 2 3 8 4" xfId="21378"/>
    <cellStyle name="40% - Accent3 2 3 8 5" xfId="7342"/>
    <cellStyle name="40% - Accent3 2 3 9" xfId="3830"/>
    <cellStyle name="40% - Accent3 2 3 9 2" xfId="16443"/>
    <cellStyle name="40% - Accent3 2 3 9 2 2" xfId="27586"/>
    <cellStyle name="40% - Accent3 2 3 9 3" xfId="22017"/>
    <cellStyle name="40% - Accent3 2 3 9 4" xfId="7981"/>
    <cellStyle name="40% - Accent3 2 4" xfId="282"/>
    <cellStyle name="40% - Accent3 2 4 10" xfId="12981"/>
    <cellStyle name="40% - Accent3 2 4 10 2" xfId="24125"/>
    <cellStyle name="40% - Accent3 2 4 11" xfId="18556"/>
    <cellStyle name="40% - Accent3 2 4 12" xfId="5949"/>
    <cellStyle name="40% - Accent3 2 4 2" xfId="2240"/>
    <cellStyle name="40% - Accent3 2 4 2 2" xfId="2884"/>
    <cellStyle name="40% - Accent3 2 4 2 2 2" xfId="4993"/>
    <cellStyle name="40% - Accent3 2 4 2 2 2 2" xfId="17606"/>
    <cellStyle name="40% - Accent3 2 4 2 2 2 2 2" xfId="28749"/>
    <cellStyle name="40% - Accent3 2 4 2 2 2 3" xfId="23180"/>
    <cellStyle name="40% - Accent3 2 4 2 2 2 4" xfId="9144"/>
    <cellStyle name="40% - Accent3 2 4 2 2 3" xfId="10395"/>
    <cellStyle name="40% - Accent3 2 4 2 2 3 2" xfId="15537"/>
    <cellStyle name="40% - Accent3 2 4 2 2 3 2 2" xfId="26680"/>
    <cellStyle name="40% - Accent3 2 4 2 2 3 3" xfId="21111"/>
    <cellStyle name="40% - Accent3 2 4 2 2 4" xfId="14107"/>
    <cellStyle name="40% - Accent3 2 4 2 2 4 2" xfId="25250"/>
    <cellStyle name="40% - Accent3 2 4 2 2 5" xfId="19681"/>
    <cellStyle name="40% - Accent3 2 4 2 2 6" xfId="7075"/>
    <cellStyle name="40% - Accent3 2 4 2 3" xfId="3522"/>
    <cellStyle name="40% - Accent3 2 4 2 3 2" xfId="5631"/>
    <cellStyle name="40% - Accent3 2 4 2 3 2 2" xfId="18244"/>
    <cellStyle name="40% - Accent3 2 4 2 3 2 2 2" xfId="29387"/>
    <cellStyle name="40% - Accent3 2 4 2 3 2 3" xfId="23818"/>
    <cellStyle name="40% - Accent3 2 4 2 3 2 4" xfId="9782"/>
    <cellStyle name="40% - Accent3 2 4 2 3 3" xfId="16175"/>
    <cellStyle name="40% - Accent3 2 4 2 3 3 2" xfId="27318"/>
    <cellStyle name="40% - Accent3 2 4 2 3 4" xfId="21749"/>
    <cellStyle name="40% - Accent3 2 4 2 3 5" xfId="7713"/>
    <cellStyle name="40% - Accent3 2 4 2 4" xfId="4201"/>
    <cellStyle name="40% - Accent3 2 4 2 4 2" xfId="16814"/>
    <cellStyle name="40% - Accent3 2 4 2 4 2 2" xfId="27957"/>
    <cellStyle name="40% - Accent3 2 4 2 4 3" xfId="22388"/>
    <cellStyle name="40% - Accent3 2 4 2 4 4" xfId="8352"/>
    <cellStyle name="40% - Accent3 2 4 2 5" xfId="11197"/>
    <cellStyle name="40% - Accent3 2 4 2 5 2" xfId="14898"/>
    <cellStyle name="40% - Accent3 2 4 2 5 2 2" xfId="26041"/>
    <cellStyle name="40% - Accent3 2 4 2 5 3" xfId="20472"/>
    <cellStyle name="40% - Accent3 2 4 2 6" xfId="13468"/>
    <cellStyle name="40% - Accent3 2 4 2 6 2" xfId="24611"/>
    <cellStyle name="40% - Accent3 2 4 2 7" xfId="19042"/>
    <cellStyle name="40% - Accent3 2 4 2 8" xfId="6436"/>
    <cellStyle name="40% - Accent3 2 4 3" xfId="2048"/>
    <cellStyle name="40% - Accent3 2 4 3 2" xfId="2703"/>
    <cellStyle name="40% - Accent3 2 4 3 2 2" xfId="4812"/>
    <cellStyle name="40% - Accent3 2 4 3 2 2 2" xfId="17425"/>
    <cellStyle name="40% - Accent3 2 4 3 2 2 2 2" xfId="28568"/>
    <cellStyle name="40% - Accent3 2 4 3 2 2 3" xfId="22999"/>
    <cellStyle name="40% - Accent3 2 4 3 2 2 4" xfId="8963"/>
    <cellStyle name="40% - Accent3 2 4 3 2 3" xfId="10765"/>
    <cellStyle name="40% - Accent3 2 4 3 2 3 2" xfId="15356"/>
    <cellStyle name="40% - Accent3 2 4 3 2 3 2 2" xfId="26499"/>
    <cellStyle name="40% - Accent3 2 4 3 2 3 3" xfId="20930"/>
    <cellStyle name="40% - Accent3 2 4 3 2 4" xfId="13926"/>
    <cellStyle name="40% - Accent3 2 4 3 2 4 2" xfId="25069"/>
    <cellStyle name="40% - Accent3 2 4 3 2 5" xfId="19500"/>
    <cellStyle name="40% - Accent3 2 4 3 2 6" xfId="6894"/>
    <cellStyle name="40% - Accent3 2 4 3 3" xfId="3341"/>
    <cellStyle name="40% - Accent3 2 4 3 3 2" xfId="5450"/>
    <cellStyle name="40% - Accent3 2 4 3 3 2 2" xfId="18063"/>
    <cellStyle name="40% - Accent3 2 4 3 3 2 2 2" xfId="29206"/>
    <cellStyle name="40% - Accent3 2 4 3 3 2 3" xfId="23637"/>
    <cellStyle name="40% - Accent3 2 4 3 3 2 4" xfId="9601"/>
    <cellStyle name="40% - Accent3 2 4 3 3 3" xfId="15994"/>
    <cellStyle name="40% - Accent3 2 4 3 3 3 2" xfId="27137"/>
    <cellStyle name="40% - Accent3 2 4 3 3 4" xfId="21568"/>
    <cellStyle name="40% - Accent3 2 4 3 3 5" xfId="7532"/>
    <cellStyle name="40% - Accent3 2 4 3 4" xfId="4020"/>
    <cellStyle name="40% - Accent3 2 4 3 4 2" xfId="16633"/>
    <cellStyle name="40% - Accent3 2 4 3 4 2 2" xfId="27776"/>
    <cellStyle name="40% - Accent3 2 4 3 4 3" xfId="22207"/>
    <cellStyle name="40% - Accent3 2 4 3 4 4" xfId="8171"/>
    <cellStyle name="40% - Accent3 2 4 3 5" xfId="10611"/>
    <cellStyle name="40% - Accent3 2 4 3 5 2" xfId="14717"/>
    <cellStyle name="40% - Accent3 2 4 3 5 2 2" xfId="25860"/>
    <cellStyle name="40% - Accent3 2 4 3 5 3" xfId="20291"/>
    <cellStyle name="40% - Accent3 2 4 3 6" xfId="13287"/>
    <cellStyle name="40% - Accent3 2 4 3 6 2" xfId="24430"/>
    <cellStyle name="40% - Accent3 2 4 3 7" xfId="18861"/>
    <cellStyle name="40% - Accent3 2 4 3 8" xfId="6255"/>
    <cellStyle name="40% - Accent3 2 4 4" xfId="2395"/>
    <cellStyle name="40% - Accent3 2 4 4 2" xfId="3036"/>
    <cellStyle name="40% - Accent3 2 4 4 2 2" xfId="5145"/>
    <cellStyle name="40% - Accent3 2 4 4 2 2 2" xfId="17758"/>
    <cellStyle name="40% - Accent3 2 4 4 2 2 2 2" xfId="28901"/>
    <cellStyle name="40% - Accent3 2 4 4 2 2 3" xfId="23332"/>
    <cellStyle name="40% - Accent3 2 4 4 2 2 4" xfId="9296"/>
    <cellStyle name="40% - Accent3 2 4 4 2 3" xfId="11091"/>
    <cellStyle name="40% - Accent3 2 4 4 2 3 2" xfId="15689"/>
    <cellStyle name="40% - Accent3 2 4 4 2 3 2 2" xfId="26832"/>
    <cellStyle name="40% - Accent3 2 4 4 2 3 3" xfId="21263"/>
    <cellStyle name="40% - Accent3 2 4 4 2 4" xfId="14259"/>
    <cellStyle name="40% - Accent3 2 4 4 2 4 2" xfId="25402"/>
    <cellStyle name="40% - Accent3 2 4 4 2 5" xfId="19833"/>
    <cellStyle name="40% - Accent3 2 4 4 2 6" xfId="7227"/>
    <cellStyle name="40% - Accent3 2 4 4 3" xfId="3674"/>
    <cellStyle name="40% - Accent3 2 4 4 3 2" xfId="5783"/>
    <cellStyle name="40% - Accent3 2 4 4 3 2 2" xfId="18396"/>
    <cellStyle name="40% - Accent3 2 4 4 3 2 2 2" xfId="29539"/>
    <cellStyle name="40% - Accent3 2 4 4 3 2 3" xfId="23970"/>
    <cellStyle name="40% - Accent3 2 4 4 3 2 4" xfId="9934"/>
    <cellStyle name="40% - Accent3 2 4 4 3 3" xfId="16327"/>
    <cellStyle name="40% - Accent3 2 4 4 3 3 2" xfId="27470"/>
    <cellStyle name="40% - Accent3 2 4 4 3 4" xfId="21901"/>
    <cellStyle name="40% - Accent3 2 4 4 3 5" xfId="7865"/>
    <cellStyle name="40% - Accent3 2 4 4 4" xfId="4353"/>
    <cellStyle name="40% - Accent3 2 4 4 4 2" xfId="16966"/>
    <cellStyle name="40% - Accent3 2 4 4 4 2 2" xfId="28109"/>
    <cellStyle name="40% - Accent3 2 4 4 4 3" xfId="22540"/>
    <cellStyle name="40% - Accent3 2 4 4 4 4" xfId="8504"/>
    <cellStyle name="40% - Accent3 2 4 4 5" xfId="11042"/>
    <cellStyle name="40% - Accent3 2 4 4 5 2" xfId="15050"/>
    <cellStyle name="40% - Accent3 2 4 4 5 2 2" xfId="26193"/>
    <cellStyle name="40% - Accent3 2 4 4 5 3" xfId="20624"/>
    <cellStyle name="40% - Accent3 2 4 4 6" xfId="13620"/>
    <cellStyle name="40% - Accent3 2 4 4 6 2" xfId="24763"/>
    <cellStyle name="40% - Accent3 2 4 4 7" xfId="19194"/>
    <cellStyle name="40% - Accent3 2 4 4 8" xfId="6588"/>
    <cellStyle name="40% - Accent3 2 4 5" xfId="1858"/>
    <cellStyle name="40% - Accent3 2 4 5 2" xfId="4506"/>
    <cellStyle name="40% - Accent3 2 4 5 2 2" xfId="17119"/>
    <cellStyle name="40% - Accent3 2 4 5 2 2 2" xfId="28262"/>
    <cellStyle name="40% - Accent3 2 4 5 2 3" xfId="22693"/>
    <cellStyle name="40% - Accent3 2 4 5 2 4" xfId="8657"/>
    <cellStyle name="40% - Accent3 2 4 5 3" xfId="11171"/>
    <cellStyle name="40% - Accent3 2 4 5 3 2" xfId="14565"/>
    <cellStyle name="40% - Accent3 2 4 5 3 2 2" xfId="25708"/>
    <cellStyle name="40% - Accent3 2 4 5 3 3" xfId="20139"/>
    <cellStyle name="40% - Accent3 2 4 5 4" xfId="13135"/>
    <cellStyle name="40% - Accent3 2 4 5 4 2" xfId="24278"/>
    <cellStyle name="40% - Accent3 2 4 5 5" xfId="18709"/>
    <cellStyle name="40% - Accent3 2 4 5 6" xfId="6103"/>
    <cellStyle name="40% - Accent3 2 4 6" xfId="2551"/>
    <cellStyle name="40% - Accent3 2 4 6 2" xfId="4660"/>
    <cellStyle name="40% - Accent3 2 4 6 2 2" xfId="17273"/>
    <cellStyle name="40% - Accent3 2 4 6 2 2 2" xfId="28416"/>
    <cellStyle name="40% - Accent3 2 4 6 2 3" xfId="22847"/>
    <cellStyle name="40% - Accent3 2 4 6 2 4" xfId="8811"/>
    <cellStyle name="40% - Accent3 2 4 6 3" xfId="11173"/>
    <cellStyle name="40% - Accent3 2 4 6 3 2" xfId="15204"/>
    <cellStyle name="40% - Accent3 2 4 6 3 2 2" xfId="26347"/>
    <cellStyle name="40% - Accent3 2 4 6 3 3" xfId="20778"/>
    <cellStyle name="40% - Accent3 2 4 6 4" xfId="13774"/>
    <cellStyle name="40% - Accent3 2 4 6 4 2" xfId="24917"/>
    <cellStyle name="40% - Accent3 2 4 6 5" xfId="19348"/>
    <cellStyle name="40% - Accent3 2 4 6 6" xfId="6742"/>
    <cellStyle name="40% - Accent3 2 4 7" xfId="3189"/>
    <cellStyle name="40% - Accent3 2 4 7 2" xfId="5298"/>
    <cellStyle name="40% - Accent3 2 4 7 2 2" xfId="17911"/>
    <cellStyle name="40% - Accent3 2 4 7 2 2 2" xfId="29054"/>
    <cellStyle name="40% - Accent3 2 4 7 2 3" xfId="23485"/>
    <cellStyle name="40% - Accent3 2 4 7 2 4" xfId="9449"/>
    <cellStyle name="40% - Accent3 2 4 7 3" xfId="15842"/>
    <cellStyle name="40% - Accent3 2 4 7 3 2" xfId="26985"/>
    <cellStyle name="40% - Accent3 2 4 7 4" xfId="21416"/>
    <cellStyle name="40% - Accent3 2 4 7 5" xfId="7380"/>
    <cellStyle name="40% - Accent3 2 4 8" xfId="3868"/>
    <cellStyle name="40% - Accent3 2 4 8 2" xfId="16481"/>
    <cellStyle name="40% - Accent3 2 4 8 2 2" xfId="27624"/>
    <cellStyle name="40% - Accent3 2 4 8 3" xfId="22055"/>
    <cellStyle name="40% - Accent3 2 4 8 4" xfId="8019"/>
    <cellStyle name="40% - Accent3 2 4 9" xfId="11048"/>
    <cellStyle name="40% - Accent3 2 4 9 2" xfId="14412"/>
    <cellStyle name="40% - Accent3 2 4 9 2 2" xfId="25555"/>
    <cellStyle name="40% - Accent3 2 4 9 3" xfId="19986"/>
    <cellStyle name="40% - Accent3 2 5" xfId="2164"/>
    <cellStyle name="40% - Accent3 2 5 2" xfId="2808"/>
    <cellStyle name="40% - Accent3 2 5 2 2" xfId="4917"/>
    <cellStyle name="40% - Accent3 2 5 2 2 2" xfId="17530"/>
    <cellStyle name="40% - Accent3 2 5 2 2 2 2" xfId="28673"/>
    <cellStyle name="40% - Accent3 2 5 2 2 3" xfId="23104"/>
    <cellStyle name="40% - Accent3 2 5 2 2 4" xfId="9068"/>
    <cellStyle name="40% - Accent3 2 5 2 3" xfId="10834"/>
    <cellStyle name="40% - Accent3 2 5 2 3 2" xfId="15461"/>
    <cellStyle name="40% - Accent3 2 5 2 3 2 2" xfId="26604"/>
    <cellStyle name="40% - Accent3 2 5 2 3 3" xfId="21035"/>
    <cellStyle name="40% - Accent3 2 5 2 4" xfId="14031"/>
    <cellStyle name="40% - Accent3 2 5 2 4 2" xfId="25174"/>
    <cellStyle name="40% - Accent3 2 5 2 5" xfId="19605"/>
    <cellStyle name="40% - Accent3 2 5 2 6" xfId="6999"/>
    <cellStyle name="40% - Accent3 2 5 3" xfId="3446"/>
    <cellStyle name="40% - Accent3 2 5 3 2" xfId="5555"/>
    <cellStyle name="40% - Accent3 2 5 3 2 2" xfId="18168"/>
    <cellStyle name="40% - Accent3 2 5 3 2 2 2" xfId="29311"/>
    <cellStyle name="40% - Accent3 2 5 3 2 3" xfId="23742"/>
    <cellStyle name="40% - Accent3 2 5 3 2 4" xfId="9706"/>
    <cellStyle name="40% - Accent3 2 5 3 3" xfId="16099"/>
    <cellStyle name="40% - Accent3 2 5 3 3 2" xfId="27242"/>
    <cellStyle name="40% - Accent3 2 5 3 4" xfId="21673"/>
    <cellStyle name="40% - Accent3 2 5 3 5" xfId="7637"/>
    <cellStyle name="40% - Accent3 2 5 4" xfId="4125"/>
    <cellStyle name="40% - Accent3 2 5 4 2" xfId="16738"/>
    <cellStyle name="40% - Accent3 2 5 4 2 2" xfId="27881"/>
    <cellStyle name="40% - Accent3 2 5 4 3" xfId="22312"/>
    <cellStyle name="40% - Accent3 2 5 4 4" xfId="8276"/>
    <cellStyle name="40% - Accent3 2 5 5" xfId="10475"/>
    <cellStyle name="40% - Accent3 2 5 5 2" xfId="14822"/>
    <cellStyle name="40% - Accent3 2 5 5 2 2" xfId="25965"/>
    <cellStyle name="40% - Accent3 2 5 5 3" xfId="20396"/>
    <cellStyle name="40% - Accent3 2 5 6" xfId="13392"/>
    <cellStyle name="40% - Accent3 2 5 6 2" xfId="24535"/>
    <cellStyle name="40% - Accent3 2 5 7" xfId="18966"/>
    <cellStyle name="40% - Accent3 2 5 8" xfId="6360"/>
    <cellStyle name="40% - Accent3 2 6" xfId="1957"/>
    <cellStyle name="40% - Accent3 2 6 2" xfId="2627"/>
    <cellStyle name="40% - Accent3 2 6 2 2" xfId="4736"/>
    <cellStyle name="40% - Accent3 2 6 2 2 2" xfId="17349"/>
    <cellStyle name="40% - Accent3 2 6 2 2 2 2" xfId="28492"/>
    <cellStyle name="40% - Accent3 2 6 2 2 3" xfId="22923"/>
    <cellStyle name="40% - Accent3 2 6 2 2 4" xfId="8887"/>
    <cellStyle name="40% - Accent3 2 6 2 3" xfId="10710"/>
    <cellStyle name="40% - Accent3 2 6 2 3 2" xfId="15280"/>
    <cellStyle name="40% - Accent3 2 6 2 3 2 2" xfId="26423"/>
    <cellStyle name="40% - Accent3 2 6 2 3 3" xfId="20854"/>
    <cellStyle name="40% - Accent3 2 6 2 4" xfId="13850"/>
    <cellStyle name="40% - Accent3 2 6 2 4 2" xfId="24993"/>
    <cellStyle name="40% - Accent3 2 6 2 5" xfId="19424"/>
    <cellStyle name="40% - Accent3 2 6 2 6" xfId="6818"/>
    <cellStyle name="40% - Accent3 2 6 3" xfId="3265"/>
    <cellStyle name="40% - Accent3 2 6 3 2" xfId="5374"/>
    <cellStyle name="40% - Accent3 2 6 3 2 2" xfId="17987"/>
    <cellStyle name="40% - Accent3 2 6 3 2 2 2" xfId="29130"/>
    <cellStyle name="40% - Accent3 2 6 3 2 3" xfId="23561"/>
    <cellStyle name="40% - Accent3 2 6 3 2 4" xfId="9525"/>
    <cellStyle name="40% - Accent3 2 6 3 3" xfId="15918"/>
    <cellStyle name="40% - Accent3 2 6 3 3 2" xfId="27061"/>
    <cellStyle name="40% - Accent3 2 6 3 4" xfId="21492"/>
    <cellStyle name="40% - Accent3 2 6 3 5" xfId="7456"/>
    <cellStyle name="40% - Accent3 2 6 4" xfId="3944"/>
    <cellStyle name="40% - Accent3 2 6 4 2" xfId="16557"/>
    <cellStyle name="40% - Accent3 2 6 4 2 2" xfId="27700"/>
    <cellStyle name="40% - Accent3 2 6 4 3" xfId="22131"/>
    <cellStyle name="40% - Accent3 2 6 4 4" xfId="8095"/>
    <cellStyle name="40% - Accent3 2 6 5" xfId="10158"/>
    <cellStyle name="40% - Accent3 2 6 5 2" xfId="14641"/>
    <cellStyle name="40% - Accent3 2 6 5 2 2" xfId="25784"/>
    <cellStyle name="40% - Accent3 2 6 5 3" xfId="20215"/>
    <cellStyle name="40% - Accent3 2 6 6" xfId="13211"/>
    <cellStyle name="40% - Accent3 2 6 6 2" xfId="24354"/>
    <cellStyle name="40% - Accent3 2 6 7" xfId="18785"/>
    <cellStyle name="40% - Accent3 2 6 8" xfId="6179"/>
    <cellStyle name="40% - Accent3 2 7" xfId="2318"/>
    <cellStyle name="40% - Accent3 2 7 2" xfId="2960"/>
    <cellStyle name="40% - Accent3 2 7 2 2" xfId="5069"/>
    <cellStyle name="40% - Accent3 2 7 2 2 2" xfId="17682"/>
    <cellStyle name="40% - Accent3 2 7 2 2 2 2" xfId="28825"/>
    <cellStyle name="40% - Accent3 2 7 2 2 3" xfId="23256"/>
    <cellStyle name="40% - Accent3 2 7 2 2 4" xfId="9220"/>
    <cellStyle name="40% - Accent3 2 7 2 3" xfId="11222"/>
    <cellStyle name="40% - Accent3 2 7 2 3 2" xfId="15613"/>
    <cellStyle name="40% - Accent3 2 7 2 3 2 2" xfId="26756"/>
    <cellStyle name="40% - Accent3 2 7 2 3 3" xfId="21187"/>
    <cellStyle name="40% - Accent3 2 7 2 4" xfId="14183"/>
    <cellStyle name="40% - Accent3 2 7 2 4 2" xfId="25326"/>
    <cellStyle name="40% - Accent3 2 7 2 5" xfId="19757"/>
    <cellStyle name="40% - Accent3 2 7 2 6" xfId="7151"/>
    <cellStyle name="40% - Accent3 2 7 3" xfId="3598"/>
    <cellStyle name="40% - Accent3 2 7 3 2" xfId="5707"/>
    <cellStyle name="40% - Accent3 2 7 3 2 2" xfId="18320"/>
    <cellStyle name="40% - Accent3 2 7 3 2 2 2" xfId="29463"/>
    <cellStyle name="40% - Accent3 2 7 3 2 3" xfId="23894"/>
    <cellStyle name="40% - Accent3 2 7 3 2 4" xfId="9858"/>
    <cellStyle name="40% - Accent3 2 7 3 3" xfId="16251"/>
    <cellStyle name="40% - Accent3 2 7 3 3 2" xfId="27394"/>
    <cellStyle name="40% - Accent3 2 7 3 4" xfId="21825"/>
    <cellStyle name="40% - Accent3 2 7 3 5" xfId="7789"/>
    <cellStyle name="40% - Accent3 2 7 4" xfId="4277"/>
    <cellStyle name="40% - Accent3 2 7 4 2" xfId="16890"/>
    <cellStyle name="40% - Accent3 2 7 4 2 2" xfId="28033"/>
    <cellStyle name="40% - Accent3 2 7 4 3" xfId="22464"/>
    <cellStyle name="40% - Accent3 2 7 4 4" xfId="8428"/>
    <cellStyle name="40% - Accent3 2 7 5" xfId="10787"/>
    <cellStyle name="40% - Accent3 2 7 5 2" xfId="14974"/>
    <cellStyle name="40% - Accent3 2 7 5 2 2" xfId="26117"/>
    <cellStyle name="40% - Accent3 2 7 5 3" xfId="20548"/>
    <cellStyle name="40% - Accent3 2 7 6" xfId="13544"/>
    <cellStyle name="40% - Accent3 2 7 6 2" xfId="24687"/>
    <cellStyle name="40% - Accent3 2 7 7" xfId="19118"/>
    <cellStyle name="40% - Accent3 2 7 8" xfId="6512"/>
    <cellStyle name="40% - Accent3 2 8" xfId="1782"/>
    <cellStyle name="40% - Accent3 2 8 2" xfId="4430"/>
    <cellStyle name="40% - Accent3 2 8 2 2" xfId="17043"/>
    <cellStyle name="40% - Accent3 2 8 2 2 2" xfId="28186"/>
    <cellStyle name="40% - Accent3 2 8 2 3" xfId="22617"/>
    <cellStyle name="40% - Accent3 2 8 2 4" xfId="8581"/>
    <cellStyle name="40% - Accent3 2 8 3" xfId="10370"/>
    <cellStyle name="40% - Accent3 2 8 3 2" xfId="14489"/>
    <cellStyle name="40% - Accent3 2 8 3 2 2" xfId="25632"/>
    <cellStyle name="40% - Accent3 2 8 3 3" xfId="20063"/>
    <cellStyle name="40% - Accent3 2 8 4" xfId="13059"/>
    <cellStyle name="40% - Accent3 2 8 4 2" xfId="24202"/>
    <cellStyle name="40% - Accent3 2 8 5" xfId="18633"/>
    <cellStyle name="40% - Accent3 2 8 6" xfId="6027"/>
    <cellStyle name="40% - Accent3 2 9" xfId="2475"/>
    <cellStyle name="40% - Accent3 2 9 2" xfId="4584"/>
    <cellStyle name="40% - Accent3 2 9 2 2" xfId="17197"/>
    <cellStyle name="40% - Accent3 2 9 2 2 2" xfId="28340"/>
    <cellStyle name="40% - Accent3 2 9 2 3" xfId="22771"/>
    <cellStyle name="40% - Accent3 2 9 2 4" xfId="8735"/>
    <cellStyle name="40% - Accent3 2 9 3" xfId="10474"/>
    <cellStyle name="40% - Accent3 2 9 3 2" xfId="15128"/>
    <cellStyle name="40% - Accent3 2 9 3 2 2" xfId="26271"/>
    <cellStyle name="40% - Accent3 2 9 3 3" xfId="20702"/>
    <cellStyle name="40% - Accent3 2 9 4" xfId="13698"/>
    <cellStyle name="40% - Accent3 2 9 4 2" xfId="24841"/>
    <cellStyle name="40% - Accent3 2 9 5" xfId="19272"/>
    <cellStyle name="40% - Accent3 2 9 6" xfId="6666"/>
    <cellStyle name="40% - Accent3 3" xfId="140"/>
    <cellStyle name="40% - Accent3 3 2" xfId="390"/>
    <cellStyle name="40% - Accent3 3 2 2" xfId="569"/>
    <cellStyle name="40% - Accent3 3 2 2 2" xfId="952"/>
    <cellStyle name="40% - Accent3 3 2 2 2 2" xfId="1691"/>
    <cellStyle name="40% - Accent3 3 2 2 2 2 2" xfId="12787"/>
    <cellStyle name="40% - Accent3 3 2 2 2 3" xfId="12077"/>
    <cellStyle name="40% - Accent3 3 2 2 3" xfId="1336"/>
    <cellStyle name="40% - Accent3 3 2 2 3 2" xfId="12432"/>
    <cellStyle name="40% - Accent3 3 2 2 4" xfId="11722"/>
    <cellStyle name="40% - Accent3 3 2 3" xfId="774"/>
    <cellStyle name="40% - Accent3 3 2 3 2" xfId="1513"/>
    <cellStyle name="40% - Accent3 3 2 3 2 2" xfId="12609"/>
    <cellStyle name="40% - Accent3 3 2 3 3" xfId="11899"/>
    <cellStyle name="40% - Accent3 3 2 4" xfId="1158"/>
    <cellStyle name="40% - Accent3 3 2 4 2" xfId="12254"/>
    <cellStyle name="40% - Accent3 3 2 5" xfId="11544"/>
    <cellStyle name="40% - Accent3 3 3" xfId="445"/>
    <cellStyle name="40% - Accent3 3 3 2" xfId="624"/>
    <cellStyle name="40% - Accent3 3 3 2 2" xfId="1007"/>
    <cellStyle name="40% - Accent3 3 3 2 2 2" xfId="1746"/>
    <cellStyle name="40% - Accent3 3 3 2 2 2 2" xfId="12842"/>
    <cellStyle name="40% - Accent3 3 3 2 2 3" xfId="12132"/>
    <cellStyle name="40% - Accent3 3 3 2 3" xfId="1391"/>
    <cellStyle name="40% - Accent3 3 3 2 3 2" xfId="12487"/>
    <cellStyle name="40% - Accent3 3 3 2 4" xfId="11777"/>
    <cellStyle name="40% - Accent3 3 3 3" xfId="829"/>
    <cellStyle name="40% - Accent3 3 3 3 2" xfId="1568"/>
    <cellStyle name="40% - Accent3 3 3 3 2 2" xfId="12664"/>
    <cellStyle name="40% - Accent3 3 3 3 3" xfId="11954"/>
    <cellStyle name="40% - Accent3 3 3 4" xfId="1213"/>
    <cellStyle name="40% - Accent3 3 3 4 2" xfId="12309"/>
    <cellStyle name="40% - Accent3 3 3 5" xfId="11599"/>
    <cellStyle name="40% - Accent3 3 4" xfId="507"/>
    <cellStyle name="40% - Accent3 3 4 2" xfId="891"/>
    <cellStyle name="40% - Accent3 3 4 2 2" xfId="1630"/>
    <cellStyle name="40% - Accent3 3 4 2 2 2" xfId="12726"/>
    <cellStyle name="40% - Accent3 3 4 2 3" xfId="12016"/>
    <cellStyle name="40% - Accent3 3 4 3" xfId="1275"/>
    <cellStyle name="40% - Accent3 3 4 3 2" xfId="12371"/>
    <cellStyle name="40% - Accent3 3 4 4" xfId="11661"/>
    <cellStyle name="40% - Accent3 3 5" xfId="713"/>
    <cellStyle name="40% - Accent3 3 5 2" xfId="1452"/>
    <cellStyle name="40% - Accent3 3 5 2 2" xfId="12548"/>
    <cellStyle name="40% - Accent3 3 5 3" xfId="11838"/>
    <cellStyle name="40% - Accent3 3 6" xfId="1097"/>
    <cellStyle name="40% - Accent3 3 6 2" xfId="12193"/>
    <cellStyle name="40% - Accent3 3 7" xfId="11483"/>
    <cellStyle name="40% - Accent3 4" xfId="164"/>
    <cellStyle name="40% - Accent3 4 2" xfId="402"/>
    <cellStyle name="40% - Accent3 4 2 2" xfId="581"/>
    <cellStyle name="40% - Accent3 4 2 2 2" xfId="964"/>
    <cellStyle name="40% - Accent3 4 2 2 2 2" xfId="1703"/>
    <cellStyle name="40% - Accent3 4 2 2 2 2 2" xfId="12799"/>
    <cellStyle name="40% - Accent3 4 2 2 2 3" xfId="12089"/>
    <cellStyle name="40% - Accent3 4 2 2 3" xfId="1348"/>
    <cellStyle name="40% - Accent3 4 2 2 3 2" xfId="12444"/>
    <cellStyle name="40% - Accent3 4 2 2 4" xfId="11734"/>
    <cellStyle name="40% - Accent3 4 2 3" xfId="786"/>
    <cellStyle name="40% - Accent3 4 2 3 2" xfId="1525"/>
    <cellStyle name="40% - Accent3 4 2 3 2 2" xfId="12621"/>
    <cellStyle name="40% - Accent3 4 2 3 3" xfId="11911"/>
    <cellStyle name="40% - Accent3 4 2 4" xfId="1170"/>
    <cellStyle name="40% - Accent3 4 2 4 2" xfId="12266"/>
    <cellStyle name="40% - Accent3 4 2 5" xfId="11556"/>
    <cellStyle name="40% - Accent3 4 3" xfId="457"/>
    <cellStyle name="40% - Accent3 4 3 2" xfId="636"/>
    <cellStyle name="40% - Accent3 4 3 2 2" xfId="1019"/>
    <cellStyle name="40% - Accent3 4 3 2 2 2" xfId="1758"/>
    <cellStyle name="40% - Accent3 4 3 2 2 2 2" xfId="12854"/>
    <cellStyle name="40% - Accent3 4 3 2 2 3" xfId="12144"/>
    <cellStyle name="40% - Accent3 4 3 2 3" xfId="1403"/>
    <cellStyle name="40% - Accent3 4 3 2 3 2" xfId="12499"/>
    <cellStyle name="40% - Accent3 4 3 2 4" xfId="11789"/>
    <cellStyle name="40% - Accent3 4 3 3" xfId="841"/>
    <cellStyle name="40% - Accent3 4 3 3 2" xfId="1580"/>
    <cellStyle name="40% - Accent3 4 3 3 2 2" xfId="12676"/>
    <cellStyle name="40% - Accent3 4 3 3 3" xfId="11966"/>
    <cellStyle name="40% - Accent3 4 3 4" xfId="1225"/>
    <cellStyle name="40% - Accent3 4 3 4 2" xfId="12321"/>
    <cellStyle name="40% - Accent3 4 3 5" xfId="11611"/>
    <cellStyle name="40% - Accent3 4 4" xfId="520"/>
    <cellStyle name="40% - Accent3 4 4 2" xfId="903"/>
    <cellStyle name="40% - Accent3 4 4 2 2" xfId="1642"/>
    <cellStyle name="40% - Accent3 4 4 2 2 2" xfId="12738"/>
    <cellStyle name="40% - Accent3 4 4 2 3" xfId="12028"/>
    <cellStyle name="40% - Accent3 4 4 3" xfId="1287"/>
    <cellStyle name="40% - Accent3 4 4 3 2" xfId="12383"/>
    <cellStyle name="40% - Accent3 4 4 4" xfId="11673"/>
    <cellStyle name="40% - Accent3 4 5" xfId="725"/>
    <cellStyle name="40% - Accent3 4 5 2" xfId="1464"/>
    <cellStyle name="40% - Accent3 4 5 2 2" xfId="12560"/>
    <cellStyle name="40% - Accent3 4 5 3" xfId="11850"/>
    <cellStyle name="40% - Accent3 4 6" xfId="1109"/>
    <cellStyle name="40% - Accent3 4 6 2" xfId="12205"/>
    <cellStyle name="40% - Accent3 4 7" xfId="11495"/>
    <cellStyle name="40% - Accent3 5" xfId="206"/>
    <cellStyle name="40% - Accent3 5 2" xfId="414"/>
    <cellStyle name="40% - Accent3 5 2 2" xfId="593"/>
    <cellStyle name="40% - Accent3 5 2 2 2" xfId="976"/>
    <cellStyle name="40% - Accent3 5 2 2 2 2" xfId="1715"/>
    <cellStyle name="40% - Accent3 5 2 2 2 2 2" xfId="12811"/>
    <cellStyle name="40% - Accent3 5 2 2 2 3" xfId="12101"/>
    <cellStyle name="40% - Accent3 5 2 2 3" xfId="1360"/>
    <cellStyle name="40% - Accent3 5 2 2 3 2" xfId="12456"/>
    <cellStyle name="40% - Accent3 5 2 2 4" xfId="11746"/>
    <cellStyle name="40% - Accent3 5 2 3" xfId="798"/>
    <cellStyle name="40% - Accent3 5 2 3 2" xfId="1537"/>
    <cellStyle name="40% - Accent3 5 2 3 2 2" xfId="12633"/>
    <cellStyle name="40% - Accent3 5 2 3 3" xfId="11923"/>
    <cellStyle name="40% - Accent3 5 2 4" xfId="1182"/>
    <cellStyle name="40% - Accent3 5 2 4 2" xfId="12278"/>
    <cellStyle name="40% - Accent3 5 2 5" xfId="11568"/>
    <cellStyle name="40% - Accent3 5 3" xfId="469"/>
    <cellStyle name="40% - Accent3 5 3 2" xfId="648"/>
    <cellStyle name="40% - Accent3 5 3 2 2" xfId="1031"/>
    <cellStyle name="40% - Accent3 5 3 2 2 2" xfId="1770"/>
    <cellStyle name="40% - Accent3 5 3 2 2 2 2" xfId="12866"/>
    <cellStyle name="40% - Accent3 5 3 2 2 3" xfId="12156"/>
    <cellStyle name="40% - Accent3 5 3 2 3" xfId="1415"/>
    <cellStyle name="40% - Accent3 5 3 2 3 2" xfId="12511"/>
    <cellStyle name="40% - Accent3 5 3 2 4" xfId="11801"/>
    <cellStyle name="40% - Accent3 5 3 3" xfId="853"/>
    <cellStyle name="40% - Accent3 5 3 3 2" xfId="1592"/>
    <cellStyle name="40% - Accent3 5 3 3 2 2" xfId="12688"/>
    <cellStyle name="40% - Accent3 5 3 3 3" xfId="11978"/>
    <cellStyle name="40% - Accent3 5 3 4" xfId="1237"/>
    <cellStyle name="40% - Accent3 5 3 4 2" xfId="12333"/>
    <cellStyle name="40% - Accent3 5 3 5" xfId="11623"/>
    <cellStyle name="40% - Accent3 5 4" xfId="532"/>
    <cellStyle name="40% - Accent3 5 4 2" xfId="915"/>
    <cellStyle name="40% - Accent3 5 4 2 2" xfId="1654"/>
    <cellStyle name="40% - Accent3 5 4 2 2 2" xfId="12750"/>
    <cellStyle name="40% - Accent3 5 4 2 3" xfId="12040"/>
    <cellStyle name="40% - Accent3 5 4 3" xfId="1299"/>
    <cellStyle name="40% - Accent3 5 4 3 2" xfId="12395"/>
    <cellStyle name="40% - Accent3 5 4 4" xfId="11685"/>
    <cellStyle name="40% - Accent3 5 5" xfId="737"/>
    <cellStyle name="40% - Accent3 5 5 2" xfId="1476"/>
    <cellStyle name="40% - Accent3 5 5 2 2" xfId="12572"/>
    <cellStyle name="40% - Accent3 5 5 3" xfId="11862"/>
    <cellStyle name="40% - Accent3 5 6" xfId="1121"/>
    <cellStyle name="40% - Accent3 5 6 2" xfId="12217"/>
    <cellStyle name="40% - Accent3 5 7" xfId="11507"/>
    <cellStyle name="40% - Accent3 6" xfId="46"/>
    <cellStyle name="40% - Accent3 6 2" xfId="371"/>
    <cellStyle name="40% - Accent3 6 2 2" xfId="550"/>
    <cellStyle name="40% - Accent3 6 2 2 2" xfId="933"/>
    <cellStyle name="40% - Accent3 6 2 2 2 2" xfId="1672"/>
    <cellStyle name="40% - Accent3 6 2 2 2 2 2" xfId="12768"/>
    <cellStyle name="40% - Accent3 6 2 2 2 3" xfId="12058"/>
    <cellStyle name="40% - Accent3 6 2 2 3" xfId="1317"/>
    <cellStyle name="40% - Accent3 6 2 2 3 2" xfId="12413"/>
    <cellStyle name="40% - Accent3 6 2 2 4" xfId="11703"/>
    <cellStyle name="40% - Accent3 6 2 3" xfId="755"/>
    <cellStyle name="40% - Accent3 6 2 3 2" xfId="1494"/>
    <cellStyle name="40% - Accent3 6 2 3 2 2" xfId="12590"/>
    <cellStyle name="40% - Accent3 6 2 3 3" xfId="11880"/>
    <cellStyle name="40% - Accent3 6 2 4" xfId="1139"/>
    <cellStyle name="40% - Accent3 6 2 4 2" xfId="12235"/>
    <cellStyle name="40% - Accent3 6 2 5" xfId="11525"/>
    <cellStyle name="40% - Accent3 6 3" xfId="489"/>
    <cellStyle name="40% - Accent3 6 3 2" xfId="873"/>
    <cellStyle name="40% - Accent3 6 3 2 2" xfId="1612"/>
    <cellStyle name="40% - Accent3 6 3 2 2 2" xfId="12708"/>
    <cellStyle name="40% - Accent3 6 3 2 3" xfId="11998"/>
    <cellStyle name="40% - Accent3 6 3 3" xfId="1257"/>
    <cellStyle name="40% - Accent3 6 3 3 2" xfId="12353"/>
    <cellStyle name="40% - Accent3 6 3 4" xfId="11643"/>
    <cellStyle name="40% - Accent3 6 4" xfId="695"/>
    <cellStyle name="40% - Accent3 6 4 2" xfId="1434"/>
    <cellStyle name="40% - Accent3 6 4 2 2" xfId="12530"/>
    <cellStyle name="40% - Accent3 6 4 3" xfId="11820"/>
    <cellStyle name="40% - Accent3 6 5" xfId="1079"/>
    <cellStyle name="40% - Accent3 6 5 2" xfId="12175"/>
    <cellStyle name="40% - Accent3 6 6" xfId="11465"/>
    <cellStyle name="40% - Accent3 7" xfId="426"/>
    <cellStyle name="40% - Accent3 7 2" xfId="605"/>
    <cellStyle name="40% - Accent3 7 2 2" xfId="988"/>
    <cellStyle name="40% - Accent3 7 2 2 2" xfId="1727"/>
    <cellStyle name="40% - Accent3 7 2 2 2 2" xfId="12823"/>
    <cellStyle name="40% - Accent3 7 2 2 3" xfId="12113"/>
    <cellStyle name="40% - Accent3 7 2 3" xfId="1372"/>
    <cellStyle name="40% - Accent3 7 2 3 2" xfId="12468"/>
    <cellStyle name="40% - Accent3 7 2 4" xfId="11758"/>
    <cellStyle name="40% - Accent3 7 3" xfId="810"/>
    <cellStyle name="40% - Accent3 7 3 2" xfId="1549"/>
    <cellStyle name="40% - Accent3 7 3 2 2" xfId="12645"/>
    <cellStyle name="40% - Accent3 7 3 3" xfId="11935"/>
    <cellStyle name="40% - Accent3 7 4" xfId="1194"/>
    <cellStyle name="40% - Accent3 7 4 2" xfId="12290"/>
    <cellStyle name="40% - Accent3 7 5" xfId="11580"/>
    <cellStyle name="40% - Accent3 8" xfId="482"/>
    <cellStyle name="40% - Accent3 8 2" xfId="866"/>
    <cellStyle name="40% - Accent3 8 2 2" xfId="1605"/>
    <cellStyle name="40% - Accent3 8 2 2 2" xfId="12701"/>
    <cellStyle name="40% - Accent3 8 2 3" xfId="11991"/>
    <cellStyle name="40% - Accent3 8 3" xfId="1250"/>
    <cellStyle name="40% - Accent3 8 3 2" xfId="12346"/>
    <cellStyle name="40% - Accent3 8 4" xfId="11636"/>
    <cellStyle name="40% - Accent3 9" xfId="681"/>
    <cellStyle name="40% - Accent3 9 2" xfId="1427"/>
    <cellStyle name="40% - Accent3 9 2 2" xfId="12523"/>
    <cellStyle name="40% - Accent3 9 3" xfId="11813"/>
    <cellStyle name="40% - Accent4" xfId="31" builtinId="43" customBuiltin="1"/>
    <cellStyle name="40% - Accent4 10" xfId="1069"/>
    <cellStyle name="40% - Accent4 10 2" xfId="12170"/>
    <cellStyle name="40% - Accent4 11" xfId="1934"/>
    <cellStyle name="40% - Accent4 11 2" xfId="12875"/>
    <cellStyle name="40% - Accent4 12" xfId="3777"/>
    <cellStyle name="40% - Accent4 12 2" xfId="11460"/>
    <cellStyle name="40% - Accent4 2" xfId="120"/>
    <cellStyle name="40% - Accent4 2 10" xfId="3117"/>
    <cellStyle name="40% - Accent4 2 10 2" xfId="5226"/>
    <cellStyle name="40% - Accent4 2 10 2 2" xfId="17839"/>
    <cellStyle name="40% - Accent4 2 10 2 2 2" xfId="28982"/>
    <cellStyle name="40% - Accent4 2 10 2 3" xfId="23413"/>
    <cellStyle name="40% - Accent4 2 10 2 4" xfId="9377"/>
    <cellStyle name="40% - Accent4 2 10 3" xfId="15770"/>
    <cellStyle name="40% - Accent4 2 10 3 2" xfId="26913"/>
    <cellStyle name="40% - Accent4 2 10 4" xfId="21344"/>
    <cellStyle name="40% - Accent4 2 10 5" xfId="7308"/>
    <cellStyle name="40% - Accent4 2 11" xfId="3796"/>
    <cellStyle name="40% - Accent4 2 11 2" xfId="16409"/>
    <cellStyle name="40% - Accent4 2 11 2 2" xfId="27552"/>
    <cellStyle name="40% - Accent4 2 11 3" xfId="21983"/>
    <cellStyle name="40% - Accent4 2 11 4" xfId="7947"/>
    <cellStyle name="40% - Accent4 2 12" xfId="10306"/>
    <cellStyle name="40% - Accent4 2 12 2" xfId="14340"/>
    <cellStyle name="40% - Accent4 2 12 2 2" xfId="25483"/>
    <cellStyle name="40% - Accent4 2 12 3" xfId="19914"/>
    <cellStyle name="40% - Accent4 2 13" xfId="12908"/>
    <cellStyle name="40% - Accent4 2 13 2" xfId="24052"/>
    <cellStyle name="40% - Accent4 2 14" xfId="18484"/>
    <cellStyle name="40% - Accent4 2 15" xfId="5877"/>
    <cellStyle name="40% - Accent4 2 2" xfId="229"/>
    <cellStyle name="40% - Accent4 2 2 10" xfId="3815"/>
    <cellStyle name="40% - Accent4 2 2 10 2" xfId="16428"/>
    <cellStyle name="40% - Accent4 2 2 10 2 2" xfId="27571"/>
    <cellStyle name="40% - Accent4 2 2 10 3" xfId="22002"/>
    <cellStyle name="40% - Accent4 2 2 10 4" xfId="7966"/>
    <cellStyle name="40% - Accent4 2 2 11" xfId="11023"/>
    <cellStyle name="40% - Accent4 2 2 11 2" xfId="14359"/>
    <cellStyle name="40% - Accent4 2 2 11 2 2" xfId="25502"/>
    <cellStyle name="40% - Accent4 2 2 11 3" xfId="19933"/>
    <cellStyle name="40% - Accent4 2 2 12" xfId="12928"/>
    <cellStyle name="40% - Accent4 2 2 12 2" xfId="24072"/>
    <cellStyle name="40% - Accent4 2 2 13" xfId="18503"/>
    <cellStyle name="40% - Accent4 2 2 14" xfId="5896"/>
    <cellStyle name="40% - Accent4 2 2 2" xfId="267"/>
    <cellStyle name="40% - Accent4 2 2 2 10" xfId="10753"/>
    <cellStyle name="40% - Accent4 2 2 2 10 2" xfId="14397"/>
    <cellStyle name="40% - Accent4 2 2 2 10 2 2" xfId="25540"/>
    <cellStyle name="40% - Accent4 2 2 2 10 3" xfId="19971"/>
    <cellStyle name="40% - Accent4 2 2 2 11" xfId="12966"/>
    <cellStyle name="40% - Accent4 2 2 2 11 2" xfId="24110"/>
    <cellStyle name="40% - Accent4 2 2 2 12" xfId="18541"/>
    <cellStyle name="40% - Accent4 2 2 2 13" xfId="5934"/>
    <cellStyle name="40% - Accent4 2 2 2 2" xfId="343"/>
    <cellStyle name="40% - Accent4 2 2 2 2 10" xfId="13042"/>
    <cellStyle name="40% - Accent4 2 2 2 2 10 2" xfId="24186"/>
    <cellStyle name="40% - Accent4 2 2 2 2 11" xfId="18617"/>
    <cellStyle name="40% - Accent4 2 2 2 2 12" xfId="6010"/>
    <cellStyle name="40% - Accent4 2 2 2 2 2" xfId="2301"/>
    <cellStyle name="40% - Accent4 2 2 2 2 2 2" xfId="2945"/>
    <cellStyle name="40% - Accent4 2 2 2 2 2 2 2" xfId="5054"/>
    <cellStyle name="40% - Accent4 2 2 2 2 2 2 2 2" xfId="17667"/>
    <cellStyle name="40% - Accent4 2 2 2 2 2 2 2 2 2" xfId="28810"/>
    <cellStyle name="40% - Accent4 2 2 2 2 2 2 2 3" xfId="23241"/>
    <cellStyle name="40% - Accent4 2 2 2 2 2 2 2 4" xfId="9205"/>
    <cellStyle name="40% - Accent4 2 2 2 2 2 2 3" xfId="10881"/>
    <cellStyle name="40% - Accent4 2 2 2 2 2 2 3 2" xfId="15598"/>
    <cellStyle name="40% - Accent4 2 2 2 2 2 2 3 2 2" xfId="26741"/>
    <cellStyle name="40% - Accent4 2 2 2 2 2 2 3 3" xfId="21172"/>
    <cellStyle name="40% - Accent4 2 2 2 2 2 2 4" xfId="14168"/>
    <cellStyle name="40% - Accent4 2 2 2 2 2 2 4 2" xfId="25311"/>
    <cellStyle name="40% - Accent4 2 2 2 2 2 2 5" xfId="19742"/>
    <cellStyle name="40% - Accent4 2 2 2 2 2 2 6" xfId="7136"/>
    <cellStyle name="40% - Accent4 2 2 2 2 2 3" xfId="3583"/>
    <cellStyle name="40% - Accent4 2 2 2 2 2 3 2" xfId="5692"/>
    <cellStyle name="40% - Accent4 2 2 2 2 2 3 2 2" xfId="18305"/>
    <cellStyle name="40% - Accent4 2 2 2 2 2 3 2 2 2" xfId="29448"/>
    <cellStyle name="40% - Accent4 2 2 2 2 2 3 2 3" xfId="23879"/>
    <cellStyle name="40% - Accent4 2 2 2 2 2 3 2 4" xfId="9843"/>
    <cellStyle name="40% - Accent4 2 2 2 2 2 3 3" xfId="16236"/>
    <cellStyle name="40% - Accent4 2 2 2 2 2 3 3 2" xfId="27379"/>
    <cellStyle name="40% - Accent4 2 2 2 2 2 3 4" xfId="21810"/>
    <cellStyle name="40% - Accent4 2 2 2 2 2 3 5" xfId="7774"/>
    <cellStyle name="40% - Accent4 2 2 2 2 2 4" xfId="4262"/>
    <cellStyle name="40% - Accent4 2 2 2 2 2 4 2" xfId="16875"/>
    <cellStyle name="40% - Accent4 2 2 2 2 2 4 2 2" xfId="28018"/>
    <cellStyle name="40% - Accent4 2 2 2 2 2 4 3" xfId="22449"/>
    <cellStyle name="40% - Accent4 2 2 2 2 2 4 4" xfId="8413"/>
    <cellStyle name="40% - Accent4 2 2 2 2 2 5" xfId="10956"/>
    <cellStyle name="40% - Accent4 2 2 2 2 2 5 2" xfId="14959"/>
    <cellStyle name="40% - Accent4 2 2 2 2 2 5 2 2" xfId="26102"/>
    <cellStyle name="40% - Accent4 2 2 2 2 2 5 3" xfId="20533"/>
    <cellStyle name="40% - Accent4 2 2 2 2 2 6" xfId="13529"/>
    <cellStyle name="40% - Accent4 2 2 2 2 2 6 2" xfId="24672"/>
    <cellStyle name="40% - Accent4 2 2 2 2 2 7" xfId="19103"/>
    <cellStyle name="40% - Accent4 2 2 2 2 2 8" xfId="6497"/>
    <cellStyle name="40% - Accent4 2 2 2 2 3" xfId="2109"/>
    <cellStyle name="40% - Accent4 2 2 2 2 3 2" xfId="2764"/>
    <cellStyle name="40% - Accent4 2 2 2 2 3 2 2" xfId="4873"/>
    <cellStyle name="40% - Accent4 2 2 2 2 3 2 2 2" xfId="17486"/>
    <cellStyle name="40% - Accent4 2 2 2 2 3 2 2 2 2" xfId="28629"/>
    <cellStyle name="40% - Accent4 2 2 2 2 3 2 2 3" xfId="23060"/>
    <cellStyle name="40% - Accent4 2 2 2 2 3 2 2 4" xfId="9024"/>
    <cellStyle name="40% - Accent4 2 2 2 2 3 2 3" xfId="10394"/>
    <cellStyle name="40% - Accent4 2 2 2 2 3 2 3 2" xfId="15417"/>
    <cellStyle name="40% - Accent4 2 2 2 2 3 2 3 2 2" xfId="26560"/>
    <cellStyle name="40% - Accent4 2 2 2 2 3 2 3 3" xfId="20991"/>
    <cellStyle name="40% - Accent4 2 2 2 2 3 2 4" xfId="13987"/>
    <cellStyle name="40% - Accent4 2 2 2 2 3 2 4 2" xfId="25130"/>
    <cellStyle name="40% - Accent4 2 2 2 2 3 2 5" xfId="19561"/>
    <cellStyle name="40% - Accent4 2 2 2 2 3 2 6" xfId="6955"/>
    <cellStyle name="40% - Accent4 2 2 2 2 3 3" xfId="3402"/>
    <cellStyle name="40% - Accent4 2 2 2 2 3 3 2" xfId="5511"/>
    <cellStyle name="40% - Accent4 2 2 2 2 3 3 2 2" xfId="18124"/>
    <cellStyle name="40% - Accent4 2 2 2 2 3 3 2 2 2" xfId="29267"/>
    <cellStyle name="40% - Accent4 2 2 2 2 3 3 2 3" xfId="23698"/>
    <cellStyle name="40% - Accent4 2 2 2 2 3 3 2 4" xfId="9662"/>
    <cellStyle name="40% - Accent4 2 2 2 2 3 3 3" xfId="16055"/>
    <cellStyle name="40% - Accent4 2 2 2 2 3 3 3 2" xfId="27198"/>
    <cellStyle name="40% - Accent4 2 2 2 2 3 3 4" xfId="21629"/>
    <cellStyle name="40% - Accent4 2 2 2 2 3 3 5" xfId="7593"/>
    <cellStyle name="40% - Accent4 2 2 2 2 3 4" xfId="4081"/>
    <cellStyle name="40% - Accent4 2 2 2 2 3 4 2" xfId="16694"/>
    <cellStyle name="40% - Accent4 2 2 2 2 3 4 2 2" xfId="27837"/>
    <cellStyle name="40% - Accent4 2 2 2 2 3 4 3" xfId="22268"/>
    <cellStyle name="40% - Accent4 2 2 2 2 3 4 4" xfId="8232"/>
    <cellStyle name="40% - Accent4 2 2 2 2 3 5" xfId="10223"/>
    <cellStyle name="40% - Accent4 2 2 2 2 3 5 2" xfId="14778"/>
    <cellStyle name="40% - Accent4 2 2 2 2 3 5 2 2" xfId="25921"/>
    <cellStyle name="40% - Accent4 2 2 2 2 3 5 3" xfId="20352"/>
    <cellStyle name="40% - Accent4 2 2 2 2 3 6" xfId="13348"/>
    <cellStyle name="40% - Accent4 2 2 2 2 3 6 2" xfId="24491"/>
    <cellStyle name="40% - Accent4 2 2 2 2 3 7" xfId="18922"/>
    <cellStyle name="40% - Accent4 2 2 2 2 3 8" xfId="6316"/>
    <cellStyle name="40% - Accent4 2 2 2 2 4" xfId="2456"/>
    <cellStyle name="40% - Accent4 2 2 2 2 4 2" xfId="3097"/>
    <cellStyle name="40% - Accent4 2 2 2 2 4 2 2" xfId="5206"/>
    <cellStyle name="40% - Accent4 2 2 2 2 4 2 2 2" xfId="17819"/>
    <cellStyle name="40% - Accent4 2 2 2 2 4 2 2 2 2" xfId="28962"/>
    <cellStyle name="40% - Accent4 2 2 2 2 4 2 2 3" xfId="23393"/>
    <cellStyle name="40% - Accent4 2 2 2 2 4 2 2 4" xfId="9357"/>
    <cellStyle name="40% - Accent4 2 2 2 2 4 2 3" xfId="11036"/>
    <cellStyle name="40% - Accent4 2 2 2 2 4 2 3 2" xfId="15750"/>
    <cellStyle name="40% - Accent4 2 2 2 2 4 2 3 2 2" xfId="26893"/>
    <cellStyle name="40% - Accent4 2 2 2 2 4 2 3 3" xfId="21324"/>
    <cellStyle name="40% - Accent4 2 2 2 2 4 2 4" xfId="14320"/>
    <cellStyle name="40% - Accent4 2 2 2 2 4 2 4 2" xfId="25463"/>
    <cellStyle name="40% - Accent4 2 2 2 2 4 2 5" xfId="19894"/>
    <cellStyle name="40% - Accent4 2 2 2 2 4 2 6" xfId="7288"/>
    <cellStyle name="40% - Accent4 2 2 2 2 4 3" xfId="3735"/>
    <cellStyle name="40% - Accent4 2 2 2 2 4 3 2" xfId="5844"/>
    <cellStyle name="40% - Accent4 2 2 2 2 4 3 2 2" xfId="18457"/>
    <cellStyle name="40% - Accent4 2 2 2 2 4 3 2 2 2" xfId="29600"/>
    <cellStyle name="40% - Accent4 2 2 2 2 4 3 2 3" xfId="24031"/>
    <cellStyle name="40% - Accent4 2 2 2 2 4 3 2 4" xfId="9995"/>
    <cellStyle name="40% - Accent4 2 2 2 2 4 3 3" xfId="16388"/>
    <cellStyle name="40% - Accent4 2 2 2 2 4 3 3 2" xfId="27531"/>
    <cellStyle name="40% - Accent4 2 2 2 2 4 3 4" xfId="21962"/>
    <cellStyle name="40% - Accent4 2 2 2 2 4 3 5" xfId="7926"/>
    <cellStyle name="40% - Accent4 2 2 2 2 4 4" xfId="4414"/>
    <cellStyle name="40% - Accent4 2 2 2 2 4 4 2" xfId="17027"/>
    <cellStyle name="40% - Accent4 2 2 2 2 4 4 2 2" xfId="28170"/>
    <cellStyle name="40% - Accent4 2 2 2 2 4 4 3" xfId="22601"/>
    <cellStyle name="40% - Accent4 2 2 2 2 4 4 4" xfId="8565"/>
    <cellStyle name="40% - Accent4 2 2 2 2 4 5" xfId="10188"/>
    <cellStyle name="40% - Accent4 2 2 2 2 4 5 2" xfId="15111"/>
    <cellStyle name="40% - Accent4 2 2 2 2 4 5 2 2" xfId="26254"/>
    <cellStyle name="40% - Accent4 2 2 2 2 4 5 3" xfId="20685"/>
    <cellStyle name="40% - Accent4 2 2 2 2 4 6" xfId="13681"/>
    <cellStyle name="40% - Accent4 2 2 2 2 4 6 2" xfId="24824"/>
    <cellStyle name="40% - Accent4 2 2 2 2 4 7" xfId="19255"/>
    <cellStyle name="40% - Accent4 2 2 2 2 4 8" xfId="6649"/>
    <cellStyle name="40% - Accent4 2 2 2 2 5" xfId="1919"/>
    <cellStyle name="40% - Accent4 2 2 2 2 5 2" xfId="4567"/>
    <cellStyle name="40% - Accent4 2 2 2 2 5 2 2" xfId="17180"/>
    <cellStyle name="40% - Accent4 2 2 2 2 5 2 2 2" xfId="28323"/>
    <cellStyle name="40% - Accent4 2 2 2 2 5 2 3" xfId="22754"/>
    <cellStyle name="40% - Accent4 2 2 2 2 5 2 4" xfId="8718"/>
    <cellStyle name="40% - Accent4 2 2 2 2 5 3" xfId="11263"/>
    <cellStyle name="40% - Accent4 2 2 2 2 5 3 2" xfId="14626"/>
    <cellStyle name="40% - Accent4 2 2 2 2 5 3 2 2" xfId="25769"/>
    <cellStyle name="40% - Accent4 2 2 2 2 5 3 3" xfId="20200"/>
    <cellStyle name="40% - Accent4 2 2 2 2 5 4" xfId="13196"/>
    <cellStyle name="40% - Accent4 2 2 2 2 5 4 2" xfId="24339"/>
    <cellStyle name="40% - Accent4 2 2 2 2 5 5" xfId="18770"/>
    <cellStyle name="40% - Accent4 2 2 2 2 5 6" xfId="6164"/>
    <cellStyle name="40% - Accent4 2 2 2 2 6" xfId="2612"/>
    <cellStyle name="40% - Accent4 2 2 2 2 6 2" xfId="4721"/>
    <cellStyle name="40% - Accent4 2 2 2 2 6 2 2" xfId="17334"/>
    <cellStyle name="40% - Accent4 2 2 2 2 6 2 2 2" xfId="28477"/>
    <cellStyle name="40% - Accent4 2 2 2 2 6 2 3" xfId="22908"/>
    <cellStyle name="40% - Accent4 2 2 2 2 6 2 4" xfId="8872"/>
    <cellStyle name="40% - Accent4 2 2 2 2 6 3" xfId="10220"/>
    <cellStyle name="40% - Accent4 2 2 2 2 6 3 2" xfId="15265"/>
    <cellStyle name="40% - Accent4 2 2 2 2 6 3 2 2" xfId="26408"/>
    <cellStyle name="40% - Accent4 2 2 2 2 6 3 3" xfId="20839"/>
    <cellStyle name="40% - Accent4 2 2 2 2 6 4" xfId="13835"/>
    <cellStyle name="40% - Accent4 2 2 2 2 6 4 2" xfId="24978"/>
    <cellStyle name="40% - Accent4 2 2 2 2 6 5" xfId="19409"/>
    <cellStyle name="40% - Accent4 2 2 2 2 6 6" xfId="6803"/>
    <cellStyle name="40% - Accent4 2 2 2 2 7" xfId="3250"/>
    <cellStyle name="40% - Accent4 2 2 2 2 7 2" xfId="5359"/>
    <cellStyle name="40% - Accent4 2 2 2 2 7 2 2" xfId="17972"/>
    <cellStyle name="40% - Accent4 2 2 2 2 7 2 2 2" xfId="29115"/>
    <cellStyle name="40% - Accent4 2 2 2 2 7 2 3" xfId="23546"/>
    <cellStyle name="40% - Accent4 2 2 2 2 7 2 4" xfId="9510"/>
    <cellStyle name="40% - Accent4 2 2 2 2 7 3" xfId="15903"/>
    <cellStyle name="40% - Accent4 2 2 2 2 7 3 2" xfId="27046"/>
    <cellStyle name="40% - Accent4 2 2 2 2 7 4" xfId="21477"/>
    <cellStyle name="40% - Accent4 2 2 2 2 7 5" xfId="7441"/>
    <cellStyle name="40% - Accent4 2 2 2 2 8" xfId="3929"/>
    <cellStyle name="40% - Accent4 2 2 2 2 8 2" xfId="16542"/>
    <cellStyle name="40% - Accent4 2 2 2 2 8 2 2" xfId="27685"/>
    <cellStyle name="40% - Accent4 2 2 2 2 8 3" xfId="22116"/>
    <cellStyle name="40% - Accent4 2 2 2 2 8 4" xfId="8080"/>
    <cellStyle name="40% - Accent4 2 2 2 2 9" xfId="10272"/>
    <cellStyle name="40% - Accent4 2 2 2 2 9 2" xfId="14473"/>
    <cellStyle name="40% - Accent4 2 2 2 2 9 2 2" xfId="25616"/>
    <cellStyle name="40% - Accent4 2 2 2 2 9 3" xfId="20047"/>
    <cellStyle name="40% - Accent4 2 2 2 3" xfId="2225"/>
    <cellStyle name="40% - Accent4 2 2 2 3 2" xfId="2869"/>
    <cellStyle name="40% - Accent4 2 2 2 3 2 2" xfId="4978"/>
    <cellStyle name="40% - Accent4 2 2 2 3 2 2 2" xfId="17591"/>
    <cellStyle name="40% - Accent4 2 2 2 3 2 2 2 2" xfId="28734"/>
    <cellStyle name="40% - Accent4 2 2 2 3 2 2 3" xfId="23165"/>
    <cellStyle name="40% - Accent4 2 2 2 3 2 2 4" xfId="9129"/>
    <cellStyle name="40% - Accent4 2 2 2 3 2 3" xfId="11434"/>
    <cellStyle name="40% - Accent4 2 2 2 3 2 3 2" xfId="15522"/>
    <cellStyle name="40% - Accent4 2 2 2 3 2 3 2 2" xfId="26665"/>
    <cellStyle name="40% - Accent4 2 2 2 3 2 3 3" xfId="21096"/>
    <cellStyle name="40% - Accent4 2 2 2 3 2 4" xfId="14092"/>
    <cellStyle name="40% - Accent4 2 2 2 3 2 4 2" xfId="25235"/>
    <cellStyle name="40% - Accent4 2 2 2 3 2 5" xfId="19666"/>
    <cellStyle name="40% - Accent4 2 2 2 3 2 6" xfId="7060"/>
    <cellStyle name="40% - Accent4 2 2 2 3 3" xfId="3507"/>
    <cellStyle name="40% - Accent4 2 2 2 3 3 2" xfId="5616"/>
    <cellStyle name="40% - Accent4 2 2 2 3 3 2 2" xfId="18229"/>
    <cellStyle name="40% - Accent4 2 2 2 3 3 2 2 2" xfId="29372"/>
    <cellStyle name="40% - Accent4 2 2 2 3 3 2 3" xfId="23803"/>
    <cellStyle name="40% - Accent4 2 2 2 3 3 2 4" xfId="9767"/>
    <cellStyle name="40% - Accent4 2 2 2 3 3 3" xfId="16160"/>
    <cellStyle name="40% - Accent4 2 2 2 3 3 3 2" xfId="27303"/>
    <cellStyle name="40% - Accent4 2 2 2 3 3 4" xfId="21734"/>
    <cellStyle name="40% - Accent4 2 2 2 3 3 5" xfId="7698"/>
    <cellStyle name="40% - Accent4 2 2 2 3 4" xfId="4186"/>
    <cellStyle name="40% - Accent4 2 2 2 3 4 2" xfId="16799"/>
    <cellStyle name="40% - Accent4 2 2 2 3 4 2 2" xfId="27942"/>
    <cellStyle name="40% - Accent4 2 2 2 3 4 3" xfId="22373"/>
    <cellStyle name="40% - Accent4 2 2 2 3 4 4" xfId="8337"/>
    <cellStyle name="40% - Accent4 2 2 2 3 5" xfId="10029"/>
    <cellStyle name="40% - Accent4 2 2 2 3 5 2" xfId="14883"/>
    <cellStyle name="40% - Accent4 2 2 2 3 5 2 2" xfId="26026"/>
    <cellStyle name="40% - Accent4 2 2 2 3 5 3" xfId="20457"/>
    <cellStyle name="40% - Accent4 2 2 2 3 6" xfId="13453"/>
    <cellStyle name="40% - Accent4 2 2 2 3 6 2" xfId="24596"/>
    <cellStyle name="40% - Accent4 2 2 2 3 7" xfId="19027"/>
    <cellStyle name="40% - Accent4 2 2 2 3 8" xfId="6421"/>
    <cellStyle name="40% - Accent4 2 2 2 4" xfId="2033"/>
    <cellStyle name="40% - Accent4 2 2 2 4 2" xfId="2688"/>
    <cellStyle name="40% - Accent4 2 2 2 4 2 2" xfId="4797"/>
    <cellStyle name="40% - Accent4 2 2 2 4 2 2 2" xfId="17410"/>
    <cellStyle name="40% - Accent4 2 2 2 4 2 2 2 2" xfId="28553"/>
    <cellStyle name="40% - Accent4 2 2 2 4 2 2 3" xfId="22984"/>
    <cellStyle name="40% - Accent4 2 2 2 4 2 2 4" xfId="8948"/>
    <cellStyle name="40% - Accent4 2 2 2 4 2 3" xfId="10531"/>
    <cellStyle name="40% - Accent4 2 2 2 4 2 3 2" xfId="15341"/>
    <cellStyle name="40% - Accent4 2 2 2 4 2 3 2 2" xfId="26484"/>
    <cellStyle name="40% - Accent4 2 2 2 4 2 3 3" xfId="20915"/>
    <cellStyle name="40% - Accent4 2 2 2 4 2 4" xfId="13911"/>
    <cellStyle name="40% - Accent4 2 2 2 4 2 4 2" xfId="25054"/>
    <cellStyle name="40% - Accent4 2 2 2 4 2 5" xfId="19485"/>
    <cellStyle name="40% - Accent4 2 2 2 4 2 6" xfId="6879"/>
    <cellStyle name="40% - Accent4 2 2 2 4 3" xfId="3326"/>
    <cellStyle name="40% - Accent4 2 2 2 4 3 2" xfId="5435"/>
    <cellStyle name="40% - Accent4 2 2 2 4 3 2 2" xfId="18048"/>
    <cellStyle name="40% - Accent4 2 2 2 4 3 2 2 2" xfId="29191"/>
    <cellStyle name="40% - Accent4 2 2 2 4 3 2 3" xfId="23622"/>
    <cellStyle name="40% - Accent4 2 2 2 4 3 2 4" xfId="9586"/>
    <cellStyle name="40% - Accent4 2 2 2 4 3 3" xfId="15979"/>
    <cellStyle name="40% - Accent4 2 2 2 4 3 3 2" xfId="27122"/>
    <cellStyle name="40% - Accent4 2 2 2 4 3 4" xfId="21553"/>
    <cellStyle name="40% - Accent4 2 2 2 4 3 5" xfId="7517"/>
    <cellStyle name="40% - Accent4 2 2 2 4 4" xfId="4005"/>
    <cellStyle name="40% - Accent4 2 2 2 4 4 2" xfId="16618"/>
    <cellStyle name="40% - Accent4 2 2 2 4 4 2 2" xfId="27761"/>
    <cellStyle name="40% - Accent4 2 2 2 4 4 3" xfId="22192"/>
    <cellStyle name="40% - Accent4 2 2 2 4 4 4" xfId="8156"/>
    <cellStyle name="40% - Accent4 2 2 2 4 5" xfId="5857"/>
    <cellStyle name="40% - Accent4 2 2 2 4 5 2" xfId="14702"/>
    <cellStyle name="40% - Accent4 2 2 2 4 5 2 2" xfId="25845"/>
    <cellStyle name="40% - Accent4 2 2 2 4 5 3" xfId="20276"/>
    <cellStyle name="40% - Accent4 2 2 2 4 6" xfId="13272"/>
    <cellStyle name="40% - Accent4 2 2 2 4 6 2" xfId="24415"/>
    <cellStyle name="40% - Accent4 2 2 2 4 7" xfId="18846"/>
    <cellStyle name="40% - Accent4 2 2 2 4 8" xfId="6240"/>
    <cellStyle name="40% - Accent4 2 2 2 5" xfId="2380"/>
    <cellStyle name="40% - Accent4 2 2 2 5 2" xfId="3021"/>
    <cellStyle name="40% - Accent4 2 2 2 5 2 2" xfId="5130"/>
    <cellStyle name="40% - Accent4 2 2 2 5 2 2 2" xfId="17743"/>
    <cellStyle name="40% - Accent4 2 2 2 5 2 2 2 2" xfId="28886"/>
    <cellStyle name="40% - Accent4 2 2 2 5 2 2 3" xfId="23317"/>
    <cellStyle name="40% - Accent4 2 2 2 5 2 2 4" xfId="9281"/>
    <cellStyle name="40% - Accent4 2 2 2 5 2 3" xfId="10157"/>
    <cellStyle name="40% - Accent4 2 2 2 5 2 3 2" xfId="15674"/>
    <cellStyle name="40% - Accent4 2 2 2 5 2 3 2 2" xfId="26817"/>
    <cellStyle name="40% - Accent4 2 2 2 5 2 3 3" xfId="21248"/>
    <cellStyle name="40% - Accent4 2 2 2 5 2 4" xfId="14244"/>
    <cellStyle name="40% - Accent4 2 2 2 5 2 4 2" xfId="25387"/>
    <cellStyle name="40% - Accent4 2 2 2 5 2 5" xfId="19818"/>
    <cellStyle name="40% - Accent4 2 2 2 5 2 6" xfId="7212"/>
    <cellStyle name="40% - Accent4 2 2 2 5 3" xfId="3659"/>
    <cellStyle name="40% - Accent4 2 2 2 5 3 2" xfId="5768"/>
    <cellStyle name="40% - Accent4 2 2 2 5 3 2 2" xfId="18381"/>
    <cellStyle name="40% - Accent4 2 2 2 5 3 2 2 2" xfId="29524"/>
    <cellStyle name="40% - Accent4 2 2 2 5 3 2 3" xfId="23955"/>
    <cellStyle name="40% - Accent4 2 2 2 5 3 2 4" xfId="9919"/>
    <cellStyle name="40% - Accent4 2 2 2 5 3 3" xfId="16312"/>
    <cellStyle name="40% - Accent4 2 2 2 5 3 3 2" xfId="27455"/>
    <cellStyle name="40% - Accent4 2 2 2 5 3 4" xfId="21886"/>
    <cellStyle name="40% - Accent4 2 2 2 5 3 5" xfId="7850"/>
    <cellStyle name="40% - Accent4 2 2 2 5 4" xfId="4338"/>
    <cellStyle name="40% - Accent4 2 2 2 5 4 2" xfId="16951"/>
    <cellStyle name="40% - Accent4 2 2 2 5 4 2 2" xfId="28094"/>
    <cellStyle name="40% - Accent4 2 2 2 5 4 3" xfId="22525"/>
    <cellStyle name="40% - Accent4 2 2 2 5 4 4" xfId="8489"/>
    <cellStyle name="40% - Accent4 2 2 2 5 5" xfId="11417"/>
    <cellStyle name="40% - Accent4 2 2 2 5 5 2" xfId="15035"/>
    <cellStyle name="40% - Accent4 2 2 2 5 5 2 2" xfId="26178"/>
    <cellStyle name="40% - Accent4 2 2 2 5 5 3" xfId="20609"/>
    <cellStyle name="40% - Accent4 2 2 2 5 6" xfId="13605"/>
    <cellStyle name="40% - Accent4 2 2 2 5 6 2" xfId="24748"/>
    <cellStyle name="40% - Accent4 2 2 2 5 7" xfId="19179"/>
    <cellStyle name="40% - Accent4 2 2 2 5 8" xfId="6573"/>
    <cellStyle name="40% - Accent4 2 2 2 6" xfId="1843"/>
    <cellStyle name="40% - Accent4 2 2 2 6 2" xfId="4491"/>
    <cellStyle name="40% - Accent4 2 2 2 6 2 2" xfId="17104"/>
    <cellStyle name="40% - Accent4 2 2 2 6 2 2 2" xfId="28247"/>
    <cellStyle name="40% - Accent4 2 2 2 6 2 3" xfId="22678"/>
    <cellStyle name="40% - Accent4 2 2 2 6 2 4" xfId="8642"/>
    <cellStyle name="40% - Accent4 2 2 2 6 3" xfId="10178"/>
    <cellStyle name="40% - Accent4 2 2 2 6 3 2" xfId="14550"/>
    <cellStyle name="40% - Accent4 2 2 2 6 3 2 2" xfId="25693"/>
    <cellStyle name="40% - Accent4 2 2 2 6 3 3" xfId="20124"/>
    <cellStyle name="40% - Accent4 2 2 2 6 4" xfId="13120"/>
    <cellStyle name="40% - Accent4 2 2 2 6 4 2" xfId="24263"/>
    <cellStyle name="40% - Accent4 2 2 2 6 5" xfId="18694"/>
    <cellStyle name="40% - Accent4 2 2 2 6 6" xfId="6088"/>
    <cellStyle name="40% - Accent4 2 2 2 7" xfId="2536"/>
    <cellStyle name="40% - Accent4 2 2 2 7 2" xfId="4645"/>
    <cellStyle name="40% - Accent4 2 2 2 7 2 2" xfId="17258"/>
    <cellStyle name="40% - Accent4 2 2 2 7 2 2 2" xfId="28401"/>
    <cellStyle name="40% - Accent4 2 2 2 7 2 3" xfId="22832"/>
    <cellStyle name="40% - Accent4 2 2 2 7 2 4" xfId="8796"/>
    <cellStyle name="40% - Accent4 2 2 2 7 3" xfId="10436"/>
    <cellStyle name="40% - Accent4 2 2 2 7 3 2" xfId="15189"/>
    <cellStyle name="40% - Accent4 2 2 2 7 3 2 2" xfId="26332"/>
    <cellStyle name="40% - Accent4 2 2 2 7 3 3" xfId="20763"/>
    <cellStyle name="40% - Accent4 2 2 2 7 4" xfId="13759"/>
    <cellStyle name="40% - Accent4 2 2 2 7 4 2" xfId="24902"/>
    <cellStyle name="40% - Accent4 2 2 2 7 5" xfId="19333"/>
    <cellStyle name="40% - Accent4 2 2 2 7 6" xfId="6727"/>
    <cellStyle name="40% - Accent4 2 2 2 8" xfId="3174"/>
    <cellStyle name="40% - Accent4 2 2 2 8 2" xfId="5283"/>
    <cellStyle name="40% - Accent4 2 2 2 8 2 2" xfId="17896"/>
    <cellStyle name="40% - Accent4 2 2 2 8 2 2 2" xfId="29039"/>
    <cellStyle name="40% - Accent4 2 2 2 8 2 3" xfId="23470"/>
    <cellStyle name="40% - Accent4 2 2 2 8 2 4" xfId="9434"/>
    <cellStyle name="40% - Accent4 2 2 2 8 3" xfId="15827"/>
    <cellStyle name="40% - Accent4 2 2 2 8 3 2" xfId="26970"/>
    <cellStyle name="40% - Accent4 2 2 2 8 4" xfId="21401"/>
    <cellStyle name="40% - Accent4 2 2 2 8 5" xfId="7365"/>
    <cellStyle name="40% - Accent4 2 2 2 9" xfId="3853"/>
    <cellStyle name="40% - Accent4 2 2 2 9 2" xfId="16466"/>
    <cellStyle name="40% - Accent4 2 2 2 9 2 2" xfId="27609"/>
    <cellStyle name="40% - Accent4 2 2 2 9 3" xfId="22040"/>
    <cellStyle name="40% - Accent4 2 2 2 9 4" xfId="8004"/>
    <cellStyle name="40% - Accent4 2 2 3" xfId="305"/>
    <cellStyle name="40% - Accent4 2 2 3 10" xfId="13004"/>
    <cellStyle name="40% - Accent4 2 2 3 10 2" xfId="24148"/>
    <cellStyle name="40% - Accent4 2 2 3 11" xfId="18579"/>
    <cellStyle name="40% - Accent4 2 2 3 12" xfId="5972"/>
    <cellStyle name="40% - Accent4 2 2 3 2" xfId="2263"/>
    <cellStyle name="40% - Accent4 2 2 3 2 2" xfId="2907"/>
    <cellStyle name="40% - Accent4 2 2 3 2 2 2" xfId="5016"/>
    <cellStyle name="40% - Accent4 2 2 3 2 2 2 2" xfId="17629"/>
    <cellStyle name="40% - Accent4 2 2 3 2 2 2 2 2" xfId="28772"/>
    <cellStyle name="40% - Accent4 2 2 3 2 2 2 3" xfId="23203"/>
    <cellStyle name="40% - Accent4 2 2 3 2 2 2 4" xfId="9167"/>
    <cellStyle name="40% - Accent4 2 2 3 2 2 3" xfId="10686"/>
    <cellStyle name="40% - Accent4 2 2 3 2 2 3 2" xfId="15560"/>
    <cellStyle name="40% - Accent4 2 2 3 2 2 3 2 2" xfId="26703"/>
    <cellStyle name="40% - Accent4 2 2 3 2 2 3 3" xfId="21134"/>
    <cellStyle name="40% - Accent4 2 2 3 2 2 4" xfId="14130"/>
    <cellStyle name="40% - Accent4 2 2 3 2 2 4 2" xfId="25273"/>
    <cellStyle name="40% - Accent4 2 2 3 2 2 5" xfId="19704"/>
    <cellStyle name="40% - Accent4 2 2 3 2 2 6" xfId="7098"/>
    <cellStyle name="40% - Accent4 2 2 3 2 3" xfId="3545"/>
    <cellStyle name="40% - Accent4 2 2 3 2 3 2" xfId="5654"/>
    <cellStyle name="40% - Accent4 2 2 3 2 3 2 2" xfId="18267"/>
    <cellStyle name="40% - Accent4 2 2 3 2 3 2 2 2" xfId="29410"/>
    <cellStyle name="40% - Accent4 2 2 3 2 3 2 3" xfId="23841"/>
    <cellStyle name="40% - Accent4 2 2 3 2 3 2 4" xfId="9805"/>
    <cellStyle name="40% - Accent4 2 2 3 2 3 3" xfId="16198"/>
    <cellStyle name="40% - Accent4 2 2 3 2 3 3 2" xfId="27341"/>
    <cellStyle name="40% - Accent4 2 2 3 2 3 4" xfId="21772"/>
    <cellStyle name="40% - Accent4 2 2 3 2 3 5" xfId="7736"/>
    <cellStyle name="40% - Accent4 2 2 3 2 4" xfId="4224"/>
    <cellStyle name="40% - Accent4 2 2 3 2 4 2" xfId="16837"/>
    <cellStyle name="40% - Accent4 2 2 3 2 4 2 2" xfId="27980"/>
    <cellStyle name="40% - Accent4 2 2 3 2 4 3" xfId="22411"/>
    <cellStyle name="40% - Accent4 2 2 3 2 4 4" xfId="8375"/>
    <cellStyle name="40% - Accent4 2 2 3 2 5" xfId="10352"/>
    <cellStyle name="40% - Accent4 2 2 3 2 5 2" xfId="14921"/>
    <cellStyle name="40% - Accent4 2 2 3 2 5 2 2" xfId="26064"/>
    <cellStyle name="40% - Accent4 2 2 3 2 5 3" xfId="20495"/>
    <cellStyle name="40% - Accent4 2 2 3 2 6" xfId="13491"/>
    <cellStyle name="40% - Accent4 2 2 3 2 6 2" xfId="24634"/>
    <cellStyle name="40% - Accent4 2 2 3 2 7" xfId="19065"/>
    <cellStyle name="40% - Accent4 2 2 3 2 8" xfId="6459"/>
    <cellStyle name="40% - Accent4 2 2 3 3" xfId="2071"/>
    <cellStyle name="40% - Accent4 2 2 3 3 2" xfId="2726"/>
    <cellStyle name="40% - Accent4 2 2 3 3 2 2" xfId="4835"/>
    <cellStyle name="40% - Accent4 2 2 3 3 2 2 2" xfId="17448"/>
    <cellStyle name="40% - Accent4 2 2 3 3 2 2 2 2" xfId="28591"/>
    <cellStyle name="40% - Accent4 2 2 3 3 2 2 3" xfId="23022"/>
    <cellStyle name="40% - Accent4 2 2 3 3 2 2 4" xfId="8986"/>
    <cellStyle name="40% - Accent4 2 2 3 3 2 3" xfId="10161"/>
    <cellStyle name="40% - Accent4 2 2 3 3 2 3 2" xfId="15379"/>
    <cellStyle name="40% - Accent4 2 2 3 3 2 3 2 2" xfId="26522"/>
    <cellStyle name="40% - Accent4 2 2 3 3 2 3 3" xfId="20953"/>
    <cellStyle name="40% - Accent4 2 2 3 3 2 4" xfId="13949"/>
    <cellStyle name="40% - Accent4 2 2 3 3 2 4 2" xfId="25092"/>
    <cellStyle name="40% - Accent4 2 2 3 3 2 5" xfId="19523"/>
    <cellStyle name="40% - Accent4 2 2 3 3 2 6" xfId="6917"/>
    <cellStyle name="40% - Accent4 2 2 3 3 3" xfId="3364"/>
    <cellStyle name="40% - Accent4 2 2 3 3 3 2" xfId="5473"/>
    <cellStyle name="40% - Accent4 2 2 3 3 3 2 2" xfId="18086"/>
    <cellStyle name="40% - Accent4 2 2 3 3 3 2 2 2" xfId="29229"/>
    <cellStyle name="40% - Accent4 2 2 3 3 3 2 3" xfId="23660"/>
    <cellStyle name="40% - Accent4 2 2 3 3 3 2 4" xfId="9624"/>
    <cellStyle name="40% - Accent4 2 2 3 3 3 3" xfId="16017"/>
    <cellStyle name="40% - Accent4 2 2 3 3 3 3 2" xfId="27160"/>
    <cellStyle name="40% - Accent4 2 2 3 3 3 4" xfId="21591"/>
    <cellStyle name="40% - Accent4 2 2 3 3 3 5" xfId="7555"/>
    <cellStyle name="40% - Accent4 2 2 3 3 4" xfId="4043"/>
    <cellStyle name="40% - Accent4 2 2 3 3 4 2" xfId="16656"/>
    <cellStyle name="40% - Accent4 2 2 3 3 4 2 2" xfId="27799"/>
    <cellStyle name="40% - Accent4 2 2 3 3 4 3" xfId="22230"/>
    <cellStyle name="40% - Accent4 2 2 3 3 4 4" xfId="8194"/>
    <cellStyle name="40% - Accent4 2 2 3 3 5" xfId="10660"/>
    <cellStyle name="40% - Accent4 2 2 3 3 5 2" xfId="14740"/>
    <cellStyle name="40% - Accent4 2 2 3 3 5 2 2" xfId="25883"/>
    <cellStyle name="40% - Accent4 2 2 3 3 5 3" xfId="20314"/>
    <cellStyle name="40% - Accent4 2 2 3 3 6" xfId="13310"/>
    <cellStyle name="40% - Accent4 2 2 3 3 6 2" xfId="24453"/>
    <cellStyle name="40% - Accent4 2 2 3 3 7" xfId="18884"/>
    <cellStyle name="40% - Accent4 2 2 3 3 8" xfId="6278"/>
    <cellStyle name="40% - Accent4 2 2 3 4" xfId="2418"/>
    <cellStyle name="40% - Accent4 2 2 3 4 2" xfId="3059"/>
    <cellStyle name="40% - Accent4 2 2 3 4 2 2" xfId="5168"/>
    <cellStyle name="40% - Accent4 2 2 3 4 2 2 2" xfId="17781"/>
    <cellStyle name="40% - Accent4 2 2 3 4 2 2 2 2" xfId="28924"/>
    <cellStyle name="40% - Accent4 2 2 3 4 2 2 3" xfId="23355"/>
    <cellStyle name="40% - Accent4 2 2 3 4 2 2 4" xfId="9319"/>
    <cellStyle name="40% - Accent4 2 2 3 4 2 3" xfId="10206"/>
    <cellStyle name="40% - Accent4 2 2 3 4 2 3 2" xfId="15712"/>
    <cellStyle name="40% - Accent4 2 2 3 4 2 3 2 2" xfId="26855"/>
    <cellStyle name="40% - Accent4 2 2 3 4 2 3 3" xfId="21286"/>
    <cellStyle name="40% - Accent4 2 2 3 4 2 4" xfId="14282"/>
    <cellStyle name="40% - Accent4 2 2 3 4 2 4 2" xfId="25425"/>
    <cellStyle name="40% - Accent4 2 2 3 4 2 5" xfId="19856"/>
    <cellStyle name="40% - Accent4 2 2 3 4 2 6" xfId="7250"/>
    <cellStyle name="40% - Accent4 2 2 3 4 3" xfId="3697"/>
    <cellStyle name="40% - Accent4 2 2 3 4 3 2" xfId="5806"/>
    <cellStyle name="40% - Accent4 2 2 3 4 3 2 2" xfId="18419"/>
    <cellStyle name="40% - Accent4 2 2 3 4 3 2 2 2" xfId="29562"/>
    <cellStyle name="40% - Accent4 2 2 3 4 3 2 3" xfId="23993"/>
    <cellStyle name="40% - Accent4 2 2 3 4 3 2 4" xfId="9957"/>
    <cellStyle name="40% - Accent4 2 2 3 4 3 3" xfId="16350"/>
    <cellStyle name="40% - Accent4 2 2 3 4 3 3 2" xfId="27493"/>
    <cellStyle name="40% - Accent4 2 2 3 4 3 4" xfId="21924"/>
    <cellStyle name="40% - Accent4 2 2 3 4 3 5" xfId="7888"/>
    <cellStyle name="40% - Accent4 2 2 3 4 4" xfId="4376"/>
    <cellStyle name="40% - Accent4 2 2 3 4 4 2" xfId="16989"/>
    <cellStyle name="40% - Accent4 2 2 3 4 4 2 2" xfId="28132"/>
    <cellStyle name="40% - Accent4 2 2 3 4 4 3" xfId="22563"/>
    <cellStyle name="40% - Accent4 2 2 3 4 4 4" xfId="8527"/>
    <cellStyle name="40% - Accent4 2 2 3 4 5" xfId="5856"/>
    <cellStyle name="40% - Accent4 2 2 3 4 5 2" xfId="15073"/>
    <cellStyle name="40% - Accent4 2 2 3 4 5 2 2" xfId="26216"/>
    <cellStyle name="40% - Accent4 2 2 3 4 5 3" xfId="20647"/>
    <cellStyle name="40% - Accent4 2 2 3 4 6" xfId="13643"/>
    <cellStyle name="40% - Accent4 2 2 3 4 6 2" xfId="24786"/>
    <cellStyle name="40% - Accent4 2 2 3 4 7" xfId="19217"/>
    <cellStyle name="40% - Accent4 2 2 3 4 8" xfId="6611"/>
    <cellStyle name="40% - Accent4 2 2 3 5" xfId="1881"/>
    <cellStyle name="40% - Accent4 2 2 3 5 2" xfId="4529"/>
    <cellStyle name="40% - Accent4 2 2 3 5 2 2" xfId="17142"/>
    <cellStyle name="40% - Accent4 2 2 3 5 2 2 2" xfId="28285"/>
    <cellStyle name="40% - Accent4 2 2 3 5 2 3" xfId="22716"/>
    <cellStyle name="40% - Accent4 2 2 3 5 2 4" xfId="8680"/>
    <cellStyle name="40% - Accent4 2 2 3 5 3" xfId="10562"/>
    <cellStyle name="40% - Accent4 2 2 3 5 3 2" xfId="14588"/>
    <cellStyle name="40% - Accent4 2 2 3 5 3 2 2" xfId="25731"/>
    <cellStyle name="40% - Accent4 2 2 3 5 3 3" xfId="20162"/>
    <cellStyle name="40% - Accent4 2 2 3 5 4" xfId="13158"/>
    <cellStyle name="40% - Accent4 2 2 3 5 4 2" xfId="24301"/>
    <cellStyle name="40% - Accent4 2 2 3 5 5" xfId="18732"/>
    <cellStyle name="40% - Accent4 2 2 3 5 6" xfId="6126"/>
    <cellStyle name="40% - Accent4 2 2 3 6" xfId="2574"/>
    <cellStyle name="40% - Accent4 2 2 3 6 2" xfId="4683"/>
    <cellStyle name="40% - Accent4 2 2 3 6 2 2" xfId="17296"/>
    <cellStyle name="40% - Accent4 2 2 3 6 2 2 2" xfId="28439"/>
    <cellStyle name="40% - Accent4 2 2 3 6 2 3" xfId="22870"/>
    <cellStyle name="40% - Accent4 2 2 3 6 2 4" xfId="8834"/>
    <cellStyle name="40% - Accent4 2 2 3 6 3" xfId="11247"/>
    <cellStyle name="40% - Accent4 2 2 3 6 3 2" xfId="15227"/>
    <cellStyle name="40% - Accent4 2 2 3 6 3 2 2" xfId="26370"/>
    <cellStyle name="40% - Accent4 2 2 3 6 3 3" xfId="20801"/>
    <cellStyle name="40% - Accent4 2 2 3 6 4" xfId="13797"/>
    <cellStyle name="40% - Accent4 2 2 3 6 4 2" xfId="24940"/>
    <cellStyle name="40% - Accent4 2 2 3 6 5" xfId="19371"/>
    <cellStyle name="40% - Accent4 2 2 3 6 6" xfId="6765"/>
    <cellStyle name="40% - Accent4 2 2 3 7" xfId="3212"/>
    <cellStyle name="40% - Accent4 2 2 3 7 2" xfId="5321"/>
    <cellStyle name="40% - Accent4 2 2 3 7 2 2" xfId="17934"/>
    <cellStyle name="40% - Accent4 2 2 3 7 2 2 2" xfId="29077"/>
    <cellStyle name="40% - Accent4 2 2 3 7 2 3" xfId="23508"/>
    <cellStyle name="40% - Accent4 2 2 3 7 2 4" xfId="9472"/>
    <cellStyle name="40% - Accent4 2 2 3 7 3" xfId="15865"/>
    <cellStyle name="40% - Accent4 2 2 3 7 3 2" xfId="27008"/>
    <cellStyle name="40% - Accent4 2 2 3 7 4" xfId="21439"/>
    <cellStyle name="40% - Accent4 2 2 3 7 5" xfId="7403"/>
    <cellStyle name="40% - Accent4 2 2 3 8" xfId="3891"/>
    <cellStyle name="40% - Accent4 2 2 3 8 2" xfId="16504"/>
    <cellStyle name="40% - Accent4 2 2 3 8 2 2" xfId="27647"/>
    <cellStyle name="40% - Accent4 2 2 3 8 3" xfId="22078"/>
    <cellStyle name="40% - Accent4 2 2 3 8 4" xfId="8042"/>
    <cellStyle name="40% - Accent4 2 2 3 9" xfId="10901"/>
    <cellStyle name="40% - Accent4 2 2 3 9 2" xfId="14435"/>
    <cellStyle name="40% - Accent4 2 2 3 9 2 2" xfId="25578"/>
    <cellStyle name="40% - Accent4 2 2 3 9 3" xfId="20009"/>
    <cellStyle name="40% - Accent4 2 2 4" xfId="2187"/>
    <cellStyle name="40% - Accent4 2 2 4 2" xfId="2831"/>
    <cellStyle name="40% - Accent4 2 2 4 2 2" xfId="4940"/>
    <cellStyle name="40% - Accent4 2 2 4 2 2 2" xfId="17553"/>
    <cellStyle name="40% - Accent4 2 2 4 2 2 2 2" xfId="28696"/>
    <cellStyle name="40% - Accent4 2 2 4 2 2 3" xfId="23127"/>
    <cellStyle name="40% - Accent4 2 2 4 2 2 4" xfId="9091"/>
    <cellStyle name="40% - Accent4 2 2 4 2 3" xfId="11122"/>
    <cellStyle name="40% - Accent4 2 2 4 2 3 2" xfId="15484"/>
    <cellStyle name="40% - Accent4 2 2 4 2 3 2 2" xfId="26627"/>
    <cellStyle name="40% - Accent4 2 2 4 2 3 3" xfId="21058"/>
    <cellStyle name="40% - Accent4 2 2 4 2 4" xfId="14054"/>
    <cellStyle name="40% - Accent4 2 2 4 2 4 2" xfId="25197"/>
    <cellStyle name="40% - Accent4 2 2 4 2 5" xfId="19628"/>
    <cellStyle name="40% - Accent4 2 2 4 2 6" xfId="7022"/>
    <cellStyle name="40% - Accent4 2 2 4 3" xfId="3469"/>
    <cellStyle name="40% - Accent4 2 2 4 3 2" xfId="5578"/>
    <cellStyle name="40% - Accent4 2 2 4 3 2 2" xfId="18191"/>
    <cellStyle name="40% - Accent4 2 2 4 3 2 2 2" xfId="29334"/>
    <cellStyle name="40% - Accent4 2 2 4 3 2 3" xfId="23765"/>
    <cellStyle name="40% - Accent4 2 2 4 3 2 4" xfId="9729"/>
    <cellStyle name="40% - Accent4 2 2 4 3 3" xfId="16122"/>
    <cellStyle name="40% - Accent4 2 2 4 3 3 2" xfId="27265"/>
    <cellStyle name="40% - Accent4 2 2 4 3 4" xfId="21696"/>
    <cellStyle name="40% - Accent4 2 2 4 3 5" xfId="7660"/>
    <cellStyle name="40% - Accent4 2 2 4 4" xfId="4148"/>
    <cellStyle name="40% - Accent4 2 2 4 4 2" xfId="16761"/>
    <cellStyle name="40% - Accent4 2 2 4 4 2 2" xfId="27904"/>
    <cellStyle name="40% - Accent4 2 2 4 4 3" xfId="22335"/>
    <cellStyle name="40% - Accent4 2 2 4 4 4" xfId="8299"/>
    <cellStyle name="40% - Accent4 2 2 4 5" xfId="10521"/>
    <cellStyle name="40% - Accent4 2 2 4 5 2" xfId="14845"/>
    <cellStyle name="40% - Accent4 2 2 4 5 2 2" xfId="25988"/>
    <cellStyle name="40% - Accent4 2 2 4 5 3" xfId="20419"/>
    <cellStyle name="40% - Accent4 2 2 4 6" xfId="13415"/>
    <cellStyle name="40% - Accent4 2 2 4 6 2" xfId="24558"/>
    <cellStyle name="40% - Accent4 2 2 4 7" xfId="18989"/>
    <cellStyle name="40% - Accent4 2 2 4 8" xfId="6383"/>
    <cellStyle name="40% - Accent4 2 2 5" xfId="1995"/>
    <cellStyle name="40% - Accent4 2 2 5 2" xfId="2650"/>
    <cellStyle name="40% - Accent4 2 2 5 2 2" xfId="4759"/>
    <cellStyle name="40% - Accent4 2 2 5 2 2 2" xfId="17372"/>
    <cellStyle name="40% - Accent4 2 2 5 2 2 2 2" xfId="28515"/>
    <cellStyle name="40% - Accent4 2 2 5 2 2 3" xfId="22946"/>
    <cellStyle name="40% - Accent4 2 2 5 2 2 4" xfId="8910"/>
    <cellStyle name="40% - Accent4 2 2 5 2 3" xfId="11155"/>
    <cellStyle name="40% - Accent4 2 2 5 2 3 2" xfId="15303"/>
    <cellStyle name="40% - Accent4 2 2 5 2 3 2 2" xfId="26446"/>
    <cellStyle name="40% - Accent4 2 2 5 2 3 3" xfId="20877"/>
    <cellStyle name="40% - Accent4 2 2 5 2 4" xfId="13873"/>
    <cellStyle name="40% - Accent4 2 2 5 2 4 2" xfId="25016"/>
    <cellStyle name="40% - Accent4 2 2 5 2 5" xfId="19447"/>
    <cellStyle name="40% - Accent4 2 2 5 2 6" xfId="6841"/>
    <cellStyle name="40% - Accent4 2 2 5 3" xfId="3288"/>
    <cellStyle name="40% - Accent4 2 2 5 3 2" xfId="5397"/>
    <cellStyle name="40% - Accent4 2 2 5 3 2 2" xfId="18010"/>
    <cellStyle name="40% - Accent4 2 2 5 3 2 2 2" xfId="29153"/>
    <cellStyle name="40% - Accent4 2 2 5 3 2 3" xfId="23584"/>
    <cellStyle name="40% - Accent4 2 2 5 3 2 4" xfId="9548"/>
    <cellStyle name="40% - Accent4 2 2 5 3 3" xfId="15941"/>
    <cellStyle name="40% - Accent4 2 2 5 3 3 2" xfId="27084"/>
    <cellStyle name="40% - Accent4 2 2 5 3 4" xfId="21515"/>
    <cellStyle name="40% - Accent4 2 2 5 3 5" xfId="7479"/>
    <cellStyle name="40% - Accent4 2 2 5 4" xfId="3967"/>
    <cellStyle name="40% - Accent4 2 2 5 4 2" xfId="16580"/>
    <cellStyle name="40% - Accent4 2 2 5 4 2 2" xfId="27723"/>
    <cellStyle name="40% - Accent4 2 2 5 4 3" xfId="22154"/>
    <cellStyle name="40% - Accent4 2 2 5 4 4" xfId="8118"/>
    <cellStyle name="40% - Accent4 2 2 5 5" xfId="10819"/>
    <cellStyle name="40% - Accent4 2 2 5 5 2" xfId="14664"/>
    <cellStyle name="40% - Accent4 2 2 5 5 2 2" xfId="25807"/>
    <cellStyle name="40% - Accent4 2 2 5 5 3" xfId="20238"/>
    <cellStyle name="40% - Accent4 2 2 5 6" xfId="13234"/>
    <cellStyle name="40% - Accent4 2 2 5 6 2" xfId="24377"/>
    <cellStyle name="40% - Accent4 2 2 5 7" xfId="18808"/>
    <cellStyle name="40% - Accent4 2 2 5 8" xfId="6202"/>
    <cellStyle name="40% - Accent4 2 2 6" xfId="2342"/>
    <cellStyle name="40% - Accent4 2 2 6 2" xfId="2983"/>
    <cellStyle name="40% - Accent4 2 2 6 2 2" xfId="5092"/>
    <cellStyle name="40% - Accent4 2 2 6 2 2 2" xfId="17705"/>
    <cellStyle name="40% - Accent4 2 2 6 2 2 2 2" xfId="28848"/>
    <cellStyle name="40% - Accent4 2 2 6 2 2 3" xfId="23279"/>
    <cellStyle name="40% - Accent4 2 2 6 2 2 4" xfId="9243"/>
    <cellStyle name="40% - Accent4 2 2 6 2 3" xfId="10876"/>
    <cellStyle name="40% - Accent4 2 2 6 2 3 2" xfId="15636"/>
    <cellStyle name="40% - Accent4 2 2 6 2 3 2 2" xfId="26779"/>
    <cellStyle name="40% - Accent4 2 2 6 2 3 3" xfId="21210"/>
    <cellStyle name="40% - Accent4 2 2 6 2 4" xfId="14206"/>
    <cellStyle name="40% - Accent4 2 2 6 2 4 2" xfId="25349"/>
    <cellStyle name="40% - Accent4 2 2 6 2 5" xfId="19780"/>
    <cellStyle name="40% - Accent4 2 2 6 2 6" xfId="7174"/>
    <cellStyle name="40% - Accent4 2 2 6 3" xfId="3621"/>
    <cellStyle name="40% - Accent4 2 2 6 3 2" xfId="5730"/>
    <cellStyle name="40% - Accent4 2 2 6 3 2 2" xfId="18343"/>
    <cellStyle name="40% - Accent4 2 2 6 3 2 2 2" xfId="29486"/>
    <cellStyle name="40% - Accent4 2 2 6 3 2 3" xfId="23917"/>
    <cellStyle name="40% - Accent4 2 2 6 3 2 4" xfId="9881"/>
    <cellStyle name="40% - Accent4 2 2 6 3 3" xfId="16274"/>
    <cellStyle name="40% - Accent4 2 2 6 3 3 2" xfId="27417"/>
    <cellStyle name="40% - Accent4 2 2 6 3 4" xfId="21848"/>
    <cellStyle name="40% - Accent4 2 2 6 3 5" xfId="7812"/>
    <cellStyle name="40% - Accent4 2 2 6 4" xfId="4300"/>
    <cellStyle name="40% - Accent4 2 2 6 4 2" xfId="16913"/>
    <cellStyle name="40% - Accent4 2 2 6 4 2 2" xfId="28056"/>
    <cellStyle name="40% - Accent4 2 2 6 4 3" xfId="22487"/>
    <cellStyle name="40% - Accent4 2 2 6 4 4" xfId="8451"/>
    <cellStyle name="40% - Accent4 2 2 6 5" xfId="10037"/>
    <cellStyle name="40% - Accent4 2 2 6 5 2" xfId="14997"/>
    <cellStyle name="40% - Accent4 2 2 6 5 2 2" xfId="26140"/>
    <cellStyle name="40% - Accent4 2 2 6 5 3" xfId="20571"/>
    <cellStyle name="40% - Accent4 2 2 6 6" xfId="13567"/>
    <cellStyle name="40% - Accent4 2 2 6 6 2" xfId="24710"/>
    <cellStyle name="40% - Accent4 2 2 6 7" xfId="19141"/>
    <cellStyle name="40% - Accent4 2 2 6 8" xfId="6535"/>
    <cellStyle name="40% - Accent4 2 2 7" xfId="1805"/>
    <cellStyle name="40% - Accent4 2 2 7 2" xfId="4453"/>
    <cellStyle name="40% - Accent4 2 2 7 2 2" xfId="17066"/>
    <cellStyle name="40% - Accent4 2 2 7 2 2 2" xfId="28209"/>
    <cellStyle name="40% - Accent4 2 2 7 2 3" xfId="22640"/>
    <cellStyle name="40% - Accent4 2 2 7 2 4" xfId="8604"/>
    <cellStyle name="40% - Accent4 2 2 7 3" xfId="10632"/>
    <cellStyle name="40% - Accent4 2 2 7 3 2" xfId="14512"/>
    <cellStyle name="40% - Accent4 2 2 7 3 2 2" xfId="25655"/>
    <cellStyle name="40% - Accent4 2 2 7 3 3" xfId="20086"/>
    <cellStyle name="40% - Accent4 2 2 7 4" xfId="13082"/>
    <cellStyle name="40% - Accent4 2 2 7 4 2" xfId="24225"/>
    <cellStyle name="40% - Accent4 2 2 7 5" xfId="18656"/>
    <cellStyle name="40% - Accent4 2 2 7 6" xfId="6050"/>
    <cellStyle name="40% - Accent4 2 2 8" xfId="2498"/>
    <cellStyle name="40% - Accent4 2 2 8 2" xfId="4607"/>
    <cellStyle name="40% - Accent4 2 2 8 2 2" xfId="17220"/>
    <cellStyle name="40% - Accent4 2 2 8 2 2 2" xfId="28363"/>
    <cellStyle name="40% - Accent4 2 2 8 2 3" xfId="22794"/>
    <cellStyle name="40% - Accent4 2 2 8 2 4" xfId="8758"/>
    <cellStyle name="40% - Accent4 2 2 8 3" xfId="10312"/>
    <cellStyle name="40% - Accent4 2 2 8 3 2" xfId="15151"/>
    <cellStyle name="40% - Accent4 2 2 8 3 2 2" xfId="26294"/>
    <cellStyle name="40% - Accent4 2 2 8 3 3" xfId="20725"/>
    <cellStyle name="40% - Accent4 2 2 8 4" xfId="13721"/>
    <cellStyle name="40% - Accent4 2 2 8 4 2" xfId="24864"/>
    <cellStyle name="40% - Accent4 2 2 8 5" xfId="19295"/>
    <cellStyle name="40% - Accent4 2 2 8 6" xfId="6689"/>
    <cellStyle name="40% - Accent4 2 2 9" xfId="3136"/>
    <cellStyle name="40% - Accent4 2 2 9 2" xfId="5245"/>
    <cellStyle name="40% - Accent4 2 2 9 2 2" xfId="17858"/>
    <cellStyle name="40% - Accent4 2 2 9 2 2 2" xfId="29001"/>
    <cellStyle name="40% - Accent4 2 2 9 2 3" xfId="23432"/>
    <cellStyle name="40% - Accent4 2 2 9 2 4" xfId="9396"/>
    <cellStyle name="40% - Accent4 2 2 9 3" xfId="15789"/>
    <cellStyle name="40% - Accent4 2 2 9 3 2" xfId="26932"/>
    <cellStyle name="40% - Accent4 2 2 9 4" xfId="21363"/>
    <cellStyle name="40% - Accent4 2 2 9 5" xfId="7327"/>
    <cellStyle name="40% - Accent4 2 3" xfId="248"/>
    <cellStyle name="40% - Accent4 2 3 10" xfId="10113"/>
    <cellStyle name="40% - Accent4 2 3 10 2" xfId="14378"/>
    <cellStyle name="40% - Accent4 2 3 10 2 2" xfId="25521"/>
    <cellStyle name="40% - Accent4 2 3 10 3" xfId="19952"/>
    <cellStyle name="40% - Accent4 2 3 11" xfId="12947"/>
    <cellStyle name="40% - Accent4 2 3 11 2" xfId="24091"/>
    <cellStyle name="40% - Accent4 2 3 12" xfId="18522"/>
    <cellStyle name="40% - Accent4 2 3 13" xfId="5915"/>
    <cellStyle name="40% - Accent4 2 3 2" xfId="324"/>
    <cellStyle name="40% - Accent4 2 3 2 10" xfId="13023"/>
    <cellStyle name="40% - Accent4 2 3 2 10 2" xfId="24167"/>
    <cellStyle name="40% - Accent4 2 3 2 11" xfId="18598"/>
    <cellStyle name="40% - Accent4 2 3 2 12" xfId="5991"/>
    <cellStyle name="40% - Accent4 2 3 2 2" xfId="2282"/>
    <cellStyle name="40% - Accent4 2 3 2 2 2" xfId="2926"/>
    <cellStyle name="40% - Accent4 2 3 2 2 2 2" xfId="5035"/>
    <cellStyle name="40% - Accent4 2 3 2 2 2 2 2" xfId="17648"/>
    <cellStyle name="40% - Accent4 2 3 2 2 2 2 2 2" xfId="28791"/>
    <cellStyle name="40% - Accent4 2 3 2 2 2 2 3" xfId="23222"/>
    <cellStyle name="40% - Accent4 2 3 2 2 2 2 4" xfId="9186"/>
    <cellStyle name="40% - Accent4 2 3 2 2 2 3" xfId="10927"/>
    <cellStyle name="40% - Accent4 2 3 2 2 2 3 2" xfId="15579"/>
    <cellStyle name="40% - Accent4 2 3 2 2 2 3 2 2" xfId="26722"/>
    <cellStyle name="40% - Accent4 2 3 2 2 2 3 3" xfId="21153"/>
    <cellStyle name="40% - Accent4 2 3 2 2 2 4" xfId="14149"/>
    <cellStyle name="40% - Accent4 2 3 2 2 2 4 2" xfId="25292"/>
    <cellStyle name="40% - Accent4 2 3 2 2 2 5" xfId="19723"/>
    <cellStyle name="40% - Accent4 2 3 2 2 2 6" xfId="7117"/>
    <cellStyle name="40% - Accent4 2 3 2 2 3" xfId="3564"/>
    <cellStyle name="40% - Accent4 2 3 2 2 3 2" xfId="5673"/>
    <cellStyle name="40% - Accent4 2 3 2 2 3 2 2" xfId="18286"/>
    <cellStyle name="40% - Accent4 2 3 2 2 3 2 2 2" xfId="29429"/>
    <cellStyle name="40% - Accent4 2 3 2 2 3 2 3" xfId="23860"/>
    <cellStyle name="40% - Accent4 2 3 2 2 3 2 4" xfId="9824"/>
    <cellStyle name="40% - Accent4 2 3 2 2 3 3" xfId="16217"/>
    <cellStyle name="40% - Accent4 2 3 2 2 3 3 2" xfId="27360"/>
    <cellStyle name="40% - Accent4 2 3 2 2 3 4" xfId="21791"/>
    <cellStyle name="40% - Accent4 2 3 2 2 3 5" xfId="7755"/>
    <cellStyle name="40% - Accent4 2 3 2 2 4" xfId="4243"/>
    <cellStyle name="40% - Accent4 2 3 2 2 4 2" xfId="16856"/>
    <cellStyle name="40% - Accent4 2 3 2 2 4 2 2" xfId="27999"/>
    <cellStyle name="40% - Accent4 2 3 2 2 4 3" xfId="22430"/>
    <cellStyle name="40% - Accent4 2 3 2 2 4 4" xfId="8394"/>
    <cellStyle name="40% - Accent4 2 3 2 2 5" xfId="10248"/>
    <cellStyle name="40% - Accent4 2 3 2 2 5 2" xfId="14940"/>
    <cellStyle name="40% - Accent4 2 3 2 2 5 2 2" xfId="26083"/>
    <cellStyle name="40% - Accent4 2 3 2 2 5 3" xfId="20514"/>
    <cellStyle name="40% - Accent4 2 3 2 2 6" xfId="13510"/>
    <cellStyle name="40% - Accent4 2 3 2 2 6 2" xfId="24653"/>
    <cellStyle name="40% - Accent4 2 3 2 2 7" xfId="19084"/>
    <cellStyle name="40% - Accent4 2 3 2 2 8" xfId="6478"/>
    <cellStyle name="40% - Accent4 2 3 2 3" xfId="2090"/>
    <cellStyle name="40% - Accent4 2 3 2 3 2" xfId="2745"/>
    <cellStyle name="40% - Accent4 2 3 2 3 2 2" xfId="4854"/>
    <cellStyle name="40% - Accent4 2 3 2 3 2 2 2" xfId="17467"/>
    <cellStyle name="40% - Accent4 2 3 2 3 2 2 2 2" xfId="28610"/>
    <cellStyle name="40% - Accent4 2 3 2 3 2 2 3" xfId="23041"/>
    <cellStyle name="40% - Accent4 2 3 2 3 2 2 4" xfId="9005"/>
    <cellStyle name="40% - Accent4 2 3 2 3 2 3" xfId="10413"/>
    <cellStyle name="40% - Accent4 2 3 2 3 2 3 2" xfId="15398"/>
    <cellStyle name="40% - Accent4 2 3 2 3 2 3 2 2" xfId="26541"/>
    <cellStyle name="40% - Accent4 2 3 2 3 2 3 3" xfId="20972"/>
    <cellStyle name="40% - Accent4 2 3 2 3 2 4" xfId="13968"/>
    <cellStyle name="40% - Accent4 2 3 2 3 2 4 2" xfId="25111"/>
    <cellStyle name="40% - Accent4 2 3 2 3 2 5" xfId="19542"/>
    <cellStyle name="40% - Accent4 2 3 2 3 2 6" xfId="6936"/>
    <cellStyle name="40% - Accent4 2 3 2 3 3" xfId="3383"/>
    <cellStyle name="40% - Accent4 2 3 2 3 3 2" xfId="5492"/>
    <cellStyle name="40% - Accent4 2 3 2 3 3 2 2" xfId="18105"/>
    <cellStyle name="40% - Accent4 2 3 2 3 3 2 2 2" xfId="29248"/>
    <cellStyle name="40% - Accent4 2 3 2 3 3 2 3" xfId="23679"/>
    <cellStyle name="40% - Accent4 2 3 2 3 3 2 4" xfId="9643"/>
    <cellStyle name="40% - Accent4 2 3 2 3 3 3" xfId="16036"/>
    <cellStyle name="40% - Accent4 2 3 2 3 3 3 2" xfId="27179"/>
    <cellStyle name="40% - Accent4 2 3 2 3 3 4" xfId="21610"/>
    <cellStyle name="40% - Accent4 2 3 2 3 3 5" xfId="7574"/>
    <cellStyle name="40% - Accent4 2 3 2 3 4" xfId="4062"/>
    <cellStyle name="40% - Accent4 2 3 2 3 4 2" xfId="16675"/>
    <cellStyle name="40% - Accent4 2 3 2 3 4 2 2" xfId="27818"/>
    <cellStyle name="40% - Accent4 2 3 2 3 4 3" xfId="22249"/>
    <cellStyle name="40% - Accent4 2 3 2 3 4 4" xfId="8213"/>
    <cellStyle name="40% - Accent4 2 3 2 3 5" xfId="10680"/>
    <cellStyle name="40% - Accent4 2 3 2 3 5 2" xfId="14759"/>
    <cellStyle name="40% - Accent4 2 3 2 3 5 2 2" xfId="25902"/>
    <cellStyle name="40% - Accent4 2 3 2 3 5 3" xfId="20333"/>
    <cellStyle name="40% - Accent4 2 3 2 3 6" xfId="13329"/>
    <cellStyle name="40% - Accent4 2 3 2 3 6 2" xfId="24472"/>
    <cellStyle name="40% - Accent4 2 3 2 3 7" xfId="18903"/>
    <cellStyle name="40% - Accent4 2 3 2 3 8" xfId="6297"/>
    <cellStyle name="40% - Accent4 2 3 2 4" xfId="2437"/>
    <cellStyle name="40% - Accent4 2 3 2 4 2" xfId="3078"/>
    <cellStyle name="40% - Accent4 2 3 2 4 2 2" xfId="5187"/>
    <cellStyle name="40% - Accent4 2 3 2 4 2 2 2" xfId="17800"/>
    <cellStyle name="40% - Accent4 2 3 2 4 2 2 2 2" xfId="28943"/>
    <cellStyle name="40% - Accent4 2 3 2 4 2 2 3" xfId="23374"/>
    <cellStyle name="40% - Accent4 2 3 2 4 2 2 4" xfId="9338"/>
    <cellStyle name="40% - Accent4 2 3 2 4 2 3" xfId="10916"/>
    <cellStyle name="40% - Accent4 2 3 2 4 2 3 2" xfId="15731"/>
    <cellStyle name="40% - Accent4 2 3 2 4 2 3 2 2" xfId="26874"/>
    <cellStyle name="40% - Accent4 2 3 2 4 2 3 3" xfId="21305"/>
    <cellStyle name="40% - Accent4 2 3 2 4 2 4" xfId="14301"/>
    <cellStyle name="40% - Accent4 2 3 2 4 2 4 2" xfId="25444"/>
    <cellStyle name="40% - Accent4 2 3 2 4 2 5" xfId="19875"/>
    <cellStyle name="40% - Accent4 2 3 2 4 2 6" xfId="7269"/>
    <cellStyle name="40% - Accent4 2 3 2 4 3" xfId="3716"/>
    <cellStyle name="40% - Accent4 2 3 2 4 3 2" xfId="5825"/>
    <cellStyle name="40% - Accent4 2 3 2 4 3 2 2" xfId="18438"/>
    <cellStyle name="40% - Accent4 2 3 2 4 3 2 2 2" xfId="29581"/>
    <cellStyle name="40% - Accent4 2 3 2 4 3 2 3" xfId="24012"/>
    <cellStyle name="40% - Accent4 2 3 2 4 3 2 4" xfId="9976"/>
    <cellStyle name="40% - Accent4 2 3 2 4 3 3" xfId="16369"/>
    <cellStyle name="40% - Accent4 2 3 2 4 3 3 2" xfId="27512"/>
    <cellStyle name="40% - Accent4 2 3 2 4 3 4" xfId="21943"/>
    <cellStyle name="40% - Accent4 2 3 2 4 3 5" xfId="7907"/>
    <cellStyle name="40% - Accent4 2 3 2 4 4" xfId="4395"/>
    <cellStyle name="40% - Accent4 2 3 2 4 4 2" xfId="17008"/>
    <cellStyle name="40% - Accent4 2 3 2 4 4 2 2" xfId="28151"/>
    <cellStyle name="40% - Accent4 2 3 2 4 4 3" xfId="22582"/>
    <cellStyle name="40% - Accent4 2 3 2 4 4 4" xfId="8546"/>
    <cellStyle name="40% - Accent4 2 3 2 4 5" xfId="11137"/>
    <cellStyle name="40% - Accent4 2 3 2 4 5 2" xfId="15092"/>
    <cellStyle name="40% - Accent4 2 3 2 4 5 2 2" xfId="26235"/>
    <cellStyle name="40% - Accent4 2 3 2 4 5 3" xfId="20666"/>
    <cellStyle name="40% - Accent4 2 3 2 4 6" xfId="13662"/>
    <cellStyle name="40% - Accent4 2 3 2 4 6 2" xfId="24805"/>
    <cellStyle name="40% - Accent4 2 3 2 4 7" xfId="19236"/>
    <cellStyle name="40% - Accent4 2 3 2 4 8" xfId="6630"/>
    <cellStyle name="40% - Accent4 2 3 2 5" xfId="1900"/>
    <cellStyle name="40% - Accent4 2 3 2 5 2" xfId="4548"/>
    <cellStyle name="40% - Accent4 2 3 2 5 2 2" xfId="17161"/>
    <cellStyle name="40% - Accent4 2 3 2 5 2 2 2" xfId="28304"/>
    <cellStyle name="40% - Accent4 2 3 2 5 2 3" xfId="22735"/>
    <cellStyle name="40% - Accent4 2 3 2 5 2 4" xfId="8699"/>
    <cellStyle name="40% - Accent4 2 3 2 5 3" xfId="10406"/>
    <cellStyle name="40% - Accent4 2 3 2 5 3 2" xfId="14607"/>
    <cellStyle name="40% - Accent4 2 3 2 5 3 2 2" xfId="25750"/>
    <cellStyle name="40% - Accent4 2 3 2 5 3 3" xfId="20181"/>
    <cellStyle name="40% - Accent4 2 3 2 5 4" xfId="13177"/>
    <cellStyle name="40% - Accent4 2 3 2 5 4 2" xfId="24320"/>
    <cellStyle name="40% - Accent4 2 3 2 5 5" xfId="18751"/>
    <cellStyle name="40% - Accent4 2 3 2 5 6" xfId="6145"/>
    <cellStyle name="40% - Accent4 2 3 2 6" xfId="2593"/>
    <cellStyle name="40% - Accent4 2 3 2 6 2" xfId="4702"/>
    <cellStyle name="40% - Accent4 2 3 2 6 2 2" xfId="17315"/>
    <cellStyle name="40% - Accent4 2 3 2 6 2 2 2" xfId="28458"/>
    <cellStyle name="40% - Accent4 2 3 2 6 2 3" xfId="22889"/>
    <cellStyle name="40% - Accent4 2 3 2 6 2 4" xfId="8853"/>
    <cellStyle name="40% - Accent4 2 3 2 6 3" xfId="10617"/>
    <cellStyle name="40% - Accent4 2 3 2 6 3 2" xfId="15246"/>
    <cellStyle name="40% - Accent4 2 3 2 6 3 2 2" xfId="26389"/>
    <cellStyle name="40% - Accent4 2 3 2 6 3 3" xfId="20820"/>
    <cellStyle name="40% - Accent4 2 3 2 6 4" xfId="13816"/>
    <cellStyle name="40% - Accent4 2 3 2 6 4 2" xfId="24959"/>
    <cellStyle name="40% - Accent4 2 3 2 6 5" xfId="19390"/>
    <cellStyle name="40% - Accent4 2 3 2 6 6" xfId="6784"/>
    <cellStyle name="40% - Accent4 2 3 2 7" xfId="3231"/>
    <cellStyle name="40% - Accent4 2 3 2 7 2" xfId="5340"/>
    <cellStyle name="40% - Accent4 2 3 2 7 2 2" xfId="17953"/>
    <cellStyle name="40% - Accent4 2 3 2 7 2 2 2" xfId="29096"/>
    <cellStyle name="40% - Accent4 2 3 2 7 2 3" xfId="23527"/>
    <cellStyle name="40% - Accent4 2 3 2 7 2 4" xfId="9491"/>
    <cellStyle name="40% - Accent4 2 3 2 7 3" xfId="15884"/>
    <cellStyle name="40% - Accent4 2 3 2 7 3 2" xfId="27027"/>
    <cellStyle name="40% - Accent4 2 3 2 7 4" xfId="21458"/>
    <cellStyle name="40% - Accent4 2 3 2 7 5" xfId="7422"/>
    <cellStyle name="40% - Accent4 2 3 2 8" xfId="3910"/>
    <cellStyle name="40% - Accent4 2 3 2 8 2" xfId="16523"/>
    <cellStyle name="40% - Accent4 2 3 2 8 2 2" xfId="27666"/>
    <cellStyle name="40% - Accent4 2 3 2 8 3" xfId="22097"/>
    <cellStyle name="40% - Accent4 2 3 2 8 4" xfId="8061"/>
    <cellStyle name="40% - Accent4 2 3 2 9" xfId="11327"/>
    <cellStyle name="40% - Accent4 2 3 2 9 2" xfId="14454"/>
    <cellStyle name="40% - Accent4 2 3 2 9 2 2" xfId="25597"/>
    <cellStyle name="40% - Accent4 2 3 2 9 3" xfId="20028"/>
    <cellStyle name="40% - Accent4 2 3 3" xfId="2206"/>
    <cellStyle name="40% - Accent4 2 3 3 2" xfId="2850"/>
    <cellStyle name="40% - Accent4 2 3 3 2 2" xfId="4959"/>
    <cellStyle name="40% - Accent4 2 3 3 2 2 2" xfId="17572"/>
    <cellStyle name="40% - Accent4 2 3 3 2 2 2 2" xfId="28715"/>
    <cellStyle name="40% - Accent4 2 3 3 2 2 3" xfId="23146"/>
    <cellStyle name="40% - Accent4 2 3 3 2 2 4" xfId="9110"/>
    <cellStyle name="40% - Accent4 2 3 3 2 3" xfId="10755"/>
    <cellStyle name="40% - Accent4 2 3 3 2 3 2" xfId="15503"/>
    <cellStyle name="40% - Accent4 2 3 3 2 3 2 2" xfId="26646"/>
    <cellStyle name="40% - Accent4 2 3 3 2 3 3" xfId="21077"/>
    <cellStyle name="40% - Accent4 2 3 3 2 4" xfId="14073"/>
    <cellStyle name="40% - Accent4 2 3 3 2 4 2" xfId="25216"/>
    <cellStyle name="40% - Accent4 2 3 3 2 5" xfId="19647"/>
    <cellStyle name="40% - Accent4 2 3 3 2 6" xfId="7041"/>
    <cellStyle name="40% - Accent4 2 3 3 3" xfId="3488"/>
    <cellStyle name="40% - Accent4 2 3 3 3 2" xfId="5597"/>
    <cellStyle name="40% - Accent4 2 3 3 3 2 2" xfId="18210"/>
    <cellStyle name="40% - Accent4 2 3 3 3 2 2 2" xfId="29353"/>
    <cellStyle name="40% - Accent4 2 3 3 3 2 3" xfId="23784"/>
    <cellStyle name="40% - Accent4 2 3 3 3 2 4" xfId="9748"/>
    <cellStyle name="40% - Accent4 2 3 3 3 3" xfId="16141"/>
    <cellStyle name="40% - Accent4 2 3 3 3 3 2" xfId="27284"/>
    <cellStyle name="40% - Accent4 2 3 3 3 4" xfId="21715"/>
    <cellStyle name="40% - Accent4 2 3 3 3 5" xfId="7679"/>
    <cellStyle name="40% - Accent4 2 3 3 4" xfId="4167"/>
    <cellStyle name="40% - Accent4 2 3 3 4 2" xfId="16780"/>
    <cellStyle name="40% - Accent4 2 3 3 4 2 2" xfId="27923"/>
    <cellStyle name="40% - Accent4 2 3 3 4 3" xfId="22354"/>
    <cellStyle name="40% - Accent4 2 3 3 4 4" xfId="8318"/>
    <cellStyle name="40% - Accent4 2 3 3 5" xfId="11326"/>
    <cellStyle name="40% - Accent4 2 3 3 5 2" xfId="14864"/>
    <cellStyle name="40% - Accent4 2 3 3 5 2 2" xfId="26007"/>
    <cellStyle name="40% - Accent4 2 3 3 5 3" xfId="20438"/>
    <cellStyle name="40% - Accent4 2 3 3 6" xfId="13434"/>
    <cellStyle name="40% - Accent4 2 3 3 6 2" xfId="24577"/>
    <cellStyle name="40% - Accent4 2 3 3 7" xfId="19008"/>
    <cellStyle name="40% - Accent4 2 3 3 8" xfId="6402"/>
    <cellStyle name="40% - Accent4 2 3 4" xfId="2014"/>
    <cellStyle name="40% - Accent4 2 3 4 2" xfId="2669"/>
    <cellStyle name="40% - Accent4 2 3 4 2 2" xfId="4778"/>
    <cellStyle name="40% - Accent4 2 3 4 2 2 2" xfId="17391"/>
    <cellStyle name="40% - Accent4 2 3 4 2 2 2 2" xfId="28534"/>
    <cellStyle name="40% - Accent4 2 3 4 2 2 3" xfId="22965"/>
    <cellStyle name="40% - Accent4 2 3 4 2 2 4" xfId="8929"/>
    <cellStyle name="40% - Accent4 2 3 4 2 3" xfId="11201"/>
    <cellStyle name="40% - Accent4 2 3 4 2 3 2" xfId="15322"/>
    <cellStyle name="40% - Accent4 2 3 4 2 3 2 2" xfId="26465"/>
    <cellStyle name="40% - Accent4 2 3 4 2 3 3" xfId="20896"/>
    <cellStyle name="40% - Accent4 2 3 4 2 4" xfId="13892"/>
    <cellStyle name="40% - Accent4 2 3 4 2 4 2" xfId="25035"/>
    <cellStyle name="40% - Accent4 2 3 4 2 5" xfId="19466"/>
    <cellStyle name="40% - Accent4 2 3 4 2 6" xfId="6860"/>
    <cellStyle name="40% - Accent4 2 3 4 3" xfId="3307"/>
    <cellStyle name="40% - Accent4 2 3 4 3 2" xfId="5416"/>
    <cellStyle name="40% - Accent4 2 3 4 3 2 2" xfId="18029"/>
    <cellStyle name="40% - Accent4 2 3 4 3 2 2 2" xfId="29172"/>
    <cellStyle name="40% - Accent4 2 3 4 3 2 3" xfId="23603"/>
    <cellStyle name="40% - Accent4 2 3 4 3 2 4" xfId="9567"/>
    <cellStyle name="40% - Accent4 2 3 4 3 3" xfId="15960"/>
    <cellStyle name="40% - Accent4 2 3 4 3 3 2" xfId="27103"/>
    <cellStyle name="40% - Accent4 2 3 4 3 4" xfId="21534"/>
    <cellStyle name="40% - Accent4 2 3 4 3 5" xfId="7498"/>
    <cellStyle name="40% - Accent4 2 3 4 4" xfId="3986"/>
    <cellStyle name="40% - Accent4 2 3 4 4 2" xfId="16599"/>
    <cellStyle name="40% - Accent4 2 3 4 4 2 2" xfId="27742"/>
    <cellStyle name="40% - Accent4 2 3 4 4 3" xfId="22173"/>
    <cellStyle name="40% - Accent4 2 3 4 4 4" xfId="8137"/>
    <cellStyle name="40% - Accent4 2 3 4 5" xfId="10605"/>
    <cellStyle name="40% - Accent4 2 3 4 5 2" xfId="14683"/>
    <cellStyle name="40% - Accent4 2 3 4 5 2 2" xfId="25826"/>
    <cellStyle name="40% - Accent4 2 3 4 5 3" xfId="20257"/>
    <cellStyle name="40% - Accent4 2 3 4 6" xfId="13253"/>
    <cellStyle name="40% - Accent4 2 3 4 6 2" xfId="24396"/>
    <cellStyle name="40% - Accent4 2 3 4 7" xfId="18827"/>
    <cellStyle name="40% - Accent4 2 3 4 8" xfId="6221"/>
    <cellStyle name="40% - Accent4 2 3 5" xfId="2361"/>
    <cellStyle name="40% - Accent4 2 3 5 2" xfId="3002"/>
    <cellStyle name="40% - Accent4 2 3 5 2 2" xfId="5111"/>
    <cellStyle name="40% - Accent4 2 3 5 2 2 2" xfId="17724"/>
    <cellStyle name="40% - Accent4 2 3 5 2 2 2 2" xfId="28867"/>
    <cellStyle name="40% - Accent4 2 3 5 2 2 3" xfId="23298"/>
    <cellStyle name="40% - Accent4 2 3 5 2 2 4" xfId="9262"/>
    <cellStyle name="40% - Accent4 2 3 5 2 3" xfId="10040"/>
    <cellStyle name="40% - Accent4 2 3 5 2 3 2" xfId="15655"/>
    <cellStyle name="40% - Accent4 2 3 5 2 3 2 2" xfId="26798"/>
    <cellStyle name="40% - Accent4 2 3 5 2 3 3" xfId="21229"/>
    <cellStyle name="40% - Accent4 2 3 5 2 4" xfId="14225"/>
    <cellStyle name="40% - Accent4 2 3 5 2 4 2" xfId="25368"/>
    <cellStyle name="40% - Accent4 2 3 5 2 5" xfId="19799"/>
    <cellStyle name="40% - Accent4 2 3 5 2 6" xfId="7193"/>
    <cellStyle name="40% - Accent4 2 3 5 3" xfId="3640"/>
    <cellStyle name="40% - Accent4 2 3 5 3 2" xfId="5749"/>
    <cellStyle name="40% - Accent4 2 3 5 3 2 2" xfId="18362"/>
    <cellStyle name="40% - Accent4 2 3 5 3 2 2 2" xfId="29505"/>
    <cellStyle name="40% - Accent4 2 3 5 3 2 3" xfId="23936"/>
    <cellStyle name="40% - Accent4 2 3 5 3 2 4" xfId="9900"/>
    <cellStyle name="40% - Accent4 2 3 5 3 3" xfId="16293"/>
    <cellStyle name="40% - Accent4 2 3 5 3 3 2" xfId="27436"/>
    <cellStyle name="40% - Accent4 2 3 5 3 4" xfId="21867"/>
    <cellStyle name="40% - Accent4 2 3 5 3 5" xfId="7831"/>
    <cellStyle name="40% - Accent4 2 3 5 4" xfId="4319"/>
    <cellStyle name="40% - Accent4 2 3 5 4 2" xfId="16932"/>
    <cellStyle name="40% - Accent4 2 3 5 4 2 2" xfId="28075"/>
    <cellStyle name="40% - Accent4 2 3 5 4 3" xfId="22506"/>
    <cellStyle name="40% - Accent4 2 3 5 4 4" xfId="8470"/>
    <cellStyle name="40% - Accent4 2 3 5 5" xfId="11258"/>
    <cellStyle name="40% - Accent4 2 3 5 5 2" xfId="15016"/>
    <cellStyle name="40% - Accent4 2 3 5 5 2 2" xfId="26159"/>
    <cellStyle name="40% - Accent4 2 3 5 5 3" xfId="20590"/>
    <cellStyle name="40% - Accent4 2 3 5 6" xfId="13586"/>
    <cellStyle name="40% - Accent4 2 3 5 6 2" xfId="24729"/>
    <cellStyle name="40% - Accent4 2 3 5 7" xfId="19160"/>
    <cellStyle name="40% - Accent4 2 3 5 8" xfId="6554"/>
    <cellStyle name="40% - Accent4 2 3 6" xfId="1824"/>
    <cellStyle name="40% - Accent4 2 3 6 2" xfId="4472"/>
    <cellStyle name="40% - Accent4 2 3 6 2 2" xfId="17085"/>
    <cellStyle name="40% - Accent4 2 3 6 2 2 2" xfId="28228"/>
    <cellStyle name="40% - Accent4 2 3 6 2 3" xfId="22659"/>
    <cellStyle name="40% - Accent4 2 3 6 2 4" xfId="8623"/>
    <cellStyle name="40% - Accent4 2 3 6 3" xfId="10263"/>
    <cellStyle name="40% - Accent4 2 3 6 3 2" xfId="14531"/>
    <cellStyle name="40% - Accent4 2 3 6 3 2 2" xfId="25674"/>
    <cellStyle name="40% - Accent4 2 3 6 3 3" xfId="20105"/>
    <cellStyle name="40% - Accent4 2 3 6 4" xfId="13101"/>
    <cellStyle name="40% - Accent4 2 3 6 4 2" xfId="24244"/>
    <cellStyle name="40% - Accent4 2 3 6 5" xfId="18675"/>
    <cellStyle name="40% - Accent4 2 3 6 6" xfId="6069"/>
    <cellStyle name="40% - Accent4 2 3 7" xfId="2517"/>
    <cellStyle name="40% - Accent4 2 3 7 2" xfId="4626"/>
    <cellStyle name="40% - Accent4 2 3 7 2 2" xfId="17239"/>
    <cellStyle name="40% - Accent4 2 3 7 2 2 2" xfId="28382"/>
    <cellStyle name="40% - Accent4 2 3 7 2 3" xfId="22813"/>
    <cellStyle name="40% - Accent4 2 3 7 2 4" xfId="8777"/>
    <cellStyle name="40% - Accent4 2 3 7 3" xfId="10006"/>
    <cellStyle name="40% - Accent4 2 3 7 3 2" xfId="15170"/>
    <cellStyle name="40% - Accent4 2 3 7 3 2 2" xfId="26313"/>
    <cellStyle name="40% - Accent4 2 3 7 3 3" xfId="20744"/>
    <cellStyle name="40% - Accent4 2 3 7 4" xfId="13740"/>
    <cellStyle name="40% - Accent4 2 3 7 4 2" xfId="24883"/>
    <cellStyle name="40% - Accent4 2 3 7 5" xfId="19314"/>
    <cellStyle name="40% - Accent4 2 3 7 6" xfId="6708"/>
    <cellStyle name="40% - Accent4 2 3 8" xfId="3155"/>
    <cellStyle name="40% - Accent4 2 3 8 2" xfId="5264"/>
    <cellStyle name="40% - Accent4 2 3 8 2 2" xfId="17877"/>
    <cellStyle name="40% - Accent4 2 3 8 2 2 2" xfId="29020"/>
    <cellStyle name="40% - Accent4 2 3 8 2 3" xfId="23451"/>
    <cellStyle name="40% - Accent4 2 3 8 2 4" xfId="9415"/>
    <cellStyle name="40% - Accent4 2 3 8 3" xfId="15808"/>
    <cellStyle name="40% - Accent4 2 3 8 3 2" xfId="26951"/>
    <cellStyle name="40% - Accent4 2 3 8 4" xfId="21382"/>
    <cellStyle name="40% - Accent4 2 3 8 5" xfId="7346"/>
    <cellStyle name="40% - Accent4 2 3 9" xfId="3834"/>
    <cellStyle name="40% - Accent4 2 3 9 2" xfId="16447"/>
    <cellStyle name="40% - Accent4 2 3 9 2 2" xfId="27590"/>
    <cellStyle name="40% - Accent4 2 3 9 3" xfId="22021"/>
    <cellStyle name="40% - Accent4 2 3 9 4" xfId="7985"/>
    <cellStyle name="40% - Accent4 2 4" xfId="286"/>
    <cellStyle name="40% - Accent4 2 4 10" xfId="12985"/>
    <cellStyle name="40% - Accent4 2 4 10 2" xfId="24129"/>
    <cellStyle name="40% - Accent4 2 4 11" xfId="18560"/>
    <cellStyle name="40% - Accent4 2 4 12" xfId="5953"/>
    <cellStyle name="40% - Accent4 2 4 2" xfId="2244"/>
    <cellStyle name="40% - Accent4 2 4 2 2" xfId="2888"/>
    <cellStyle name="40% - Accent4 2 4 2 2 2" xfId="4997"/>
    <cellStyle name="40% - Accent4 2 4 2 2 2 2" xfId="17610"/>
    <cellStyle name="40% - Accent4 2 4 2 2 2 2 2" xfId="28753"/>
    <cellStyle name="40% - Accent4 2 4 2 2 2 3" xfId="23184"/>
    <cellStyle name="40% - Accent4 2 4 2 2 2 4" xfId="9148"/>
    <cellStyle name="40% - Accent4 2 4 2 2 3" xfId="10938"/>
    <cellStyle name="40% - Accent4 2 4 2 2 3 2" xfId="15541"/>
    <cellStyle name="40% - Accent4 2 4 2 2 3 2 2" xfId="26684"/>
    <cellStyle name="40% - Accent4 2 4 2 2 3 3" xfId="21115"/>
    <cellStyle name="40% - Accent4 2 4 2 2 4" xfId="14111"/>
    <cellStyle name="40% - Accent4 2 4 2 2 4 2" xfId="25254"/>
    <cellStyle name="40% - Accent4 2 4 2 2 5" xfId="19685"/>
    <cellStyle name="40% - Accent4 2 4 2 2 6" xfId="7079"/>
    <cellStyle name="40% - Accent4 2 4 2 3" xfId="3526"/>
    <cellStyle name="40% - Accent4 2 4 2 3 2" xfId="5635"/>
    <cellStyle name="40% - Accent4 2 4 2 3 2 2" xfId="18248"/>
    <cellStyle name="40% - Accent4 2 4 2 3 2 2 2" xfId="29391"/>
    <cellStyle name="40% - Accent4 2 4 2 3 2 3" xfId="23822"/>
    <cellStyle name="40% - Accent4 2 4 2 3 2 4" xfId="9786"/>
    <cellStyle name="40% - Accent4 2 4 2 3 3" xfId="16179"/>
    <cellStyle name="40% - Accent4 2 4 2 3 3 2" xfId="27322"/>
    <cellStyle name="40% - Accent4 2 4 2 3 4" xfId="21753"/>
    <cellStyle name="40% - Accent4 2 4 2 3 5" xfId="7717"/>
    <cellStyle name="40% - Accent4 2 4 2 4" xfId="4205"/>
    <cellStyle name="40% - Accent4 2 4 2 4 2" xfId="16818"/>
    <cellStyle name="40% - Accent4 2 4 2 4 2 2" xfId="27961"/>
    <cellStyle name="40% - Accent4 2 4 2 4 3" xfId="22392"/>
    <cellStyle name="40% - Accent4 2 4 2 4 4" xfId="8356"/>
    <cellStyle name="40% - Accent4 2 4 2 5" xfId="11226"/>
    <cellStyle name="40% - Accent4 2 4 2 5 2" xfId="14902"/>
    <cellStyle name="40% - Accent4 2 4 2 5 2 2" xfId="26045"/>
    <cellStyle name="40% - Accent4 2 4 2 5 3" xfId="20476"/>
    <cellStyle name="40% - Accent4 2 4 2 6" xfId="13472"/>
    <cellStyle name="40% - Accent4 2 4 2 6 2" xfId="24615"/>
    <cellStyle name="40% - Accent4 2 4 2 7" xfId="19046"/>
    <cellStyle name="40% - Accent4 2 4 2 8" xfId="6440"/>
    <cellStyle name="40% - Accent4 2 4 3" xfId="2052"/>
    <cellStyle name="40% - Accent4 2 4 3 2" xfId="2707"/>
    <cellStyle name="40% - Accent4 2 4 3 2 2" xfId="4816"/>
    <cellStyle name="40% - Accent4 2 4 3 2 2 2" xfId="17429"/>
    <cellStyle name="40% - Accent4 2 4 3 2 2 2 2" xfId="28572"/>
    <cellStyle name="40% - Accent4 2 4 3 2 2 3" xfId="23003"/>
    <cellStyle name="40% - Accent4 2 4 3 2 2 4" xfId="8967"/>
    <cellStyle name="40% - Accent4 2 4 3 2 3" xfId="10724"/>
    <cellStyle name="40% - Accent4 2 4 3 2 3 2" xfId="15360"/>
    <cellStyle name="40% - Accent4 2 4 3 2 3 2 2" xfId="26503"/>
    <cellStyle name="40% - Accent4 2 4 3 2 3 3" xfId="20934"/>
    <cellStyle name="40% - Accent4 2 4 3 2 4" xfId="13930"/>
    <cellStyle name="40% - Accent4 2 4 3 2 4 2" xfId="25073"/>
    <cellStyle name="40% - Accent4 2 4 3 2 5" xfId="19504"/>
    <cellStyle name="40% - Accent4 2 4 3 2 6" xfId="6898"/>
    <cellStyle name="40% - Accent4 2 4 3 3" xfId="3345"/>
    <cellStyle name="40% - Accent4 2 4 3 3 2" xfId="5454"/>
    <cellStyle name="40% - Accent4 2 4 3 3 2 2" xfId="18067"/>
    <cellStyle name="40% - Accent4 2 4 3 3 2 2 2" xfId="29210"/>
    <cellStyle name="40% - Accent4 2 4 3 3 2 3" xfId="23641"/>
    <cellStyle name="40% - Accent4 2 4 3 3 2 4" xfId="9605"/>
    <cellStyle name="40% - Accent4 2 4 3 3 3" xfId="15998"/>
    <cellStyle name="40% - Accent4 2 4 3 3 3 2" xfId="27141"/>
    <cellStyle name="40% - Accent4 2 4 3 3 4" xfId="21572"/>
    <cellStyle name="40% - Accent4 2 4 3 3 5" xfId="7536"/>
    <cellStyle name="40% - Accent4 2 4 3 4" xfId="4024"/>
    <cellStyle name="40% - Accent4 2 4 3 4 2" xfId="16637"/>
    <cellStyle name="40% - Accent4 2 4 3 4 2 2" xfId="27780"/>
    <cellStyle name="40% - Accent4 2 4 3 4 3" xfId="22211"/>
    <cellStyle name="40% - Accent4 2 4 3 4 4" xfId="8175"/>
    <cellStyle name="40% - Accent4 2 4 3 5" xfId="10200"/>
    <cellStyle name="40% - Accent4 2 4 3 5 2" xfId="14721"/>
    <cellStyle name="40% - Accent4 2 4 3 5 2 2" xfId="25864"/>
    <cellStyle name="40% - Accent4 2 4 3 5 3" xfId="20295"/>
    <cellStyle name="40% - Accent4 2 4 3 6" xfId="13291"/>
    <cellStyle name="40% - Accent4 2 4 3 6 2" xfId="24434"/>
    <cellStyle name="40% - Accent4 2 4 3 7" xfId="18865"/>
    <cellStyle name="40% - Accent4 2 4 3 8" xfId="6259"/>
    <cellStyle name="40% - Accent4 2 4 4" xfId="2399"/>
    <cellStyle name="40% - Accent4 2 4 4 2" xfId="3040"/>
    <cellStyle name="40% - Accent4 2 4 4 2 2" xfId="5149"/>
    <cellStyle name="40% - Accent4 2 4 4 2 2 2" xfId="17762"/>
    <cellStyle name="40% - Accent4 2 4 4 2 2 2 2" xfId="28905"/>
    <cellStyle name="40% - Accent4 2 4 4 2 2 3" xfId="23336"/>
    <cellStyle name="40% - Accent4 2 4 4 2 2 4" xfId="9300"/>
    <cellStyle name="40% - Accent4 2 4 4 2 3" xfId="10468"/>
    <cellStyle name="40% - Accent4 2 4 4 2 3 2" xfId="15693"/>
    <cellStyle name="40% - Accent4 2 4 4 2 3 2 2" xfId="26836"/>
    <cellStyle name="40% - Accent4 2 4 4 2 3 3" xfId="21267"/>
    <cellStyle name="40% - Accent4 2 4 4 2 4" xfId="14263"/>
    <cellStyle name="40% - Accent4 2 4 4 2 4 2" xfId="25406"/>
    <cellStyle name="40% - Accent4 2 4 4 2 5" xfId="19837"/>
    <cellStyle name="40% - Accent4 2 4 4 2 6" xfId="7231"/>
    <cellStyle name="40% - Accent4 2 4 4 3" xfId="3678"/>
    <cellStyle name="40% - Accent4 2 4 4 3 2" xfId="5787"/>
    <cellStyle name="40% - Accent4 2 4 4 3 2 2" xfId="18400"/>
    <cellStyle name="40% - Accent4 2 4 4 3 2 2 2" xfId="29543"/>
    <cellStyle name="40% - Accent4 2 4 4 3 2 3" xfId="23974"/>
    <cellStyle name="40% - Accent4 2 4 4 3 2 4" xfId="9938"/>
    <cellStyle name="40% - Accent4 2 4 4 3 3" xfId="16331"/>
    <cellStyle name="40% - Accent4 2 4 4 3 3 2" xfId="27474"/>
    <cellStyle name="40% - Accent4 2 4 4 3 4" xfId="21905"/>
    <cellStyle name="40% - Accent4 2 4 4 3 5" xfId="7869"/>
    <cellStyle name="40% - Accent4 2 4 4 4" xfId="4357"/>
    <cellStyle name="40% - Accent4 2 4 4 4 2" xfId="16970"/>
    <cellStyle name="40% - Accent4 2 4 4 4 2 2" xfId="28113"/>
    <cellStyle name="40% - Accent4 2 4 4 4 3" xfId="22544"/>
    <cellStyle name="40% - Accent4 2 4 4 4 4" xfId="8508"/>
    <cellStyle name="40% - Accent4 2 4 4 5" xfId="10720"/>
    <cellStyle name="40% - Accent4 2 4 4 5 2" xfId="15054"/>
    <cellStyle name="40% - Accent4 2 4 4 5 2 2" xfId="26197"/>
    <cellStyle name="40% - Accent4 2 4 4 5 3" xfId="20628"/>
    <cellStyle name="40% - Accent4 2 4 4 6" xfId="13624"/>
    <cellStyle name="40% - Accent4 2 4 4 6 2" xfId="24767"/>
    <cellStyle name="40% - Accent4 2 4 4 7" xfId="19198"/>
    <cellStyle name="40% - Accent4 2 4 4 8" xfId="6592"/>
    <cellStyle name="40% - Accent4 2 4 5" xfId="1862"/>
    <cellStyle name="40% - Accent4 2 4 5 2" xfId="4510"/>
    <cellStyle name="40% - Accent4 2 4 5 2 2" xfId="17123"/>
    <cellStyle name="40% - Accent4 2 4 5 2 2 2" xfId="28266"/>
    <cellStyle name="40% - Accent4 2 4 5 2 3" xfId="22697"/>
    <cellStyle name="40% - Accent4 2 4 5 2 4" xfId="8661"/>
    <cellStyle name="40% - Accent4 2 4 5 3" xfId="10832"/>
    <cellStyle name="40% - Accent4 2 4 5 3 2" xfId="14569"/>
    <cellStyle name="40% - Accent4 2 4 5 3 2 2" xfId="25712"/>
    <cellStyle name="40% - Accent4 2 4 5 3 3" xfId="20143"/>
    <cellStyle name="40% - Accent4 2 4 5 4" xfId="13139"/>
    <cellStyle name="40% - Accent4 2 4 5 4 2" xfId="24282"/>
    <cellStyle name="40% - Accent4 2 4 5 5" xfId="18713"/>
    <cellStyle name="40% - Accent4 2 4 5 6" xfId="6107"/>
    <cellStyle name="40% - Accent4 2 4 6" xfId="2555"/>
    <cellStyle name="40% - Accent4 2 4 6 2" xfId="4664"/>
    <cellStyle name="40% - Accent4 2 4 6 2 2" xfId="17277"/>
    <cellStyle name="40% - Accent4 2 4 6 2 2 2" xfId="28420"/>
    <cellStyle name="40% - Accent4 2 4 6 2 3" xfId="22851"/>
    <cellStyle name="40% - Accent4 2 4 6 2 4" xfId="8815"/>
    <cellStyle name="40% - Accent4 2 4 6 3" xfId="10445"/>
    <cellStyle name="40% - Accent4 2 4 6 3 2" xfId="15208"/>
    <cellStyle name="40% - Accent4 2 4 6 3 2 2" xfId="26351"/>
    <cellStyle name="40% - Accent4 2 4 6 3 3" xfId="20782"/>
    <cellStyle name="40% - Accent4 2 4 6 4" xfId="13778"/>
    <cellStyle name="40% - Accent4 2 4 6 4 2" xfId="24921"/>
    <cellStyle name="40% - Accent4 2 4 6 5" xfId="19352"/>
    <cellStyle name="40% - Accent4 2 4 6 6" xfId="6746"/>
    <cellStyle name="40% - Accent4 2 4 7" xfId="3193"/>
    <cellStyle name="40% - Accent4 2 4 7 2" xfId="5302"/>
    <cellStyle name="40% - Accent4 2 4 7 2 2" xfId="17915"/>
    <cellStyle name="40% - Accent4 2 4 7 2 2 2" xfId="29058"/>
    <cellStyle name="40% - Accent4 2 4 7 2 3" xfId="23489"/>
    <cellStyle name="40% - Accent4 2 4 7 2 4" xfId="9453"/>
    <cellStyle name="40% - Accent4 2 4 7 3" xfId="15846"/>
    <cellStyle name="40% - Accent4 2 4 7 3 2" xfId="26989"/>
    <cellStyle name="40% - Accent4 2 4 7 4" xfId="21420"/>
    <cellStyle name="40% - Accent4 2 4 7 5" xfId="7384"/>
    <cellStyle name="40% - Accent4 2 4 8" xfId="3872"/>
    <cellStyle name="40% - Accent4 2 4 8 2" xfId="16485"/>
    <cellStyle name="40% - Accent4 2 4 8 2 2" xfId="27628"/>
    <cellStyle name="40% - Accent4 2 4 8 3" xfId="22059"/>
    <cellStyle name="40% - Accent4 2 4 8 4" xfId="8023"/>
    <cellStyle name="40% - Accent4 2 4 9" xfId="10485"/>
    <cellStyle name="40% - Accent4 2 4 9 2" xfId="14416"/>
    <cellStyle name="40% - Accent4 2 4 9 2 2" xfId="25559"/>
    <cellStyle name="40% - Accent4 2 4 9 3" xfId="19990"/>
    <cellStyle name="40% - Accent4 2 5" xfId="2168"/>
    <cellStyle name="40% - Accent4 2 5 2" xfId="2812"/>
    <cellStyle name="40% - Accent4 2 5 2 2" xfId="4921"/>
    <cellStyle name="40% - Accent4 2 5 2 2 2" xfId="17534"/>
    <cellStyle name="40% - Accent4 2 5 2 2 2 2" xfId="28677"/>
    <cellStyle name="40% - Accent4 2 5 2 2 3" xfId="23108"/>
    <cellStyle name="40% - Accent4 2 5 2 2 4" xfId="9072"/>
    <cellStyle name="40% - Accent4 2 5 2 3" xfId="10409"/>
    <cellStyle name="40% - Accent4 2 5 2 3 2" xfId="15465"/>
    <cellStyle name="40% - Accent4 2 5 2 3 2 2" xfId="26608"/>
    <cellStyle name="40% - Accent4 2 5 2 3 3" xfId="21039"/>
    <cellStyle name="40% - Accent4 2 5 2 4" xfId="14035"/>
    <cellStyle name="40% - Accent4 2 5 2 4 2" xfId="25178"/>
    <cellStyle name="40% - Accent4 2 5 2 5" xfId="19609"/>
    <cellStyle name="40% - Accent4 2 5 2 6" xfId="7003"/>
    <cellStyle name="40% - Accent4 2 5 3" xfId="3450"/>
    <cellStyle name="40% - Accent4 2 5 3 2" xfId="5559"/>
    <cellStyle name="40% - Accent4 2 5 3 2 2" xfId="18172"/>
    <cellStyle name="40% - Accent4 2 5 3 2 2 2" xfId="29315"/>
    <cellStyle name="40% - Accent4 2 5 3 2 3" xfId="23746"/>
    <cellStyle name="40% - Accent4 2 5 3 2 4" xfId="9710"/>
    <cellStyle name="40% - Accent4 2 5 3 3" xfId="16103"/>
    <cellStyle name="40% - Accent4 2 5 3 3 2" xfId="27246"/>
    <cellStyle name="40% - Accent4 2 5 3 4" xfId="21677"/>
    <cellStyle name="40% - Accent4 2 5 3 5" xfId="7641"/>
    <cellStyle name="40% - Accent4 2 5 4" xfId="4129"/>
    <cellStyle name="40% - Accent4 2 5 4 2" xfId="16742"/>
    <cellStyle name="40% - Accent4 2 5 4 2 2" xfId="27885"/>
    <cellStyle name="40% - Accent4 2 5 4 3" xfId="22316"/>
    <cellStyle name="40% - Accent4 2 5 4 4" xfId="8280"/>
    <cellStyle name="40% - Accent4 2 5 5" xfId="10683"/>
    <cellStyle name="40% - Accent4 2 5 5 2" xfId="14826"/>
    <cellStyle name="40% - Accent4 2 5 5 2 2" xfId="25969"/>
    <cellStyle name="40% - Accent4 2 5 5 3" xfId="20400"/>
    <cellStyle name="40% - Accent4 2 5 6" xfId="13396"/>
    <cellStyle name="40% - Accent4 2 5 6 2" xfId="24539"/>
    <cellStyle name="40% - Accent4 2 5 7" xfId="18970"/>
    <cellStyle name="40% - Accent4 2 5 8" xfId="6364"/>
    <cellStyle name="40% - Accent4 2 6" xfId="1961"/>
    <cellStyle name="40% - Accent4 2 6 2" xfId="2631"/>
    <cellStyle name="40% - Accent4 2 6 2 2" xfId="4740"/>
    <cellStyle name="40% - Accent4 2 6 2 2 2" xfId="17353"/>
    <cellStyle name="40% - Accent4 2 6 2 2 2 2" xfId="28496"/>
    <cellStyle name="40% - Accent4 2 6 2 2 3" xfId="22927"/>
    <cellStyle name="40% - Accent4 2 6 2 2 4" xfId="8891"/>
    <cellStyle name="40% - Accent4 2 6 2 3" xfId="11170"/>
    <cellStyle name="40% - Accent4 2 6 2 3 2" xfId="15284"/>
    <cellStyle name="40% - Accent4 2 6 2 3 2 2" xfId="26427"/>
    <cellStyle name="40% - Accent4 2 6 2 3 3" xfId="20858"/>
    <cellStyle name="40% - Accent4 2 6 2 4" xfId="13854"/>
    <cellStyle name="40% - Accent4 2 6 2 4 2" xfId="24997"/>
    <cellStyle name="40% - Accent4 2 6 2 5" xfId="19428"/>
    <cellStyle name="40% - Accent4 2 6 2 6" xfId="6822"/>
    <cellStyle name="40% - Accent4 2 6 3" xfId="3269"/>
    <cellStyle name="40% - Accent4 2 6 3 2" xfId="5378"/>
    <cellStyle name="40% - Accent4 2 6 3 2 2" xfId="17991"/>
    <cellStyle name="40% - Accent4 2 6 3 2 2 2" xfId="29134"/>
    <cellStyle name="40% - Accent4 2 6 3 2 3" xfId="23565"/>
    <cellStyle name="40% - Accent4 2 6 3 2 4" xfId="9529"/>
    <cellStyle name="40% - Accent4 2 6 3 3" xfId="15922"/>
    <cellStyle name="40% - Accent4 2 6 3 3 2" xfId="27065"/>
    <cellStyle name="40% - Accent4 2 6 3 4" xfId="21496"/>
    <cellStyle name="40% - Accent4 2 6 3 5" xfId="7460"/>
    <cellStyle name="40% - Accent4 2 6 4" xfId="3948"/>
    <cellStyle name="40% - Accent4 2 6 4 2" xfId="16561"/>
    <cellStyle name="40% - Accent4 2 6 4 2 2" xfId="27704"/>
    <cellStyle name="40% - Accent4 2 6 4 3" xfId="22135"/>
    <cellStyle name="40% - Accent4 2 6 4 4" xfId="8099"/>
    <cellStyle name="40% - Accent4 2 6 5" xfId="11030"/>
    <cellStyle name="40% - Accent4 2 6 5 2" xfId="14645"/>
    <cellStyle name="40% - Accent4 2 6 5 2 2" xfId="25788"/>
    <cellStyle name="40% - Accent4 2 6 5 3" xfId="20219"/>
    <cellStyle name="40% - Accent4 2 6 6" xfId="13215"/>
    <cellStyle name="40% - Accent4 2 6 6 2" xfId="24358"/>
    <cellStyle name="40% - Accent4 2 6 7" xfId="18789"/>
    <cellStyle name="40% - Accent4 2 6 8" xfId="6183"/>
    <cellStyle name="40% - Accent4 2 7" xfId="2322"/>
    <cellStyle name="40% - Accent4 2 7 2" xfId="2964"/>
    <cellStyle name="40% - Accent4 2 7 2 2" xfId="5073"/>
    <cellStyle name="40% - Accent4 2 7 2 2 2" xfId="17686"/>
    <cellStyle name="40% - Accent4 2 7 2 2 2 2" xfId="28829"/>
    <cellStyle name="40% - Accent4 2 7 2 2 3" xfId="23260"/>
    <cellStyle name="40% - Accent4 2 7 2 2 4" xfId="9224"/>
    <cellStyle name="40% - Accent4 2 7 2 3" xfId="11276"/>
    <cellStyle name="40% - Accent4 2 7 2 3 2" xfId="15617"/>
    <cellStyle name="40% - Accent4 2 7 2 3 2 2" xfId="26760"/>
    <cellStyle name="40% - Accent4 2 7 2 3 3" xfId="21191"/>
    <cellStyle name="40% - Accent4 2 7 2 4" xfId="14187"/>
    <cellStyle name="40% - Accent4 2 7 2 4 2" xfId="25330"/>
    <cellStyle name="40% - Accent4 2 7 2 5" xfId="19761"/>
    <cellStyle name="40% - Accent4 2 7 2 6" xfId="7155"/>
    <cellStyle name="40% - Accent4 2 7 3" xfId="3602"/>
    <cellStyle name="40% - Accent4 2 7 3 2" xfId="5711"/>
    <cellStyle name="40% - Accent4 2 7 3 2 2" xfId="18324"/>
    <cellStyle name="40% - Accent4 2 7 3 2 2 2" xfId="29467"/>
    <cellStyle name="40% - Accent4 2 7 3 2 3" xfId="23898"/>
    <cellStyle name="40% - Accent4 2 7 3 2 4" xfId="9862"/>
    <cellStyle name="40% - Accent4 2 7 3 3" xfId="16255"/>
    <cellStyle name="40% - Accent4 2 7 3 3 2" xfId="27398"/>
    <cellStyle name="40% - Accent4 2 7 3 4" xfId="21829"/>
    <cellStyle name="40% - Accent4 2 7 3 5" xfId="7793"/>
    <cellStyle name="40% - Accent4 2 7 4" xfId="4281"/>
    <cellStyle name="40% - Accent4 2 7 4 2" xfId="16894"/>
    <cellStyle name="40% - Accent4 2 7 4 2 2" xfId="28037"/>
    <cellStyle name="40% - Accent4 2 7 4 3" xfId="22468"/>
    <cellStyle name="40% - Accent4 2 7 4 4" xfId="8432"/>
    <cellStyle name="40% - Accent4 2 7 5" xfId="10563"/>
    <cellStyle name="40% - Accent4 2 7 5 2" xfId="14978"/>
    <cellStyle name="40% - Accent4 2 7 5 2 2" xfId="26121"/>
    <cellStyle name="40% - Accent4 2 7 5 3" xfId="20552"/>
    <cellStyle name="40% - Accent4 2 7 6" xfId="13548"/>
    <cellStyle name="40% - Accent4 2 7 6 2" xfId="24691"/>
    <cellStyle name="40% - Accent4 2 7 7" xfId="19122"/>
    <cellStyle name="40% - Accent4 2 7 8" xfId="6516"/>
    <cellStyle name="40% - Accent4 2 8" xfId="1786"/>
    <cellStyle name="40% - Accent4 2 8 2" xfId="4434"/>
    <cellStyle name="40% - Accent4 2 8 2 2" xfId="17047"/>
    <cellStyle name="40% - Accent4 2 8 2 2 2" xfId="28190"/>
    <cellStyle name="40% - Accent4 2 8 2 3" xfId="22621"/>
    <cellStyle name="40% - Accent4 2 8 2 4" xfId="8585"/>
    <cellStyle name="40% - Accent4 2 8 3" xfId="11266"/>
    <cellStyle name="40% - Accent4 2 8 3 2" xfId="14493"/>
    <cellStyle name="40% - Accent4 2 8 3 2 2" xfId="25636"/>
    <cellStyle name="40% - Accent4 2 8 3 3" xfId="20067"/>
    <cellStyle name="40% - Accent4 2 8 4" xfId="13063"/>
    <cellStyle name="40% - Accent4 2 8 4 2" xfId="24206"/>
    <cellStyle name="40% - Accent4 2 8 5" xfId="18637"/>
    <cellStyle name="40% - Accent4 2 8 6" xfId="6031"/>
    <cellStyle name="40% - Accent4 2 9" xfId="2479"/>
    <cellStyle name="40% - Accent4 2 9 2" xfId="4588"/>
    <cellStyle name="40% - Accent4 2 9 2 2" xfId="17201"/>
    <cellStyle name="40% - Accent4 2 9 2 2 2" xfId="28344"/>
    <cellStyle name="40% - Accent4 2 9 2 3" xfId="22775"/>
    <cellStyle name="40% - Accent4 2 9 2 4" xfId="8739"/>
    <cellStyle name="40% - Accent4 2 9 3" xfId="10962"/>
    <cellStyle name="40% - Accent4 2 9 3 2" xfId="15132"/>
    <cellStyle name="40% - Accent4 2 9 3 2 2" xfId="26275"/>
    <cellStyle name="40% - Accent4 2 9 3 3" xfId="20706"/>
    <cellStyle name="40% - Accent4 2 9 4" xfId="13702"/>
    <cellStyle name="40% - Accent4 2 9 4 2" xfId="24845"/>
    <cellStyle name="40% - Accent4 2 9 5" xfId="19276"/>
    <cellStyle name="40% - Accent4 2 9 6" xfId="6670"/>
    <cellStyle name="40% - Accent4 3" xfId="142"/>
    <cellStyle name="40% - Accent4 3 2" xfId="392"/>
    <cellStyle name="40% - Accent4 3 2 2" xfId="571"/>
    <cellStyle name="40% - Accent4 3 2 2 2" xfId="954"/>
    <cellStyle name="40% - Accent4 3 2 2 2 2" xfId="1693"/>
    <cellStyle name="40% - Accent4 3 2 2 2 2 2" xfId="12789"/>
    <cellStyle name="40% - Accent4 3 2 2 2 3" xfId="12079"/>
    <cellStyle name="40% - Accent4 3 2 2 3" xfId="1338"/>
    <cellStyle name="40% - Accent4 3 2 2 3 2" xfId="12434"/>
    <cellStyle name="40% - Accent4 3 2 2 4" xfId="11724"/>
    <cellStyle name="40% - Accent4 3 2 3" xfId="776"/>
    <cellStyle name="40% - Accent4 3 2 3 2" xfId="1515"/>
    <cellStyle name="40% - Accent4 3 2 3 2 2" xfId="12611"/>
    <cellStyle name="40% - Accent4 3 2 3 3" xfId="11901"/>
    <cellStyle name="40% - Accent4 3 2 4" xfId="1160"/>
    <cellStyle name="40% - Accent4 3 2 4 2" xfId="12256"/>
    <cellStyle name="40% - Accent4 3 2 5" xfId="11546"/>
    <cellStyle name="40% - Accent4 3 3" xfId="447"/>
    <cellStyle name="40% - Accent4 3 3 2" xfId="626"/>
    <cellStyle name="40% - Accent4 3 3 2 2" xfId="1009"/>
    <cellStyle name="40% - Accent4 3 3 2 2 2" xfId="1748"/>
    <cellStyle name="40% - Accent4 3 3 2 2 2 2" xfId="12844"/>
    <cellStyle name="40% - Accent4 3 3 2 2 3" xfId="12134"/>
    <cellStyle name="40% - Accent4 3 3 2 3" xfId="1393"/>
    <cellStyle name="40% - Accent4 3 3 2 3 2" xfId="12489"/>
    <cellStyle name="40% - Accent4 3 3 2 4" xfId="11779"/>
    <cellStyle name="40% - Accent4 3 3 3" xfId="831"/>
    <cellStyle name="40% - Accent4 3 3 3 2" xfId="1570"/>
    <cellStyle name="40% - Accent4 3 3 3 2 2" xfId="12666"/>
    <cellStyle name="40% - Accent4 3 3 3 3" xfId="11956"/>
    <cellStyle name="40% - Accent4 3 3 4" xfId="1215"/>
    <cellStyle name="40% - Accent4 3 3 4 2" xfId="12311"/>
    <cellStyle name="40% - Accent4 3 3 5" xfId="11601"/>
    <cellStyle name="40% - Accent4 3 4" xfId="509"/>
    <cellStyle name="40% - Accent4 3 4 2" xfId="893"/>
    <cellStyle name="40% - Accent4 3 4 2 2" xfId="1632"/>
    <cellStyle name="40% - Accent4 3 4 2 2 2" xfId="12728"/>
    <cellStyle name="40% - Accent4 3 4 2 3" xfId="12018"/>
    <cellStyle name="40% - Accent4 3 4 3" xfId="1277"/>
    <cellStyle name="40% - Accent4 3 4 3 2" xfId="12373"/>
    <cellStyle name="40% - Accent4 3 4 4" xfId="11663"/>
    <cellStyle name="40% - Accent4 3 5" xfId="715"/>
    <cellStyle name="40% - Accent4 3 5 2" xfId="1454"/>
    <cellStyle name="40% - Accent4 3 5 2 2" xfId="12550"/>
    <cellStyle name="40% - Accent4 3 5 3" xfId="11840"/>
    <cellStyle name="40% - Accent4 3 6" xfId="1099"/>
    <cellStyle name="40% - Accent4 3 6 2" xfId="12195"/>
    <cellStyle name="40% - Accent4 3 7" xfId="11485"/>
    <cellStyle name="40% - Accent4 4" xfId="168"/>
    <cellStyle name="40% - Accent4 4 2" xfId="404"/>
    <cellStyle name="40% - Accent4 4 2 2" xfId="583"/>
    <cellStyle name="40% - Accent4 4 2 2 2" xfId="966"/>
    <cellStyle name="40% - Accent4 4 2 2 2 2" xfId="1705"/>
    <cellStyle name="40% - Accent4 4 2 2 2 2 2" xfId="12801"/>
    <cellStyle name="40% - Accent4 4 2 2 2 3" xfId="12091"/>
    <cellStyle name="40% - Accent4 4 2 2 3" xfId="1350"/>
    <cellStyle name="40% - Accent4 4 2 2 3 2" xfId="12446"/>
    <cellStyle name="40% - Accent4 4 2 2 4" xfId="11736"/>
    <cellStyle name="40% - Accent4 4 2 3" xfId="788"/>
    <cellStyle name="40% - Accent4 4 2 3 2" xfId="1527"/>
    <cellStyle name="40% - Accent4 4 2 3 2 2" xfId="12623"/>
    <cellStyle name="40% - Accent4 4 2 3 3" xfId="11913"/>
    <cellStyle name="40% - Accent4 4 2 4" xfId="1172"/>
    <cellStyle name="40% - Accent4 4 2 4 2" xfId="12268"/>
    <cellStyle name="40% - Accent4 4 2 5" xfId="11558"/>
    <cellStyle name="40% - Accent4 4 3" xfId="459"/>
    <cellStyle name="40% - Accent4 4 3 2" xfId="638"/>
    <cellStyle name="40% - Accent4 4 3 2 2" xfId="1021"/>
    <cellStyle name="40% - Accent4 4 3 2 2 2" xfId="1760"/>
    <cellStyle name="40% - Accent4 4 3 2 2 2 2" xfId="12856"/>
    <cellStyle name="40% - Accent4 4 3 2 2 3" xfId="12146"/>
    <cellStyle name="40% - Accent4 4 3 2 3" xfId="1405"/>
    <cellStyle name="40% - Accent4 4 3 2 3 2" xfId="12501"/>
    <cellStyle name="40% - Accent4 4 3 2 4" xfId="11791"/>
    <cellStyle name="40% - Accent4 4 3 3" xfId="843"/>
    <cellStyle name="40% - Accent4 4 3 3 2" xfId="1582"/>
    <cellStyle name="40% - Accent4 4 3 3 2 2" xfId="12678"/>
    <cellStyle name="40% - Accent4 4 3 3 3" xfId="11968"/>
    <cellStyle name="40% - Accent4 4 3 4" xfId="1227"/>
    <cellStyle name="40% - Accent4 4 3 4 2" xfId="12323"/>
    <cellStyle name="40% - Accent4 4 3 5" xfId="11613"/>
    <cellStyle name="40% - Accent4 4 4" xfId="522"/>
    <cellStyle name="40% - Accent4 4 4 2" xfId="905"/>
    <cellStyle name="40% - Accent4 4 4 2 2" xfId="1644"/>
    <cellStyle name="40% - Accent4 4 4 2 2 2" xfId="12740"/>
    <cellStyle name="40% - Accent4 4 4 2 3" xfId="12030"/>
    <cellStyle name="40% - Accent4 4 4 3" xfId="1289"/>
    <cellStyle name="40% - Accent4 4 4 3 2" xfId="12385"/>
    <cellStyle name="40% - Accent4 4 4 4" xfId="11675"/>
    <cellStyle name="40% - Accent4 4 5" xfId="727"/>
    <cellStyle name="40% - Accent4 4 5 2" xfId="1466"/>
    <cellStyle name="40% - Accent4 4 5 2 2" xfId="12562"/>
    <cellStyle name="40% - Accent4 4 5 3" xfId="11852"/>
    <cellStyle name="40% - Accent4 4 6" xfId="1111"/>
    <cellStyle name="40% - Accent4 4 6 2" xfId="12207"/>
    <cellStyle name="40% - Accent4 4 7" xfId="11497"/>
    <cellStyle name="40% - Accent4 5" xfId="210"/>
    <cellStyle name="40% - Accent4 5 2" xfId="416"/>
    <cellStyle name="40% - Accent4 5 2 2" xfId="595"/>
    <cellStyle name="40% - Accent4 5 2 2 2" xfId="978"/>
    <cellStyle name="40% - Accent4 5 2 2 2 2" xfId="1717"/>
    <cellStyle name="40% - Accent4 5 2 2 2 2 2" xfId="12813"/>
    <cellStyle name="40% - Accent4 5 2 2 2 3" xfId="12103"/>
    <cellStyle name="40% - Accent4 5 2 2 3" xfId="1362"/>
    <cellStyle name="40% - Accent4 5 2 2 3 2" xfId="12458"/>
    <cellStyle name="40% - Accent4 5 2 2 4" xfId="11748"/>
    <cellStyle name="40% - Accent4 5 2 3" xfId="800"/>
    <cellStyle name="40% - Accent4 5 2 3 2" xfId="1539"/>
    <cellStyle name="40% - Accent4 5 2 3 2 2" xfId="12635"/>
    <cellStyle name="40% - Accent4 5 2 3 3" xfId="11925"/>
    <cellStyle name="40% - Accent4 5 2 4" xfId="1184"/>
    <cellStyle name="40% - Accent4 5 2 4 2" xfId="12280"/>
    <cellStyle name="40% - Accent4 5 2 5" xfId="11570"/>
    <cellStyle name="40% - Accent4 5 3" xfId="471"/>
    <cellStyle name="40% - Accent4 5 3 2" xfId="650"/>
    <cellStyle name="40% - Accent4 5 3 2 2" xfId="1033"/>
    <cellStyle name="40% - Accent4 5 3 2 2 2" xfId="1772"/>
    <cellStyle name="40% - Accent4 5 3 2 2 2 2" xfId="12868"/>
    <cellStyle name="40% - Accent4 5 3 2 2 3" xfId="12158"/>
    <cellStyle name="40% - Accent4 5 3 2 3" xfId="1417"/>
    <cellStyle name="40% - Accent4 5 3 2 3 2" xfId="12513"/>
    <cellStyle name="40% - Accent4 5 3 2 4" xfId="11803"/>
    <cellStyle name="40% - Accent4 5 3 3" xfId="855"/>
    <cellStyle name="40% - Accent4 5 3 3 2" xfId="1594"/>
    <cellStyle name="40% - Accent4 5 3 3 2 2" xfId="12690"/>
    <cellStyle name="40% - Accent4 5 3 3 3" xfId="11980"/>
    <cellStyle name="40% - Accent4 5 3 4" xfId="1239"/>
    <cellStyle name="40% - Accent4 5 3 4 2" xfId="12335"/>
    <cellStyle name="40% - Accent4 5 3 5" xfId="11625"/>
    <cellStyle name="40% - Accent4 5 4" xfId="534"/>
    <cellStyle name="40% - Accent4 5 4 2" xfId="917"/>
    <cellStyle name="40% - Accent4 5 4 2 2" xfId="1656"/>
    <cellStyle name="40% - Accent4 5 4 2 2 2" xfId="12752"/>
    <cellStyle name="40% - Accent4 5 4 2 3" xfId="12042"/>
    <cellStyle name="40% - Accent4 5 4 3" xfId="1301"/>
    <cellStyle name="40% - Accent4 5 4 3 2" xfId="12397"/>
    <cellStyle name="40% - Accent4 5 4 4" xfId="11687"/>
    <cellStyle name="40% - Accent4 5 5" xfId="739"/>
    <cellStyle name="40% - Accent4 5 5 2" xfId="1478"/>
    <cellStyle name="40% - Accent4 5 5 2 2" xfId="12574"/>
    <cellStyle name="40% - Accent4 5 5 3" xfId="11864"/>
    <cellStyle name="40% - Accent4 5 6" xfId="1123"/>
    <cellStyle name="40% - Accent4 5 6 2" xfId="12219"/>
    <cellStyle name="40% - Accent4 5 7" xfId="11509"/>
    <cellStyle name="40% - Accent4 6" xfId="356"/>
    <cellStyle name="40% - Accent4 6 2" xfId="373"/>
    <cellStyle name="40% - Accent4 6 2 2" xfId="552"/>
    <cellStyle name="40% - Accent4 6 2 2 2" xfId="935"/>
    <cellStyle name="40% - Accent4 6 2 2 2 2" xfId="1674"/>
    <cellStyle name="40% - Accent4 6 2 2 2 2 2" xfId="12770"/>
    <cellStyle name="40% - Accent4 6 2 2 2 3" xfId="12060"/>
    <cellStyle name="40% - Accent4 6 2 2 3" xfId="1319"/>
    <cellStyle name="40% - Accent4 6 2 2 3 2" xfId="12415"/>
    <cellStyle name="40% - Accent4 6 2 2 4" xfId="11705"/>
    <cellStyle name="40% - Accent4 6 2 3" xfId="757"/>
    <cellStyle name="40% - Accent4 6 2 3 2" xfId="1496"/>
    <cellStyle name="40% - Accent4 6 2 3 2 2" xfId="12592"/>
    <cellStyle name="40% - Accent4 6 2 3 3" xfId="11882"/>
    <cellStyle name="40% - Accent4 6 2 4" xfId="1141"/>
    <cellStyle name="40% - Accent4 6 2 4 2" xfId="12237"/>
    <cellStyle name="40% - Accent4 6 2 5" xfId="11527"/>
    <cellStyle name="40% - Accent4 6 3" xfId="540"/>
    <cellStyle name="40% - Accent4 6 3 2" xfId="923"/>
    <cellStyle name="40% - Accent4 6 3 2 2" xfId="1662"/>
    <cellStyle name="40% - Accent4 6 3 2 2 2" xfId="12758"/>
    <cellStyle name="40% - Accent4 6 3 2 3" xfId="12048"/>
    <cellStyle name="40% - Accent4 6 3 3" xfId="1307"/>
    <cellStyle name="40% - Accent4 6 3 3 2" xfId="12403"/>
    <cellStyle name="40% - Accent4 6 3 4" xfId="11693"/>
    <cellStyle name="40% - Accent4 6 4" xfId="745"/>
    <cellStyle name="40% - Accent4 6 4 2" xfId="1484"/>
    <cellStyle name="40% - Accent4 6 4 2 2" xfId="12580"/>
    <cellStyle name="40% - Accent4 6 4 3" xfId="11870"/>
    <cellStyle name="40% - Accent4 6 5" xfId="1129"/>
    <cellStyle name="40% - Accent4 6 5 2" xfId="12225"/>
    <cellStyle name="40% - Accent4 6 6" xfId="11515"/>
    <cellStyle name="40% - Accent4 7" xfId="428"/>
    <cellStyle name="40% - Accent4 7 2" xfId="607"/>
    <cellStyle name="40% - Accent4 7 2 2" xfId="990"/>
    <cellStyle name="40% - Accent4 7 2 2 2" xfId="1729"/>
    <cellStyle name="40% - Accent4 7 2 2 2 2" xfId="12825"/>
    <cellStyle name="40% - Accent4 7 2 2 3" xfId="12115"/>
    <cellStyle name="40% - Accent4 7 2 3" xfId="1374"/>
    <cellStyle name="40% - Accent4 7 2 3 2" xfId="12470"/>
    <cellStyle name="40% - Accent4 7 2 4" xfId="11760"/>
    <cellStyle name="40% - Accent4 7 3" xfId="812"/>
    <cellStyle name="40% - Accent4 7 3 2" xfId="1551"/>
    <cellStyle name="40% - Accent4 7 3 2 2" xfId="12647"/>
    <cellStyle name="40% - Accent4 7 3 3" xfId="11937"/>
    <cellStyle name="40% - Accent4 7 4" xfId="1196"/>
    <cellStyle name="40% - Accent4 7 4 2" xfId="12292"/>
    <cellStyle name="40% - Accent4 7 5" xfId="11582"/>
    <cellStyle name="40% - Accent4 8" xfId="484"/>
    <cellStyle name="40% - Accent4 8 2" xfId="868"/>
    <cellStyle name="40% - Accent4 8 2 2" xfId="1607"/>
    <cellStyle name="40% - Accent4 8 2 2 2" xfId="12703"/>
    <cellStyle name="40% - Accent4 8 2 3" xfId="11993"/>
    <cellStyle name="40% - Accent4 8 3" xfId="1252"/>
    <cellStyle name="40% - Accent4 8 3 2" xfId="12348"/>
    <cellStyle name="40% - Accent4 8 4" xfId="11638"/>
    <cellStyle name="40% - Accent4 9" xfId="685"/>
    <cellStyle name="40% - Accent4 9 2" xfId="1429"/>
    <cellStyle name="40% - Accent4 9 2 2" xfId="12525"/>
    <cellStyle name="40% - Accent4 9 3" xfId="11815"/>
    <cellStyle name="40% - Accent5" xfId="35" builtinId="47" customBuiltin="1"/>
    <cellStyle name="40% - Accent5 10" xfId="1073"/>
    <cellStyle name="40% - Accent5 10 2" xfId="12172"/>
    <cellStyle name="40% - Accent5 11" xfId="1933"/>
    <cellStyle name="40% - Accent5 11 2" xfId="12874"/>
    <cellStyle name="40% - Accent5 12" xfId="3781"/>
    <cellStyle name="40% - Accent5 12 2" xfId="11462"/>
    <cellStyle name="40% - Accent5 2" xfId="127"/>
    <cellStyle name="40% - Accent5 2 10" xfId="3120"/>
    <cellStyle name="40% - Accent5 2 10 2" xfId="5229"/>
    <cellStyle name="40% - Accent5 2 10 2 2" xfId="17842"/>
    <cellStyle name="40% - Accent5 2 10 2 2 2" xfId="28985"/>
    <cellStyle name="40% - Accent5 2 10 2 3" xfId="23416"/>
    <cellStyle name="40% - Accent5 2 10 2 4" xfId="9380"/>
    <cellStyle name="40% - Accent5 2 10 3" xfId="15773"/>
    <cellStyle name="40% - Accent5 2 10 3 2" xfId="26916"/>
    <cellStyle name="40% - Accent5 2 10 4" xfId="21347"/>
    <cellStyle name="40% - Accent5 2 10 5" xfId="7311"/>
    <cellStyle name="40% - Accent5 2 11" xfId="3799"/>
    <cellStyle name="40% - Accent5 2 11 2" xfId="16412"/>
    <cellStyle name="40% - Accent5 2 11 2 2" xfId="27555"/>
    <cellStyle name="40% - Accent5 2 11 3" xfId="21986"/>
    <cellStyle name="40% - Accent5 2 11 4" xfId="7950"/>
    <cellStyle name="40% - Accent5 2 12" xfId="11429"/>
    <cellStyle name="40% - Accent5 2 12 2" xfId="14343"/>
    <cellStyle name="40% - Accent5 2 12 2 2" xfId="25486"/>
    <cellStyle name="40% - Accent5 2 12 3" xfId="19917"/>
    <cellStyle name="40% - Accent5 2 13" xfId="12912"/>
    <cellStyle name="40% - Accent5 2 13 2" xfId="24056"/>
    <cellStyle name="40% - Accent5 2 14" xfId="18487"/>
    <cellStyle name="40% - Accent5 2 15" xfId="5880"/>
    <cellStyle name="40% - Accent5 2 2" xfId="232"/>
    <cellStyle name="40% - Accent5 2 2 10" xfId="3818"/>
    <cellStyle name="40% - Accent5 2 2 10 2" xfId="16431"/>
    <cellStyle name="40% - Accent5 2 2 10 2 2" xfId="27574"/>
    <cellStyle name="40% - Accent5 2 2 10 3" xfId="22005"/>
    <cellStyle name="40% - Accent5 2 2 10 4" xfId="7969"/>
    <cellStyle name="40% - Accent5 2 2 11" xfId="10775"/>
    <cellStyle name="40% - Accent5 2 2 11 2" xfId="14362"/>
    <cellStyle name="40% - Accent5 2 2 11 2 2" xfId="25505"/>
    <cellStyle name="40% - Accent5 2 2 11 3" xfId="19936"/>
    <cellStyle name="40% - Accent5 2 2 12" xfId="12931"/>
    <cellStyle name="40% - Accent5 2 2 12 2" xfId="24075"/>
    <cellStyle name="40% - Accent5 2 2 13" xfId="18506"/>
    <cellStyle name="40% - Accent5 2 2 14" xfId="5899"/>
    <cellStyle name="40% - Accent5 2 2 2" xfId="270"/>
    <cellStyle name="40% - Accent5 2 2 2 10" xfId="10022"/>
    <cellStyle name="40% - Accent5 2 2 2 10 2" xfId="14400"/>
    <cellStyle name="40% - Accent5 2 2 2 10 2 2" xfId="25543"/>
    <cellStyle name="40% - Accent5 2 2 2 10 3" xfId="19974"/>
    <cellStyle name="40% - Accent5 2 2 2 11" xfId="12969"/>
    <cellStyle name="40% - Accent5 2 2 2 11 2" xfId="24113"/>
    <cellStyle name="40% - Accent5 2 2 2 12" xfId="18544"/>
    <cellStyle name="40% - Accent5 2 2 2 13" xfId="5937"/>
    <cellStyle name="40% - Accent5 2 2 2 2" xfId="346"/>
    <cellStyle name="40% - Accent5 2 2 2 2 10" xfId="13045"/>
    <cellStyle name="40% - Accent5 2 2 2 2 10 2" xfId="24189"/>
    <cellStyle name="40% - Accent5 2 2 2 2 11" xfId="18620"/>
    <cellStyle name="40% - Accent5 2 2 2 2 12" xfId="6013"/>
    <cellStyle name="40% - Accent5 2 2 2 2 2" xfId="2304"/>
    <cellStyle name="40% - Accent5 2 2 2 2 2 2" xfId="2948"/>
    <cellStyle name="40% - Accent5 2 2 2 2 2 2 2" xfId="5057"/>
    <cellStyle name="40% - Accent5 2 2 2 2 2 2 2 2" xfId="17670"/>
    <cellStyle name="40% - Accent5 2 2 2 2 2 2 2 2 2" xfId="28813"/>
    <cellStyle name="40% - Accent5 2 2 2 2 2 2 2 3" xfId="23244"/>
    <cellStyle name="40% - Accent5 2 2 2 2 2 2 2 4" xfId="9208"/>
    <cellStyle name="40% - Accent5 2 2 2 2 2 2 3" xfId="10357"/>
    <cellStyle name="40% - Accent5 2 2 2 2 2 2 3 2" xfId="15601"/>
    <cellStyle name="40% - Accent5 2 2 2 2 2 2 3 2 2" xfId="26744"/>
    <cellStyle name="40% - Accent5 2 2 2 2 2 2 3 3" xfId="21175"/>
    <cellStyle name="40% - Accent5 2 2 2 2 2 2 4" xfId="14171"/>
    <cellStyle name="40% - Accent5 2 2 2 2 2 2 4 2" xfId="25314"/>
    <cellStyle name="40% - Accent5 2 2 2 2 2 2 5" xfId="19745"/>
    <cellStyle name="40% - Accent5 2 2 2 2 2 2 6" xfId="7139"/>
    <cellStyle name="40% - Accent5 2 2 2 2 2 3" xfId="3586"/>
    <cellStyle name="40% - Accent5 2 2 2 2 2 3 2" xfId="5695"/>
    <cellStyle name="40% - Accent5 2 2 2 2 2 3 2 2" xfId="18308"/>
    <cellStyle name="40% - Accent5 2 2 2 2 2 3 2 2 2" xfId="29451"/>
    <cellStyle name="40% - Accent5 2 2 2 2 2 3 2 3" xfId="23882"/>
    <cellStyle name="40% - Accent5 2 2 2 2 2 3 2 4" xfId="9846"/>
    <cellStyle name="40% - Accent5 2 2 2 2 2 3 3" xfId="16239"/>
    <cellStyle name="40% - Accent5 2 2 2 2 2 3 3 2" xfId="27382"/>
    <cellStyle name="40% - Accent5 2 2 2 2 2 3 4" xfId="21813"/>
    <cellStyle name="40% - Accent5 2 2 2 2 2 3 5" xfId="7777"/>
    <cellStyle name="40% - Accent5 2 2 2 2 2 4" xfId="4265"/>
    <cellStyle name="40% - Accent5 2 2 2 2 2 4 2" xfId="16878"/>
    <cellStyle name="40% - Accent5 2 2 2 2 2 4 2 2" xfId="28021"/>
    <cellStyle name="40% - Accent5 2 2 2 2 2 4 3" xfId="22452"/>
    <cellStyle name="40% - Accent5 2 2 2 2 2 4 4" xfId="8416"/>
    <cellStyle name="40% - Accent5 2 2 2 2 2 5" xfId="10240"/>
    <cellStyle name="40% - Accent5 2 2 2 2 2 5 2" xfId="14962"/>
    <cellStyle name="40% - Accent5 2 2 2 2 2 5 2 2" xfId="26105"/>
    <cellStyle name="40% - Accent5 2 2 2 2 2 5 3" xfId="20536"/>
    <cellStyle name="40% - Accent5 2 2 2 2 2 6" xfId="13532"/>
    <cellStyle name="40% - Accent5 2 2 2 2 2 6 2" xfId="24675"/>
    <cellStyle name="40% - Accent5 2 2 2 2 2 7" xfId="19106"/>
    <cellStyle name="40% - Accent5 2 2 2 2 2 8" xfId="6500"/>
    <cellStyle name="40% - Accent5 2 2 2 2 3" xfId="2112"/>
    <cellStyle name="40% - Accent5 2 2 2 2 3 2" xfId="2767"/>
    <cellStyle name="40% - Accent5 2 2 2 2 3 2 2" xfId="4876"/>
    <cellStyle name="40% - Accent5 2 2 2 2 3 2 2 2" xfId="17489"/>
    <cellStyle name="40% - Accent5 2 2 2 2 3 2 2 2 2" xfId="28632"/>
    <cellStyle name="40% - Accent5 2 2 2 2 3 2 2 3" xfId="23063"/>
    <cellStyle name="40% - Accent5 2 2 2 2 3 2 2 4" xfId="9027"/>
    <cellStyle name="40% - Accent5 2 2 2 2 3 2 3" xfId="11192"/>
    <cellStyle name="40% - Accent5 2 2 2 2 3 2 3 2" xfId="15420"/>
    <cellStyle name="40% - Accent5 2 2 2 2 3 2 3 2 2" xfId="26563"/>
    <cellStyle name="40% - Accent5 2 2 2 2 3 2 3 3" xfId="20994"/>
    <cellStyle name="40% - Accent5 2 2 2 2 3 2 4" xfId="13990"/>
    <cellStyle name="40% - Accent5 2 2 2 2 3 2 4 2" xfId="25133"/>
    <cellStyle name="40% - Accent5 2 2 2 2 3 2 5" xfId="19564"/>
    <cellStyle name="40% - Accent5 2 2 2 2 3 2 6" xfId="6958"/>
    <cellStyle name="40% - Accent5 2 2 2 2 3 3" xfId="3405"/>
    <cellStyle name="40% - Accent5 2 2 2 2 3 3 2" xfId="5514"/>
    <cellStyle name="40% - Accent5 2 2 2 2 3 3 2 2" xfId="18127"/>
    <cellStyle name="40% - Accent5 2 2 2 2 3 3 2 2 2" xfId="29270"/>
    <cellStyle name="40% - Accent5 2 2 2 2 3 3 2 3" xfId="23701"/>
    <cellStyle name="40% - Accent5 2 2 2 2 3 3 2 4" xfId="9665"/>
    <cellStyle name="40% - Accent5 2 2 2 2 3 3 3" xfId="16058"/>
    <cellStyle name="40% - Accent5 2 2 2 2 3 3 3 2" xfId="27201"/>
    <cellStyle name="40% - Accent5 2 2 2 2 3 3 4" xfId="21632"/>
    <cellStyle name="40% - Accent5 2 2 2 2 3 3 5" xfId="7596"/>
    <cellStyle name="40% - Accent5 2 2 2 2 3 4" xfId="4084"/>
    <cellStyle name="40% - Accent5 2 2 2 2 3 4 2" xfId="16697"/>
    <cellStyle name="40% - Accent5 2 2 2 2 3 4 2 2" xfId="27840"/>
    <cellStyle name="40% - Accent5 2 2 2 2 3 4 3" xfId="22271"/>
    <cellStyle name="40% - Accent5 2 2 2 2 3 4 4" xfId="8235"/>
    <cellStyle name="40% - Accent5 2 2 2 2 3 5" xfId="10940"/>
    <cellStyle name="40% - Accent5 2 2 2 2 3 5 2" xfId="14781"/>
    <cellStyle name="40% - Accent5 2 2 2 2 3 5 2 2" xfId="25924"/>
    <cellStyle name="40% - Accent5 2 2 2 2 3 5 3" xfId="20355"/>
    <cellStyle name="40% - Accent5 2 2 2 2 3 6" xfId="13351"/>
    <cellStyle name="40% - Accent5 2 2 2 2 3 6 2" xfId="24494"/>
    <cellStyle name="40% - Accent5 2 2 2 2 3 7" xfId="18925"/>
    <cellStyle name="40% - Accent5 2 2 2 2 3 8" xfId="6319"/>
    <cellStyle name="40% - Accent5 2 2 2 2 4" xfId="2459"/>
    <cellStyle name="40% - Accent5 2 2 2 2 4 2" xfId="3100"/>
    <cellStyle name="40% - Accent5 2 2 2 2 4 2 2" xfId="5209"/>
    <cellStyle name="40% - Accent5 2 2 2 2 4 2 2 2" xfId="17822"/>
    <cellStyle name="40% - Accent5 2 2 2 2 4 2 2 2 2" xfId="28965"/>
    <cellStyle name="40% - Accent5 2 2 2 2 4 2 2 3" xfId="23396"/>
    <cellStyle name="40% - Accent5 2 2 2 2 4 2 2 4" xfId="9360"/>
    <cellStyle name="40% - Accent5 2 2 2 2 4 2 3" xfId="10361"/>
    <cellStyle name="40% - Accent5 2 2 2 2 4 2 3 2" xfId="15753"/>
    <cellStyle name="40% - Accent5 2 2 2 2 4 2 3 2 2" xfId="26896"/>
    <cellStyle name="40% - Accent5 2 2 2 2 4 2 3 3" xfId="21327"/>
    <cellStyle name="40% - Accent5 2 2 2 2 4 2 4" xfId="14323"/>
    <cellStyle name="40% - Accent5 2 2 2 2 4 2 4 2" xfId="25466"/>
    <cellStyle name="40% - Accent5 2 2 2 2 4 2 5" xfId="19897"/>
    <cellStyle name="40% - Accent5 2 2 2 2 4 2 6" xfId="7291"/>
    <cellStyle name="40% - Accent5 2 2 2 2 4 3" xfId="3738"/>
    <cellStyle name="40% - Accent5 2 2 2 2 4 3 2" xfId="5847"/>
    <cellStyle name="40% - Accent5 2 2 2 2 4 3 2 2" xfId="18460"/>
    <cellStyle name="40% - Accent5 2 2 2 2 4 3 2 2 2" xfId="29603"/>
    <cellStyle name="40% - Accent5 2 2 2 2 4 3 2 3" xfId="24034"/>
    <cellStyle name="40% - Accent5 2 2 2 2 4 3 2 4" xfId="9998"/>
    <cellStyle name="40% - Accent5 2 2 2 2 4 3 3" xfId="16391"/>
    <cellStyle name="40% - Accent5 2 2 2 2 4 3 3 2" xfId="27534"/>
    <cellStyle name="40% - Accent5 2 2 2 2 4 3 4" xfId="21965"/>
    <cellStyle name="40% - Accent5 2 2 2 2 4 3 5" xfId="7929"/>
    <cellStyle name="40% - Accent5 2 2 2 2 4 4" xfId="4417"/>
    <cellStyle name="40% - Accent5 2 2 2 2 4 4 2" xfId="17030"/>
    <cellStyle name="40% - Accent5 2 2 2 2 4 4 2 2" xfId="28173"/>
    <cellStyle name="40% - Accent5 2 2 2 2 4 4 3" xfId="22604"/>
    <cellStyle name="40% - Accent5 2 2 2 2 4 4 4" xfId="8568"/>
    <cellStyle name="40% - Accent5 2 2 2 2 4 5" xfId="11280"/>
    <cellStyle name="40% - Accent5 2 2 2 2 4 5 2" xfId="15114"/>
    <cellStyle name="40% - Accent5 2 2 2 2 4 5 2 2" xfId="26257"/>
    <cellStyle name="40% - Accent5 2 2 2 2 4 5 3" xfId="20688"/>
    <cellStyle name="40% - Accent5 2 2 2 2 4 6" xfId="13684"/>
    <cellStyle name="40% - Accent5 2 2 2 2 4 6 2" xfId="24827"/>
    <cellStyle name="40% - Accent5 2 2 2 2 4 7" xfId="19258"/>
    <cellStyle name="40% - Accent5 2 2 2 2 4 8" xfId="6652"/>
    <cellStyle name="40% - Accent5 2 2 2 2 5" xfId="1922"/>
    <cellStyle name="40% - Accent5 2 2 2 2 5 2" xfId="4570"/>
    <cellStyle name="40% - Accent5 2 2 2 2 5 2 2" xfId="17183"/>
    <cellStyle name="40% - Accent5 2 2 2 2 5 2 2 2" xfId="28326"/>
    <cellStyle name="40% - Accent5 2 2 2 2 5 2 3" xfId="22757"/>
    <cellStyle name="40% - Accent5 2 2 2 2 5 2 4" xfId="8721"/>
    <cellStyle name="40% - Accent5 2 2 2 2 5 3" xfId="11006"/>
    <cellStyle name="40% - Accent5 2 2 2 2 5 3 2" xfId="14629"/>
    <cellStyle name="40% - Accent5 2 2 2 2 5 3 2 2" xfId="25772"/>
    <cellStyle name="40% - Accent5 2 2 2 2 5 3 3" xfId="20203"/>
    <cellStyle name="40% - Accent5 2 2 2 2 5 4" xfId="13199"/>
    <cellStyle name="40% - Accent5 2 2 2 2 5 4 2" xfId="24342"/>
    <cellStyle name="40% - Accent5 2 2 2 2 5 5" xfId="18773"/>
    <cellStyle name="40% - Accent5 2 2 2 2 5 6" xfId="6167"/>
    <cellStyle name="40% - Accent5 2 2 2 2 6" xfId="2615"/>
    <cellStyle name="40% - Accent5 2 2 2 2 6 2" xfId="4724"/>
    <cellStyle name="40% - Accent5 2 2 2 2 6 2 2" xfId="17337"/>
    <cellStyle name="40% - Accent5 2 2 2 2 6 2 2 2" xfId="28480"/>
    <cellStyle name="40% - Accent5 2 2 2 2 6 2 3" xfId="22911"/>
    <cellStyle name="40% - Accent5 2 2 2 2 6 2 4" xfId="8875"/>
    <cellStyle name="40% - Accent5 2 2 2 2 6 3" xfId="11359"/>
    <cellStyle name="40% - Accent5 2 2 2 2 6 3 2" xfId="15268"/>
    <cellStyle name="40% - Accent5 2 2 2 2 6 3 2 2" xfId="26411"/>
    <cellStyle name="40% - Accent5 2 2 2 2 6 3 3" xfId="20842"/>
    <cellStyle name="40% - Accent5 2 2 2 2 6 4" xfId="13838"/>
    <cellStyle name="40% - Accent5 2 2 2 2 6 4 2" xfId="24981"/>
    <cellStyle name="40% - Accent5 2 2 2 2 6 5" xfId="19412"/>
    <cellStyle name="40% - Accent5 2 2 2 2 6 6" xfId="6806"/>
    <cellStyle name="40% - Accent5 2 2 2 2 7" xfId="3253"/>
    <cellStyle name="40% - Accent5 2 2 2 2 7 2" xfId="5362"/>
    <cellStyle name="40% - Accent5 2 2 2 2 7 2 2" xfId="17975"/>
    <cellStyle name="40% - Accent5 2 2 2 2 7 2 2 2" xfId="29118"/>
    <cellStyle name="40% - Accent5 2 2 2 2 7 2 3" xfId="23549"/>
    <cellStyle name="40% - Accent5 2 2 2 2 7 2 4" xfId="9513"/>
    <cellStyle name="40% - Accent5 2 2 2 2 7 3" xfId="15906"/>
    <cellStyle name="40% - Accent5 2 2 2 2 7 3 2" xfId="27049"/>
    <cellStyle name="40% - Accent5 2 2 2 2 7 4" xfId="21480"/>
    <cellStyle name="40% - Accent5 2 2 2 2 7 5" xfId="7444"/>
    <cellStyle name="40% - Accent5 2 2 2 2 8" xfId="3932"/>
    <cellStyle name="40% - Accent5 2 2 2 2 8 2" xfId="16545"/>
    <cellStyle name="40% - Accent5 2 2 2 2 8 2 2" xfId="27688"/>
    <cellStyle name="40% - Accent5 2 2 2 2 8 3" xfId="22119"/>
    <cellStyle name="40% - Accent5 2 2 2 2 8 4" xfId="8083"/>
    <cellStyle name="40% - Accent5 2 2 2 2 9" xfId="10286"/>
    <cellStyle name="40% - Accent5 2 2 2 2 9 2" xfId="14476"/>
    <cellStyle name="40% - Accent5 2 2 2 2 9 2 2" xfId="25619"/>
    <cellStyle name="40% - Accent5 2 2 2 2 9 3" xfId="20050"/>
    <cellStyle name="40% - Accent5 2 2 2 3" xfId="2228"/>
    <cellStyle name="40% - Accent5 2 2 2 3 2" xfId="2872"/>
    <cellStyle name="40% - Accent5 2 2 2 3 2 2" xfId="4981"/>
    <cellStyle name="40% - Accent5 2 2 2 3 2 2 2" xfId="17594"/>
    <cellStyle name="40% - Accent5 2 2 2 3 2 2 2 2" xfId="28737"/>
    <cellStyle name="40% - Accent5 2 2 2 3 2 2 3" xfId="23168"/>
    <cellStyle name="40% - Accent5 2 2 2 3 2 2 4" xfId="9132"/>
    <cellStyle name="40% - Accent5 2 2 2 3 2 3" xfId="10964"/>
    <cellStyle name="40% - Accent5 2 2 2 3 2 3 2" xfId="15525"/>
    <cellStyle name="40% - Accent5 2 2 2 3 2 3 2 2" xfId="26668"/>
    <cellStyle name="40% - Accent5 2 2 2 3 2 3 3" xfId="21099"/>
    <cellStyle name="40% - Accent5 2 2 2 3 2 4" xfId="14095"/>
    <cellStyle name="40% - Accent5 2 2 2 3 2 4 2" xfId="25238"/>
    <cellStyle name="40% - Accent5 2 2 2 3 2 5" xfId="19669"/>
    <cellStyle name="40% - Accent5 2 2 2 3 2 6" xfId="7063"/>
    <cellStyle name="40% - Accent5 2 2 2 3 3" xfId="3510"/>
    <cellStyle name="40% - Accent5 2 2 2 3 3 2" xfId="5619"/>
    <cellStyle name="40% - Accent5 2 2 2 3 3 2 2" xfId="18232"/>
    <cellStyle name="40% - Accent5 2 2 2 3 3 2 2 2" xfId="29375"/>
    <cellStyle name="40% - Accent5 2 2 2 3 3 2 3" xfId="23806"/>
    <cellStyle name="40% - Accent5 2 2 2 3 3 2 4" xfId="9770"/>
    <cellStyle name="40% - Accent5 2 2 2 3 3 3" xfId="16163"/>
    <cellStyle name="40% - Accent5 2 2 2 3 3 3 2" xfId="27306"/>
    <cellStyle name="40% - Accent5 2 2 2 3 3 4" xfId="21737"/>
    <cellStyle name="40% - Accent5 2 2 2 3 3 5" xfId="7701"/>
    <cellStyle name="40% - Accent5 2 2 2 3 4" xfId="4189"/>
    <cellStyle name="40% - Accent5 2 2 2 3 4 2" xfId="16802"/>
    <cellStyle name="40% - Accent5 2 2 2 3 4 2 2" xfId="27945"/>
    <cellStyle name="40% - Accent5 2 2 2 3 4 3" xfId="22376"/>
    <cellStyle name="40% - Accent5 2 2 2 3 4 4" xfId="8340"/>
    <cellStyle name="40% - Accent5 2 2 2 3 5" xfId="10969"/>
    <cellStyle name="40% - Accent5 2 2 2 3 5 2" xfId="14886"/>
    <cellStyle name="40% - Accent5 2 2 2 3 5 2 2" xfId="26029"/>
    <cellStyle name="40% - Accent5 2 2 2 3 5 3" xfId="20460"/>
    <cellStyle name="40% - Accent5 2 2 2 3 6" xfId="13456"/>
    <cellStyle name="40% - Accent5 2 2 2 3 6 2" xfId="24599"/>
    <cellStyle name="40% - Accent5 2 2 2 3 7" xfId="19030"/>
    <cellStyle name="40% - Accent5 2 2 2 3 8" xfId="6424"/>
    <cellStyle name="40% - Accent5 2 2 2 4" xfId="2036"/>
    <cellStyle name="40% - Accent5 2 2 2 4 2" xfId="2691"/>
    <cellStyle name="40% - Accent5 2 2 2 4 2 2" xfId="4800"/>
    <cellStyle name="40% - Accent5 2 2 2 4 2 2 2" xfId="17413"/>
    <cellStyle name="40% - Accent5 2 2 2 4 2 2 2 2" xfId="28556"/>
    <cellStyle name="40% - Accent5 2 2 2 4 2 2 3" xfId="22987"/>
    <cellStyle name="40% - Accent5 2 2 2 4 2 2 4" xfId="8951"/>
    <cellStyle name="40% - Accent5 2 2 2 4 2 3" xfId="11190"/>
    <cellStyle name="40% - Accent5 2 2 2 4 2 3 2" xfId="15344"/>
    <cellStyle name="40% - Accent5 2 2 2 4 2 3 2 2" xfId="26487"/>
    <cellStyle name="40% - Accent5 2 2 2 4 2 3 3" xfId="20918"/>
    <cellStyle name="40% - Accent5 2 2 2 4 2 4" xfId="13914"/>
    <cellStyle name="40% - Accent5 2 2 2 4 2 4 2" xfId="25057"/>
    <cellStyle name="40% - Accent5 2 2 2 4 2 5" xfId="19488"/>
    <cellStyle name="40% - Accent5 2 2 2 4 2 6" xfId="6882"/>
    <cellStyle name="40% - Accent5 2 2 2 4 3" xfId="3329"/>
    <cellStyle name="40% - Accent5 2 2 2 4 3 2" xfId="5438"/>
    <cellStyle name="40% - Accent5 2 2 2 4 3 2 2" xfId="18051"/>
    <cellStyle name="40% - Accent5 2 2 2 4 3 2 2 2" xfId="29194"/>
    <cellStyle name="40% - Accent5 2 2 2 4 3 2 3" xfId="23625"/>
    <cellStyle name="40% - Accent5 2 2 2 4 3 2 4" xfId="9589"/>
    <cellStyle name="40% - Accent5 2 2 2 4 3 3" xfId="15982"/>
    <cellStyle name="40% - Accent5 2 2 2 4 3 3 2" xfId="27125"/>
    <cellStyle name="40% - Accent5 2 2 2 4 3 4" xfId="21556"/>
    <cellStyle name="40% - Accent5 2 2 2 4 3 5" xfId="7520"/>
    <cellStyle name="40% - Accent5 2 2 2 4 4" xfId="4008"/>
    <cellStyle name="40% - Accent5 2 2 2 4 4 2" xfId="16621"/>
    <cellStyle name="40% - Accent5 2 2 2 4 4 2 2" xfId="27764"/>
    <cellStyle name="40% - Accent5 2 2 2 4 4 3" xfId="22195"/>
    <cellStyle name="40% - Accent5 2 2 2 4 4 4" xfId="8159"/>
    <cellStyle name="40% - Accent5 2 2 2 4 5" xfId="10537"/>
    <cellStyle name="40% - Accent5 2 2 2 4 5 2" xfId="14705"/>
    <cellStyle name="40% - Accent5 2 2 2 4 5 2 2" xfId="25848"/>
    <cellStyle name="40% - Accent5 2 2 2 4 5 3" xfId="20279"/>
    <cellStyle name="40% - Accent5 2 2 2 4 6" xfId="13275"/>
    <cellStyle name="40% - Accent5 2 2 2 4 6 2" xfId="24418"/>
    <cellStyle name="40% - Accent5 2 2 2 4 7" xfId="18849"/>
    <cellStyle name="40% - Accent5 2 2 2 4 8" xfId="6243"/>
    <cellStyle name="40% - Accent5 2 2 2 5" xfId="2383"/>
    <cellStyle name="40% - Accent5 2 2 2 5 2" xfId="3024"/>
    <cellStyle name="40% - Accent5 2 2 2 5 2 2" xfId="5133"/>
    <cellStyle name="40% - Accent5 2 2 2 5 2 2 2" xfId="17746"/>
    <cellStyle name="40% - Accent5 2 2 2 5 2 2 2 2" xfId="28889"/>
    <cellStyle name="40% - Accent5 2 2 2 5 2 2 3" xfId="23320"/>
    <cellStyle name="40% - Accent5 2 2 2 5 2 2 4" xfId="9284"/>
    <cellStyle name="40% - Accent5 2 2 2 5 2 3" xfId="10661"/>
    <cellStyle name="40% - Accent5 2 2 2 5 2 3 2" xfId="15677"/>
    <cellStyle name="40% - Accent5 2 2 2 5 2 3 2 2" xfId="26820"/>
    <cellStyle name="40% - Accent5 2 2 2 5 2 3 3" xfId="21251"/>
    <cellStyle name="40% - Accent5 2 2 2 5 2 4" xfId="14247"/>
    <cellStyle name="40% - Accent5 2 2 2 5 2 4 2" xfId="25390"/>
    <cellStyle name="40% - Accent5 2 2 2 5 2 5" xfId="19821"/>
    <cellStyle name="40% - Accent5 2 2 2 5 2 6" xfId="7215"/>
    <cellStyle name="40% - Accent5 2 2 2 5 3" xfId="3662"/>
    <cellStyle name="40% - Accent5 2 2 2 5 3 2" xfId="5771"/>
    <cellStyle name="40% - Accent5 2 2 2 5 3 2 2" xfId="18384"/>
    <cellStyle name="40% - Accent5 2 2 2 5 3 2 2 2" xfId="29527"/>
    <cellStyle name="40% - Accent5 2 2 2 5 3 2 3" xfId="23958"/>
    <cellStyle name="40% - Accent5 2 2 2 5 3 2 4" xfId="9922"/>
    <cellStyle name="40% - Accent5 2 2 2 5 3 3" xfId="16315"/>
    <cellStyle name="40% - Accent5 2 2 2 5 3 3 2" xfId="27458"/>
    <cellStyle name="40% - Accent5 2 2 2 5 3 4" xfId="21889"/>
    <cellStyle name="40% - Accent5 2 2 2 5 3 5" xfId="7853"/>
    <cellStyle name="40% - Accent5 2 2 2 5 4" xfId="4341"/>
    <cellStyle name="40% - Accent5 2 2 2 5 4 2" xfId="16954"/>
    <cellStyle name="40% - Accent5 2 2 2 5 4 2 2" xfId="28097"/>
    <cellStyle name="40% - Accent5 2 2 2 5 4 3" xfId="22528"/>
    <cellStyle name="40% - Accent5 2 2 2 5 4 4" xfId="8492"/>
    <cellStyle name="40% - Accent5 2 2 2 5 5" xfId="10703"/>
    <cellStyle name="40% - Accent5 2 2 2 5 5 2" xfId="15038"/>
    <cellStyle name="40% - Accent5 2 2 2 5 5 2 2" xfId="26181"/>
    <cellStyle name="40% - Accent5 2 2 2 5 5 3" xfId="20612"/>
    <cellStyle name="40% - Accent5 2 2 2 5 6" xfId="13608"/>
    <cellStyle name="40% - Accent5 2 2 2 5 6 2" xfId="24751"/>
    <cellStyle name="40% - Accent5 2 2 2 5 7" xfId="19182"/>
    <cellStyle name="40% - Accent5 2 2 2 5 8" xfId="6576"/>
    <cellStyle name="40% - Accent5 2 2 2 6" xfId="1846"/>
    <cellStyle name="40% - Accent5 2 2 2 6 2" xfId="4494"/>
    <cellStyle name="40% - Accent5 2 2 2 6 2 2" xfId="17107"/>
    <cellStyle name="40% - Accent5 2 2 2 6 2 2 2" xfId="28250"/>
    <cellStyle name="40% - Accent5 2 2 2 6 2 3" xfId="22681"/>
    <cellStyle name="40% - Accent5 2 2 2 6 2 4" xfId="8645"/>
    <cellStyle name="40% - Accent5 2 2 2 6 3" xfId="10440"/>
    <cellStyle name="40% - Accent5 2 2 2 6 3 2" xfId="14553"/>
    <cellStyle name="40% - Accent5 2 2 2 6 3 2 2" xfId="25696"/>
    <cellStyle name="40% - Accent5 2 2 2 6 3 3" xfId="20127"/>
    <cellStyle name="40% - Accent5 2 2 2 6 4" xfId="13123"/>
    <cellStyle name="40% - Accent5 2 2 2 6 4 2" xfId="24266"/>
    <cellStyle name="40% - Accent5 2 2 2 6 5" xfId="18697"/>
    <cellStyle name="40% - Accent5 2 2 2 6 6" xfId="6091"/>
    <cellStyle name="40% - Accent5 2 2 2 7" xfId="2539"/>
    <cellStyle name="40% - Accent5 2 2 2 7 2" xfId="4648"/>
    <cellStyle name="40% - Accent5 2 2 2 7 2 2" xfId="17261"/>
    <cellStyle name="40% - Accent5 2 2 2 7 2 2 2" xfId="28404"/>
    <cellStyle name="40% - Accent5 2 2 2 7 2 3" xfId="22835"/>
    <cellStyle name="40% - Accent5 2 2 2 7 2 4" xfId="8799"/>
    <cellStyle name="40% - Accent5 2 2 2 7 3" xfId="10348"/>
    <cellStyle name="40% - Accent5 2 2 2 7 3 2" xfId="15192"/>
    <cellStyle name="40% - Accent5 2 2 2 7 3 2 2" xfId="26335"/>
    <cellStyle name="40% - Accent5 2 2 2 7 3 3" xfId="20766"/>
    <cellStyle name="40% - Accent5 2 2 2 7 4" xfId="13762"/>
    <cellStyle name="40% - Accent5 2 2 2 7 4 2" xfId="24905"/>
    <cellStyle name="40% - Accent5 2 2 2 7 5" xfId="19336"/>
    <cellStyle name="40% - Accent5 2 2 2 7 6" xfId="6730"/>
    <cellStyle name="40% - Accent5 2 2 2 8" xfId="3177"/>
    <cellStyle name="40% - Accent5 2 2 2 8 2" xfId="5286"/>
    <cellStyle name="40% - Accent5 2 2 2 8 2 2" xfId="17899"/>
    <cellStyle name="40% - Accent5 2 2 2 8 2 2 2" xfId="29042"/>
    <cellStyle name="40% - Accent5 2 2 2 8 2 3" xfId="23473"/>
    <cellStyle name="40% - Accent5 2 2 2 8 2 4" xfId="9437"/>
    <cellStyle name="40% - Accent5 2 2 2 8 3" xfId="15830"/>
    <cellStyle name="40% - Accent5 2 2 2 8 3 2" xfId="26973"/>
    <cellStyle name="40% - Accent5 2 2 2 8 4" xfId="21404"/>
    <cellStyle name="40% - Accent5 2 2 2 8 5" xfId="7368"/>
    <cellStyle name="40% - Accent5 2 2 2 9" xfId="3856"/>
    <cellStyle name="40% - Accent5 2 2 2 9 2" xfId="16469"/>
    <cellStyle name="40% - Accent5 2 2 2 9 2 2" xfId="27612"/>
    <cellStyle name="40% - Accent5 2 2 2 9 3" xfId="22043"/>
    <cellStyle name="40% - Accent5 2 2 2 9 4" xfId="8007"/>
    <cellStyle name="40% - Accent5 2 2 3" xfId="308"/>
    <cellStyle name="40% - Accent5 2 2 3 10" xfId="13007"/>
    <cellStyle name="40% - Accent5 2 2 3 10 2" xfId="24151"/>
    <cellStyle name="40% - Accent5 2 2 3 11" xfId="18582"/>
    <cellStyle name="40% - Accent5 2 2 3 12" xfId="5975"/>
    <cellStyle name="40% - Accent5 2 2 3 2" xfId="2266"/>
    <cellStyle name="40% - Accent5 2 2 3 2 2" xfId="2910"/>
    <cellStyle name="40% - Accent5 2 2 3 2 2 2" xfId="5019"/>
    <cellStyle name="40% - Accent5 2 2 3 2 2 2 2" xfId="17632"/>
    <cellStyle name="40% - Accent5 2 2 3 2 2 2 2 2" xfId="28775"/>
    <cellStyle name="40% - Accent5 2 2 3 2 2 2 3" xfId="23206"/>
    <cellStyle name="40% - Accent5 2 2 3 2 2 2 4" xfId="9170"/>
    <cellStyle name="40% - Accent5 2 2 3 2 2 3" xfId="11317"/>
    <cellStyle name="40% - Accent5 2 2 3 2 2 3 2" xfId="15563"/>
    <cellStyle name="40% - Accent5 2 2 3 2 2 3 2 2" xfId="26706"/>
    <cellStyle name="40% - Accent5 2 2 3 2 2 3 3" xfId="21137"/>
    <cellStyle name="40% - Accent5 2 2 3 2 2 4" xfId="14133"/>
    <cellStyle name="40% - Accent5 2 2 3 2 2 4 2" xfId="25276"/>
    <cellStyle name="40% - Accent5 2 2 3 2 2 5" xfId="19707"/>
    <cellStyle name="40% - Accent5 2 2 3 2 2 6" xfId="7101"/>
    <cellStyle name="40% - Accent5 2 2 3 2 3" xfId="3548"/>
    <cellStyle name="40% - Accent5 2 2 3 2 3 2" xfId="5657"/>
    <cellStyle name="40% - Accent5 2 2 3 2 3 2 2" xfId="18270"/>
    <cellStyle name="40% - Accent5 2 2 3 2 3 2 2 2" xfId="29413"/>
    <cellStyle name="40% - Accent5 2 2 3 2 3 2 3" xfId="23844"/>
    <cellStyle name="40% - Accent5 2 2 3 2 3 2 4" xfId="9808"/>
    <cellStyle name="40% - Accent5 2 2 3 2 3 3" xfId="16201"/>
    <cellStyle name="40% - Accent5 2 2 3 2 3 3 2" xfId="27344"/>
    <cellStyle name="40% - Accent5 2 2 3 2 3 4" xfId="21775"/>
    <cellStyle name="40% - Accent5 2 2 3 2 3 5" xfId="7739"/>
    <cellStyle name="40% - Accent5 2 2 3 2 4" xfId="4227"/>
    <cellStyle name="40% - Accent5 2 2 3 2 4 2" xfId="16840"/>
    <cellStyle name="40% - Accent5 2 2 3 2 4 2 2" xfId="27983"/>
    <cellStyle name="40% - Accent5 2 2 3 2 4 3" xfId="22414"/>
    <cellStyle name="40% - Accent5 2 2 3 2 4 4" xfId="8378"/>
    <cellStyle name="40% - Accent5 2 2 3 2 5" xfId="10299"/>
    <cellStyle name="40% - Accent5 2 2 3 2 5 2" xfId="14924"/>
    <cellStyle name="40% - Accent5 2 2 3 2 5 2 2" xfId="26067"/>
    <cellStyle name="40% - Accent5 2 2 3 2 5 3" xfId="20498"/>
    <cellStyle name="40% - Accent5 2 2 3 2 6" xfId="13494"/>
    <cellStyle name="40% - Accent5 2 2 3 2 6 2" xfId="24637"/>
    <cellStyle name="40% - Accent5 2 2 3 2 7" xfId="19068"/>
    <cellStyle name="40% - Accent5 2 2 3 2 8" xfId="6462"/>
    <cellStyle name="40% - Accent5 2 2 3 3" xfId="2074"/>
    <cellStyle name="40% - Accent5 2 2 3 3 2" xfId="2729"/>
    <cellStyle name="40% - Accent5 2 2 3 3 2 2" xfId="4838"/>
    <cellStyle name="40% - Accent5 2 2 3 3 2 2 2" xfId="17451"/>
    <cellStyle name="40% - Accent5 2 2 3 3 2 2 2 2" xfId="28594"/>
    <cellStyle name="40% - Accent5 2 2 3 3 2 2 3" xfId="23025"/>
    <cellStyle name="40% - Accent5 2 2 3 3 2 2 4" xfId="8989"/>
    <cellStyle name="40% - Accent5 2 2 3 3 2 3" xfId="11216"/>
    <cellStyle name="40% - Accent5 2 2 3 3 2 3 2" xfId="15382"/>
    <cellStyle name="40% - Accent5 2 2 3 3 2 3 2 2" xfId="26525"/>
    <cellStyle name="40% - Accent5 2 2 3 3 2 3 3" xfId="20956"/>
    <cellStyle name="40% - Accent5 2 2 3 3 2 4" xfId="13952"/>
    <cellStyle name="40% - Accent5 2 2 3 3 2 4 2" xfId="25095"/>
    <cellStyle name="40% - Accent5 2 2 3 3 2 5" xfId="19526"/>
    <cellStyle name="40% - Accent5 2 2 3 3 2 6" xfId="6920"/>
    <cellStyle name="40% - Accent5 2 2 3 3 3" xfId="3367"/>
    <cellStyle name="40% - Accent5 2 2 3 3 3 2" xfId="5476"/>
    <cellStyle name="40% - Accent5 2 2 3 3 3 2 2" xfId="18089"/>
    <cellStyle name="40% - Accent5 2 2 3 3 3 2 2 2" xfId="29232"/>
    <cellStyle name="40% - Accent5 2 2 3 3 3 2 3" xfId="23663"/>
    <cellStyle name="40% - Accent5 2 2 3 3 3 2 4" xfId="9627"/>
    <cellStyle name="40% - Accent5 2 2 3 3 3 3" xfId="16020"/>
    <cellStyle name="40% - Accent5 2 2 3 3 3 3 2" xfId="27163"/>
    <cellStyle name="40% - Accent5 2 2 3 3 3 4" xfId="21594"/>
    <cellStyle name="40% - Accent5 2 2 3 3 3 5" xfId="7558"/>
    <cellStyle name="40% - Accent5 2 2 3 3 4" xfId="4046"/>
    <cellStyle name="40% - Accent5 2 2 3 3 4 2" xfId="16659"/>
    <cellStyle name="40% - Accent5 2 2 3 3 4 2 2" xfId="27802"/>
    <cellStyle name="40% - Accent5 2 2 3 3 4 3" xfId="22233"/>
    <cellStyle name="40% - Accent5 2 2 3 3 4 4" xfId="8197"/>
    <cellStyle name="40% - Accent5 2 2 3 3 5" xfId="10419"/>
    <cellStyle name="40% - Accent5 2 2 3 3 5 2" xfId="14743"/>
    <cellStyle name="40% - Accent5 2 2 3 3 5 2 2" xfId="25886"/>
    <cellStyle name="40% - Accent5 2 2 3 3 5 3" xfId="20317"/>
    <cellStyle name="40% - Accent5 2 2 3 3 6" xfId="13313"/>
    <cellStyle name="40% - Accent5 2 2 3 3 6 2" xfId="24456"/>
    <cellStyle name="40% - Accent5 2 2 3 3 7" xfId="18887"/>
    <cellStyle name="40% - Accent5 2 2 3 3 8" xfId="6281"/>
    <cellStyle name="40% - Accent5 2 2 3 4" xfId="2421"/>
    <cellStyle name="40% - Accent5 2 2 3 4 2" xfId="3062"/>
    <cellStyle name="40% - Accent5 2 2 3 4 2 2" xfId="5171"/>
    <cellStyle name="40% - Accent5 2 2 3 4 2 2 2" xfId="17784"/>
    <cellStyle name="40% - Accent5 2 2 3 4 2 2 2 2" xfId="28927"/>
    <cellStyle name="40% - Accent5 2 2 3 4 2 2 3" xfId="23358"/>
    <cellStyle name="40% - Accent5 2 2 3 4 2 2 4" xfId="9322"/>
    <cellStyle name="40% - Accent5 2 2 3 4 2 3" xfId="10910"/>
    <cellStyle name="40% - Accent5 2 2 3 4 2 3 2" xfId="15715"/>
    <cellStyle name="40% - Accent5 2 2 3 4 2 3 2 2" xfId="26858"/>
    <cellStyle name="40% - Accent5 2 2 3 4 2 3 3" xfId="21289"/>
    <cellStyle name="40% - Accent5 2 2 3 4 2 4" xfId="14285"/>
    <cellStyle name="40% - Accent5 2 2 3 4 2 4 2" xfId="25428"/>
    <cellStyle name="40% - Accent5 2 2 3 4 2 5" xfId="19859"/>
    <cellStyle name="40% - Accent5 2 2 3 4 2 6" xfId="7253"/>
    <cellStyle name="40% - Accent5 2 2 3 4 3" xfId="3700"/>
    <cellStyle name="40% - Accent5 2 2 3 4 3 2" xfId="5809"/>
    <cellStyle name="40% - Accent5 2 2 3 4 3 2 2" xfId="18422"/>
    <cellStyle name="40% - Accent5 2 2 3 4 3 2 2 2" xfId="29565"/>
    <cellStyle name="40% - Accent5 2 2 3 4 3 2 3" xfId="23996"/>
    <cellStyle name="40% - Accent5 2 2 3 4 3 2 4" xfId="9960"/>
    <cellStyle name="40% - Accent5 2 2 3 4 3 3" xfId="16353"/>
    <cellStyle name="40% - Accent5 2 2 3 4 3 3 2" xfId="27496"/>
    <cellStyle name="40% - Accent5 2 2 3 4 3 4" xfId="21927"/>
    <cellStyle name="40% - Accent5 2 2 3 4 3 5" xfId="7891"/>
    <cellStyle name="40% - Accent5 2 2 3 4 4" xfId="4379"/>
    <cellStyle name="40% - Accent5 2 2 3 4 4 2" xfId="16992"/>
    <cellStyle name="40% - Accent5 2 2 3 4 4 2 2" xfId="28135"/>
    <cellStyle name="40% - Accent5 2 2 3 4 4 3" xfId="22566"/>
    <cellStyle name="40% - Accent5 2 2 3 4 4 4" xfId="8530"/>
    <cellStyle name="40% - Accent5 2 2 3 4 5" xfId="11268"/>
    <cellStyle name="40% - Accent5 2 2 3 4 5 2" xfId="15076"/>
    <cellStyle name="40% - Accent5 2 2 3 4 5 2 2" xfId="26219"/>
    <cellStyle name="40% - Accent5 2 2 3 4 5 3" xfId="20650"/>
    <cellStyle name="40% - Accent5 2 2 3 4 6" xfId="13646"/>
    <cellStyle name="40% - Accent5 2 2 3 4 6 2" xfId="24789"/>
    <cellStyle name="40% - Accent5 2 2 3 4 7" xfId="19220"/>
    <cellStyle name="40% - Accent5 2 2 3 4 8" xfId="6614"/>
    <cellStyle name="40% - Accent5 2 2 3 5" xfId="1884"/>
    <cellStyle name="40% - Accent5 2 2 3 5 2" xfId="4532"/>
    <cellStyle name="40% - Accent5 2 2 3 5 2 2" xfId="17145"/>
    <cellStyle name="40% - Accent5 2 2 3 5 2 2 2" xfId="28288"/>
    <cellStyle name="40% - Accent5 2 2 3 5 2 3" xfId="22719"/>
    <cellStyle name="40% - Accent5 2 2 3 5 2 4" xfId="8683"/>
    <cellStyle name="40% - Accent5 2 2 3 5 3" xfId="11014"/>
    <cellStyle name="40% - Accent5 2 2 3 5 3 2" xfId="14591"/>
    <cellStyle name="40% - Accent5 2 2 3 5 3 2 2" xfId="25734"/>
    <cellStyle name="40% - Accent5 2 2 3 5 3 3" xfId="20165"/>
    <cellStyle name="40% - Accent5 2 2 3 5 4" xfId="13161"/>
    <cellStyle name="40% - Accent5 2 2 3 5 4 2" xfId="24304"/>
    <cellStyle name="40% - Accent5 2 2 3 5 5" xfId="18735"/>
    <cellStyle name="40% - Accent5 2 2 3 5 6" xfId="6129"/>
    <cellStyle name="40% - Accent5 2 2 3 6" xfId="2577"/>
    <cellStyle name="40% - Accent5 2 2 3 6 2" xfId="4686"/>
    <cellStyle name="40% - Accent5 2 2 3 6 2 2" xfId="17299"/>
    <cellStyle name="40% - Accent5 2 2 3 6 2 2 2" xfId="28442"/>
    <cellStyle name="40% - Accent5 2 2 3 6 2 3" xfId="22873"/>
    <cellStyle name="40% - Accent5 2 2 3 6 2 4" xfId="8837"/>
    <cellStyle name="40% - Accent5 2 2 3 6 3" xfId="11316"/>
    <cellStyle name="40% - Accent5 2 2 3 6 3 2" xfId="15230"/>
    <cellStyle name="40% - Accent5 2 2 3 6 3 2 2" xfId="26373"/>
    <cellStyle name="40% - Accent5 2 2 3 6 3 3" xfId="20804"/>
    <cellStyle name="40% - Accent5 2 2 3 6 4" xfId="13800"/>
    <cellStyle name="40% - Accent5 2 2 3 6 4 2" xfId="24943"/>
    <cellStyle name="40% - Accent5 2 2 3 6 5" xfId="19374"/>
    <cellStyle name="40% - Accent5 2 2 3 6 6" xfId="6768"/>
    <cellStyle name="40% - Accent5 2 2 3 7" xfId="3215"/>
    <cellStyle name="40% - Accent5 2 2 3 7 2" xfId="5324"/>
    <cellStyle name="40% - Accent5 2 2 3 7 2 2" xfId="17937"/>
    <cellStyle name="40% - Accent5 2 2 3 7 2 2 2" xfId="29080"/>
    <cellStyle name="40% - Accent5 2 2 3 7 2 3" xfId="23511"/>
    <cellStyle name="40% - Accent5 2 2 3 7 2 4" xfId="9475"/>
    <cellStyle name="40% - Accent5 2 2 3 7 3" xfId="15868"/>
    <cellStyle name="40% - Accent5 2 2 3 7 3 2" xfId="27011"/>
    <cellStyle name="40% - Accent5 2 2 3 7 4" xfId="21442"/>
    <cellStyle name="40% - Accent5 2 2 3 7 5" xfId="7406"/>
    <cellStyle name="40% - Accent5 2 2 3 8" xfId="3894"/>
    <cellStyle name="40% - Accent5 2 2 3 8 2" xfId="16507"/>
    <cellStyle name="40% - Accent5 2 2 3 8 2 2" xfId="27650"/>
    <cellStyle name="40% - Accent5 2 2 3 8 3" xfId="22081"/>
    <cellStyle name="40% - Accent5 2 2 3 8 4" xfId="8045"/>
    <cellStyle name="40% - Accent5 2 2 3 9" xfId="10183"/>
    <cellStyle name="40% - Accent5 2 2 3 9 2" xfId="14438"/>
    <cellStyle name="40% - Accent5 2 2 3 9 2 2" xfId="25581"/>
    <cellStyle name="40% - Accent5 2 2 3 9 3" xfId="20012"/>
    <cellStyle name="40% - Accent5 2 2 4" xfId="2190"/>
    <cellStyle name="40% - Accent5 2 2 4 2" xfId="2834"/>
    <cellStyle name="40% - Accent5 2 2 4 2 2" xfId="4943"/>
    <cellStyle name="40% - Accent5 2 2 4 2 2 2" xfId="17556"/>
    <cellStyle name="40% - Accent5 2 2 4 2 2 2 2" xfId="28699"/>
    <cellStyle name="40% - Accent5 2 2 4 2 2 3" xfId="23130"/>
    <cellStyle name="40% - Accent5 2 2 4 2 2 4" xfId="9094"/>
    <cellStyle name="40% - Accent5 2 2 4 2 3" xfId="10544"/>
    <cellStyle name="40% - Accent5 2 2 4 2 3 2" xfId="15487"/>
    <cellStyle name="40% - Accent5 2 2 4 2 3 2 2" xfId="26630"/>
    <cellStyle name="40% - Accent5 2 2 4 2 3 3" xfId="21061"/>
    <cellStyle name="40% - Accent5 2 2 4 2 4" xfId="14057"/>
    <cellStyle name="40% - Accent5 2 2 4 2 4 2" xfId="25200"/>
    <cellStyle name="40% - Accent5 2 2 4 2 5" xfId="19631"/>
    <cellStyle name="40% - Accent5 2 2 4 2 6" xfId="7025"/>
    <cellStyle name="40% - Accent5 2 2 4 3" xfId="3472"/>
    <cellStyle name="40% - Accent5 2 2 4 3 2" xfId="5581"/>
    <cellStyle name="40% - Accent5 2 2 4 3 2 2" xfId="18194"/>
    <cellStyle name="40% - Accent5 2 2 4 3 2 2 2" xfId="29337"/>
    <cellStyle name="40% - Accent5 2 2 4 3 2 3" xfId="23768"/>
    <cellStyle name="40% - Accent5 2 2 4 3 2 4" xfId="9732"/>
    <cellStyle name="40% - Accent5 2 2 4 3 3" xfId="16125"/>
    <cellStyle name="40% - Accent5 2 2 4 3 3 2" xfId="27268"/>
    <cellStyle name="40% - Accent5 2 2 4 3 4" xfId="21699"/>
    <cellStyle name="40% - Accent5 2 2 4 3 5" xfId="7663"/>
    <cellStyle name="40% - Accent5 2 2 4 4" xfId="4151"/>
    <cellStyle name="40% - Accent5 2 2 4 4 2" xfId="16764"/>
    <cellStyle name="40% - Accent5 2 2 4 4 2 2" xfId="27907"/>
    <cellStyle name="40% - Accent5 2 2 4 4 3" xfId="22338"/>
    <cellStyle name="40% - Accent5 2 2 4 4 4" xfId="8302"/>
    <cellStyle name="40% - Accent5 2 2 4 5" xfId="10058"/>
    <cellStyle name="40% - Accent5 2 2 4 5 2" xfId="14848"/>
    <cellStyle name="40% - Accent5 2 2 4 5 2 2" xfId="25991"/>
    <cellStyle name="40% - Accent5 2 2 4 5 3" xfId="20422"/>
    <cellStyle name="40% - Accent5 2 2 4 6" xfId="13418"/>
    <cellStyle name="40% - Accent5 2 2 4 6 2" xfId="24561"/>
    <cellStyle name="40% - Accent5 2 2 4 7" xfId="18992"/>
    <cellStyle name="40% - Accent5 2 2 4 8" xfId="6386"/>
    <cellStyle name="40% - Accent5 2 2 5" xfId="1998"/>
    <cellStyle name="40% - Accent5 2 2 5 2" xfId="2653"/>
    <cellStyle name="40% - Accent5 2 2 5 2 2" xfId="4762"/>
    <cellStyle name="40% - Accent5 2 2 5 2 2 2" xfId="17375"/>
    <cellStyle name="40% - Accent5 2 2 5 2 2 2 2" xfId="28518"/>
    <cellStyle name="40% - Accent5 2 2 5 2 2 3" xfId="22949"/>
    <cellStyle name="40% - Accent5 2 2 5 2 2 4" xfId="8913"/>
    <cellStyle name="40% - Accent5 2 2 5 2 3" xfId="10243"/>
    <cellStyle name="40% - Accent5 2 2 5 2 3 2" xfId="15306"/>
    <cellStyle name="40% - Accent5 2 2 5 2 3 2 2" xfId="26449"/>
    <cellStyle name="40% - Accent5 2 2 5 2 3 3" xfId="20880"/>
    <cellStyle name="40% - Accent5 2 2 5 2 4" xfId="13876"/>
    <cellStyle name="40% - Accent5 2 2 5 2 4 2" xfId="25019"/>
    <cellStyle name="40% - Accent5 2 2 5 2 5" xfId="19450"/>
    <cellStyle name="40% - Accent5 2 2 5 2 6" xfId="6844"/>
    <cellStyle name="40% - Accent5 2 2 5 3" xfId="3291"/>
    <cellStyle name="40% - Accent5 2 2 5 3 2" xfId="5400"/>
    <cellStyle name="40% - Accent5 2 2 5 3 2 2" xfId="18013"/>
    <cellStyle name="40% - Accent5 2 2 5 3 2 2 2" xfId="29156"/>
    <cellStyle name="40% - Accent5 2 2 5 3 2 3" xfId="23587"/>
    <cellStyle name="40% - Accent5 2 2 5 3 2 4" xfId="9551"/>
    <cellStyle name="40% - Accent5 2 2 5 3 3" xfId="15944"/>
    <cellStyle name="40% - Accent5 2 2 5 3 3 2" xfId="27087"/>
    <cellStyle name="40% - Accent5 2 2 5 3 4" xfId="21518"/>
    <cellStyle name="40% - Accent5 2 2 5 3 5" xfId="7482"/>
    <cellStyle name="40% - Accent5 2 2 5 4" xfId="3970"/>
    <cellStyle name="40% - Accent5 2 2 5 4 2" xfId="16583"/>
    <cellStyle name="40% - Accent5 2 2 5 4 2 2" xfId="27726"/>
    <cellStyle name="40% - Accent5 2 2 5 4 3" xfId="22157"/>
    <cellStyle name="40% - Accent5 2 2 5 4 4" xfId="8121"/>
    <cellStyle name="40% - Accent5 2 2 5 5" xfId="10878"/>
    <cellStyle name="40% - Accent5 2 2 5 5 2" xfId="14667"/>
    <cellStyle name="40% - Accent5 2 2 5 5 2 2" xfId="25810"/>
    <cellStyle name="40% - Accent5 2 2 5 5 3" xfId="20241"/>
    <cellStyle name="40% - Accent5 2 2 5 6" xfId="13237"/>
    <cellStyle name="40% - Accent5 2 2 5 6 2" xfId="24380"/>
    <cellStyle name="40% - Accent5 2 2 5 7" xfId="18811"/>
    <cellStyle name="40% - Accent5 2 2 5 8" xfId="6205"/>
    <cellStyle name="40% - Accent5 2 2 6" xfId="2345"/>
    <cellStyle name="40% - Accent5 2 2 6 2" xfId="2986"/>
    <cellStyle name="40% - Accent5 2 2 6 2 2" xfId="5095"/>
    <cellStyle name="40% - Accent5 2 2 6 2 2 2" xfId="17708"/>
    <cellStyle name="40% - Accent5 2 2 6 2 2 2 2" xfId="28851"/>
    <cellStyle name="40% - Accent5 2 2 6 2 2 3" xfId="23282"/>
    <cellStyle name="40% - Accent5 2 2 6 2 2 4" xfId="9246"/>
    <cellStyle name="40% - Accent5 2 2 6 2 3" xfId="10030"/>
    <cellStyle name="40% - Accent5 2 2 6 2 3 2" xfId="15639"/>
    <cellStyle name="40% - Accent5 2 2 6 2 3 2 2" xfId="26782"/>
    <cellStyle name="40% - Accent5 2 2 6 2 3 3" xfId="21213"/>
    <cellStyle name="40% - Accent5 2 2 6 2 4" xfId="14209"/>
    <cellStyle name="40% - Accent5 2 2 6 2 4 2" xfId="25352"/>
    <cellStyle name="40% - Accent5 2 2 6 2 5" xfId="19783"/>
    <cellStyle name="40% - Accent5 2 2 6 2 6" xfId="7177"/>
    <cellStyle name="40% - Accent5 2 2 6 3" xfId="3624"/>
    <cellStyle name="40% - Accent5 2 2 6 3 2" xfId="5733"/>
    <cellStyle name="40% - Accent5 2 2 6 3 2 2" xfId="18346"/>
    <cellStyle name="40% - Accent5 2 2 6 3 2 2 2" xfId="29489"/>
    <cellStyle name="40% - Accent5 2 2 6 3 2 3" xfId="23920"/>
    <cellStyle name="40% - Accent5 2 2 6 3 2 4" xfId="9884"/>
    <cellStyle name="40% - Accent5 2 2 6 3 3" xfId="16277"/>
    <cellStyle name="40% - Accent5 2 2 6 3 3 2" xfId="27420"/>
    <cellStyle name="40% - Accent5 2 2 6 3 4" xfId="21851"/>
    <cellStyle name="40% - Accent5 2 2 6 3 5" xfId="7815"/>
    <cellStyle name="40% - Accent5 2 2 6 4" xfId="4303"/>
    <cellStyle name="40% - Accent5 2 2 6 4 2" xfId="16916"/>
    <cellStyle name="40% - Accent5 2 2 6 4 2 2" xfId="28059"/>
    <cellStyle name="40% - Accent5 2 2 6 4 3" xfId="22490"/>
    <cellStyle name="40% - Accent5 2 2 6 4 4" xfId="8454"/>
    <cellStyle name="40% - Accent5 2 2 6 5" xfId="10130"/>
    <cellStyle name="40% - Accent5 2 2 6 5 2" xfId="15000"/>
    <cellStyle name="40% - Accent5 2 2 6 5 2 2" xfId="26143"/>
    <cellStyle name="40% - Accent5 2 2 6 5 3" xfId="20574"/>
    <cellStyle name="40% - Accent5 2 2 6 6" xfId="13570"/>
    <cellStyle name="40% - Accent5 2 2 6 6 2" xfId="24713"/>
    <cellStyle name="40% - Accent5 2 2 6 7" xfId="19144"/>
    <cellStyle name="40% - Accent5 2 2 6 8" xfId="6538"/>
    <cellStyle name="40% - Accent5 2 2 7" xfId="1808"/>
    <cellStyle name="40% - Accent5 2 2 7 2" xfId="4456"/>
    <cellStyle name="40% - Accent5 2 2 7 2 2" xfId="17069"/>
    <cellStyle name="40% - Accent5 2 2 7 2 2 2" xfId="28212"/>
    <cellStyle name="40% - Accent5 2 2 7 2 3" xfId="22643"/>
    <cellStyle name="40% - Accent5 2 2 7 2 4" xfId="8607"/>
    <cellStyle name="40% - Accent5 2 2 7 3" xfId="10481"/>
    <cellStyle name="40% - Accent5 2 2 7 3 2" xfId="14515"/>
    <cellStyle name="40% - Accent5 2 2 7 3 2 2" xfId="25658"/>
    <cellStyle name="40% - Accent5 2 2 7 3 3" xfId="20089"/>
    <cellStyle name="40% - Accent5 2 2 7 4" xfId="13085"/>
    <cellStyle name="40% - Accent5 2 2 7 4 2" xfId="24228"/>
    <cellStyle name="40% - Accent5 2 2 7 5" xfId="18659"/>
    <cellStyle name="40% - Accent5 2 2 7 6" xfId="6053"/>
    <cellStyle name="40% - Accent5 2 2 8" xfId="2501"/>
    <cellStyle name="40% - Accent5 2 2 8 2" xfId="4610"/>
    <cellStyle name="40% - Accent5 2 2 8 2 2" xfId="17223"/>
    <cellStyle name="40% - Accent5 2 2 8 2 2 2" xfId="28366"/>
    <cellStyle name="40% - Accent5 2 2 8 2 3" xfId="22797"/>
    <cellStyle name="40% - Accent5 2 2 8 2 4" xfId="8761"/>
    <cellStyle name="40% - Accent5 2 2 8 3" xfId="11156"/>
    <cellStyle name="40% - Accent5 2 2 8 3 2" xfId="15154"/>
    <cellStyle name="40% - Accent5 2 2 8 3 2 2" xfId="26297"/>
    <cellStyle name="40% - Accent5 2 2 8 3 3" xfId="20728"/>
    <cellStyle name="40% - Accent5 2 2 8 4" xfId="13724"/>
    <cellStyle name="40% - Accent5 2 2 8 4 2" xfId="24867"/>
    <cellStyle name="40% - Accent5 2 2 8 5" xfId="19298"/>
    <cellStyle name="40% - Accent5 2 2 8 6" xfId="6692"/>
    <cellStyle name="40% - Accent5 2 2 9" xfId="3139"/>
    <cellStyle name="40% - Accent5 2 2 9 2" xfId="5248"/>
    <cellStyle name="40% - Accent5 2 2 9 2 2" xfId="17861"/>
    <cellStyle name="40% - Accent5 2 2 9 2 2 2" xfId="29004"/>
    <cellStyle name="40% - Accent5 2 2 9 2 3" xfId="23435"/>
    <cellStyle name="40% - Accent5 2 2 9 2 4" xfId="9399"/>
    <cellStyle name="40% - Accent5 2 2 9 3" xfId="15792"/>
    <cellStyle name="40% - Accent5 2 2 9 3 2" xfId="26935"/>
    <cellStyle name="40% - Accent5 2 2 9 4" xfId="21366"/>
    <cellStyle name="40% - Accent5 2 2 9 5" xfId="7330"/>
    <cellStyle name="40% - Accent5 2 3" xfId="251"/>
    <cellStyle name="40% - Accent5 2 3 10" xfId="10681"/>
    <cellStyle name="40% - Accent5 2 3 10 2" xfId="14381"/>
    <cellStyle name="40% - Accent5 2 3 10 2 2" xfId="25524"/>
    <cellStyle name="40% - Accent5 2 3 10 3" xfId="19955"/>
    <cellStyle name="40% - Accent5 2 3 11" xfId="12950"/>
    <cellStyle name="40% - Accent5 2 3 11 2" xfId="24094"/>
    <cellStyle name="40% - Accent5 2 3 12" xfId="18525"/>
    <cellStyle name="40% - Accent5 2 3 13" xfId="5918"/>
    <cellStyle name="40% - Accent5 2 3 2" xfId="327"/>
    <cellStyle name="40% - Accent5 2 3 2 10" xfId="13026"/>
    <cellStyle name="40% - Accent5 2 3 2 10 2" xfId="24170"/>
    <cellStyle name="40% - Accent5 2 3 2 11" xfId="18601"/>
    <cellStyle name="40% - Accent5 2 3 2 12" xfId="5994"/>
    <cellStyle name="40% - Accent5 2 3 2 2" xfId="2285"/>
    <cellStyle name="40% - Accent5 2 3 2 2 2" xfId="2929"/>
    <cellStyle name="40% - Accent5 2 3 2 2 2 2" xfId="5038"/>
    <cellStyle name="40% - Accent5 2 3 2 2 2 2 2" xfId="17651"/>
    <cellStyle name="40% - Accent5 2 3 2 2 2 2 2 2" xfId="28794"/>
    <cellStyle name="40% - Accent5 2 3 2 2 2 2 3" xfId="23225"/>
    <cellStyle name="40% - Accent5 2 3 2 2 2 2 4" xfId="9189"/>
    <cellStyle name="40% - Accent5 2 3 2 2 2 3" xfId="10985"/>
    <cellStyle name="40% - Accent5 2 3 2 2 2 3 2" xfId="15582"/>
    <cellStyle name="40% - Accent5 2 3 2 2 2 3 2 2" xfId="26725"/>
    <cellStyle name="40% - Accent5 2 3 2 2 2 3 3" xfId="21156"/>
    <cellStyle name="40% - Accent5 2 3 2 2 2 4" xfId="14152"/>
    <cellStyle name="40% - Accent5 2 3 2 2 2 4 2" xfId="25295"/>
    <cellStyle name="40% - Accent5 2 3 2 2 2 5" xfId="19726"/>
    <cellStyle name="40% - Accent5 2 3 2 2 2 6" xfId="7120"/>
    <cellStyle name="40% - Accent5 2 3 2 2 3" xfId="3567"/>
    <cellStyle name="40% - Accent5 2 3 2 2 3 2" xfId="5676"/>
    <cellStyle name="40% - Accent5 2 3 2 2 3 2 2" xfId="18289"/>
    <cellStyle name="40% - Accent5 2 3 2 2 3 2 2 2" xfId="29432"/>
    <cellStyle name="40% - Accent5 2 3 2 2 3 2 3" xfId="23863"/>
    <cellStyle name="40% - Accent5 2 3 2 2 3 2 4" xfId="9827"/>
    <cellStyle name="40% - Accent5 2 3 2 2 3 3" xfId="16220"/>
    <cellStyle name="40% - Accent5 2 3 2 2 3 3 2" xfId="27363"/>
    <cellStyle name="40% - Accent5 2 3 2 2 3 4" xfId="21794"/>
    <cellStyle name="40% - Accent5 2 3 2 2 3 5" xfId="7758"/>
    <cellStyle name="40% - Accent5 2 3 2 2 4" xfId="4246"/>
    <cellStyle name="40% - Accent5 2 3 2 2 4 2" xfId="16859"/>
    <cellStyle name="40% - Accent5 2 3 2 2 4 2 2" xfId="28002"/>
    <cellStyle name="40% - Accent5 2 3 2 2 4 3" xfId="22433"/>
    <cellStyle name="40% - Accent5 2 3 2 2 4 4" xfId="8397"/>
    <cellStyle name="40% - Accent5 2 3 2 2 5" xfId="10341"/>
    <cellStyle name="40% - Accent5 2 3 2 2 5 2" xfId="14943"/>
    <cellStyle name="40% - Accent5 2 3 2 2 5 2 2" xfId="26086"/>
    <cellStyle name="40% - Accent5 2 3 2 2 5 3" xfId="20517"/>
    <cellStyle name="40% - Accent5 2 3 2 2 6" xfId="13513"/>
    <cellStyle name="40% - Accent5 2 3 2 2 6 2" xfId="24656"/>
    <cellStyle name="40% - Accent5 2 3 2 2 7" xfId="19087"/>
    <cellStyle name="40% - Accent5 2 3 2 2 8" xfId="6481"/>
    <cellStyle name="40% - Accent5 2 3 2 3" xfId="2093"/>
    <cellStyle name="40% - Accent5 2 3 2 3 2" xfId="2748"/>
    <cellStyle name="40% - Accent5 2 3 2 3 2 2" xfId="4857"/>
    <cellStyle name="40% - Accent5 2 3 2 3 2 2 2" xfId="17470"/>
    <cellStyle name="40% - Accent5 2 3 2 3 2 2 2 2" xfId="28613"/>
    <cellStyle name="40% - Accent5 2 3 2 3 2 2 3" xfId="23044"/>
    <cellStyle name="40% - Accent5 2 3 2 3 2 2 4" xfId="9008"/>
    <cellStyle name="40% - Accent5 2 3 2 3 2 3" xfId="10316"/>
    <cellStyle name="40% - Accent5 2 3 2 3 2 3 2" xfId="15401"/>
    <cellStyle name="40% - Accent5 2 3 2 3 2 3 2 2" xfId="26544"/>
    <cellStyle name="40% - Accent5 2 3 2 3 2 3 3" xfId="20975"/>
    <cellStyle name="40% - Accent5 2 3 2 3 2 4" xfId="13971"/>
    <cellStyle name="40% - Accent5 2 3 2 3 2 4 2" xfId="25114"/>
    <cellStyle name="40% - Accent5 2 3 2 3 2 5" xfId="19545"/>
    <cellStyle name="40% - Accent5 2 3 2 3 2 6" xfId="6939"/>
    <cellStyle name="40% - Accent5 2 3 2 3 3" xfId="3386"/>
    <cellStyle name="40% - Accent5 2 3 2 3 3 2" xfId="5495"/>
    <cellStyle name="40% - Accent5 2 3 2 3 3 2 2" xfId="18108"/>
    <cellStyle name="40% - Accent5 2 3 2 3 3 2 2 2" xfId="29251"/>
    <cellStyle name="40% - Accent5 2 3 2 3 3 2 3" xfId="23682"/>
    <cellStyle name="40% - Accent5 2 3 2 3 3 2 4" xfId="9646"/>
    <cellStyle name="40% - Accent5 2 3 2 3 3 3" xfId="16039"/>
    <cellStyle name="40% - Accent5 2 3 2 3 3 3 2" xfId="27182"/>
    <cellStyle name="40% - Accent5 2 3 2 3 3 4" xfId="21613"/>
    <cellStyle name="40% - Accent5 2 3 2 3 3 5" xfId="7577"/>
    <cellStyle name="40% - Accent5 2 3 2 3 4" xfId="4065"/>
    <cellStyle name="40% - Accent5 2 3 2 3 4 2" xfId="16678"/>
    <cellStyle name="40% - Accent5 2 3 2 3 4 2 2" xfId="27821"/>
    <cellStyle name="40% - Accent5 2 3 2 3 4 3" xfId="22252"/>
    <cellStyle name="40% - Accent5 2 3 2 3 4 4" xfId="8216"/>
    <cellStyle name="40% - Accent5 2 3 2 3 5" xfId="11307"/>
    <cellStyle name="40% - Accent5 2 3 2 3 5 2" xfId="14762"/>
    <cellStyle name="40% - Accent5 2 3 2 3 5 2 2" xfId="25905"/>
    <cellStyle name="40% - Accent5 2 3 2 3 5 3" xfId="20336"/>
    <cellStyle name="40% - Accent5 2 3 2 3 6" xfId="13332"/>
    <cellStyle name="40% - Accent5 2 3 2 3 6 2" xfId="24475"/>
    <cellStyle name="40% - Accent5 2 3 2 3 7" xfId="18906"/>
    <cellStyle name="40% - Accent5 2 3 2 3 8" xfId="6300"/>
    <cellStyle name="40% - Accent5 2 3 2 4" xfId="2440"/>
    <cellStyle name="40% - Accent5 2 3 2 4 2" xfId="3081"/>
    <cellStyle name="40% - Accent5 2 3 2 4 2 2" xfId="5190"/>
    <cellStyle name="40% - Accent5 2 3 2 4 2 2 2" xfId="17803"/>
    <cellStyle name="40% - Accent5 2 3 2 4 2 2 2 2" xfId="28946"/>
    <cellStyle name="40% - Accent5 2 3 2 4 2 2 3" xfId="23377"/>
    <cellStyle name="40% - Accent5 2 3 2 4 2 2 4" xfId="9341"/>
    <cellStyle name="40% - Accent5 2 3 2 4 2 3" xfId="10382"/>
    <cellStyle name="40% - Accent5 2 3 2 4 2 3 2" xfId="15734"/>
    <cellStyle name="40% - Accent5 2 3 2 4 2 3 2 2" xfId="26877"/>
    <cellStyle name="40% - Accent5 2 3 2 4 2 3 3" xfId="21308"/>
    <cellStyle name="40% - Accent5 2 3 2 4 2 4" xfId="14304"/>
    <cellStyle name="40% - Accent5 2 3 2 4 2 4 2" xfId="25447"/>
    <cellStyle name="40% - Accent5 2 3 2 4 2 5" xfId="19878"/>
    <cellStyle name="40% - Accent5 2 3 2 4 2 6" xfId="7272"/>
    <cellStyle name="40% - Accent5 2 3 2 4 3" xfId="3719"/>
    <cellStyle name="40% - Accent5 2 3 2 4 3 2" xfId="5828"/>
    <cellStyle name="40% - Accent5 2 3 2 4 3 2 2" xfId="18441"/>
    <cellStyle name="40% - Accent5 2 3 2 4 3 2 2 2" xfId="29584"/>
    <cellStyle name="40% - Accent5 2 3 2 4 3 2 3" xfId="24015"/>
    <cellStyle name="40% - Accent5 2 3 2 4 3 2 4" xfId="9979"/>
    <cellStyle name="40% - Accent5 2 3 2 4 3 3" xfId="16372"/>
    <cellStyle name="40% - Accent5 2 3 2 4 3 3 2" xfId="27515"/>
    <cellStyle name="40% - Accent5 2 3 2 4 3 4" xfId="21946"/>
    <cellStyle name="40% - Accent5 2 3 2 4 3 5" xfId="7910"/>
    <cellStyle name="40% - Accent5 2 3 2 4 4" xfId="4398"/>
    <cellStyle name="40% - Accent5 2 3 2 4 4 2" xfId="17011"/>
    <cellStyle name="40% - Accent5 2 3 2 4 4 2 2" xfId="28154"/>
    <cellStyle name="40% - Accent5 2 3 2 4 4 3" xfId="22585"/>
    <cellStyle name="40% - Accent5 2 3 2 4 4 4" xfId="8549"/>
    <cellStyle name="40% - Accent5 2 3 2 4 5" xfId="11269"/>
    <cellStyle name="40% - Accent5 2 3 2 4 5 2" xfId="15095"/>
    <cellStyle name="40% - Accent5 2 3 2 4 5 2 2" xfId="26238"/>
    <cellStyle name="40% - Accent5 2 3 2 4 5 3" xfId="20669"/>
    <cellStyle name="40% - Accent5 2 3 2 4 6" xfId="13665"/>
    <cellStyle name="40% - Accent5 2 3 2 4 6 2" xfId="24808"/>
    <cellStyle name="40% - Accent5 2 3 2 4 7" xfId="19239"/>
    <cellStyle name="40% - Accent5 2 3 2 4 8" xfId="6633"/>
    <cellStyle name="40% - Accent5 2 3 2 5" xfId="1903"/>
    <cellStyle name="40% - Accent5 2 3 2 5 2" xfId="4551"/>
    <cellStyle name="40% - Accent5 2 3 2 5 2 2" xfId="17164"/>
    <cellStyle name="40% - Accent5 2 3 2 5 2 2 2" xfId="28307"/>
    <cellStyle name="40% - Accent5 2 3 2 5 2 3" xfId="22738"/>
    <cellStyle name="40% - Accent5 2 3 2 5 2 4" xfId="8702"/>
    <cellStyle name="40% - Accent5 2 3 2 5 3" xfId="11129"/>
    <cellStyle name="40% - Accent5 2 3 2 5 3 2" xfId="14610"/>
    <cellStyle name="40% - Accent5 2 3 2 5 3 2 2" xfId="25753"/>
    <cellStyle name="40% - Accent5 2 3 2 5 3 3" xfId="20184"/>
    <cellStyle name="40% - Accent5 2 3 2 5 4" xfId="13180"/>
    <cellStyle name="40% - Accent5 2 3 2 5 4 2" xfId="24323"/>
    <cellStyle name="40% - Accent5 2 3 2 5 5" xfId="18754"/>
    <cellStyle name="40% - Accent5 2 3 2 5 6" xfId="6148"/>
    <cellStyle name="40% - Accent5 2 3 2 6" xfId="2596"/>
    <cellStyle name="40% - Accent5 2 3 2 6 2" xfId="4705"/>
    <cellStyle name="40% - Accent5 2 3 2 6 2 2" xfId="17318"/>
    <cellStyle name="40% - Accent5 2 3 2 6 2 2 2" xfId="28461"/>
    <cellStyle name="40% - Accent5 2 3 2 6 2 3" xfId="22892"/>
    <cellStyle name="40% - Accent5 2 3 2 6 2 4" xfId="8856"/>
    <cellStyle name="40% - Accent5 2 3 2 6 3" xfId="10499"/>
    <cellStyle name="40% - Accent5 2 3 2 6 3 2" xfId="15249"/>
    <cellStyle name="40% - Accent5 2 3 2 6 3 2 2" xfId="26392"/>
    <cellStyle name="40% - Accent5 2 3 2 6 3 3" xfId="20823"/>
    <cellStyle name="40% - Accent5 2 3 2 6 4" xfId="13819"/>
    <cellStyle name="40% - Accent5 2 3 2 6 4 2" xfId="24962"/>
    <cellStyle name="40% - Accent5 2 3 2 6 5" xfId="19393"/>
    <cellStyle name="40% - Accent5 2 3 2 6 6" xfId="6787"/>
    <cellStyle name="40% - Accent5 2 3 2 7" xfId="3234"/>
    <cellStyle name="40% - Accent5 2 3 2 7 2" xfId="5343"/>
    <cellStyle name="40% - Accent5 2 3 2 7 2 2" xfId="17956"/>
    <cellStyle name="40% - Accent5 2 3 2 7 2 2 2" xfId="29099"/>
    <cellStyle name="40% - Accent5 2 3 2 7 2 3" xfId="23530"/>
    <cellStyle name="40% - Accent5 2 3 2 7 2 4" xfId="9494"/>
    <cellStyle name="40% - Accent5 2 3 2 7 3" xfId="15887"/>
    <cellStyle name="40% - Accent5 2 3 2 7 3 2" xfId="27030"/>
    <cellStyle name="40% - Accent5 2 3 2 7 4" xfId="21461"/>
    <cellStyle name="40% - Accent5 2 3 2 7 5" xfId="7425"/>
    <cellStyle name="40% - Accent5 2 3 2 8" xfId="3913"/>
    <cellStyle name="40% - Accent5 2 3 2 8 2" xfId="16526"/>
    <cellStyle name="40% - Accent5 2 3 2 8 2 2" xfId="27669"/>
    <cellStyle name="40% - Accent5 2 3 2 8 3" xfId="22100"/>
    <cellStyle name="40% - Accent5 2 3 2 8 4" xfId="8064"/>
    <cellStyle name="40% - Accent5 2 3 2 9" xfId="11163"/>
    <cellStyle name="40% - Accent5 2 3 2 9 2" xfId="14457"/>
    <cellStyle name="40% - Accent5 2 3 2 9 2 2" xfId="25600"/>
    <cellStyle name="40% - Accent5 2 3 2 9 3" xfId="20031"/>
    <cellStyle name="40% - Accent5 2 3 3" xfId="2209"/>
    <cellStyle name="40% - Accent5 2 3 3 2" xfId="2853"/>
    <cellStyle name="40% - Accent5 2 3 3 2 2" xfId="4962"/>
    <cellStyle name="40% - Accent5 2 3 3 2 2 2" xfId="17575"/>
    <cellStyle name="40% - Accent5 2 3 3 2 2 2 2" xfId="28718"/>
    <cellStyle name="40% - Accent5 2 3 3 2 2 3" xfId="23149"/>
    <cellStyle name="40% - Accent5 2 3 3 2 2 4" xfId="9113"/>
    <cellStyle name="40% - Accent5 2 3 3 2 3" xfId="10251"/>
    <cellStyle name="40% - Accent5 2 3 3 2 3 2" xfId="15506"/>
    <cellStyle name="40% - Accent5 2 3 3 2 3 2 2" xfId="26649"/>
    <cellStyle name="40% - Accent5 2 3 3 2 3 3" xfId="21080"/>
    <cellStyle name="40% - Accent5 2 3 3 2 4" xfId="14076"/>
    <cellStyle name="40% - Accent5 2 3 3 2 4 2" xfId="25219"/>
    <cellStyle name="40% - Accent5 2 3 3 2 5" xfId="19650"/>
    <cellStyle name="40% - Accent5 2 3 3 2 6" xfId="7044"/>
    <cellStyle name="40% - Accent5 2 3 3 3" xfId="3491"/>
    <cellStyle name="40% - Accent5 2 3 3 3 2" xfId="5600"/>
    <cellStyle name="40% - Accent5 2 3 3 3 2 2" xfId="18213"/>
    <cellStyle name="40% - Accent5 2 3 3 3 2 2 2" xfId="29356"/>
    <cellStyle name="40% - Accent5 2 3 3 3 2 3" xfId="23787"/>
    <cellStyle name="40% - Accent5 2 3 3 3 2 4" xfId="9751"/>
    <cellStyle name="40% - Accent5 2 3 3 3 3" xfId="16144"/>
    <cellStyle name="40% - Accent5 2 3 3 3 3 2" xfId="27287"/>
    <cellStyle name="40% - Accent5 2 3 3 3 4" xfId="21718"/>
    <cellStyle name="40% - Accent5 2 3 3 3 5" xfId="7682"/>
    <cellStyle name="40% - Accent5 2 3 3 4" xfId="4170"/>
    <cellStyle name="40% - Accent5 2 3 3 4 2" xfId="16783"/>
    <cellStyle name="40% - Accent5 2 3 3 4 2 2" xfId="27926"/>
    <cellStyle name="40% - Accent5 2 3 3 4 3" xfId="22357"/>
    <cellStyle name="40% - Accent5 2 3 3 4 4" xfId="8321"/>
    <cellStyle name="40% - Accent5 2 3 3 5" xfId="10084"/>
    <cellStyle name="40% - Accent5 2 3 3 5 2" xfId="14867"/>
    <cellStyle name="40% - Accent5 2 3 3 5 2 2" xfId="26010"/>
    <cellStyle name="40% - Accent5 2 3 3 5 3" xfId="20441"/>
    <cellStyle name="40% - Accent5 2 3 3 6" xfId="13437"/>
    <cellStyle name="40% - Accent5 2 3 3 6 2" xfId="24580"/>
    <cellStyle name="40% - Accent5 2 3 3 7" xfId="19011"/>
    <cellStyle name="40% - Accent5 2 3 3 8" xfId="6405"/>
    <cellStyle name="40% - Accent5 2 3 4" xfId="2017"/>
    <cellStyle name="40% - Accent5 2 3 4 2" xfId="2672"/>
    <cellStyle name="40% - Accent5 2 3 4 2 2" xfId="4781"/>
    <cellStyle name="40% - Accent5 2 3 4 2 2 2" xfId="17394"/>
    <cellStyle name="40% - Accent5 2 3 4 2 2 2 2" xfId="28537"/>
    <cellStyle name="40% - Accent5 2 3 4 2 2 3" xfId="22968"/>
    <cellStyle name="40% - Accent5 2 3 4 2 2 4" xfId="8932"/>
    <cellStyle name="40% - Accent5 2 3 4 2 3" xfId="10874"/>
    <cellStyle name="40% - Accent5 2 3 4 2 3 2" xfId="15325"/>
    <cellStyle name="40% - Accent5 2 3 4 2 3 2 2" xfId="26468"/>
    <cellStyle name="40% - Accent5 2 3 4 2 3 3" xfId="20899"/>
    <cellStyle name="40% - Accent5 2 3 4 2 4" xfId="13895"/>
    <cellStyle name="40% - Accent5 2 3 4 2 4 2" xfId="25038"/>
    <cellStyle name="40% - Accent5 2 3 4 2 5" xfId="19469"/>
    <cellStyle name="40% - Accent5 2 3 4 2 6" xfId="6863"/>
    <cellStyle name="40% - Accent5 2 3 4 3" xfId="3310"/>
    <cellStyle name="40% - Accent5 2 3 4 3 2" xfId="5419"/>
    <cellStyle name="40% - Accent5 2 3 4 3 2 2" xfId="18032"/>
    <cellStyle name="40% - Accent5 2 3 4 3 2 2 2" xfId="29175"/>
    <cellStyle name="40% - Accent5 2 3 4 3 2 3" xfId="23606"/>
    <cellStyle name="40% - Accent5 2 3 4 3 2 4" xfId="9570"/>
    <cellStyle name="40% - Accent5 2 3 4 3 3" xfId="15963"/>
    <cellStyle name="40% - Accent5 2 3 4 3 3 2" xfId="27106"/>
    <cellStyle name="40% - Accent5 2 3 4 3 4" xfId="21537"/>
    <cellStyle name="40% - Accent5 2 3 4 3 5" xfId="7501"/>
    <cellStyle name="40% - Accent5 2 3 4 4" xfId="3989"/>
    <cellStyle name="40% - Accent5 2 3 4 4 2" xfId="16602"/>
    <cellStyle name="40% - Accent5 2 3 4 4 2 2" xfId="27745"/>
    <cellStyle name="40% - Accent5 2 3 4 4 3" xfId="22176"/>
    <cellStyle name="40% - Accent5 2 3 4 4 4" xfId="8140"/>
    <cellStyle name="40% - Accent5 2 3 4 5" xfId="10247"/>
    <cellStyle name="40% - Accent5 2 3 4 5 2" xfId="14686"/>
    <cellStyle name="40% - Accent5 2 3 4 5 2 2" xfId="25829"/>
    <cellStyle name="40% - Accent5 2 3 4 5 3" xfId="20260"/>
    <cellStyle name="40% - Accent5 2 3 4 6" xfId="13256"/>
    <cellStyle name="40% - Accent5 2 3 4 6 2" xfId="24399"/>
    <cellStyle name="40% - Accent5 2 3 4 7" xfId="18830"/>
    <cellStyle name="40% - Accent5 2 3 4 8" xfId="6224"/>
    <cellStyle name="40% - Accent5 2 3 5" xfId="2364"/>
    <cellStyle name="40% - Accent5 2 3 5 2" xfId="3005"/>
    <cellStyle name="40% - Accent5 2 3 5 2 2" xfId="5114"/>
    <cellStyle name="40% - Accent5 2 3 5 2 2 2" xfId="17727"/>
    <cellStyle name="40% - Accent5 2 3 5 2 2 2 2" xfId="28870"/>
    <cellStyle name="40% - Accent5 2 3 5 2 2 3" xfId="23301"/>
    <cellStyle name="40% - Accent5 2 3 5 2 2 4" xfId="9265"/>
    <cellStyle name="40% - Accent5 2 3 5 2 3" xfId="10326"/>
    <cellStyle name="40% - Accent5 2 3 5 2 3 2" xfId="15658"/>
    <cellStyle name="40% - Accent5 2 3 5 2 3 2 2" xfId="26801"/>
    <cellStyle name="40% - Accent5 2 3 5 2 3 3" xfId="21232"/>
    <cellStyle name="40% - Accent5 2 3 5 2 4" xfId="14228"/>
    <cellStyle name="40% - Accent5 2 3 5 2 4 2" xfId="25371"/>
    <cellStyle name="40% - Accent5 2 3 5 2 5" xfId="19802"/>
    <cellStyle name="40% - Accent5 2 3 5 2 6" xfId="7196"/>
    <cellStyle name="40% - Accent5 2 3 5 3" xfId="3643"/>
    <cellStyle name="40% - Accent5 2 3 5 3 2" xfId="5752"/>
    <cellStyle name="40% - Accent5 2 3 5 3 2 2" xfId="18365"/>
    <cellStyle name="40% - Accent5 2 3 5 3 2 2 2" xfId="29508"/>
    <cellStyle name="40% - Accent5 2 3 5 3 2 3" xfId="23939"/>
    <cellStyle name="40% - Accent5 2 3 5 3 2 4" xfId="9903"/>
    <cellStyle name="40% - Accent5 2 3 5 3 3" xfId="16296"/>
    <cellStyle name="40% - Accent5 2 3 5 3 3 2" xfId="27439"/>
    <cellStyle name="40% - Accent5 2 3 5 3 4" xfId="21870"/>
    <cellStyle name="40% - Accent5 2 3 5 3 5" xfId="7834"/>
    <cellStyle name="40% - Accent5 2 3 5 4" xfId="4322"/>
    <cellStyle name="40% - Accent5 2 3 5 4 2" xfId="16935"/>
    <cellStyle name="40% - Accent5 2 3 5 4 2 2" xfId="28078"/>
    <cellStyle name="40% - Accent5 2 3 5 4 3" xfId="22509"/>
    <cellStyle name="40% - Accent5 2 3 5 4 4" xfId="8473"/>
    <cellStyle name="40% - Accent5 2 3 5 5" xfId="10028"/>
    <cellStyle name="40% - Accent5 2 3 5 5 2" xfId="15019"/>
    <cellStyle name="40% - Accent5 2 3 5 5 2 2" xfId="26162"/>
    <cellStyle name="40% - Accent5 2 3 5 5 3" xfId="20593"/>
    <cellStyle name="40% - Accent5 2 3 5 6" xfId="13589"/>
    <cellStyle name="40% - Accent5 2 3 5 6 2" xfId="24732"/>
    <cellStyle name="40% - Accent5 2 3 5 7" xfId="19163"/>
    <cellStyle name="40% - Accent5 2 3 5 8" xfId="6557"/>
    <cellStyle name="40% - Accent5 2 3 6" xfId="1827"/>
    <cellStyle name="40% - Accent5 2 3 6 2" xfId="4475"/>
    <cellStyle name="40% - Accent5 2 3 6 2 2" xfId="17088"/>
    <cellStyle name="40% - Accent5 2 3 6 2 2 2" xfId="28231"/>
    <cellStyle name="40% - Accent5 2 3 6 2 3" xfId="22662"/>
    <cellStyle name="40% - Accent5 2 3 6 2 4" xfId="8626"/>
    <cellStyle name="40% - Accent5 2 3 6 3" xfId="11218"/>
    <cellStyle name="40% - Accent5 2 3 6 3 2" xfId="14534"/>
    <cellStyle name="40% - Accent5 2 3 6 3 2 2" xfId="25677"/>
    <cellStyle name="40% - Accent5 2 3 6 3 3" xfId="20108"/>
    <cellStyle name="40% - Accent5 2 3 6 4" xfId="13104"/>
    <cellStyle name="40% - Accent5 2 3 6 4 2" xfId="24247"/>
    <cellStyle name="40% - Accent5 2 3 6 5" xfId="18678"/>
    <cellStyle name="40% - Accent5 2 3 6 6" xfId="6072"/>
    <cellStyle name="40% - Accent5 2 3 7" xfId="2520"/>
    <cellStyle name="40% - Accent5 2 3 7 2" xfId="4629"/>
    <cellStyle name="40% - Accent5 2 3 7 2 2" xfId="17242"/>
    <cellStyle name="40% - Accent5 2 3 7 2 2 2" xfId="28385"/>
    <cellStyle name="40% - Accent5 2 3 7 2 3" xfId="22816"/>
    <cellStyle name="40% - Accent5 2 3 7 2 4" xfId="8780"/>
    <cellStyle name="40% - Accent5 2 3 7 3" xfId="10546"/>
    <cellStyle name="40% - Accent5 2 3 7 3 2" xfId="15173"/>
    <cellStyle name="40% - Accent5 2 3 7 3 2 2" xfId="26316"/>
    <cellStyle name="40% - Accent5 2 3 7 3 3" xfId="20747"/>
    <cellStyle name="40% - Accent5 2 3 7 4" xfId="13743"/>
    <cellStyle name="40% - Accent5 2 3 7 4 2" xfId="24886"/>
    <cellStyle name="40% - Accent5 2 3 7 5" xfId="19317"/>
    <cellStyle name="40% - Accent5 2 3 7 6" xfId="6711"/>
    <cellStyle name="40% - Accent5 2 3 8" xfId="3158"/>
    <cellStyle name="40% - Accent5 2 3 8 2" xfId="5267"/>
    <cellStyle name="40% - Accent5 2 3 8 2 2" xfId="17880"/>
    <cellStyle name="40% - Accent5 2 3 8 2 2 2" xfId="29023"/>
    <cellStyle name="40% - Accent5 2 3 8 2 3" xfId="23454"/>
    <cellStyle name="40% - Accent5 2 3 8 2 4" xfId="9418"/>
    <cellStyle name="40% - Accent5 2 3 8 3" xfId="15811"/>
    <cellStyle name="40% - Accent5 2 3 8 3 2" xfId="26954"/>
    <cellStyle name="40% - Accent5 2 3 8 4" xfId="21385"/>
    <cellStyle name="40% - Accent5 2 3 8 5" xfId="7349"/>
    <cellStyle name="40% - Accent5 2 3 9" xfId="3837"/>
    <cellStyle name="40% - Accent5 2 3 9 2" xfId="16450"/>
    <cellStyle name="40% - Accent5 2 3 9 2 2" xfId="27593"/>
    <cellStyle name="40% - Accent5 2 3 9 3" xfId="22024"/>
    <cellStyle name="40% - Accent5 2 3 9 4" xfId="7988"/>
    <cellStyle name="40% - Accent5 2 4" xfId="289"/>
    <cellStyle name="40% - Accent5 2 4 10" xfId="12988"/>
    <cellStyle name="40% - Accent5 2 4 10 2" xfId="24132"/>
    <cellStyle name="40% - Accent5 2 4 11" xfId="18563"/>
    <cellStyle name="40% - Accent5 2 4 12" xfId="5956"/>
    <cellStyle name="40% - Accent5 2 4 2" xfId="2247"/>
    <cellStyle name="40% - Accent5 2 4 2 2" xfId="2891"/>
    <cellStyle name="40% - Accent5 2 4 2 2 2" xfId="5000"/>
    <cellStyle name="40% - Accent5 2 4 2 2 2 2" xfId="17613"/>
    <cellStyle name="40% - Accent5 2 4 2 2 2 2 2" xfId="28756"/>
    <cellStyle name="40% - Accent5 2 4 2 2 2 3" xfId="23187"/>
    <cellStyle name="40% - Accent5 2 4 2 2 2 4" xfId="9151"/>
    <cellStyle name="40% - Accent5 2 4 2 2 3" xfId="10368"/>
    <cellStyle name="40% - Accent5 2 4 2 2 3 2" xfId="15544"/>
    <cellStyle name="40% - Accent5 2 4 2 2 3 2 2" xfId="26687"/>
    <cellStyle name="40% - Accent5 2 4 2 2 3 3" xfId="21118"/>
    <cellStyle name="40% - Accent5 2 4 2 2 4" xfId="14114"/>
    <cellStyle name="40% - Accent5 2 4 2 2 4 2" xfId="25257"/>
    <cellStyle name="40% - Accent5 2 4 2 2 5" xfId="19688"/>
    <cellStyle name="40% - Accent5 2 4 2 2 6" xfId="7082"/>
    <cellStyle name="40% - Accent5 2 4 2 3" xfId="3529"/>
    <cellStyle name="40% - Accent5 2 4 2 3 2" xfId="5638"/>
    <cellStyle name="40% - Accent5 2 4 2 3 2 2" xfId="18251"/>
    <cellStyle name="40% - Accent5 2 4 2 3 2 2 2" xfId="29394"/>
    <cellStyle name="40% - Accent5 2 4 2 3 2 3" xfId="23825"/>
    <cellStyle name="40% - Accent5 2 4 2 3 2 4" xfId="9789"/>
    <cellStyle name="40% - Accent5 2 4 2 3 3" xfId="16182"/>
    <cellStyle name="40% - Accent5 2 4 2 3 3 2" xfId="27325"/>
    <cellStyle name="40% - Accent5 2 4 2 3 4" xfId="21756"/>
    <cellStyle name="40% - Accent5 2 4 2 3 5" xfId="7720"/>
    <cellStyle name="40% - Accent5 2 4 2 4" xfId="4208"/>
    <cellStyle name="40% - Accent5 2 4 2 4 2" xfId="16821"/>
    <cellStyle name="40% - Accent5 2 4 2 4 2 2" xfId="27964"/>
    <cellStyle name="40% - Accent5 2 4 2 4 3" xfId="22395"/>
    <cellStyle name="40% - Accent5 2 4 2 4 4" xfId="8359"/>
    <cellStyle name="40% - Accent5 2 4 2 5" xfId="10078"/>
    <cellStyle name="40% - Accent5 2 4 2 5 2" xfId="14905"/>
    <cellStyle name="40% - Accent5 2 4 2 5 2 2" xfId="26048"/>
    <cellStyle name="40% - Accent5 2 4 2 5 3" xfId="20479"/>
    <cellStyle name="40% - Accent5 2 4 2 6" xfId="13475"/>
    <cellStyle name="40% - Accent5 2 4 2 6 2" xfId="24618"/>
    <cellStyle name="40% - Accent5 2 4 2 7" xfId="19049"/>
    <cellStyle name="40% - Accent5 2 4 2 8" xfId="6443"/>
    <cellStyle name="40% - Accent5 2 4 3" xfId="2055"/>
    <cellStyle name="40% - Accent5 2 4 3 2" xfId="2710"/>
    <cellStyle name="40% - Accent5 2 4 3 2 2" xfId="4819"/>
    <cellStyle name="40% - Accent5 2 4 3 2 2 2" xfId="17432"/>
    <cellStyle name="40% - Accent5 2 4 3 2 2 2 2" xfId="28575"/>
    <cellStyle name="40% - Accent5 2 4 3 2 2 3" xfId="23006"/>
    <cellStyle name="40% - Accent5 2 4 3 2 2 4" xfId="8970"/>
    <cellStyle name="40% - Accent5 2 4 3 2 3" xfId="10018"/>
    <cellStyle name="40% - Accent5 2 4 3 2 3 2" xfId="15363"/>
    <cellStyle name="40% - Accent5 2 4 3 2 3 2 2" xfId="26506"/>
    <cellStyle name="40% - Accent5 2 4 3 2 3 3" xfId="20937"/>
    <cellStyle name="40% - Accent5 2 4 3 2 4" xfId="13933"/>
    <cellStyle name="40% - Accent5 2 4 3 2 4 2" xfId="25076"/>
    <cellStyle name="40% - Accent5 2 4 3 2 5" xfId="19507"/>
    <cellStyle name="40% - Accent5 2 4 3 2 6" xfId="6901"/>
    <cellStyle name="40% - Accent5 2 4 3 3" xfId="3348"/>
    <cellStyle name="40% - Accent5 2 4 3 3 2" xfId="5457"/>
    <cellStyle name="40% - Accent5 2 4 3 3 2 2" xfId="18070"/>
    <cellStyle name="40% - Accent5 2 4 3 3 2 2 2" xfId="29213"/>
    <cellStyle name="40% - Accent5 2 4 3 3 2 3" xfId="23644"/>
    <cellStyle name="40% - Accent5 2 4 3 3 2 4" xfId="9608"/>
    <cellStyle name="40% - Accent5 2 4 3 3 3" xfId="16001"/>
    <cellStyle name="40% - Accent5 2 4 3 3 3 2" xfId="27144"/>
    <cellStyle name="40% - Accent5 2 4 3 3 4" xfId="21575"/>
    <cellStyle name="40% - Accent5 2 4 3 3 5" xfId="7539"/>
    <cellStyle name="40% - Accent5 2 4 3 4" xfId="4027"/>
    <cellStyle name="40% - Accent5 2 4 3 4 2" xfId="16640"/>
    <cellStyle name="40% - Accent5 2 4 3 4 2 2" xfId="27783"/>
    <cellStyle name="40% - Accent5 2 4 3 4 3" xfId="22214"/>
    <cellStyle name="40% - Accent5 2 4 3 4 4" xfId="8178"/>
    <cellStyle name="40% - Accent5 2 4 3 5" xfId="10524"/>
    <cellStyle name="40% - Accent5 2 4 3 5 2" xfId="14724"/>
    <cellStyle name="40% - Accent5 2 4 3 5 2 2" xfId="25867"/>
    <cellStyle name="40% - Accent5 2 4 3 5 3" xfId="20298"/>
    <cellStyle name="40% - Accent5 2 4 3 6" xfId="13294"/>
    <cellStyle name="40% - Accent5 2 4 3 6 2" xfId="24437"/>
    <cellStyle name="40% - Accent5 2 4 3 7" xfId="18868"/>
    <cellStyle name="40% - Accent5 2 4 3 8" xfId="6262"/>
    <cellStyle name="40% - Accent5 2 4 4" xfId="2402"/>
    <cellStyle name="40% - Accent5 2 4 4 2" xfId="3043"/>
    <cellStyle name="40% - Accent5 2 4 4 2 2" xfId="5152"/>
    <cellStyle name="40% - Accent5 2 4 4 2 2 2" xfId="17765"/>
    <cellStyle name="40% - Accent5 2 4 4 2 2 2 2" xfId="28908"/>
    <cellStyle name="40% - Accent5 2 4 4 2 2 3" xfId="23339"/>
    <cellStyle name="40% - Accent5 2 4 4 2 2 4" xfId="9303"/>
    <cellStyle name="40% - Accent5 2 4 4 2 3" xfId="11393"/>
    <cellStyle name="40% - Accent5 2 4 4 2 3 2" xfId="15696"/>
    <cellStyle name="40% - Accent5 2 4 4 2 3 2 2" xfId="26839"/>
    <cellStyle name="40% - Accent5 2 4 4 2 3 3" xfId="21270"/>
    <cellStyle name="40% - Accent5 2 4 4 2 4" xfId="14266"/>
    <cellStyle name="40% - Accent5 2 4 4 2 4 2" xfId="25409"/>
    <cellStyle name="40% - Accent5 2 4 4 2 5" xfId="19840"/>
    <cellStyle name="40% - Accent5 2 4 4 2 6" xfId="7234"/>
    <cellStyle name="40% - Accent5 2 4 4 3" xfId="3681"/>
    <cellStyle name="40% - Accent5 2 4 4 3 2" xfId="5790"/>
    <cellStyle name="40% - Accent5 2 4 4 3 2 2" xfId="18403"/>
    <cellStyle name="40% - Accent5 2 4 4 3 2 2 2" xfId="29546"/>
    <cellStyle name="40% - Accent5 2 4 4 3 2 3" xfId="23977"/>
    <cellStyle name="40% - Accent5 2 4 4 3 2 4" xfId="9941"/>
    <cellStyle name="40% - Accent5 2 4 4 3 3" xfId="16334"/>
    <cellStyle name="40% - Accent5 2 4 4 3 3 2" xfId="27477"/>
    <cellStyle name="40% - Accent5 2 4 4 3 4" xfId="21908"/>
    <cellStyle name="40% - Accent5 2 4 4 3 5" xfId="7872"/>
    <cellStyle name="40% - Accent5 2 4 4 4" xfId="4360"/>
    <cellStyle name="40% - Accent5 2 4 4 4 2" xfId="16973"/>
    <cellStyle name="40% - Accent5 2 4 4 4 2 2" xfId="28116"/>
    <cellStyle name="40% - Accent5 2 4 4 4 3" xfId="22547"/>
    <cellStyle name="40% - Accent5 2 4 4 4 4" xfId="8511"/>
    <cellStyle name="40% - Accent5 2 4 4 5" xfId="10538"/>
    <cellStyle name="40% - Accent5 2 4 4 5 2" xfId="15057"/>
    <cellStyle name="40% - Accent5 2 4 4 5 2 2" xfId="26200"/>
    <cellStyle name="40% - Accent5 2 4 4 5 3" xfId="20631"/>
    <cellStyle name="40% - Accent5 2 4 4 6" xfId="13627"/>
    <cellStyle name="40% - Accent5 2 4 4 6 2" xfId="24770"/>
    <cellStyle name="40% - Accent5 2 4 4 7" xfId="19201"/>
    <cellStyle name="40% - Accent5 2 4 4 8" xfId="6595"/>
    <cellStyle name="40% - Accent5 2 4 5" xfId="1865"/>
    <cellStyle name="40% - Accent5 2 4 5 2" xfId="4513"/>
    <cellStyle name="40% - Accent5 2 4 5 2 2" xfId="17126"/>
    <cellStyle name="40% - Accent5 2 4 5 2 2 2" xfId="28269"/>
    <cellStyle name="40% - Accent5 2 4 5 2 3" xfId="22700"/>
    <cellStyle name="40% - Accent5 2 4 5 2 4" xfId="8664"/>
    <cellStyle name="40% - Accent5 2 4 5 3" xfId="11074"/>
    <cellStyle name="40% - Accent5 2 4 5 3 2" xfId="14572"/>
    <cellStyle name="40% - Accent5 2 4 5 3 2 2" xfId="25715"/>
    <cellStyle name="40% - Accent5 2 4 5 3 3" xfId="20146"/>
    <cellStyle name="40% - Accent5 2 4 5 4" xfId="13142"/>
    <cellStyle name="40% - Accent5 2 4 5 4 2" xfId="24285"/>
    <cellStyle name="40% - Accent5 2 4 5 5" xfId="18716"/>
    <cellStyle name="40% - Accent5 2 4 5 6" xfId="6110"/>
    <cellStyle name="40% - Accent5 2 4 6" xfId="2558"/>
    <cellStyle name="40% - Accent5 2 4 6 2" xfId="4667"/>
    <cellStyle name="40% - Accent5 2 4 6 2 2" xfId="17280"/>
    <cellStyle name="40% - Accent5 2 4 6 2 2 2" xfId="28423"/>
    <cellStyle name="40% - Accent5 2 4 6 2 3" xfId="22854"/>
    <cellStyle name="40% - Accent5 2 4 6 2 4" xfId="8818"/>
    <cellStyle name="40% - Accent5 2 4 6 3" xfId="11056"/>
    <cellStyle name="40% - Accent5 2 4 6 3 2" xfId="15211"/>
    <cellStyle name="40% - Accent5 2 4 6 3 2 2" xfId="26354"/>
    <cellStyle name="40% - Accent5 2 4 6 3 3" xfId="20785"/>
    <cellStyle name="40% - Accent5 2 4 6 4" xfId="13781"/>
    <cellStyle name="40% - Accent5 2 4 6 4 2" xfId="24924"/>
    <cellStyle name="40% - Accent5 2 4 6 5" xfId="19355"/>
    <cellStyle name="40% - Accent5 2 4 6 6" xfId="6749"/>
    <cellStyle name="40% - Accent5 2 4 7" xfId="3196"/>
    <cellStyle name="40% - Accent5 2 4 7 2" xfId="5305"/>
    <cellStyle name="40% - Accent5 2 4 7 2 2" xfId="17918"/>
    <cellStyle name="40% - Accent5 2 4 7 2 2 2" xfId="29061"/>
    <cellStyle name="40% - Accent5 2 4 7 2 3" xfId="23492"/>
    <cellStyle name="40% - Accent5 2 4 7 2 4" xfId="9456"/>
    <cellStyle name="40% - Accent5 2 4 7 3" xfId="15849"/>
    <cellStyle name="40% - Accent5 2 4 7 3 2" xfId="26992"/>
    <cellStyle name="40% - Accent5 2 4 7 4" xfId="21423"/>
    <cellStyle name="40% - Accent5 2 4 7 5" xfId="7387"/>
    <cellStyle name="40% - Accent5 2 4 8" xfId="3875"/>
    <cellStyle name="40% - Accent5 2 4 8 2" xfId="16488"/>
    <cellStyle name="40% - Accent5 2 4 8 2 2" xfId="27631"/>
    <cellStyle name="40% - Accent5 2 4 8 3" xfId="22062"/>
    <cellStyle name="40% - Accent5 2 4 8 4" xfId="8026"/>
    <cellStyle name="40% - Accent5 2 4 9" xfId="10215"/>
    <cellStyle name="40% - Accent5 2 4 9 2" xfId="14419"/>
    <cellStyle name="40% - Accent5 2 4 9 2 2" xfId="25562"/>
    <cellStyle name="40% - Accent5 2 4 9 3" xfId="19993"/>
    <cellStyle name="40% - Accent5 2 5" xfId="2171"/>
    <cellStyle name="40% - Accent5 2 5 2" xfId="2815"/>
    <cellStyle name="40% - Accent5 2 5 2 2" xfId="4924"/>
    <cellStyle name="40% - Accent5 2 5 2 2 2" xfId="17537"/>
    <cellStyle name="40% - Accent5 2 5 2 2 2 2" xfId="28680"/>
    <cellStyle name="40% - Accent5 2 5 2 2 3" xfId="23111"/>
    <cellStyle name="40% - Accent5 2 5 2 2 4" xfId="9075"/>
    <cellStyle name="40% - Accent5 2 5 2 3" xfId="10893"/>
    <cellStyle name="40% - Accent5 2 5 2 3 2" xfId="15468"/>
    <cellStyle name="40% - Accent5 2 5 2 3 2 2" xfId="26611"/>
    <cellStyle name="40% - Accent5 2 5 2 3 3" xfId="21042"/>
    <cellStyle name="40% - Accent5 2 5 2 4" xfId="14038"/>
    <cellStyle name="40% - Accent5 2 5 2 4 2" xfId="25181"/>
    <cellStyle name="40% - Accent5 2 5 2 5" xfId="19612"/>
    <cellStyle name="40% - Accent5 2 5 2 6" xfId="7006"/>
    <cellStyle name="40% - Accent5 2 5 3" xfId="3453"/>
    <cellStyle name="40% - Accent5 2 5 3 2" xfId="5562"/>
    <cellStyle name="40% - Accent5 2 5 3 2 2" xfId="18175"/>
    <cellStyle name="40% - Accent5 2 5 3 2 2 2" xfId="29318"/>
    <cellStyle name="40% - Accent5 2 5 3 2 3" xfId="23749"/>
    <cellStyle name="40% - Accent5 2 5 3 2 4" xfId="9713"/>
    <cellStyle name="40% - Accent5 2 5 3 3" xfId="16106"/>
    <cellStyle name="40% - Accent5 2 5 3 3 2" xfId="27249"/>
    <cellStyle name="40% - Accent5 2 5 3 4" xfId="21680"/>
    <cellStyle name="40% - Accent5 2 5 3 5" xfId="7644"/>
    <cellStyle name="40% - Accent5 2 5 4" xfId="4132"/>
    <cellStyle name="40% - Accent5 2 5 4 2" xfId="16745"/>
    <cellStyle name="40% - Accent5 2 5 4 2 2" xfId="27888"/>
    <cellStyle name="40% - Accent5 2 5 4 3" xfId="22319"/>
    <cellStyle name="40% - Accent5 2 5 4 4" xfId="8283"/>
    <cellStyle name="40% - Accent5 2 5 5" xfId="10024"/>
    <cellStyle name="40% - Accent5 2 5 5 2" xfId="14829"/>
    <cellStyle name="40% - Accent5 2 5 5 2 2" xfId="25972"/>
    <cellStyle name="40% - Accent5 2 5 5 3" xfId="20403"/>
    <cellStyle name="40% - Accent5 2 5 6" xfId="13399"/>
    <cellStyle name="40% - Accent5 2 5 6 2" xfId="24542"/>
    <cellStyle name="40% - Accent5 2 5 7" xfId="18973"/>
    <cellStyle name="40% - Accent5 2 5 8" xfId="6367"/>
    <cellStyle name="40% - Accent5 2 6" xfId="1964"/>
    <cellStyle name="40% - Accent5 2 6 2" xfId="2634"/>
    <cellStyle name="40% - Accent5 2 6 2 2" xfId="4743"/>
    <cellStyle name="40% - Accent5 2 6 2 2 2" xfId="17356"/>
    <cellStyle name="40% - Accent5 2 6 2 2 2 2" xfId="28499"/>
    <cellStyle name="40% - Accent5 2 6 2 2 3" xfId="22930"/>
    <cellStyle name="40% - Accent5 2 6 2 2 4" xfId="8894"/>
    <cellStyle name="40% - Accent5 2 6 2 3" xfId="10598"/>
    <cellStyle name="40% - Accent5 2 6 2 3 2" xfId="15287"/>
    <cellStyle name="40% - Accent5 2 6 2 3 2 2" xfId="26430"/>
    <cellStyle name="40% - Accent5 2 6 2 3 3" xfId="20861"/>
    <cellStyle name="40% - Accent5 2 6 2 4" xfId="13857"/>
    <cellStyle name="40% - Accent5 2 6 2 4 2" xfId="25000"/>
    <cellStyle name="40% - Accent5 2 6 2 5" xfId="19431"/>
    <cellStyle name="40% - Accent5 2 6 2 6" xfId="6825"/>
    <cellStyle name="40% - Accent5 2 6 3" xfId="3272"/>
    <cellStyle name="40% - Accent5 2 6 3 2" xfId="5381"/>
    <cellStyle name="40% - Accent5 2 6 3 2 2" xfId="17994"/>
    <cellStyle name="40% - Accent5 2 6 3 2 2 2" xfId="29137"/>
    <cellStyle name="40% - Accent5 2 6 3 2 3" xfId="23568"/>
    <cellStyle name="40% - Accent5 2 6 3 2 4" xfId="9532"/>
    <cellStyle name="40% - Accent5 2 6 3 3" xfId="15925"/>
    <cellStyle name="40% - Accent5 2 6 3 3 2" xfId="27068"/>
    <cellStyle name="40% - Accent5 2 6 3 4" xfId="21499"/>
    <cellStyle name="40% - Accent5 2 6 3 5" xfId="7463"/>
    <cellStyle name="40% - Accent5 2 6 4" xfId="3951"/>
    <cellStyle name="40% - Accent5 2 6 4 2" xfId="16564"/>
    <cellStyle name="40% - Accent5 2 6 4 2 2" xfId="27707"/>
    <cellStyle name="40% - Accent5 2 6 4 3" xfId="22138"/>
    <cellStyle name="40% - Accent5 2 6 4 4" xfId="8102"/>
    <cellStyle name="40% - Accent5 2 6 5" xfId="11009"/>
    <cellStyle name="40% - Accent5 2 6 5 2" xfId="14648"/>
    <cellStyle name="40% - Accent5 2 6 5 2 2" xfId="25791"/>
    <cellStyle name="40% - Accent5 2 6 5 3" xfId="20222"/>
    <cellStyle name="40% - Accent5 2 6 6" xfId="13218"/>
    <cellStyle name="40% - Accent5 2 6 6 2" xfId="24361"/>
    <cellStyle name="40% - Accent5 2 6 7" xfId="18792"/>
    <cellStyle name="40% - Accent5 2 6 8" xfId="6186"/>
    <cellStyle name="40% - Accent5 2 7" xfId="2325"/>
    <cellStyle name="40% - Accent5 2 7 2" xfId="2967"/>
    <cellStyle name="40% - Accent5 2 7 2 2" xfId="5076"/>
    <cellStyle name="40% - Accent5 2 7 2 2 2" xfId="17689"/>
    <cellStyle name="40% - Accent5 2 7 2 2 2 2" xfId="28832"/>
    <cellStyle name="40% - Accent5 2 7 2 2 3" xfId="23263"/>
    <cellStyle name="40% - Accent5 2 7 2 2 4" xfId="9227"/>
    <cellStyle name="40% - Accent5 2 7 2 3" xfId="10122"/>
    <cellStyle name="40% - Accent5 2 7 2 3 2" xfId="15620"/>
    <cellStyle name="40% - Accent5 2 7 2 3 2 2" xfId="26763"/>
    <cellStyle name="40% - Accent5 2 7 2 3 3" xfId="21194"/>
    <cellStyle name="40% - Accent5 2 7 2 4" xfId="14190"/>
    <cellStyle name="40% - Accent5 2 7 2 4 2" xfId="25333"/>
    <cellStyle name="40% - Accent5 2 7 2 5" xfId="19764"/>
    <cellStyle name="40% - Accent5 2 7 2 6" xfId="7158"/>
    <cellStyle name="40% - Accent5 2 7 3" xfId="3605"/>
    <cellStyle name="40% - Accent5 2 7 3 2" xfId="5714"/>
    <cellStyle name="40% - Accent5 2 7 3 2 2" xfId="18327"/>
    <cellStyle name="40% - Accent5 2 7 3 2 2 2" xfId="29470"/>
    <cellStyle name="40% - Accent5 2 7 3 2 3" xfId="23901"/>
    <cellStyle name="40% - Accent5 2 7 3 2 4" xfId="9865"/>
    <cellStyle name="40% - Accent5 2 7 3 3" xfId="16258"/>
    <cellStyle name="40% - Accent5 2 7 3 3 2" xfId="27401"/>
    <cellStyle name="40% - Accent5 2 7 3 4" xfId="21832"/>
    <cellStyle name="40% - Accent5 2 7 3 5" xfId="7796"/>
    <cellStyle name="40% - Accent5 2 7 4" xfId="4284"/>
    <cellStyle name="40% - Accent5 2 7 4 2" xfId="16897"/>
    <cellStyle name="40% - Accent5 2 7 4 2 2" xfId="28040"/>
    <cellStyle name="40% - Accent5 2 7 4 3" xfId="22471"/>
    <cellStyle name="40% - Accent5 2 7 4 4" xfId="8435"/>
    <cellStyle name="40% - Accent5 2 7 5" xfId="10229"/>
    <cellStyle name="40% - Accent5 2 7 5 2" xfId="14981"/>
    <cellStyle name="40% - Accent5 2 7 5 2 2" xfId="26124"/>
    <cellStyle name="40% - Accent5 2 7 5 3" xfId="20555"/>
    <cellStyle name="40% - Accent5 2 7 6" xfId="13551"/>
    <cellStyle name="40% - Accent5 2 7 6 2" xfId="24694"/>
    <cellStyle name="40% - Accent5 2 7 7" xfId="19125"/>
    <cellStyle name="40% - Accent5 2 7 8" xfId="6519"/>
    <cellStyle name="40% - Accent5 2 8" xfId="1789"/>
    <cellStyle name="40% - Accent5 2 8 2" xfId="4437"/>
    <cellStyle name="40% - Accent5 2 8 2 2" xfId="17050"/>
    <cellStyle name="40% - Accent5 2 8 2 2 2" xfId="28193"/>
    <cellStyle name="40% - Accent5 2 8 2 3" xfId="22624"/>
    <cellStyle name="40% - Accent5 2 8 2 4" xfId="8588"/>
    <cellStyle name="40% - Accent5 2 8 3" xfId="11032"/>
    <cellStyle name="40% - Accent5 2 8 3 2" xfId="14496"/>
    <cellStyle name="40% - Accent5 2 8 3 2 2" xfId="25639"/>
    <cellStyle name="40% - Accent5 2 8 3 3" xfId="20070"/>
    <cellStyle name="40% - Accent5 2 8 4" xfId="13066"/>
    <cellStyle name="40% - Accent5 2 8 4 2" xfId="24209"/>
    <cellStyle name="40% - Accent5 2 8 5" xfId="18640"/>
    <cellStyle name="40% - Accent5 2 8 6" xfId="6034"/>
    <cellStyle name="40% - Accent5 2 9" xfId="2482"/>
    <cellStyle name="40% - Accent5 2 9 2" xfId="4591"/>
    <cellStyle name="40% - Accent5 2 9 2 2" xfId="17204"/>
    <cellStyle name="40% - Accent5 2 9 2 2 2" xfId="28347"/>
    <cellStyle name="40% - Accent5 2 9 2 3" xfId="22778"/>
    <cellStyle name="40% - Accent5 2 9 2 4" xfId="8742"/>
    <cellStyle name="40% - Accent5 2 9 3" xfId="11182"/>
    <cellStyle name="40% - Accent5 2 9 3 2" xfId="15135"/>
    <cellStyle name="40% - Accent5 2 9 3 2 2" xfId="26278"/>
    <cellStyle name="40% - Accent5 2 9 3 3" xfId="20709"/>
    <cellStyle name="40% - Accent5 2 9 4" xfId="13705"/>
    <cellStyle name="40% - Accent5 2 9 4 2" xfId="24848"/>
    <cellStyle name="40% - Accent5 2 9 5" xfId="19279"/>
    <cellStyle name="40% - Accent5 2 9 6" xfId="6673"/>
    <cellStyle name="40% - Accent5 3" xfId="144"/>
    <cellStyle name="40% - Accent5 3 2" xfId="394"/>
    <cellStyle name="40% - Accent5 3 2 2" xfId="573"/>
    <cellStyle name="40% - Accent5 3 2 2 2" xfId="956"/>
    <cellStyle name="40% - Accent5 3 2 2 2 2" xfId="1695"/>
    <cellStyle name="40% - Accent5 3 2 2 2 2 2" xfId="12791"/>
    <cellStyle name="40% - Accent5 3 2 2 2 3" xfId="12081"/>
    <cellStyle name="40% - Accent5 3 2 2 3" xfId="1340"/>
    <cellStyle name="40% - Accent5 3 2 2 3 2" xfId="12436"/>
    <cellStyle name="40% - Accent5 3 2 2 4" xfId="11726"/>
    <cellStyle name="40% - Accent5 3 2 3" xfId="778"/>
    <cellStyle name="40% - Accent5 3 2 3 2" xfId="1517"/>
    <cellStyle name="40% - Accent5 3 2 3 2 2" xfId="12613"/>
    <cellStyle name="40% - Accent5 3 2 3 3" xfId="11903"/>
    <cellStyle name="40% - Accent5 3 2 4" xfId="1162"/>
    <cellStyle name="40% - Accent5 3 2 4 2" xfId="12258"/>
    <cellStyle name="40% - Accent5 3 2 5" xfId="11548"/>
    <cellStyle name="40% - Accent5 3 3" xfId="449"/>
    <cellStyle name="40% - Accent5 3 3 2" xfId="628"/>
    <cellStyle name="40% - Accent5 3 3 2 2" xfId="1011"/>
    <cellStyle name="40% - Accent5 3 3 2 2 2" xfId="1750"/>
    <cellStyle name="40% - Accent5 3 3 2 2 2 2" xfId="12846"/>
    <cellStyle name="40% - Accent5 3 3 2 2 3" xfId="12136"/>
    <cellStyle name="40% - Accent5 3 3 2 3" xfId="1395"/>
    <cellStyle name="40% - Accent5 3 3 2 3 2" xfId="12491"/>
    <cellStyle name="40% - Accent5 3 3 2 4" xfId="11781"/>
    <cellStyle name="40% - Accent5 3 3 3" xfId="833"/>
    <cellStyle name="40% - Accent5 3 3 3 2" xfId="1572"/>
    <cellStyle name="40% - Accent5 3 3 3 2 2" xfId="12668"/>
    <cellStyle name="40% - Accent5 3 3 3 3" xfId="11958"/>
    <cellStyle name="40% - Accent5 3 3 4" xfId="1217"/>
    <cellStyle name="40% - Accent5 3 3 4 2" xfId="12313"/>
    <cellStyle name="40% - Accent5 3 3 5" xfId="11603"/>
    <cellStyle name="40% - Accent5 3 4" xfId="511"/>
    <cellStyle name="40% - Accent5 3 4 2" xfId="895"/>
    <cellStyle name="40% - Accent5 3 4 2 2" xfId="1634"/>
    <cellStyle name="40% - Accent5 3 4 2 2 2" xfId="12730"/>
    <cellStyle name="40% - Accent5 3 4 2 3" xfId="12020"/>
    <cellStyle name="40% - Accent5 3 4 3" xfId="1279"/>
    <cellStyle name="40% - Accent5 3 4 3 2" xfId="12375"/>
    <cellStyle name="40% - Accent5 3 4 4" xfId="11665"/>
    <cellStyle name="40% - Accent5 3 5" xfId="717"/>
    <cellStyle name="40% - Accent5 3 5 2" xfId="1456"/>
    <cellStyle name="40% - Accent5 3 5 2 2" xfId="12552"/>
    <cellStyle name="40% - Accent5 3 5 3" xfId="11842"/>
    <cellStyle name="40% - Accent5 3 6" xfId="1101"/>
    <cellStyle name="40% - Accent5 3 6 2" xfId="12197"/>
    <cellStyle name="40% - Accent5 3 7" xfId="11487"/>
    <cellStyle name="40% - Accent5 4" xfId="172"/>
    <cellStyle name="40% - Accent5 4 2" xfId="406"/>
    <cellStyle name="40% - Accent5 4 2 2" xfId="585"/>
    <cellStyle name="40% - Accent5 4 2 2 2" xfId="968"/>
    <cellStyle name="40% - Accent5 4 2 2 2 2" xfId="1707"/>
    <cellStyle name="40% - Accent5 4 2 2 2 2 2" xfId="12803"/>
    <cellStyle name="40% - Accent5 4 2 2 2 3" xfId="12093"/>
    <cellStyle name="40% - Accent5 4 2 2 3" xfId="1352"/>
    <cellStyle name="40% - Accent5 4 2 2 3 2" xfId="12448"/>
    <cellStyle name="40% - Accent5 4 2 2 4" xfId="11738"/>
    <cellStyle name="40% - Accent5 4 2 3" xfId="790"/>
    <cellStyle name="40% - Accent5 4 2 3 2" xfId="1529"/>
    <cellStyle name="40% - Accent5 4 2 3 2 2" xfId="12625"/>
    <cellStyle name="40% - Accent5 4 2 3 3" xfId="11915"/>
    <cellStyle name="40% - Accent5 4 2 4" xfId="1174"/>
    <cellStyle name="40% - Accent5 4 2 4 2" xfId="12270"/>
    <cellStyle name="40% - Accent5 4 2 5" xfId="11560"/>
    <cellStyle name="40% - Accent5 4 3" xfId="461"/>
    <cellStyle name="40% - Accent5 4 3 2" xfId="640"/>
    <cellStyle name="40% - Accent5 4 3 2 2" xfId="1023"/>
    <cellStyle name="40% - Accent5 4 3 2 2 2" xfId="1762"/>
    <cellStyle name="40% - Accent5 4 3 2 2 2 2" xfId="12858"/>
    <cellStyle name="40% - Accent5 4 3 2 2 3" xfId="12148"/>
    <cellStyle name="40% - Accent5 4 3 2 3" xfId="1407"/>
    <cellStyle name="40% - Accent5 4 3 2 3 2" xfId="12503"/>
    <cellStyle name="40% - Accent5 4 3 2 4" xfId="11793"/>
    <cellStyle name="40% - Accent5 4 3 3" xfId="845"/>
    <cellStyle name="40% - Accent5 4 3 3 2" xfId="1584"/>
    <cellStyle name="40% - Accent5 4 3 3 2 2" xfId="12680"/>
    <cellStyle name="40% - Accent5 4 3 3 3" xfId="11970"/>
    <cellStyle name="40% - Accent5 4 3 4" xfId="1229"/>
    <cellStyle name="40% - Accent5 4 3 4 2" xfId="12325"/>
    <cellStyle name="40% - Accent5 4 3 5" xfId="11615"/>
    <cellStyle name="40% - Accent5 4 4" xfId="524"/>
    <cellStyle name="40% - Accent5 4 4 2" xfId="907"/>
    <cellStyle name="40% - Accent5 4 4 2 2" xfId="1646"/>
    <cellStyle name="40% - Accent5 4 4 2 2 2" xfId="12742"/>
    <cellStyle name="40% - Accent5 4 4 2 3" xfId="12032"/>
    <cellStyle name="40% - Accent5 4 4 3" xfId="1291"/>
    <cellStyle name="40% - Accent5 4 4 3 2" xfId="12387"/>
    <cellStyle name="40% - Accent5 4 4 4" xfId="11677"/>
    <cellStyle name="40% - Accent5 4 5" xfId="729"/>
    <cellStyle name="40% - Accent5 4 5 2" xfId="1468"/>
    <cellStyle name="40% - Accent5 4 5 2 2" xfId="12564"/>
    <cellStyle name="40% - Accent5 4 5 3" xfId="11854"/>
    <cellStyle name="40% - Accent5 4 6" xfId="1113"/>
    <cellStyle name="40% - Accent5 4 6 2" xfId="12209"/>
    <cellStyle name="40% - Accent5 4 7" xfId="11499"/>
    <cellStyle name="40% - Accent5 5" xfId="214"/>
    <cellStyle name="40% - Accent5 5 2" xfId="418"/>
    <cellStyle name="40% - Accent5 5 2 2" xfId="597"/>
    <cellStyle name="40% - Accent5 5 2 2 2" xfId="980"/>
    <cellStyle name="40% - Accent5 5 2 2 2 2" xfId="1719"/>
    <cellStyle name="40% - Accent5 5 2 2 2 2 2" xfId="12815"/>
    <cellStyle name="40% - Accent5 5 2 2 2 3" xfId="12105"/>
    <cellStyle name="40% - Accent5 5 2 2 3" xfId="1364"/>
    <cellStyle name="40% - Accent5 5 2 2 3 2" xfId="12460"/>
    <cellStyle name="40% - Accent5 5 2 2 4" xfId="11750"/>
    <cellStyle name="40% - Accent5 5 2 3" xfId="802"/>
    <cellStyle name="40% - Accent5 5 2 3 2" xfId="1541"/>
    <cellStyle name="40% - Accent5 5 2 3 2 2" xfId="12637"/>
    <cellStyle name="40% - Accent5 5 2 3 3" xfId="11927"/>
    <cellStyle name="40% - Accent5 5 2 4" xfId="1186"/>
    <cellStyle name="40% - Accent5 5 2 4 2" xfId="12282"/>
    <cellStyle name="40% - Accent5 5 2 5" xfId="11572"/>
    <cellStyle name="40% - Accent5 5 3" xfId="473"/>
    <cellStyle name="40% - Accent5 5 3 2" xfId="652"/>
    <cellStyle name="40% - Accent5 5 3 2 2" xfId="1035"/>
    <cellStyle name="40% - Accent5 5 3 2 2 2" xfId="1774"/>
    <cellStyle name="40% - Accent5 5 3 2 2 2 2" xfId="12870"/>
    <cellStyle name="40% - Accent5 5 3 2 2 3" xfId="12160"/>
    <cellStyle name="40% - Accent5 5 3 2 3" xfId="1419"/>
    <cellStyle name="40% - Accent5 5 3 2 3 2" xfId="12515"/>
    <cellStyle name="40% - Accent5 5 3 2 4" xfId="11805"/>
    <cellStyle name="40% - Accent5 5 3 3" xfId="857"/>
    <cellStyle name="40% - Accent5 5 3 3 2" xfId="1596"/>
    <cellStyle name="40% - Accent5 5 3 3 2 2" xfId="12692"/>
    <cellStyle name="40% - Accent5 5 3 3 3" xfId="11982"/>
    <cellStyle name="40% - Accent5 5 3 4" xfId="1241"/>
    <cellStyle name="40% - Accent5 5 3 4 2" xfId="12337"/>
    <cellStyle name="40% - Accent5 5 3 5" xfId="11627"/>
    <cellStyle name="40% - Accent5 5 4" xfId="536"/>
    <cellStyle name="40% - Accent5 5 4 2" xfId="919"/>
    <cellStyle name="40% - Accent5 5 4 2 2" xfId="1658"/>
    <cellStyle name="40% - Accent5 5 4 2 2 2" xfId="12754"/>
    <cellStyle name="40% - Accent5 5 4 2 3" xfId="12044"/>
    <cellStyle name="40% - Accent5 5 4 3" xfId="1303"/>
    <cellStyle name="40% - Accent5 5 4 3 2" xfId="12399"/>
    <cellStyle name="40% - Accent5 5 4 4" xfId="11689"/>
    <cellStyle name="40% - Accent5 5 5" xfId="741"/>
    <cellStyle name="40% - Accent5 5 5 2" xfId="1480"/>
    <cellStyle name="40% - Accent5 5 5 2 2" xfId="12576"/>
    <cellStyle name="40% - Accent5 5 5 3" xfId="11866"/>
    <cellStyle name="40% - Accent5 5 6" xfId="1125"/>
    <cellStyle name="40% - Accent5 5 6 2" xfId="12221"/>
    <cellStyle name="40% - Accent5 5 7" xfId="11511"/>
    <cellStyle name="40% - Accent5 6" xfId="360"/>
    <cellStyle name="40% - Accent5 6 2" xfId="375"/>
    <cellStyle name="40% - Accent5 6 2 2" xfId="554"/>
    <cellStyle name="40% - Accent5 6 2 2 2" xfId="937"/>
    <cellStyle name="40% - Accent5 6 2 2 2 2" xfId="1676"/>
    <cellStyle name="40% - Accent5 6 2 2 2 2 2" xfId="12772"/>
    <cellStyle name="40% - Accent5 6 2 2 2 3" xfId="12062"/>
    <cellStyle name="40% - Accent5 6 2 2 3" xfId="1321"/>
    <cellStyle name="40% - Accent5 6 2 2 3 2" xfId="12417"/>
    <cellStyle name="40% - Accent5 6 2 2 4" xfId="11707"/>
    <cellStyle name="40% - Accent5 6 2 3" xfId="759"/>
    <cellStyle name="40% - Accent5 6 2 3 2" xfId="1498"/>
    <cellStyle name="40% - Accent5 6 2 3 2 2" xfId="12594"/>
    <cellStyle name="40% - Accent5 6 2 3 3" xfId="11884"/>
    <cellStyle name="40% - Accent5 6 2 4" xfId="1143"/>
    <cellStyle name="40% - Accent5 6 2 4 2" xfId="12239"/>
    <cellStyle name="40% - Accent5 6 2 5" xfId="11529"/>
    <cellStyle name="40% - Accent5 6 3" xfId="542"/>
    <cellStyle name="40% - Accent5 6 3 2" xfId="925"/>
    <cellStyle name="40% - Accent5 6 3 2 2" xfId="1664"/>
    <cellStyle name="40% - Accent5 6 3 2 2 2" xfId="12760"/>
    <cellStyle name="40% - Accent5 6 3 2 3" xfId="12050"/>
    <cellStyle name="40% - Accent5 6 3 3" xfId="1309"/>
    <cellStyle name="40% - Accent5 6 3 3 2" xfId="12405"/>
    <cellStyle name="40% - Accent5 6 3 4" xfId="11695"/>
    <cellStyle name="40% - Accent5 6 4" xfId="747"/>
    <cellStyle name="40% - Accent5 6 4 2" xfId="1486"/>
    <cellStyle name="40% - Accent5 6 4 2 2" xfId="12582"/>
    <cellStyle name="40% - Accent5 6 4 3" xfId="11872"/>
    <cellStyle name="40% - Accent5 6 5" xfId="1131"/>
    <cellStyle name="40% - Accent5 6 5 2" xfId="12227"/>
    <cellStyle name="40% - Accent5 6 6" xfId="11517"/>
    <cellStyle name="40% - Accent5 7" xfId="430"/>
    <cellStyle name="40% - Accent5 7 2" xfId="609"/>
    <cellStyle name="40% - Accent5 7 2 2" xfId="992"/>
    <cellStyle name="40% - Accent5 7 2 2 2" xfId="1731"/>
    <cellStyle name="40% - Accent5 7 2 2 2 2" xfId="12827"/>
    <cellStyle name="40% - Accent5 7 2 2 3" xfId="12117"/>
    <cellStyle name="40% - Accent5 7 2 3" xfId="1376"/>
    <cellStyle name="40% - Accent5 7 2 3 2" xfId="12472"/>
    <cellStyle name="40% - Accent5 7 2 4" xfId="11762"/>
    <cellStyle name="40% - Accent5 7 3" xfId="814"/>
    <cellStyle name="40% - Accent5 7 3 2" xfId="1553"/>
    <cellStyle name="40% - Accent5 7 3 2 2" xfId="12649"/>
    <cellStyle name="40% - Accent5 7 3 3" xfId="11939"/>
    <cellStyle name="40% - Accent5 7 4" xfId="1198"/>
    <cellStyle name="40% - Accent5 7 4 2" xfId="12294"/>
    <cellStyle name="40% - Accent5 7 5" xfId="11584"/>
    <cellStyle name="40% - Accent5 8" xfId="486"/>
    <cellStyle name="40% - Accent5 8 2" xfId="870"/>
    <cellStyle name="40% - Accent5 8 2 2" xfId="1609"/>
    <cellStyle name="40% - Accent5 8 2 2 2" xfId="12705"/>
    <cellStyle name="40% - Accent5 8 2 3" xfId="11995"/>
    <cellStyle name="40% - Accent5 8 3" xfId="1254"/>
    <cellStyle name="40% - Accent5 8 3 2" xfId="12350"/>
    <cellStyle name="40% - Accent5 8 4" xfId="11640"/>
    <cellStyle name="40% - Accent5 9" xfId="689"/>
    <cellStyle name="40% - Accent5 9 2" xfId="1431"/>
    <cellStyle name="40% - Accent5 9 2 2" xfId="12527"/>
    <cellStyle name="40% - Accent5 9 3" xfId="11817"/>
    <cellStyle name="40% - Accent6" xfId="39" builtinId="51" customBuiltin="1"/>
    <cellStyle name="40% - Accent6 10" xfId="1077"/>
    <cellStyle name="40% - Accent6 10 2" xfId="12174"/>
    <cellStyle name="40% - Accent6 11" xfId="1932"/>
    <cellStyle name="40% - Accent6 11 2" xfId="12873"/>
    <cellStyle name="40% - Accent6 12" xfId="3785"/>
    <cellStyle name="40% - Accent6 12 2" xfId="11464"/>
    <cellStyle name="40% - Accent6 2" xfId="111"/>
    <cellStyle name="40% - Accent6 2 10" xfId="3112"/>
    <cellStyle name="40% - Accent6 2 10 2" xfId="5221"/>
    <cellStyle name="40% - Accent6 2 10 2 2" xfId="17834"/>
    <cellStyle name="40% - Accent6 2 10 2 2 2" xfId="28977"/>
    <cellStyle name="40% - Accent6 2 10 2 3" xfId="23408"/>
    <cellStyle name="40% - Accent6 2 10 2 4" xfId="9372"/>
    <cellStyle name="40% - Accent6 2 10 3" xfId="15765"/>
    <cellStyle name="40% - Accent6 2 10 3 2" xfId="26908"/>
    <cellStyle name="40% - Accent6 2 10 4" xfId="21339"/>
    <cellStyle name="40% - Accent6 2 10 5" xfId="7303"/>
    <cellStyle name="40% - Accent6 2 11" xfId="3791"/>
    <cellStyle name="40% - Accent6 2 11 2" xfId="16404"/>
    <cellStyle name="40% - Accent6 2 11 2 2" xfId="27547"/>
    <cellStyle name="40% - Accent6 2 11 3" xfId="21978"/>
    <cellStyle name="40% - Accent6 2 11 4" xfId="7942"/>
    <cellStyle name="40% - Accent6 2 12" xfId="10292"/>
    <cellStyle name="40% - Accent6 2 12 2" xfId="14335"/>
    <cellStyle name="40% - Accent6 2 12 2 2" xfId="25478"/>
    <cellStyle name="40% - Accent6 2 12 3" xfId="19909"/>
    <cellStyle name="40% - Accent6 2 13" xfId="12903"/>
    <cellStyle name="40% - Accent6 2 13 2" xfId="24047"/>
    <cellStyle name="40% - Accent6 2 14" xfId="18479"/>
    <cellStyle name="40% - Accent6 2 15" xfId="5872"/>
    <cellStyle name="40% - Accent6 2 2" xfId="224"/>
    <cellStyle name="40% - Accent6 2 2 10" xfId="3810"/>
    <cellStyle name="40% - Accent6 2 2 10 2" xfId="16423"/>
    <cellStyle name="40% - Accent6 2 2 10 2 2" xfId="27566"/>
    <cellStyle name="40% - Accent6 2 2 10 3" xfId="21997"/>
    <cellStyle name="40% - Accent6 2 2 10 4" xfId="7961"/>
    <cellStyle name="40% - Accent6 2 2 11" xfId="11433"/>
    <cellStyle name="40% - Accent6 2 2 11 2" xfId="14354"/>
    <cellStyle name="40% - Accent6 2 2 11 2 2" xfId="25497"/>
    <cellStyle name="40% - Accent6 2 2 11 3" xfId="19928"/>
    <cellStyle name="40% - Accent6 2 2 12" xfId="12923"/>
    <cellStyle name="40% - Accent6 2 2 12 2" xfId="24067"/>
    <cellStyle name="40% - Accent6 2 2 13" xfId="18498"/>
    <cellStyle name="40% - Accent6 2 2 14" xfId="5891"/>
    <cellStyle name="40% - Accent6 2 2 2" xfId="262"/>
    <cellStyle name="40% - Accent6 2 2 2 10" xfId="10023"/>
    <cellStyle name="40% - Accent6 2 2 2 10 2" xfId="14392"/>
    <cellStyle name="40% - Accent6 2 2 2 10 2 2" xfId="25535"/>
    <cellStyle name="40% - Accent6 2 2 2 10 3" xfId="19966"/>
    <cellStyle name="40% - Accent6 2 2 2 11" xfId="12961"/>
    <cellStyle name="40% - Accent6 2 2 2 11 2" xfId="24105"/>
    <cellStyle name="40% - Accent6 2 2 2 12" xfId="18536"/>
    <cellStyle name="40% - Accent6 2 2 2 13" xfId="5929"/>
    <cellStyle name="40% - Accent6 2 2 2 2" xfId="338"/>
    <cellStyle name="40% - Accent6 2 2 2 2 10" xfId="13037"/>
    <cellStyle name="40% - Accent6 2 2 2 2 10 2" xfId="24181"/>
    <cellStyle name="40% - Accent6 2 2 2 2 11" xfId="18612"/>
    <cellStyle name="40% - Accent6 2 2 2 2 12" xfId="6005"/>
    <cellStyle name="40% - Accent6 2 2 2 2 2" xfId="2296"/>
    <cellStyle name="40% - Accent6 2 2 2 2 2 2" xfId="2940"/>
    <cellStyle name="40% - Accent6 2 2 2 2 2 2 2" xfId="5049"/>
    <cellStyle name="40% - Accent6 2 2 2 2 2 2 2 2" xfId="17662"/>
    <cellStyle name="40% - Accent6 2 2 2 2 2 2 2 2 2" xfId="28805"/>
    <cellStyle name="40% - Accent6 2 2 2 2 2 2 2 3" xfId="23236"/>
    <cellStyle name="40% - Accent6 2 2 2 2 2 2 2 4" xfId="9200"/>
    <cellStyle name="40% - Accent6 2 2 2 2 2 2 3" xfId="10128"/>
    <cellStyle name="40% - Accent6 2 2 2 2 2 2 3 2" xfId="15593"/>
    <cellStyle name="40% - Accent6 2 2 2 2 2 2 3 2 2" xfId="26736"/>
    <cellStyle name="40% - Accent6 2 2 2 2 2 2 3 3" xfId="21167"/>
    <cellStyle name="40% - Accent6 2 2 2 2 2 2 4" xfId="14163"/>
    <cellStyle name="40% - Accent6 2 2 2 2 2 2 4 2" xfId="25306"/>
    <cellStyle name="40% - Accent6 2 2 2 2 2 2 5" xfId="19737"/>
    <cellStyle name="40% - Accent6 2 2 2 2 2 2 6" xfId="7131"/>
    <cellStyle name="40% - Accent6 2 2 2 2 2 3" xfId="3578"/>
    <cellStyle name="40% - Accent6 2 2 2 2 2 3 2" xfId="5687"/>
    <cellStyle name="40% - Accent6 2 2 2 2 2 3 2 2" xfId="18300"/>
    <cellStyle name="40% - Accent6 2 2 2 2 2 3 2 2 2" xfId="29443"/>
    <cellStyle name="40% - Accent6 2 2 2 2 2 3 2 3" xfId="23874"/>
    <cellStyle name="40% - Accent6 2 2 2 2 2 3 2 4" xfId="9838"/>
    <cellStyle name="40% - Accent6 2 2 2 2 2 3 3" xfId="16231"/>
    <cellStyle name="40% - Accent6 2 2 2 2 2 3 3 2" xfId="27374"/>
    <cellStyle name="40% - Accent6 2 2 2 2 2 3 4" xfId="21805"/>
    <cellStyle name="40% - Accent6 2 2 2 2 2 3 5" xfId="7769"/>
    <cellStyle name="40% - Accent6 2 2 2 2 2 4" xfId="4257"/>
    <cellStyle name="40% - Accent6 2 2 2 2 2 4 2" xfId="16870"/>
    <cellStyle name="40% - Accent6 2 2 2 2 2 4 2 2" xfId="28013"/>
    <cellStyle name="40% - Accent6 2 2 2 2 2 4 3" xfId="22444"/>
    <cellStyle name="40% - Accent6 2 2 2 2 2 4 4" xfId="8408"/>
    <cellStyle name="40% - Accent6 2 2 2 2 2 5" xfId="10815"/>
    <cellStyle name="40% - Accent6 2 2 2 2 2 5 2" xfId="14954"/>
    <cellStyle name="40% - Accent6 2 2 2 2 2 5 2 2" xfId="26097"/>
    <cellStyle name="40% - Accent6 2 2 2 2 2 5 3" xfId="20528"/>
    <cellStyle name="40% - Accent6 2 2 2 2 2 6" xfId="13524"/>
    <cellStyle name="40% - Accent6 2 2 2 2 2 6 2" xfId="24667"/>
    <cellStyle name="40% - Accent6 2 2 2 2 2 7" xfId="19098"/>
    <cellStyle name="40% - Accent6 2 2 2 2 2 8" xfId="6492"/>
    <cellStyle name="40% - Accent6 2 2 2 2 3" xfId="2104"/>
    <cellStyle name="40% - Accent6 2 2 2 2 3 2" xfId="2759"/>
    <cellStyle name="40% - Accent6 2 2 2 2 3 2 2" xfId="4868"/>
    <cellStyle name="40% - Accent6 2 2 2 2 3 2 2 2" xfId="17481"/>
    <cellStyle name="40% - Accent6 2 2 2 2 3 2 2 2 2" xfId="28624"/>
    <cellStyle name="40% - Accent6 2 2 2 2 3 2 2 3" xfId="23055"/>
    <cellStyle name="40% - Accent6 2 2 2 2 3 2 2 4" xfId="9019"/>
    <cellStyle name="40% - Accent6 2 2 2 2 3 2 3" xfId="11339"/>
    <cellStyle name="40% - Accent6 2 2 2 2 3 2 3 2" xfId="15412"/>
    <cellStyle name="40% - Accent6 2 2 2 2 3 2 3 2 2" xfId="26555"/>
    <cellStyle name="40% - Accent6 2 2 2 2 3 2 3 3" xfId="20986"/>
    <cellStyle name="40% - Accent6 2 2 2 2 3 2 4" xfId="13982"/>
    <cellStyle name="40% - Accent6 2 2 2 2 3 2 4 2" xfId="25125"/>
    <cellStyle name="40% - Accent6 2 2 2 2 3 2 5" xfId="19556"/>
    <cellStyle name="40% - Accent6 2 2 2 2 3 2 6" xfId="6950"/>
    <cellStyle name="40% - Accent6 2 2 2 2 3 3" xfId="3397"/>
    <cellStyle name="40% - Accent6 2 2 2 2 3 3 2" xfId="5506"/>
    <cellStyle name="40% - Accent6 2 2 2 2 3 3 2 2" xfId="18119"/>
    <cellStyle name="40% - Accent6 2 2 2 2 3 3 2 2 2" xfId="29262"/>
    <cellStyle name="40% - Accent6 2 2 2 2 3 3 2 3" xfId="23693"/>
    <cellStyle name="40% - Accent6 2 2 2 2 3 3 2 4" xfId="9657"/>
    <cellStyle name="40% - Accent6 2 2 2 2 3 3 3" xfId="16050"/>
    <cellStyle name="40% - Accent6 2 2 2 2 3 3 3 2" xfId="27193"/>
    <cellStyle name="40% - Accent6 2 2 2 2 3 3 4" xfId="21624"/>
    <cellStyle name="40% - Accent6 2 2 2 2 3 3 5" xfId="7588"/>
    <cellStyle name="40% - Accent6 2 2 2 2 3 4" xfId="4076"/>
    <cellStyle name="40% - Accent6 2 2 2 2 3 4 2" xfId="16689"/>
    <cellStyle name="40% - Accent6 2 2 2 2 3 4 2 2" xfId="27832"/>
    <cellStyle name="40% - Accent6 2 2 2 2 3 4 3" xfId="22263"/>
    <cellStyle name="40% - Accent6 2 2 2 2 3 4 4" xfId="8227"/>
    <cellStyle name="40% - Accent6 2 2 2 2 3 5" xfId="10346"/>
    <cellStyle name="40% - Accent6 2 2 2 2 3 5 2" xfId="14773"/>
    <cellStyle name="40% - Accent6 2 2 2 2 3 5 2 2" xfId="25916"/>
    <cellStyle name="40% - Accent6 2 2 2 2 3 5 3" xfId="20347"/>
    <cellStyle name="40% - Accent6 2 2 2 2 3 6" xfId="13343"/>
    <cellStyle name="40% - Accent6 2 2 2 2 3 6 2" xfId="24486"/>
    <cellStyle name="40% - Accent6 2 2 2 2 3 7" xfId="18917"/>
    <cellStyle name="40% - Accent6 2 2 2 2 3 8" xfId="6311"/>
    <cellStyle name="40% - Accent6 2 2 2 2 4" xfId="2451"/>
    <cellStyle name="40% - Accent6 2 2 2 2 4 2" xfId="3092"/>
    <cellStyle name="40% - Accent6 2 2 2 2 4 2 2" xfId="5201"/>
    <cellStyle name="40% - Accent6 2 2 2 2 4 2 2 2" xfId="17814"/>
    <cellStyle name="40% - Accent6 2 2 2 2 4 2 2 2 2" xfId="28957"/>
    <cellStyle name="40% - Accent6 2 2 2 2 4 2 2 3" xfId="23388"/>
    <cellStyle name="40% - Accent6 2 2 2 2 4 2 2 4" xfId="9352"/>
    <cellStyle name="40% - Accent6 2 2 2 2 4 2 3" xfId="10230"/>
    <cellStyle name="40% - Accent6 2 2 2 2 4 2 3 2" xfId="15745"/>
    <cellStyle name="40% - Accent6 2 2 2 2 4 2 3 2 2" xfId="26888"/>
    <cellStyle name="40% - Accent6 2 2 2 2 4 2 3 3" xfId="21319"/>
    <cellStyle name="40% - Accent6 2 2 2 2 4 2 4" xfId="14315"/>
    <cellStyle name="40% - Accent6 2 2 2 2 4 2 4 2" xfId="25458"/>
    <cellStyle name="40% - Accent6 2 2 2 2 4 2 5" xfId="19889"/>
    <cellStyle name="40% - Accent6 2 2 2 2 4 2 6" xfId="7283"/>
    <cellStyle name="40% - Accent6 2 2 2 2 4 3" xfId="3730"/>
    <cellStyle name="40% - Accent6 2 2 2 2 4 3 2" xfId="5839"/>
    <cellStyle name="40% - Accent6 2 2 2 2 4 3 2 2" xfId="18452"/>
    <cellStyle name="40% - Accent6 2 2 2 2 4 3 2 2 2" xfId="29595"/>
    <cellStyle name="40% - Accent6 2 2 2 2 4 3 2 3" xfId="24026"/>
    <cellStyle name="40% - Accent6 2 2 2 2 4 3 2 4" xfId="9990"/>
    <cellStyle name="40% - Accent6 2 2 2 2 4 3 3" xfId="16383"/>
    <cellStyle name="40% - Accent6 2 2 2 2 4 3 3 2" xfId="27526"/>
    <cellStyle name="40% - Accent6 2 2 2 2 4 3 4" xfId="21957"/>
    <cellStyle name="40% - Accent6 2 2 2 2 4 3 5" xfId="7921"/>
    <cellStyle name="40% - Accent6 2 2 2 2 4 4" xfId="4409"/>
    <cellStyle name="40% - Accent6 2 2 2 2 4 4 2" xfId="17022"/>
    <cellStyle name="40% - Accent6 2 2 2 2 4 4 2 2" xfId="28165"/>
    <cellStyle name="40% - Accent6 2 2 2 2 4 4 3" xfId="22596"/>
    <cellStyle name="40% - Accent6 2 2 2 2 4 4 4" xfId="8560"/>
    <cellStyle name="40% - Accent6 2 2 2 2 4 5" xfId="11185"/>
    <cellStyle name="40% - Accent6 2 2 2 2 4 5 2" xfId="15106"/>
    <cellStyle name="40% - Accent6 2 2 2 2 4 5 2 2" xfId="26249"/>
    <cellStyle name="40% - Accent6 2 2 2 2 4 5 3" xfId="20680"/>
    <cellStyle name="40% - Accent6 2 2 2 2 4 6" xfId="13676"/>
    <cellStyle name="40% - Accent6 2 2 2 2 4 6 2" xfId="24819"/>
    <cellStyle name="40% - Accent6 2 2 2 2 4 7" xfId="19250"/>
    <cellStyle name="40% - Accent6 2 2 2 2 4 8" xfId="6644"/>
    <cellStyle name="40% - Accent6 2 2 2 2 5" xfId="1914"/>
    <cellStyle name="40% - Accent6 2 2 2 2 5 2" xfId="4562"/>
    <cellStyle name="40% - Accent6 2 2 2 2 5 2 2" xfId="17175"/>
    <cellStyle name="40% - Accent6 2 2 2 2 5 2 2 2" xfId="28318"/>
    <cellStyle name="40% - Accent6 2 2 2 2 5 2 3" xfId="22749"/>
    <cellStyle name="40% - Accent6 2 2 2 2 5 2 4" xfId="8713"/>
    <cellStyle name="40% - Accent6 2 2 2 2 5 3" xfId="11072"/>
    <cellStyle name="40% - Accent6 2 2 2 2 5 3 2" xfId="14621"/>
    <cellStyle name="40% - Accent6 2 2 2 2 5 3 2 2" xfId="25764"/>
    <cellStyle name="40% - Accent6 2 2 2 2 5 3 3" xfId="20195"/>
    <cellStyle name="40% - Accent6 2 2 2 2 5 4" xfId="13191"/>
    <cellStyle name="40% - Accent6 2 2 2 2 5 4 2" xfId="24334"/>
    <cellStyle name="40% - Accent6 2 2 2 2 5 5" xfId="18765"/>
    <cellStyle name="40% - Accent6 2 2 2 2 5 6" xfId="6159"/>
    <cellStyle name="40% - Accent6 2 2 2 2 6" xfId="2607"/>
    <cellStyle name="40% - Accent6 2 2 2 2 6 2" xfId="4716"/>
    <cellStyle name="40% - Accent6 2 2 2 2 6 2 2" xfId="17329"/>
    <cellStyle name="40% - Accent6 2 2 2 2 6 2 2 2" xfId="28472"/>
    <cellStyle name="40% - Accent6 2 2 2 2 6 2 3" xfId="22903"/>
    <cellStyle name="40% - Accent6 2 2 2 2 6 2 4" xfId="8867"/>
    <cellStyle name="40% - Accent6 2 2 2 2 6 3" xfId="10480"/>
    <cellStyle name="40% - Accent6 2 2 2 2 6 3 2" xfId="15260"/>
    <cellStyle name="40% - Accent6 2 2 2 2 6 3 2 2" xfId="26403"/>
    <cellStyle name="40% - Accent6 2 2 2 2 6 3 3" xfId="20834"/>
    <cellStyle name="40% - Accent6 2 2 2 2 6 4" xfId="13830"/>
    <cellStyle name="40% - Accent6 2 2 2 2 6 4 2" xfId="24973"/>
    <cellStyle name="40% - Accent6 2 2 2 2 6 5" xfId="19404"/>
    <cellStyle name="40% - Accent6 2 2 2 2 6 6" xfId="6798"/>
    <cellStyle name="40% - Accent6 2 2 2 2 7" xfId="3245"/>
    <cellStyle name="40% - Accent6 2 2 2 2 7 2" xfId="5354"/>
    <cellStyle name="40% - Accent6 2 2 2 2 7 2 2" xfId="17967"/>
    <cellStyle name="40% - Accent6 2 2 2 2 7 2 2 2" xfId="29110"/>
    <cellStyle name="40% - Accent6 2 2 2 2 7 2 3" xfId="23541"/>
    <cellStyle name="40% - Accent6 2 2 2 2 7 2 4" xfId="9505"/>
    <cellStyle name="40% - Accent6 2 2 2 2 7 3" xfId="15898"/>
    <cellStyle name="40% - Accent6 2 2 2 2 7 3 2" xfId="27041"/>
    <cellStyle name="40% - Accent6 2 2 2 2 7 4" xfId="21472"/>
    <cellStyle name="40% - Accent6 2 2 2 2 7 5" xfId="7436"/>
    <cellStyle name="40% - Accent6 2 2 2 2 8" xfId="3924"/>
    <cellStyle name="40% - Accent6 2 2 2 2 8 2" xfId="16537"/>
    <cellStyle name="40% - Accent6 2 2 2 2 8 2 2" xfId="27680"/>
    <cellStyle name="40% - Accent6 2 2 2 2 8 3" xfId="22111"/>
    <cellStyle name="40% - Accent6 2 2 2 2 8 4" xfId="8075"/>
    <cellStyle name="40% - Accent6 2 2 2 2 9" xfId="10277"/>
    <cellStyle name="40% - Accent6 2 2 2 2 9 2" xfId="14468"/>
    <cellStyle name="40% - Accent6 2 2 2 2 9 2 2" xfId="25611"/>
    <cellStyle name="40% - Accent6 2 2 2 2 9 3" xfId="20042"/>
    <cellStyle name="40% - Accent6 2 2 2 3" xfId="2220"/>
    <cellStyle name="40% - Accent6 2 2 2 3 2" xfId="2864"/>
    <cellStyle name="40% - Accent6 2 2 2 3 2 2" xfId="4973"/>
    <cellStyle name="40% - Accent6 2 2 2 3 2 2 2" xfId="17586"/>
    <cellStyle name="40% - Accent6 2 2 2 3 2 2 2 2" xfId="28729"/>
    <cellStyle name="40% - Accent6 2 2 2 3 2 2 3" xfId="23160"/>
    <cellStyle name="40% - Accent6 2 2 2 3 2 2 4" xfId="9124"/>
    <cellStyle name="40% - Accent6 2 2 2 3 2 3" xfId="10072"/>
    <cellStyle name="40% - Accent6 2 2 2 3 2 3 2" xfId="15517"/>
    <cellStyle name="40% - Accent6 2 2 2 3 2 3 2 2" xfId="26660"/>
    <cellStyle name="40% - Accent6 2 2 2 3 2 3 3" xfId="21091"/>
    <cellStyle name="40% - Accent6 2 2 2 3 2 4" xfId="14087"/>
    <cellStyle name="40% - Accent6 2 2 2 3 2 4 2" xfId="25230"/>
    <cellStyle name="40% - Accent6 2 2 2 3 2 5" xfId="19661"/>
    <cellStyle name="40% - Accent6 2 2 2 3 2 6" xfId="7055"/>
    <cellStyle name="40% - Accent6 2 2 2 3 3" xfId="3502"/>
    <cellStyle name="40% - Accent6 2 2 2 3 3 2" xfId="5611"/>
    <cellStyle name="40% - Accent6 2 2 2 3 3 2 2" xfId="18224"/>
    <cellStyle name="40% - Accent6 2 2 2 3 3 2 2 2" xfId="29367"/>
    <cellStyle name="40% - Accent6 2 2 2 3 3 2 3" xfId="23798"/>
    <cellStyle name="40% - Accent6 2 2 2 3 3 2 4" xfId="9762"/>
    <cellStyle name="40% - Accent6 2 2 2 3 3 3" xfId="16155"/>
    <cellStyle name="40% - Accent6 2 2 2 3 3 3 2" xfId="27298"/>
    <cellStyle name="40% - Accent6 2 2 2 3 3 4" xfId="21729"/>
    <cellStyle name="40% - Accent6 2 2 2 3 3 5" xfId="7693"/>
    <cellStyle name="40% - Accent6 2 2 2 3 4" xfId="4181"/>
    <cellStyle name="40% - Accent6 2 2 2 3 4 2" xfId="16794"/>
    <cellStyle name="40% - Accent6 2 2 2 3 4 2 2" xfId="27937"/>
    <cellStyle name="40% - Accent6 2 2 2 3 4 3" xfId="22368"/>
    <cellStyle name="40% - Accent6 2 2 2 3 4 4" xfId="8332"/>
    <cellStyle name="40% - Accent6 2 2 2 3 5" xfId="11104"/>
    <cellStyle name="40% - Accent6 2 2 2 3 5 2" xfId="14878"/>
    <cellStyle name="40% - Accent6 2 2 2 3 5 2 2" xfId="26021"/>
    <cellStyle name="40% - Accent6 2 2 2 3 5 3" xfId="20452"/>
    <cellStyle name="40% - Accent6 2 2 2 3 6" xfId="13448"/>
    <cellStyle name="40% - Accent6 2 2 2 3 6 2" xfId="24591"/>
    <cellStyle name="40% - Accent6 2 2 2 3 7" xfId="19022"/>
    <cellStyle name="40% - Accent6 2 2 2 3 8" xfId="6416"/>
    <cellStyle name="40% - Accent6 2 2 2 4" xfId="2028"/>
    <cellStyle name="40% - Accent6 2 2 2 4 2" xfId="2683"/>
    <cellStyle name="40% - Accent6 2 2 2 4 2 2" xfId="4792"/>
    <cellStyle name="40% - Accent6 2 2 2 4 2 2 2" xfId="17405"/>
    <cellStyle name="40% - Accent6 2 2 2 4 2 2 2 2" xfId="28548"/>
    <cellStyle name="40% - Accent6 2 2 2 4 2 2 3" xfId="22979"/>
    <cellStyle name="40% - Accent6 2 2 2 4 2 2 4" xfId="8943"/>
    <cellStyle name="40% - Accent6 2 2 2 4 2 3" xfId="10404"/>
    <cellStyle name="40% - Accent6 2 2 2 4 2 3 2" xfId="15336"/>
    <cellStyle name="40% - Accent6 2 2 2 4 2 3 2 2" xfId="26479"/>
    <cellStyle name="40% - Accent6 2 2 2 4 2 3 3" xfId="20910"/>
    <cellStyle name="40% - Accent6 2 2 2 4 2 4" xfId="13906"/>
    <cellStyle name="40% - Accent6 2 2 2 4 2 4 2" xfId="25049"/>
    <cellStyle name="40% - Accent6 2 2 2 4 2 5" xfId="19480"/>
    <cellStyle name="40% - Accent6 2 2 2 4 2 6" xfId="6874"/>
    <cellStyle name="40% - Accent6 2 2 2 4 3" xfId="3321"/>
    <cellStyle name="40% - Accent6 2 2 2 4 3 2" xfId="5430"/>
    <cellStyle name="40% - Accent6 2 2 2 4 3 2 2" xfId="18043"/>
    <cellStyle name="40% - Accent6 2 2 2 4 3 2 2 2" xfId="29186"/>
    <cellStyle name="40% - Accent6 2 2 2 4 3 2 3" xfId="23617"/>
    <cellStyle name="40% - Accent6 2 2 2 4 3 2 4" xfId="9581"/>
    <cellStyle name="40% - Accent6 2 2 2 4 3 3" xfId="15974"/>
    <cellStyle name="40% - Accent6 2 2 2 4 3 3 2" xfId="27117"/>
    <cellStyle name="40% - Accent6 2 2 2 4 3 4" xfId="21548"/>
    <cellStyle name="40% - Accent6 2 2 2 4 3 5" xfId="7512"/>
    <cellStyle name="40% - Accent6 2 2 2 4 4" xfId="4000"/>
    <cellStyle name="40% - Accent6 2 2 2 4 4 2" xfId="16613"/>
    <cellStyle name="40% - Accent6 2 2 2 4 4 2 2" xfId="27756"/>
    <cellStyle name="40% - Accent6 2 2 2 4 4 3" xfId="22187"/>
    <cellStyle name="40% - Accent6 2 2 2 4 4 4" xfId="8151"/>
    <cellStyle name="40% - Accent6 2 2 2 4 5" xfId="11328"/>
    <cellStyle name="40% - Accent6 2 2 2 4 5 2" xfId="14697"/>
    <cellStyle name="40% - Accent6 2 2 2 4 5 2 2" xfId="25840"/>
    <cellStyle name="40% - Accent6 2 2 2 4 5 3" xfId="20271"/>
    <cellStyle name="40% - Accent6 2 2 2 4 6" xfId="13267"/>
    <cellStyle name="40% - Accent6 2 2 2 4 6 2" xfId="24410"/>
    <cellStyle name="40% - Accent6 2 2 2 4 7" xfId="18841"/>
    <cellStyle name="40% - Accent6 2 2 2 4 8" xfId="6235"/>
    <cellStyle name="40% - Accent6 2 2 2 5" xfId="2375"/>
    <cellStyle name="40% - Accent6 2 2 2 5 2" xfId="3016"/>
    <cellStyle name="40% - Accent6 2 2 2 5 2 2" xfId="5125"/>
    <cellStyle name="40% - Accent6 2 2 2 5 2 2 2" xfId="17738"/>
    <cellStyle name="40% - Accent6 2 2 2 5 2 2 2 2" xfId="28881"/>
    <cellStyle name="40% - Accent6 2 2 2 5 2 2 3" xfId="23312"/>
    <cellStyle name="40% - Accent6 2 2 2 5 2 2 4" xfId="9276"/>
    <cellStyle name="40% - Accent6 2 2 2 5 2 3" xfId="11140"/>
    <cellStyle name="40% - Accent6 2 2 2 5 2 3 2" xfId="15669"/>
    <cellStyle name="40% - Accent6 2 2 2 5 2 3 2 2" xfId="26812"/>
    <cellStyle name="40% - Accent6 2 2 2 5 2 3 3" xfId="21243"/>
    <cellStyle name="40% - Accent6 2 2 2 5 2 4" xfId="14239"/>
    <cellStyle name="40% - Accent6 2 2 2 5 2 4 2" xfId="25382"/>
    <cellStyle name="40% - Accent6 2 2 2 5 2 5" xfId="19813"/>
    <cellStyle name="40% - Accent6 2 2 2 5 2 6" xfId="7207"/>
    <cellStyle name="40% - Accent6 2 2 2 5 3" xfId="3654"/>
    <cellStyle name="40% - Accent6 2 2 2 5 3 2" xfId="5763"/>
    <cellStyle name="40% - Accent6 2 2 2 5 3 2 2" xfId="18376"/>
    <cellStyle name="40% - Accent6 2 2 2 5 3 2 2 2" xfId="29519"/>
    <cellStyle name="40% - Accent6 2 2 2 5 3 2 3" xfId="23950"/>
    <cellStyle name="40% - Accent6 2 2 2 5 3 2 4" xfId="9914"/>
    <cellStyle name="40% - Accent6 2 2 2 5 3 3" xfId="16307"/>
    <cellStyle name="40% - Accent6 2 2 2 5 3 3 2" xfId="27450"/>
    <cellStyle name="40% - Accent6 2 2 2 5 3 4" xfId="21881"/>
    <cellStyle name="40% - Accent6 2 2 2 5 3 5" xfId="7845"/>
    <cellStyle name="40% - Accent6 2 2 2 5 4" xfId="4333"/>
    <cellStyle name="40% - Accent6 2 2 2 5 4 2" xfId="16946"/>
    <cellStyle name="40% - Accent6 2 2 2 5 4 2 2" xfId="28089"/>
    <cellStyle name="40% - Accent6 2 2 2 5 4 3" xfId="22520"/>
    <cellStyle name="40% - Accent6 2 2 2 5 4 4" xfId="8484"/>
    <cellStyle name="40% - Accent6 2 2 2 5 5" xfId="10501"/>
    <cellStyle name="40% - Accent6 2 2 2 5 5 2" xfId="15030"/>
    <cellStyle name="40% - Accent6 2 2 2 5 5 2 2" xfId="26173"/>
    <cellStyle name="40% - Accent6 2 2 2 5 5 3" xfId="20604"/>
    <cellStyle name="40% - Accent6 2 2 2 5 6" xfId="13600"/>
    <cellStyle name="40% - Accent6 2 2 2 5 6 2" xfId="24743"/>
    <cellStyle name="40% - Accent6 2 2 2 5 7" xfId="19174"/>
    <cellStyle name="40% - Accent6 2 2 2 5 8" xfId="6568"/>
    <cellStyle name="40% - Accent6 2 2 2 6" xfId="1838"/>
    <cellStyle name="40% - Accent6 2 2 2 6 2" xfId="4486"/>
    <cellStyle name="40% - Accent6 2 2 2 6 2 2" xfId="17099"/>
    <cellStyle name="40% - Accent6 2 2 2 6 2 2 2" xfId="28242"/>
    <cellStyle name="40% - Accent6 2 2 2 6 2 3" xfId="22673"/>
    <cellStyle name="40% - Accent6 2 2 2 6 2 4" xfId="8637"/>
    <cellStyle name="40% - Accent6 2 2 2 6 3" xfId="10944"/>
    <cellStyle name="40% - Accent6 2 2 2 6 3 2" xfId="14545"/>
    <cellStyle name="40% - Accent6 2 2 2 6 3 2 2" xfId="25688"/>
    <cellStyle name="40% - Accent6 2 2 2 6 3 3" xfId="20119"/>
    <cellStyle name="40% - Accent6 2 2 2 6 4" xfId="13115"/>
    <cellStyle name="40% - Accent6 2 2 2 6 4 2" xfId="24258"/>
    <cellStyle name="40% - Accent6 2 2 2 6 5" xfId="18689"/>
    <cellStyle name="40% - Accent6 2 2 2 6 6" xfId="6083"/>
    <cellStyle name="40% - Accent6 2 2 2 7" xfId="2531"/>
    <cellStyle name="40% - Accent6 2 2 2 7 2" xfId="4640"/>
    <cellStyle name="40% - Accent6 2 2 2 7 2 2" xfId="17253"/>
    <cellStyle name="40% - Accent6 2 2 2 7 2 2 2" xfId="28396"/>
    <cellStyle name="40% - Accent6 2 2 2 7 2 3" xfId="22827"/>
    <cellStyle name="40% - Accent6 2 2 2 7 2 4" xfId="8791"/>
    <cellStyle name="40% - Accent6 2 2 2 7 3" xfId="10492"/>
    <cellStyle name="40% - Accent6 2 2 2 7 3 2" xfId="15184"/>
    <cellStyle name="40% - Accent6 2 2 2 7 3 2 2" xfId="26327"/>
    <cellStyle name="40% - Accent6 2 2 2 7 3 3" xfId="20758"/>
    <cellStyle name="40% - Accent6 2 2 2 7 4" xfId="13754"/>
    <cellStyle name="40% - Accent6 2 2 2 7 4 2" xfId="24897"/>
    <cellStyle name="40% - Accent6 2 2 2 7 5" xfId="19328"/>
    <cellStyle name="40% - Accent6 2 2 2 7 6" xfId="6722"/>
    <cellStyle name="40% - Accent6 2 2 2 8" xfId="3169"/>
    <cellStyle name="40% - Accent6 2 2 2 8 2" xfId="5278"/>
    <cellStyle name="40% - Accent6 2 2 2 8 2 2" xfId="17891"/>
    <cellStyle name="40% - Accent6 2 2 2 8 2 2 2" xfId="29034"/>
    <cellStyle name="40% - Accent6 2 2 2 8 2 3" xfId="23465"/>
    <cellStyle name="40% - Accent6 2 2 2 8 2 4" xfId="9429"/>
    <cellStyle name="40% - Accent6 2 2 2 8 3" xfId="15822"/>
    <cellStyle name="40% - Accent6 2 2 2 8 3 2" xfId="26965"/>
    <cellStyle name="40% - Accent6 2 2 2 8 4" xfId="21396"/>
    <cellStyle name="40% - Accent6 2 2 2 8 5" xfId="7360"/>
    <cellStyle name="40% - Accent6 2 2 2 9" xfId="3848"/>
    <cellStyle name="40% - Accent6 2 2 2 9 2" xfId="16461"/>
    <cellStyle name="40% - Accent6 2 2 2 9 2 2" xfId="27604"/>
    <cellStyle name="40% - Accent6 2 2 2 9 3" xfId="22035"/>
    <cellStyle name="40% - Accent6 2 2 2 9 4" xfId="7999"/>
    <cellStyle name="40% - Accent6 2 2 3" xfId="300"/>
    <cellStyle name="40% - Accent6 2 2 3 10" xfId="12999"/>
    <cellStyle name="40% - Accent6 2 2 3 10 2" xfId="24143"/>
    <cellStyle name="40% - Accent6 2 2 3 11" xfId="18574"/>
    <cellStyle name="40% - Accent6 2 2 3 12" xfId="5967"/>
    <cellStyle name="40% - Accent6 2 2 3 2" xfId="2258"/>
    <cellStyle name="40% - Accent6 2 2 3 2 2" xfId="2902"/>
    <cellStyle name="40% - Accent6 2 2 3 2 2 2" xfId="5011"/>
    <cellStyle name="40% - Accent6 2 2 3 2 2 2 2" xfId="17624"/>
    <cellStyle name="40% - Accent6 2 2 3 2 2 2 2 2" xfId="28767"/>
    <cellStyle name="40% - Accent6 2 2 3 2 2 2 3" xfId="23198"/>
    <cellStyle name="40% - Accent6 2 2 3 2 2 2 4" xfId="9162"/>
    <cellStyle name="40% - Accent6 2 2 3 2 2 3" xfId="10461"/>
    <cellStyle name="40% - Accent6 2 2 3 2 2 3 2" xfId="15555"/>
    <cellStyle name="40% - Accent6 2 2 3 2 2 3 2 2" xfId="26698"/>
    <cellStyle name="40% - Accent6 2 2 3 2 2 3 3" xfId="21129"/>
    <cellStyle name="40% - Accent6 2 2 3 2 2 4" xfId="14125"/>
    <cellStyle name="40% - Accent6 2 2 3 2 2 4 2" xfId="25268"/>
    <cellStyle name="40% - Accent6 2 2 3 2 2 5" xfId="19699"/>
    <cellStyle name="40% - Accent6 2 2 3 2 2 6" xfId="7093"/>
    <cellStyle name="40% - Accent6 2 2 3 2 3" xfId="3540"/>
    <cellStyle name="40% - Accent6 2 2 3 2 3 2" xfId="5649"/>
    <cellStyle name="40% - Accent6 2 2 3 2 3 2 2" xfId="18262"/>
    <cellStyle name="40% - Accent6 2 2 3 2 3 2 2 2" xfId="29405"/>
    <cellStyle name="40% - Accent6 2 2 3 2 3 2 3" xfId="23836"/>
    <cellStyle name="40% - Accent6 2 2 3 2 3 2 4" xfId="9800"/>
    <cellStyle name="40% - Accent6 2 2 3 2 3 3" xfId="16193"/>
    <cellStyle name="40% - Accent6 2 2 3 2 3 3 2" xfId="27336"/>
    <cellStyle name="40% - Accent6 2 2 3 2 3 4" xfId="21767"/>
    <cellStyle name="40% - Accent6 2 2 3 2 3 5" xfId="7731"/>
    <cellStyle name="40% - Accent6 2 2 3 2 4" xfId="4219"/>
    <cellStyle name="40% - Accent6 2 2 3 2 4 2" xfId="16832"/>
    <cellStyle name="40% - Accent6 2 2 3 2 4 2 2" xfId="27975"/>
    <cellStyle name="40% - Accent6 2 2 3 2 4 3" xfId="22406"/>
    <cellStyle name="40% - Accent6 2 2 3 2 4 4" xfId="8370"/>
    <cellStyle name="40% - Accent6 2 2 3 2 5" xfId="11302"/>
    <cellStyle name="40% - Accent6 2 2 3 2 5 2" xfId="14916"/>
    <cellStyle name="40% - Accent6 2 2 3 2 5 2 2" xfId="26059"/>
    <cellStyle name="40% - Accent6 2 2 3 2 5 3" xfId="20490"/>
    <cellStyle name="40% - Accent6 2 2 3 2 6" xfId="13486"/>
    <cellStyle name="40% - Accent6 2 2 3 2 6 2" xfId="24629"/>
    <cellStyle name="40% - Accent6 2 2 3 2 7" xfId="19060"/>
    <cellStyle name="40% - Accent6 2 2 3 2 8" xfId="6454"/>
    <cellStyle name="40% - Accent6 2 2 3 3" xfId="2066"/>
    <cellStyle name="40% - Accent6 2 2 3 3 2" xfId="2721"/>
    <cellStyle name="40% - Accent6 2 2 3 3 2 2" xfId="4830"/>
    <cellStyle name="40% - Accent6 2 2 3 3 2 2 2" xfId="17443"/>
    <cellStyle name="40% - Accent6 2 2 3 3 2 2 2 2" xfId="28586"/>
    <cellStyle name="40% - Accent6 2 2 3 3 2 2 3" xfId="23017"/>
    <cellStyle name="40% - Accent6 2 2 3 3 2 2 4" xfId="8981"/>
    <cellStyle name="40% - Accent6 2 2 3 3 2 3" xfId="10101"/>
    <cellStyle name="40% - Accent6 2 2 3 3 2 3 2" xfId="15374"/>
    <cellStyle name="40% - Accent6 2 2 3 3 2 3 2 2" xfId="26517"/>
    <cellStyle name="40% - Accent6 2 2 3 3 2 3 3" xfId="20948"/>
    <cellStyle name="40% - Accent6 2 2 3 3 2 4" xfId="13944"/>
    <cellStyle name="40% - Accent6 2 2 3 3 2 4 2" xfId="25087"/>
    <cellStyle name="40% - Accent6 2 2 3 3 2 5" xfId="19518"/>
    <cellStyle name="40% - Accent6 2 2 3 3 2 6" xfId="6912"/>
    <cellStyle name="40% - Accent6 2 2 3 3 3" xfId="3359"/>
    <cellStyle name="40% - Accent6 2 2 3 3 3 2" xfId="5468"/>
    <cellStyle name="40% - Accent6 2 2 3 3 3 2 2" xfId="18081"/>
    <cellStyle name="40% - Accent6 2 2 3 3 3 2 2 2" xfId="29224"/>
    <cellStyle name="40% - Accent6 2 2 3 3 3 2 3" xfId="23655"/>
    <cellStyle name="40% - Accent6 2 2 3 3 3 2 4" xfId="9619"/>
    <cellStyle name="40% - Accent6 2 2 3 3 3 3" xfId="16012"/>
    <cellStyle name="40% - Accent6 2 2 3 3 3 3 2" xfId="27155"/>
    <cellStyle name="40% - Accent6 2 2 3 3 3 4" xfId="21586"/>
    <cellStyle name="40% - Accent6 2 2 3 3 3 5" xfId="7550"/>
    <cellStyle name="40% - Accent6 2 2 3 3 4" xfId="4038"/>
    <cellStyle name="40% - Accent6 2 2 3 3 4 2" xfId="16651"/>
    <cellStyle name="40% - Accent6 2 2 3 3 4 2 2" xfId="27794"/>
    <cellStyle name="40% - Accent6 2 2 3 3 4 3" xfId="22225"/>
    <cellStyle name="40% - Accent6 2 2 3 3 4 4" xfId="8189"/>
    <cellStyle name="40% - Accent6 2 2 3 3 5" xfId="10008"/>
    <cellStyle name="40% - Accent6 2 2 3 3 5 2" xfId="14735"/>
    <cellStyle name="40% - Accent6 2 2 3 3 5 2 2" xfId="25878"/>
    <cellStyle name="40% - Accent6 2 2 3 3 5 3" xfId="20309"/>
    <cellStyle name="40% - Accent6 2 2 3 3 6" xfId="13305"/>
    <cellStyle name="40% - Accent6 2 2 3 3 6 2" xfId="24448"/>
    <cellStyle name="40% - Accent6 2 2 3 3 7" xfId="18879"/>
    <cellStyle name="40% - Accent6 2 2 3 3 8" xfId="6273"/>
    <cellStyle name="40% - Accent6 2 2 3 4" xfId="2413"/>
    <cellStyle name="40% - Accent6 2 2 3 4 2" xfId="3054"/>
    <cellStyle name="40% - Accent6 2 2 3 4 2 2" xfId="5163"/>
    <cellStyle name="40% - Accent6 2 2 3 4 2 2 2" xfId="17776"/>
    <cellStyle name="40% - Accent6 2 2 3 4 2 2 2 2" xfId="28919"/>
    <cellStyle name="40% - Accent6 2 2 3 4 2 2 3" xfId="23350"/>
    <cellStyle name="40% - Accent6 2 2 3 4 2 2 4" xfId="9314"/>
    <cellStyle name="40% - Accent6 2 2 3 4 2 3" xfId="11270"/>
    <cellStyle name="40% - Accent6 2 2 3 4 2 3 2" xfId="15707"/>
    <cellStyle name="40% - Accent6 2 2 3 4 2 3 2 2" xfId="26850"/>
    <cellStyle name="40% - Accent6 2 2 3 4 2 3 3" xfId="21281"/>
    <cellStyle name="40% - Accent6 2 2 3 4 2 4" xfId="14277"/>
    <cellStyle name="40% - Accent6 2 2 3 4 2 4 2" xfId="25420"/>
    <cellStyle name="40% - Accent6 2 2 3 4 2 5" xfId="19851"/>
    <cellStyle name="40% - Accent6 2 2 3 4 2 6" xfId="7245"/>
    <cellStyle name="40% - Accent6 2 2 3 4 3" xfId="3692"/>
    <cellStyle name="40% - Accent6 2 2 3 4 3 2" xfId="5801"/>
    <cellStyle name="40% - Accent6 2 2 3 4 3 2 2" xfId="18414"/>
    <cellStyle name="40% - Accent6 2 2 3 4 3 2 2 2" xfId="29557"/>
    <cellStyle name="40% - Accent6 2 2 3 4 3 2 3" xfId="23988"/>
    <cellStyle name="40% - Accent6 2 2 3 4 3 2 4" xfId="9952"/>
    <cellStyle name="40% - Accent6 2 2 3 4 3 3" xfId="16345"/>
    <cellStyle name="40% - Accent6 2 2 3 4 3 3 2" xfId="27488"/>
    <cellStyle name="40% - Accent6 2 2 3 4 3 4" xfId="21919"/>
    <cellStyle name="40% - Accent6 2 2 3 4 3 5" xfId="7883"/>
    <cellStyle name="40% - Accent6 2 2 3 4 4" xfId="4371"/>
    <cellStyle name="40% - Accent6 2 2 3 4 4 2" xfId="16984"/>
    <cellStyle name="40% - Accent6 2 2 3 4 4 2 2" xfId="28127"/>
    <cellStyle name="40% - Accent6 2 2 3 4 4 3" xfId="22558"/>
    <cellStyle name="40% - Accent6 2 2 3 4 4 4" xfId="8522"/>
    <cellStyle name="40% - Accent6 2 2 3 4 5" xfId="10462"/>
    <cellStyle name="40% - Accent6 2 2 3 4 5 2" xfId="15068"/>
    <cellStyle name="40% - Accent6 2 2 3 4 5 2 2" xfId="26211"/>
    <cellStyle name="40% - Accent6 2 2 3 4 5 3" xfId="20642"/>
    <cellStyle name="40% - Accent6 2 2 3 4 6" xfId="13638"/>
    <cellStyle name="40% - Accent6 2 2 3 4 6 2" xfId="24781"/>
    <cellStyle name="40% - Accent6 2 2 3 4 7" xfId="19212"/>
    <cellStyle name="40% - Accent6 2 2 3 4 8" xfId="6606"/>
    <cellStyle name="40% - Accent6 2 2 3 5" xfId="1876"/>
    <cellStyle name="40% - Accent6 2 2 3 5 2" xfId="4524"/>
    <cellStyle name="40% - Accent6 2 2 3 5 2 2" xfId="17137"/>
    <cellStyle name="40% - Accent6 2 2 3 5 2 2 2" xfId="28280"/>
    <cellStyle name="40% - Accent6 2 2 3 5 2 3" xfId="22711"/>
    <cellStyle name="40% - Accent6 2 2 3 5 2 4" xfId="8675"/>
    <cellStyle name="40% - Accent6 2 2 3 5 3" xfId="10853"/>
    <cellStyle name="40% - Accent6 2 2 3 5 3 2" xfId="14583"/>
    <cellStyle name="40% - Accent6 2 2 3 5 3 2 2" xfId="25726"/>
    <cellStyle name="40% - Accent6 2 2 3 5 3 3" xfId="20157"/>
    <cellStyle name="40% - Accent6 2 2 3 5 4" xfId="13153"/>
    <cellStyle name="40% - Accent6 2 2 3 5 4 2" xfId="24296"/>
    <cellStyle name="40% - Accent6 2 2 3 5 5" xfId="18727"/>
    <cellStyle name="40% - Accent6 2 2 3 5 6" xfId="6121"/>
    <cellStyle name="40% - Accent6 2 2 3 6" xfId="2569"/>
    <cellStyle name="40% - Accent6 2 2 3 6 2" xfId="4678"/>
    <cellStyle name="40% - Accent6 2 2 3 6 2 2" xfId="17291"/>
    <cellStyle name="40% - Accent6 2 2 3 6 2 2 2" xfId="28434"/>
    <cellStyle name="40% - Accent6 2 2 3 6 2 3" xfId="22865"/>
    <cellStyle name="40% - Accent6 2 2 3 6 2 4" xfId="8829"/>
    <cellStyle name="40% - Accent6 2 2 3 6 3" xfId="10192"/>
    <cellStyle name="40% - Accent6 2 2 3 6 3 2" xfId="15222"/>
    <cellStyle name="40% - Accent6 2 2 3 6 3 2 2" xfId="26365"/>
    <cellStyle name="40% - Accent6 2 2 3 6 3 3" xfId="20796"/>
    <cellStyle name="40% - Accent6 2 2 3 6 4" xfId="13792"/>
    <cellStyle name="40% - Accent6 2 2 3 6 4 2" xfId="24935"/>
    <cellStyle name="40% - Accent6 2 2 3 6 5" xfId="19366"/>
    <cellStyle name="40% - Accent6 2 2 3 6 6" xfId="6760"/>
    <cellStyle name="40% - Accent6 2 2 3 7" xfId="3207"/>
    <cellStyle name="40% - Accent6 2 2 3 7 2" xfId="5316"/>
    <cellStyle name="40% - Accent6 2 2 3 7 2 2" xfId="17929"/>
    <cellStyle name="40% - Accent6 2 2 3 7 2 2 2" xfId="29072"/>
    <cellStyle name="40% - Accent6 2 2 3 7 2 3" xfId="23503"/>
    <cellStyle name="40% - Accent6 2 2 3 7 2 4" xfId="9467"/>
    <cellStyle name="40% - Accent6 2 2 3 7 3" xfId="15860"/>
    <cellStyle name="40% - Accent6 2 2 3 7 3 2" xfId="27003"/>
    <cellStyle name="40% - Accent6 2 2 3 7 4" xfId="21434"/>
    <cellStyle name="40% - Accent6 2 2 3 7 5" xfId="7398"/>
    <cellStyle name="40% - Accent6 2 2 3 8" xfId="3886"/>
    <cellStyle name="40% - Accent6 2 2 3 8 2" xfId="16499"/>
    <cellStyle name="40% - Accent6 2 2 3 8 2 2" xfId="27642"/>
    <cellStyle name="40% - Accent6 2 2 3 8 3" xfId="22073"/>
    <cellStyle name="40% - Accent6 2 2 3 8 4" xfId="8037"/>
    <cellStyle name="40% - Accent6 2 2 3 9" xfId="10576"/>
    <cellStyle name="40% - Accent6 2 2 3 9 2" xfId="14430"/>
    <cellStyle name="40% - Accent6 2 2 3 9 2 2" xfId="25573"/>
    <cellStyle name="40% - Accent6 2 2 3 9 3" xfId="20004"/>
    <cellStyle name="40% - Accent6 2 2 4" xfId="2182"/>
    <cellStyle name="40% - Accent6 2 2 4 2" xfId="2826"/>
    <cellStyle name="40% - Accent6 2 2 4 2 2" xfId="4935"/>
    <cellStyle name="40% - Accent6 2 2 4 2 2 2" xfId="17548"/>
    <cellStyle name="40% - Accent6 2 2 4 2 2 2 2" xfId="28691"/>
    <cellStyle name="40% - Accent6 2 2 4 2 2 3" xfId="23122"/>
    <cellStyle name="40% - Accent6 2 2 4 2 2 4" xfId="9086"/>
    <cellStyle name="40% - Accent6 2 2 4 2 3" xfId="11136"/>
    <cellStyle name="40% - Accent6 2 2 4 2 3 2" xfId="15479"/>
    <cellStyle name="40% - Accent6 2 2 4 2 3 2 2" xfId="26622"/>
    <cellStyle name="40% - Accent6 2 2 4 2 3 3" xfId="21053"/>
    <cellStyle name="40% - Accent6 2 2 4 2 4" xfId="14049"/>
    <cellStyle name="40% - Accent6 2 2 4 2 4 2" xfId="25192"/>
    <cellStyle name="40% - Accent6 2 2 4 2 5" xfId="19623"/>
    <cellStyle name="40% - Accent6 2 2 4 2 6" xfId="7017"/>
    <cellStyle name="40% - Accent6 2 2 4 3" xfId="3464"/>
    <cellStyle name="40% - Accent6 2 2 4 3 2" xfId="5573"/>
    <cellStyle name="40% - Accent6 2 2 4 3 2 2" xfId="18186"/>
    <cellStyle name="40% - Accent6 2 2 4 3 2 2 2" xfId="29329"/>
    <cellStyle name="40% - Accent6 2 2 4 3 2 3" xfId="23760"/>
    <cellStyle name="40% - Accent6 2 2 4 3 2 4" xfId="9724"/>
    <cellStyle name="40% - Accent6 2 2 4 3 3" xfId="16117"/>
    <cellStyle name="40% - Accent6 2 2 4 3 3 2" xfId="27260"/>
    <cellStyle name="40% - Accent6 2 2 4 3 4" xfId="21691"/>
    <cellStyle name="40% - Accent6 2 2 4 3 5" xfId="7655"/>
    <cellStyle name="40% - Accent6 2 2 4 4" xfId="4143"/>
    <cellStyle name="40% - Accent6 2 2 4 4 2" xfId="16756"/>
    <cellStyle name="40% - Accent6 2 2 4 4 2 2" xfId="27899"/>
    <cellStyle name="40% - Accent6 2 2 4 4 3" xfId="22330"/>
    <cellStyle name="40% - Accent6 2 2 4 4 4" xfId="8294"/>
    <cellStyle name="40% - Accent6 2 2 4 5" xfId="10551"/>
    <cellStyle name="40% - Accent6 2 2 4 5 2" xfId="14840"/>
    <cellStyle name="40% - Accent6 2 2 4 5 2 2" xfId="25983"/>
    <cellStyle name="40% - Accent6 2 2 4 5 3" xfId="20414"/>
    <cellStyle name="40% - Accent6 2 2 4 6" xfId="13410"/>
    <cellStyle name="40% - Accent6 2 2 4 6 2" xfId="24553"/>
    <cellStyle name="40% - Accent6 2 2 4 7" xfId="18984"/>
    <cellStyle name="40% - Accent6 2 2 4 8" xfId="6378"/>
    <cellStyle name="40% - Accent6 2 2 5" xfId="1990"/>
    <cellStyle name="40% - Accent6 2 2 5 2" xfId="2645"/>
    <cellStyle name="40% - Accent6 2 2 5 2 2" xfId="4754"/>
    <cellStyle name="40% - Accent6 2 2 5 2 2 2" xfId="17367"/>
    <cellStyle name="40% - Accent6 2 2 5 2 2 2 2" xfId="28510"/>
    <cellStyle name="40% - Accent6 2 2 5 2 2 3" xfId="22941"/>
    <cellStyle name="40% - Accent6 2 2 5 2 2 4" xfId="8905"/>
    <cellStyle name="40% - Accent6 2 2 5 2 3" xfId="11123"/>
    <cellStyle name="40% - Accent6 2 2 5 2 3 2" xfId="15298"/>
    <cellStyle name="40% - Accent6 2 2 5 2 3 2 2" xfId="26441"/>
    <cellStyle name="40% - Accent6 2 2 5 2 3 3" xfId="20872"/>
    <cellStyle name="40% - Accent6 2 2 5 2 4" xfId="13868"/>
    <cellStyle name="40% - Accent6 2 2 5 2 4 2" xfId="25011"/>
    <cellStyle name="40% - Accent6 2 2 5 2 5" xfId="19442"/>
    <cellStyle name="40% - Accent6 2 2 5 2 6" xfId="6836"/>
    <cellStyle name="40% - Accent6 2 2 5 3" xfId="3283"/>
    <cellStyle name="40% - Accent6 2 2 5 3 2" xfId="5392"/>
    <cellStyle name="40% - Accent6 2 2 5 3 2 2" xfId="18005"/>
    <cellStyle name="40% - Accent6 2 2 5 3 2 2 2" xfId="29148"/>
    <cellStyle name="40% - Accent6 2 2 5 3 2 3" xfId="23579"/>
    <cellStyle name="40% - Accent6 2 2 5 3 2 4" xfId="9543"/>
    <cellStyle name="40% - Accent6 2 2 5 3 3" xfId="15936"/>
    <cellStyle name="40% - Accent6 2 2 5 3 3 2" xfId="27079"/>
    <cellStyle name="40% - Accent6 2 2 5 3 4" xfId="21510"/>
    <cellStyle name="40% - Accent6 2 2 5 3 5" xfId="7474"/>
    <cellStyle name="40% - Accent6 2 2 5 4" xfId="3962"/>
    <cellStyle name="40% - Accent6 2 2 5 4 2" xfId="16575"/>
    <cellStyle name="40% - Accent6 2 2 5 4 2 2" xfId="27718"/>
    <cellStyle name="40% - Accent6 2 2 5 4 3" xfId="22149"/>
    <cellStyle name="40% - Accent6 2 2 5 4 4" xfId="8113"/>
    <cellStyle name="40% - Accent6 2 2 5 5" xfId="11071"/>
    <cellStyle name="40% - Accent6 2 2 5 5 2" xfId="14659"/>
    <cellStyle name="40% - Accent6 2 2 5 5 2 2" xfId="25802"/>
    <cellStyle name="40% - Accent6 2 2 5 5 3" xfId="20233"/>
    <cellStyle name="40% - Accent6 2 2 5 6" xfId="13229"/>
    <cellStyle name="40% - Accent6 2 2 5 6 2" xfId="24372"/>
    <cellStyle name="40% - Accent6 2 2 5 7" xfId="18803"/>
    <cellStyle name="40% - Accent6 2 2 5 8" xfId="6197"/>
    <cellStyle name="40% - Accent6 2 2 6" xfId="2337"/>
    <cellStyle name="40% - Accent6 2 2 6 2" xfId="2978"/>
    <cellStyle name="40% - Accent6 2 2 6 2 2" xfId="5087"/>
    <cellStyle name="40% - Accent6 2 2 6 2 2 2" xfId="17700"/>
    <cellStyle name="40% - Accent6 2 2 6 2 2 2 2" xfId="28843"/>
    <cellStyle name="40% - Accent6 2 2 6 2 2 3" xfId="23274"/>
    <cellStyle name="40% - Accent6 2 2 6 2 2 4" xfId="9238"/>
    <cellStyle name="40% - Accent6 2 2 6 2 3" xfId="10612"/>
    <cellStyle name="40% - Accent6 2 2 6 2 3 2" xfId="15631"/>
    <cellStyle name="40% - Accent6 2 2 6 2 3 2 2" xfId="26774"/>
    <cellStyle name="40% - Accent6 2 2 6 2 3 3" xfId="21205"/>
    <cellStyle name="40% - Accent6 2 2 6 2 4" xfId="14201"/>
    <cellStyle name="40% - Accent6 2 2 6 2 4 2" xfId="25344"/>
    <cellStyle name="40% - Accent6 2 2 6 2 5" xfId="19775"/>
    <cellStyle name="40% - Accent6 2 2 6 2 6" xfId="7169"/>
    <cellStyle name="40% - Accent6 2 2 6 3" xfId="3616"/>
    <cellStyle name="40% - Accent6 2 2 6 3 2" xfId="5725"/>
    <cellStyle name="40% - Accent6 2 2 6 3 2 2" xfId="18338"/>
    <cellStyle name="40% - Accent6 2 2 6 3 2 2 2" xfId="29481"/>
    <cellStyle name="40% - Accent6 2 2 6 3 2 3" xfId="23912"/>
    <cellStyle name="40% - Accent6 2 2 6 3 2 4" xfId="9876"/>
    <cellStyle name="40% - Accent6 2 2 6 3 3" xfId="16269"/>
    <cellStyle name="40% - Accent6 2 2 6 3 3 2" xfId="27412"/>
    <cellStyle name="40% - Accent6 2 2 6 3 4" xfId="21843"/>
    <cellStyle name="40% - Accent6 2 2 6 3 5" xfId="7807"/>
    <cellStyle name="40% - Accent6 2 2 6 4" xfId="4295"/>
    <cellStyle name="40% - Accent6 2 2 6 4 2" xfId="16908"/>
    <cellStyle name="40% - Accent6 2 2 6 4 2 2" xfId="28051"/>
    <cellStyle name="40% - Accent6 2 2 6 4 3" xfId="22482"/>
    <cellStyle name="40% - Accent6 2 2 6 4 4" xfId="8446"/>
    <cellStyle name="40% - Accent6 2 2 6 5" xfId="10999"/>
    <cellStyle name="40% - Accent6 2 2 6 5 2" xfId="14992"/>
    <cellStyle name="40% - Accent6 2 2 6 5 2 2" xfId="26135"/>
    <cellStyle name="40% - Accent6 2 2 6 5 3" xfId="20566"/>
    <cellStyle name="40% - Accent6 2 2 6 6" xfId="13562"/>
    <cellStyle name="40% - Accent6 2 2 6 6 2" xfId="24705"/>
    <cellStyle name="40% - Accent6 2 2 6 7" xfId="19136"/>
    <cellStyle name="40% - Accent6 2 2 6 8" xfId="6530"/>
    <cellStyle name="40% - Accent6 2 2 7" xfId="1800"/>
    <cellStyle name="40% - Accent6 2 2 7 2" xfId="4448"/>
    <cellStyle name="40% - Accent6 2 2 7 2 2" xfId="17061"/>
    <cellStyle name="40% - Accent6 2 2 7 2 2 2" xfId="28204"/>
    <cellStyle name="40% - Accent6 2 2 7 2 3" xfId="22635"/>
    <cellStyle name="40% - Accent6 2 2 7 2 4" xfId="8599"/>
    <cellStyle name="40% - Accent6 2 2 7 3" xfId="10198"/>
    <cellStyle name="40% - Accent6 2 2 7 3 2" xfId="14507"/>
    <cellStyle name="40% - Accent6 2 2 7 3 2 2" xfId="25650"/>
    <cellStyle name="40% - Accent6 2 2 7 3 3" xfId="20081"/>
    <cellStyle name="40% - Accent6 2 2 7 4" xfId="13077"/>
    <cellStyle name="40% - Accent6 2 2 7 4 2" xfId="24220"/>
    <cellStyle name="40% - Accent6 2 2 7 5" xfId="18651"/>
    <cellStyle name="40% - Accent6 2 2 7 6" xfId="6045"/>
    <cellStyle name="40% - Accent6 2 2 8" xfId="2493"/>
    <cellStyle name="40% - Accent6 2 2 8 2" xfId="4602"/>
    <cellStyle name="40% - Accent6 2 2 8 2 2" xfId="17215"/>
    <cellStyle name="40% - Accent6 2 2 8 2 2 2" xfId="28358"/>
    <cellStyle name="40% - Accent6 2 2 8 2 3" xfId="22789"/>
    <cellStyle name="40% - Accent6 2 2 8 2 4" xfId="8753"/>
    <cellStyle name="40% - Accent6 2 2 8 3" xfId="11018"/>
    <cellStyle name="40% - Accent6 2 2 8 3 2" xfId="15146"/>
    <cellStyle name="40% - Accent6 2 2 8 3 2 2" xfId="26289"/>
    <cellStyle name="40% - Accent6 2 2 8 3 3" xfId="20720"/>
    <cellStyle name="40% - Accent6 2 2 8 4" xfId="13716"/>
    <cellStyle name="40% - Accent6 2 2 8 4 2" xfId="24859"/>
    <cellStyle name="40% - Accent6 2 2 8 5" xfId="19290"/>
    <cellStyle name="40% - Accent6 2 2 8 6" xfId="6684"/>
    <cellStyle name="40% - Accent6 2 2 9" xfId="3131"/>
    <cellStyle name="40% - Accent6 2 2 9 2" xfId="5240"/>
    <cellStyle name="40% - Accent6 2 2 9 2 2" xfId="17853"/>
    <cellStyle name="40% - Accent6 2 2 9 2 2 2" xfId="28996"/>
    <cellStyle name="40% - Accent6 2 2 9 2 3" xfId="23427"/>
    <cellStyle name="40% - Accent6 2 2 9 2 4" xfId="9391"/>
    <cellStyle name="40% - Accent6 2 2 9 3" xfId="15784"/>
    <cellStyle name="40% - Accent6 2 2 9 3 2" xfId="26927"/>
    <cellStyle name="40% - Accent6 2 2 9 4" xfId="21358"/>
    <cellStyle name="40% - Accent6 2 2 9 5" xfId="7322"/>
    <cellStyle name="40% - Accent6 2 3" xfId="243"/>
    <cellStyle name="40% - Accent6 2 3 10" xfId="11293"/>
    <cellStyle name="40% - Accent6 2 3 10 2" xfId="14373"/>
    <cellStyle name="40% - Accent6 2 3 10 2 2" xfId="25516"/>
    <cellStyle name="40% - Accent6 2 3 10 3" xfId="19947"/>
    <cellStyle name="40% - Accent6 2 3 11" xfId="12942"/>
    <cellStyle name="40% - Accent6 2 3 11 2" xfId="24086"/>
    <cellStyle name="40% - Accent6 2 3 12" xfId="18517"/>
    <cellStyle name="40% - Accent6 2 3 13" xfId="5910"/>
    <cellStyle name="40% - Accent6 2 3 2" xfId="319"/>
    <cellStyle name="40% - Accent6 2 3 2 10" xfId="13018"/>
    <cellStyle name="40% - Accent6 2 3 2 10 2" xfId="24162"/>
    <cellStyle name="40% - Accent6 2 3 2 11" xfId="18593"/>
    <cellStyle name="40% - Accent6 2 3 2 12" xfId="5986"/>
    <cellStyle name="40% - Accent6 2 3 2 2" xfId="2277"/>
    <cellStyle name="40% - Accent6 2 3 2 2 2" xfId="2921"/>
    <cellStyle name="40% - Accent6 2 3 2 2 2 2" xfId="5030"/>
    <cellStyle name="40% - Accent6 2 3 2 2 2 2 2" xfId="17643"/>
    <cellStyle name="40% - Accent6 2 3 2 2 2 2 2 2" xfId="28786"/>
    <cellStyle name="40% - Accent6 2 3 2 2 2 2 3" xfId="23217"/>
    <cellStyle name="40% - Accent6 2 3 2 2 2 2 4" xfId="9181"/>
    <cellStyle name="40% - Accent6 2 3 2 2 2 3" xfId="10698"/>
    <cellStyle name="40% - Accent6 2 3 2 2 2 3 2" xfId="15574"/>
    <cellStyle name="40% - Accent6 2 3 2 2 2 3 2 2" xfId="26717"/>
    <cellStyle name="40% - Accent6 2 3 2 2 2 3 3" xfId="21148"/>
    <cellStyle name="40% - Accent6 2 3 2 2 2 4" xfId="14144"/>
    <cellStyle name="40% - Accent6 2 3 2 2 2 4 2" xfId="25287"/>
    <cellStyle name="40% - Accent6 2 3 2 2 2 5" xfId="19718"/>
    <cellStyle name="40% - Accent6 2 3 2 2 2 6" xfId="7112"/>
    <cellStyle name="40% - Accent6 2 3 2 2 3" xfId="3559"/>
    <cellStyle name="40% - Accent6 2 3 2 2 3 2" xfId="5668"/>
    <cellStyle name="40% - Accent6 2 3 2 2 3 2 2" xfId="18281"/>
    <cellStyle name="40% - Accent6 2 3 2 2 3 2 2 2" xfId="29424"/>
    <cellStyle name="40% - Accent6 2 3 2 2 3 2 3" xfId="23855"/>
    <cellStyle name="40% - Accent6 2 3 2 2 3 2 4" xfId="9819"/>
    <cellStyle name="40% - Accent6 2 3 2 2 3 3" xfId="16212"/>
    <cellStyle name="40% - Accent6 2 3 2 2 3 3 2" xfId="27355"/>
    <cellStyle name="40% - Accent6 2 3 2 2 3 4" xfId="21786"/>
    <cellStyle name="40% - Accent6 2 3 2 2 3 5" xfId="7750"/>
    <cellStyle name="40% - Accent6 2 3 2 2 4" xfId="4238"/>
    <cellStyle name="40% - Accent6 2 3 2 2 4 2" xfId="16851"/>
    <cellStyle name="40% - Accent6 2 3 2 2 4 2 2" xfId="27994"/>
    <cellStyle name="40% - Accent6 2 3 2 2 4 3" xfId="22425"/>
    <cellStyle name="40% - Accent6 2 3 2 2 4 4" xfId="8389"/>
    <cellStyle name="40% - Accent6 2 3 2 2 5" xfId="10487"/>
    <cellStyle name="40% - Accent6 2 3 2 2 5 2" xfId="14935"/>
    <cellStyle name="40% - Accent6 2 3 2 2 5 2 2" xfId="26078"/>
    <cellStyle name="40% - Accent6 2 3 2 2 5 3" xfId="20509"/>
    <cellStyle name="40% - Accent6 2 3 2 2 6" xfId="13505"/>
    <cellStyle name="40% - Accent6 2 3 2 2 6 2" xfId="24648"/>
    <cellStyle name="40% - Accent6 2 3 2 2 7" xfId="19079"/>
    <cellStyle name="40% - Accent6 2 3 2 2 8" xfId="6473"/>
    <cellStyle name="40% - Accent6 2 3 2 3" xfId="2085"/>
    <cellStyle name="40% - Accent6 2 3 2 3 2" xfId="2740"/>
    <cellStyle name="40% - Accent6 2 3 2 3 2 2" xfId="4849"/>
    <cellStyle name="40% - Accent6 2 3 2 3 2 2 2" xfId="17462"/>
    <cellStyle name="40% - Accent6 2 3 2 3 2 2 2 2" xfId="28605"/>
    <cellStyle name="40% - Accent6 2 3 2 3 2 2 3" xfId="23036"/>
    <cellStyle name="40% - Accent6 2 3 2 3 2 2 4" xfId="9000"/>
    <cellStyle name="40% - Accent6 2 3 2 3 2 3" xfId="10693"/>
    <cellStyle name="40% - Accent6 2 3 2 3 2 3 2" xfId="15393"/>
    <cellStyle name="40% - Accent6 2 3 2 3 2 3 2 2" xfId="26536"/>
    <cellStyle name="40% - Accent6 2 3 2 3 2 3 3" xfId="20967"/>
    <cellStyle name="40% - Accent6 2 3 2 3 2 4" xfId="13963"/>
    <cellStyle name="40% - Accent6 2 3 2 3 2 4 2" xfId="25106"/>
    <cellStyle name="40% - Accent6 2 3 2 3 2 5" xfId="19537"/>
    <cellStyle name="40% - Accent6 2 3 2 3 2 6" xfId="6931"/>
    <cellStyle name="40% - Accent6 2 3 2 3 3" xfId="3378"/>
    <cellStyle name="40% - Accent6 2 3 2 3 3 2" xfId="5487"/>
    <cellStyle name="40% - Accent6 2 3 2 3 3 2 2" xfId="18100"/>
    <cellStyle name="40% - Accent6 2 3 2 3 3 2 2 2" xfId="29243"/>
    <cellStyle name="40% - Accent6 2 3 2 3 3 2 3" xfId="23674"/>
    <cellStyle name="40% - Accent6 2 3 2 3 3 2 4" xfId="9638"/>
    <cellStyle name="40% - Accent6 2 3 2 3 3 3" xfId="16031"/>
    <cellStyle name="40% - Accent6 2 3 2 3 3 3 2" xfId="27174"/>
    <cellStyle name="40% - Accent6 2 3 2 3 3 4" xfId="21605"/>
    <cellStyle name="40% - Accent6 2 3 2 3 3 5" xfId="7569"/>
    <cellStyle name="40% - Accent6 2 3 2 3 4" xfId="4057"/>
    <cellStyle name="40% - Accent6 2 3 2 3 4 2" xfId="16670"/>
    <cellStyle name="40% - Accent6 2 3 2 3 4 2 2" xfId="27813"/>
    <cellStyle name="40% - Accent6 2 3 2 3 4 3" xfId="22244"/>
    <cellStyle name="40% - Accent6 2 3 2 3 4 4" xfId="8208"/>
    <cellStyle name="40% - Accent6 2 3 2 3 5" xfId="10416"/>
    <cellStyle name="40% - Accent6 2 3 2 3 5 2" xfId="14754"/>
    <cellStyle name="40% - Accent6 2 3 2 3 5 2 2" xfId="25897"/>
    <cellStyle name="40% - Accent6 2 3 2 3 5 3" xfId="20328"/>
    <cellStyle name="40% - Accent6 2 3 2 3 6" xfId="13324"/>
    <cellStyle name="40% - Accent6 2 3 2 3 6 2" xfId="24467"/>
    <cellStyle name="40% - Accent6 2 3 2 3 7" xfId="18898"/>
    <cellStyle name="40% - Accent6 2 3 2 3 8" xfId="6292"/>
    <cellStyle name="40% - Accent6 2 3 2 4" xfId="2432"/>
    <cellStyle name="40% - Accent6 2 3 2 4 2" xfId="3073"/>
    <cellStyle name="40% - Accent6 2 3 2 4 2 2" xfId="5182"/>
    <cellStyle name="40% - Accent6 2 3 2 4 2 2 2" xfId="17795"/>
    <cellStyle name="40% - Accent6 2 3 2 4 2 2 2 2" xfId="28938"/>
    <cellStyle name="40% - Accent6 2 3 2 4 2 2 3" xfId="23369"/>
    <cellStyle name="40% - Accent6 2 3 2 4 2 2 4" xfId="9333"/>
    <cellStyle name="40% - Accent6 2 3 2 4 2 3" xfId="11211"/>
    <cellStyle name="40% - Accent6 2 3 2 4 2 3 2" xfId="15726"/>
    <cellStyle name="40% - Accent6 2 3 2 4 2 3 2 2" xfId="26869"/>
    <cellStyle name="40% - Accent6 2 3 2 4 2 3 3" xfId="21300"/>
    <cellStyle name="40% - Accent6 2 3 2 4 2 4" xfId="14296"/>
    <cellStyle name="40% - Accent6 2 3 2 4 2 4 2" xfId="25439"/>
    <cellStyle name="40% - Accent6 2 3 2 4 2 5" xfId="19870"/>
    <cellStyle name="40% - Accent6 2 3 2 4 2 6" xfId="7264"/>
    <cellStyle name="40% - Accent6 2 3 2 4 3" xfId="3711"/>
    <cellStyle name="40% - Accent6 2 3 2 4 3 2" xfId="5820"/>
    <cellStyle name="40% - Accent6 2 3 2 4 3 2 2" xfId="18433"/>
    <cellStyle name="40% - Accent6 2 3 2 4 3 2 2 2" xfId="29576"/>
    <cellStyle name="40% - Accent6 2 3 2 4 3 2 3" xfId="24007"/>
    <cellStyle name="40% - Accent6 2 3 2 4 3 2 4" xfId="9971"/>
    <cellStyle name="40% - Accent6 2 3 2 4 3 3" xfId="16364"/>
    <cellStyle name="40% - Accent6 2 3 2 4 3 3 2" xfId="27507"/>
    <cellStyle name="40% - Accent6 2 3 2 4 3 4" xfId="21938"/>
    <cellStyle name="40% - Accent6 2 3 2 4 3 5" xfId="7902"/>
    <cellStyle name="40% - Accent6 2 3 2 4 4" xfId="4390"/>
    <cellStyle name="40% - Accent6 2 3 2 4 4 2" xfId="17003"/>
    <cellStyle name="40% - Accent6 2 3 2 4 4 2 2" xfId="28146"/>
    <cellStyle name="40% - Accent6 2 3 2 4 4 3" xfId="22577"/>
    <cellStyle name="40% - Accent6 2 3 2 4 4 4" xfId="8541"/>
    <cellStyle name="40% - Accent6 2 3 2 4 5" xfId="11351"/>
    <cellStyle name="40% - Accent6 2 3 2 4 5 2" xfId="15087"/>
    <cellStyle name="40% - Accent6 2 3 2 4 5 2 2" xfId="26230"/>
    <cellStyle name="40% - Accent6 2 3 2 4 5 3" xfId="20661"/>
    <cellStyle name="40% - Accent6 2 3 2 4 6" xfId="13657"/>
    <cellStyle name="40% - Accent6 2 3 2 4 6 2" xfId="24800"/>
    <cellStyle name="40% - Accent6 2 3 2 4 7" xfId="19231"/>
    <cellStyle name="40% - Accent6 2 3 2 4 8" xfId="6625"/>
    <cellStyle name="40% - Accent6 2 3 2 5" xfId="1895"/>
    <cellStyle name="40% - Accent6 2 3 2 5 2" xfId="4543"/>
    <cellStyle name="40% - Accent6 2 3 2 5 2 2" xfId="17156"/>
    <cellStyle name="40% - Accent6 2 3 2 5 2 2 2" xfId="28299"/>
    <cellStyle name="40% - Accent6 2 3 2 5 2 3" xfId="22730"/>
    <cellStyle name="40% - Accent6 2 3 2 5 2 4" xfId="8694"/>
    <cellStyle name="40% - Accent6 2 3 2 5 3" xfId="10721"/>
    <cellStyle name="40% - Accent6 2 3 2 5 3 2" xfId="14602"/>
    <cellStyle name="40% - Accent6 2 3 2 5 3 2 2" xfId="25745"/>
    <cellStyle name="40% - Accent6 2 3 2 5 3 3" xfId="20176"/>
    <cellStyle name="40% - Accent6 2 3 2 5 4" xfId="13172"/>
    <cellStyle name="40% - Accent6 2 3 2 5 4 2" xfId="24315"/>
    <cellStyle name="40% - Accent6 2 3 2 5 5" xfId="18746"/>
    <cellStyle name="40% - Accent6 2 3 2 5 6" xfId="6140"/>
    <cellStyle name="40% - Accent6 2 3 2 6" xfId="2588"/>
    <cellStyle name="40% - Accent6 2 3 2 6 2" xfId="4697"/>
    <cellStyle name="40% - Accent6 2 3 2 6 2 2" xfId="17310"/>
    <cellStyle name="40% - Accent6 2 3 2 6 2 2 2" xfId="28453"/>
    <cellStyle name="40% - Accent6 2 3 2 6 2 3" xfId="22884"/>
    <cellStyle name="40% - Accent6 2 3 2 6 2 4" xfId="8848"/>
    <cellStyle name="40% - Accent6 2 3 2 6 3" xfId="10949"/>
    <cellStyle name="40% - Accent6 2 3 2 6 3 2" xfId="15241"/>
    <cellStyle name="40% - Accent6 2 3 2 6 3 2 2" xfId="26384"/>
    <cellStyle name="40% - Accent6 2 3 2 6 3 3" xfId="20815"/>
    <cellStyle name="40% - Accent6 2 3 2 6 4" xfId="13811"/>
    <cellStyle name="40% - Accent6 2 3 2 6 4 2" xfId="24954"/>
    <cellStyle name="40% - Accent6 2 3 2 6 5" xfId="19385"/>
    <cellStyle name="40% - Accent6 2 3 2 6 6" xfId="6779"/>
    <cellStyle name="40% - Accent6 2 3 2 7" xfId="3226"/>
    <cellStyle name="40% - Accent6 2 3 2 7 2" xfId="5335"/>
    <cellStyle name="40% - Accent6 2 3 2 7 2 2" xfId="17948"/>
    <cellStyle name="40% - Accent6 2 3 2 7 2 2 2" xfId="29091"/>
    <cellStyle name="40% - Accent6 2 3 2 7 2 3" xfId="23522"/>
    <cellStyle name="40% - Accent6 2 3 2 7 2 4" xfId="9486"/>
    <cellStyle name="40% - Accent6 2 3 2 7 3" xfId="15879"/>
    <cellStyle name="40% - Accent6 2 3 2 7 3 2" xfId="27022"/>
    <cellStyle name="40% - Accent6 2 3 2 7 4" xfId="21453"/>
    <cellStyle name="40% - Accent6 2 3 2 7 5" xfId="7417"/>
    <cellStyle name="40% - Accent6 2 3 2 8" xfId="3905"/>
    <cellStyle name="40% - Accent6 2 3 2 8 2" xfId="16518"/>
    <cellStyle name="40% - Accent6 2 3 2 8 2 2" xfId="27661"/>
    <cellStyle name="40% - Accent6 2 3 2 8 3" xfId="22092"/>
    <cellStyle name="40% - Accent6 2 3 2 8 4" xfId="8056"/>
    <cellStyle name="40% - Accent6 2 3 2 9" xfId="10081"/>
    <cellStyle name="40% - Accent6 2 3 2 9 2" xfId="14449"/>
    <cellStyle name="40% - Accent6 2 3 2 9 2 2" xfId="25592"/>
    <cellStyle name="40% - Accent6 2 3 2 9 3" xfId="20023"/>
    <cellStyle name="40% - Accent6 2 3 3" xfId="2201"/>
    <cellStyle name="40% - Accent6 2 3 3 2" xfId="2845"/>
    <cellStyle name="40% - Accent6 2 3 3 2 2" xfId="4954"/>
    <cellStyle name="40% - Accent6 2 3 3 2 2 2" xfId="17567"/>
    <cellStyle name="40% - Accent6 2 3 3 2 2 2 2" xfId="28710"/>
    <cellStyle name="40% - Accent6 2 3 3 2 2 3" xfId="23141"/>
    <cellStyle name="40% - Accent6 2 3 3 2 2 4" xfId="9105"/>
    <cellStyle name="40% - Accent6 2 3 3 2 3" xfId="10425"/>
    <cellStyle name="40% - Accent6 2 3 3 2 3 2" xfId="15498"/>
    <cellStyle name="40% - Accent6 2 3 3 2 3 2 2" xfId="26641"/>
    <cellStyle name="40% - Accent6 2 3 3 2 3 3" xfId="21072"/>
    <cellStyle name="40% - Accent6 2 3 3 2 4" xfId="14068"/>
    <cellStyle name="40% - Accent6 2 3 3 2 4 2" xfId="25211"/>
    <cellStyle name="40% - Accent6 2 3 3 2 5" xfId="19642"/>
    <cellStyle name="40% - Accent6 2 3 3 2 6" xfId="7036"/>
    <cellStyle name="40% - Accent6 2 3 3 3" xfId="3483"/>
    <cellStyle name="40% - Accent6 2 3 3 3 2" xfId="5592"/>
    <cellStyle name="40% - Accent6 2 3 3 3 2 2" xfId="18205"/>
    <cellStyle name="40% - Accent6 2 3 3 3 2 2 2" xfId="29348"/>
    <cellStyle name="40% - Accent6 2 3 3 3 2 3" xfId="23779"/>
    <cellStyle name="40% - Accent6 2 3 3 3 2 4" xfId="9743"/>
    <cellStyle name="40% - Accent6 2 3 3 3 3" xfId="16136"/>
    <cellStyle name="40% - Accent6 2 3 3 3 3 2" xfId="27279"/>
    <cellStyle name="40% - Accent6 2 3 3 3 4" xfId="21710"/>
    <cellStyle name="40% - Accent6 2 3 3 3 5" xfId="7674"/>
    <cellStyle name="40% - Accent6 2 3 3 4" xfId="4162"/>
    <cellStyle name="40% - Accent6 2 3 3 4 2" xfId="16775"/>
    <cellStyle name="40% - Accent6 2 3 3 4 2 2" xfId="27918"/>
    <cellStyle name="40% - Accent6 2 3 3 4 3" xfId="22349"/>
    <cellStyle name="40% - Accent6 2 3 3 4 4" xfId="8313"/>
    <cellStyle name="40% - Accent6 2 3 3 5" xfId="10147"/>
    <cellStyle name="40% - Accent6 2 3 3 5 2" xfId="14859"/>
    <cellStyle name="40% - Accent6 2 3 3 5 2 2" xfId="26002"/>
    <cellStyle name="40% - Accent6 2 3 3 5 3" xfId="20433"/>
    <cellStyle name="40% - Accent6 2 3 3 6" xfId="13429"/>
    <cellStyle name="40% - Accent6 2 3 3 6 2" xfId="24572"/>
    <cellStyle name="40% - Accent6 2 3 3 7" xfId="19003"/>
    <cellStyle name="40% - Accent6 2 3 3 8" xfId="6397"/>
    <cellStyle name="40% - Accent6 2 3 4" xfId="2009"/>
    <cellStyle name="40% - Accent6 2 3 4 2" xfId="2664"/>
    <cellStyle name="40% - Accent6 2 3 4 2 2" xfId="4773"/>
    <cellStyle name="40% - Accent6 2 3 4 2 2 2" xfId="17386"/>
    <cellStyle name="40% - Accent6 2 3 4 2 2 2 2" xfId="28529"/>
    <cellStyle name="40% - Accent6 2 3 4 2 2 3" xfId="22960"/>
    <cellStyle name="40% - Accent6 2 3 4 2 2 4" xfId="8924"/>
    <cellStyle name="40% - Accent6 2 3 4 2 3" xfId="10987"/>
    <cellStyle name="40% - Accent6 2 3 4 2 3 2" xfId="15317"/>
    <cellStyle name="40% - Accent6 2 3 4 2 3 2 2" xfId="26460"/>
    <cellStyle name="40% - Accent6 2 3 4 2 3 3" xfId="20891"/>
    <cellStyle name="40% - Accent6 2 3 4 2 4" xfId="13887"/>
    <cellStyle name="40% - Accent6 2 3 4 2 4 2" xfId="25030"/>
    <cellStyle name="40% - Accent6 2 3 4 2 5" xfId="19461"/>
    <cellStyle name="40% - Accent6 2 3 4 2 6" xfId="6855"/>
    <cellStyle name="40% - Accent6 2 3 4 3" xfId="3302"/>
    <cellStyle name="40% - Accent6 2 3 4 3 2" xfId="5411"/>
    <cellStyle name="40% - Accent6 2 3 4 3 2 2" xfId="18024"/>
    <cellStyle name="40% - Accent6 2 3 4 3 2 2 2" xfId="29167"/>
    <cellStyle name="40% - Accent6 2 3 4 3 2 3" xfId="23598"/>
    <cellStyle name="40% - Accent6 2 3 4 3 2 4" xfId="9562"/>
    <cellStyle name="40% - Accent6 2 3 4 3 3" xfId="15955"/>
    <cellStyle name="40% - Accent6 2 3 4 3 3 2" xfId="27098"/>
    <cellStyle name="40% - Accent6 2 3 4 3 4" xfId="21529"/>
    <cellStyle name="40% - Accent6 2 3 4 3 5" xfId="7493"/>
    <cellStyle name="40% - Accent6 2 3 4 4" xfId="3981"/>
    <cellStyle name="40% - Accent6 2 3 4 4 2" xfId="16594"/>
    <cellStyle name="40% - Accent6 2 3 4 4 2 2" xfId="27737"/>
    <cellStyle name="40% - Accent6 2 3 4 4 3" xfId="22168"/>
    <cellStyle name="40% - Accent6 2 3 4 4 4" xfId="8132"/>
    <cellStyle name="40% - Accent6 2 3 4 5" xfId="10309"/>
    <cellStyle name="40% - Accent6 2 3 4 5 2" xfId="14678"/>
    <cellStyle name="40% - Accent6 2 3 4 5 2 2" xfId="25821"/>
    <cellStyle name="40% - Accent6 2 3 4 5 3" xfId="20252"/>
    <cellStyle name="40% - Accent6 2 3 4 6" xfId="13248"/>
    <cellStyle name="40% - Accent6 2 3 4 6 2" xfId="24391"/>
    <cellStyle name="40% - Accent6 2 3 4 7" xfId="18822"/>
    <cellStyle name="40% - Accent6 2 3 4 8" xfId="6216"/>
    <cellStyle name="40% - Accent6 2 3 5" xfId="2356"/>
    <cellStyle name="40% - Accent6 2 3 5 2" xfId="2997"/>
    <cellStyle name="40% - Accent6 2 3 5 2 2" xfId="5106"/>
    <cellStyle name="40% - Accent6 2 3 5 2 2 2" xfId="17719"/>
    <cellStyle name="40% - Accent6 2 3 5 2 2 2 2" xfId="28862"/>
    <cellStyle name="40% - Accent6 2 3 5 2 2 3" xfId="23293"/>
    <cellStyle name="40% - Accent6 2 3 5 2 2 4" xfId="9257"/>
    <cellStyle name="40% - Accent6 2 3 5 2 3" xfId="10056"/>
    <cellStyle name="40% - Accent6 2 3 5 2 3 2" xfId="15650"/>
    <cellStyle name="40% - Accent6 2 3 5 2 3 2 2" xfId="26793"/>
    <cellStyle name="40% - Accent6 2 3 5 2 3 3" xfId="21224"/>
    <cellStyle name="40% - Accent6 2 3 5 2 4" xfId="14220"/>
    <cellStyle name="40% - Accent6 2 3 5 2 4 2" xfId="25363"/>
    <cellStyle name="40% - Accent6 2 3 5 2 5" xfId="19794"/>
    <cellStyle name="40% - Accent6 2 3 5 2 6" xfId="7188"/>
    <cellStyle name="40% - Accent6 2 3 5 3" xfId="3635"/>
    <cellStyle name="40% - Accent6 2 3 5 3 2" xfId="5744"/>
    <cellStyle name="40% - Accent6 2 3 5 3 2 2" xfId="18357"/>
    <cellStyle name="40% - Accent6 2 3 5 3 2 2 2" xfId="29500"/>
    <cellStyle name="40% - Accent6 2 3 5 3 2 3" xfId="23931"/>
    <cellStyle name="40% - Accent6 2 3 5 3 2 4" xfId="9895"/>
    <cellStyle name="40% - Accent6 2 3 5 3 3" xfId="16288"/>
    <cellStyle name="40% - Accent6 2 3 5 3 3 2" xfId="27431"/>
    <cellStyle name="40% - Accent6 2 3 5 3 4" xfId="21862"/>
    <cellStyle name="40% - Accent6 2 3 5 3 5" xfId="7826"/>
    <cellStyle name="40% - Accent6 2 3 5 4" xfId="4314"/>
    <cellStyle name="40% - Accent6 2 3 5 4 2" xfId="16927"/>
    <cellStyle name="40% - Accent6 2 3 5 4 2 2" xfId="28070"/>
    <cellStyle name="40% - Accent6 2 3 5 4 3" xfId="22501"/>
    <cellStyle name="40% - Accent6 2 3 5 4 4" xfId="8465"/>
    <cellStyle name="40% - Accent6 2 3 5 5" xfId="10256"/>
    <cellStyle name="40% - Accent6 2 3 5 5 2" xfId="15011"/>
    <cellStyle name="40% - Accent6 2 3 5 5 2 2" xfId="26154"/>
    <cellStyle name="40% - Accent6 2 3 5 5 3" xfId="20585"/>
    <cellStyle name="40% - Accent6 2 3 5 6" xfId="13581"/>
    <cellStyle name="40% - Accent6 2 3 5 6 2" xfId="24724"/>
    <cellStyle name="40% - Accent6 2 3 5 7" xfId="19155"/>
    <cellStyle name="40% - Accent6 2 3 5 8" xfId="6549"/>
    <cellStyle name="40% - Accent6 2 3 6" xfId="1819"/>
    <cellStyle name="40% - Accent6 2 3 6 2" xfId="4467"/>
    <cellStyle name="40% - Accent6 2 3 6 2 2" xfId="17080"/>
    <cellStyle name="40% - Accent6 2 3 6 2 2 2" xfId="28223"/>
    <cellStyle name="40% - Accent6 2 3 6 2 3" xfId="22654"/>
    <cellStyle name="40% - Accent6 2 3 6 2 4" xfId="8618"/>
    <cellStyle name="40% - Accent6 2 3 6 3" xfId="11288"/>
    <cellStyle name="40% - Accent6 2 3 6 3 2" xfId="14526"/>
    <cellStyle name="40% - Accent6 2 3 6 3 2 2" xfId="25669"/>
    <cellStyle name="40% - Accent6 2 3 6 3 3" xfId="20100"/>
    <cellStyle name="40% - Accent6 2 3 6 4" xfId="13096"/>
    <cellStyle name="40% - Accent6 2 3 6 4 2" xfId="24239"/>
    <cellStyle name="40% - Accent6 2 3 6 5" xfId="18670"/>
    <cellStyle name="40% - Accent6 2 3 6 6" xfId="6064"/>
    <cellStyle name="40% - Accent6 2 3 7" xfId="2512"/>
    <cellStyle name="40% - Accent6 2 3 7 2" xfId="4621"/>
    <cellStyle name="40% - Accent6 2 3 7 2 2" xfId="17234"/>
    <cellStyle name="40% - Accent6 2 3 7 2 2 2" xfId="28377"/>
    <cellStyle name="40% - Accent6 2 3 7 2 3" xfId="22808"/>
    <cellStyle name="40% - Accent6 2 3 7 2 4" xfId="8772"/>
    <cellStyle name="40% - Accent6 2 3 7 3" xfId="10189"/>
    <cellStyle name="40% - Accent6 2 3 7 3 2" xfId="15165"/>
    <cellStyle name="40% - Accent6 2 3 7 3 2 2" xfId="26308"/>
    <cellStyle name="40% - Accent6 2 3 7 3 3" xfId="20739"/>
    <cellStyle name="40% - Accent6 2 3 7 4" xfId="13735"/>
    <cellStyle name="40% - Accent6 2 3 7 4 2" xfId="24878"/>
    <cellStyle name="40% - Accent6 2 3 7 5" xfId="19309"/>
    <cellStyle name="40% - Accent6 2 3 7 6" xfId="6703"/>
    <cellStyle name="40% - Accent6 2 3 8" xfId="3150"/>
    <cellStyle name="40% - Accent6 2 3 8 2" xfId="5259"/>
    <cellStyle name="40% - Accent6 2 3 8 2 2" xfId="17872"/>
    <cellStyle name="40% - Accent6 2 3 8 2 2 2" xfId="29015"/>
    <cellStyle name="40% - Accent6 2 3 8 2 3" xfId="23446"/>
    <cellStyle name="40% - Accent6 2 3 8 2 4" xfId="9410"/>
    <cellStyle name="40% - Accent6 2 3 8 3" xfId="15803"/>
    <cellStyle name="40% - Accent6 2 3 8 3 2" xfId="26946"/>
    <cellStyle name="40% - Accent6 2 3 8 4" xfId="21377"/>
    <cellStyle name="40% - Accent6 2 3 8 5" xfId="7341"/>
    <cellStyle name="40% - Accent6 2 3 9" xfId="3829"/>
    <cellStyle name="40% - Accent6 2 3 9 2" xfId="16442"/>
    <cellStyle name="40% - Accent6 2 3 9 2 2" xfId="27585"/>
    <cellStyle name="40% - Accent6 2 3 9 3" xfId="22016"/>
    <cellStyle name="40% - Accent6 2 3 9 4" xfId="7980"/>
    <cellStyle name="40% - Accent6 2 4" xfId="281"/>
    <cellStyle name="40% - Accent6 2 4 10" xfId="12980"/>
    <cellStyle name="40% - Accent6 2 4 10 2" xfId="24124"/>
    <cellStyle name="40% - Accent6 2 4 11" xfId="18555"/>
    <cellStyle name="40% - Accent6 2 4 12" xfId="5948"/>
    <cellStyle name="40% - Accent6 2 4 2" xfId="2239"/>
    <cellStyle name="40% - Accent6 2 4 2 2" xfId="2883"/>
    <cellStyle name="40% - Accent6 2 4 2 2 2" xfId="4992"/>
    <cellStyle name="40% - Accent6 2 4 2 2 2 2" xfId="17605"/>
    <cellStyle name="40% - Accent6 2 4 2 2 2 2 2" xfId="28748"/>
    <cellStyle name="40% - Accent6 2 4 2 2 2 3" xfId="23179"/>
    <cellStyle name="40% - Accent6 2 4 2 2 2 4" xfId="9143"/>
    <cellStyle name="40% - Accent6 2 4 2 2 3" xfId="11341"/>
    <cellStyle name="40% - Accent6 2 4 2 2 3 2" xfId="15536"/>
    <cellStyle name="40% - Accent6 2 4 2 2 3 2 2" xfId="26679"/>
    <cellStyle name="40% - Accent6 2 4 2 2 3 3" xfId="21110"/>
    <cellStyle name="40% - Accent6 2 4 2 2 4" xfId="14106"/>
    <cellStyle name="40% - Accent6 2 4 2 2 4 2" xfId="25249"/>
    <cellStyle name="40% - Accent6 2 4 2 2 5" xfId="19680"/>
    <cellStyle name="40% - Accent6 2 4 2 2 6" xfId="7074"/>
    <cellStyle name="40% - Accent6 2 4 2 3" xfId="3521"/>
    <cellStyle name="40% - Accent6 2 4 2 3 2" xfId="5630"/>
    <cellStyle name="40% - Accent6 2 4 2 3 2 2" xfId="18243"/>
    <cellStyle name="40% - Accent6 2 4 2 3 2 2 2" xfId="29386"/>
    <cellStyle name="40% - Accent6 2 4 2 3 2 3" xfId="23817"/>
    <cellStyle name="40% - Accent6 2 4 2 3 2 4" xfId="9781"/>
    <cellStyle name="40% - Accent6 2 4 2 3 3" xfId="16174"/>
    <cellStyle name="40% - Accent6 2 4 2 3 3 2" xfId="27317"/>
    <cellStyle name="40% - Accent6 2 4 2 3 4" xfId="21748"/>
    <cellStyle name="40% - Accent6 2 4 2 3 5" xfId="7712"/>
    <cellStyle name="40% - Accent6 2 4 2 4" xfId="4200"/>
    <cellStyle name="40% - Accent6 2 4 2 4 2" xfId="16813"/>
    <cellStyle name="40% - Accent6 2 4 2 4 2 2" xfId="27956"/>
    <cellStyle name="40% - Accent6 2 4 2 4 3" xfId="22387"/>
    <cellStyle name="40% - Accent6 2 4 2 4 4" xfId="8351"/>
    <cellStyle name="40% - Accent6 2 4 2 5" xfId="11219"/>
    <cellStyle name="40% - Accent6 2 4 2 5 2" xfId="14897"/>
    <cellStyle name="40% - Accent6 2 4 2 5 2 2" xfId="26040"/>
    <cellStyle name="40% - Accent6 2 4 2 5 3" xfId="20471"/>
    <cellStyle name="40% - Accent6 2 4 2 6" xfId="13467"/>
    <cellStyle name="40% - Accent6 2 4 2 6 2" xfId="24610"/>
    <cellStyle name="40% - Accent6 2 4 2 7" xfId="19041"/>
    <cellStyle name="40% - Accent6 2 4 2 8" xfId="6435"/>
    <cellStyle name="40% - Accent6 2 4 3" xfId="2047"/>
    <cellStyle name="40% - Accent6 2 4 3 2" xfId="2702"/>
    <cellStyle name="40% - Accent6 2 4 3 2 2" xfId="4811"/>
    <cellStyle name="40% - Accent6 2 4 3 2 2 2" xfId="17424"/>
    <cellStyle name="40% - Accent6 2 4 3 2 2 2 2" xfId="28567"/>
    <cellStyle name="40% - Accent6 2 4 3 2 2 3" xfId="22998"/>
    <cellStyle name="40% - Accent6 2 4 3 2 2 4" xfId="8962"/>
    <cellStyle name="40% - Accent6 2 4 3 2 3" xfId="11178"/>
    <cellStyle name="40% - Accent6 2 4 3 2 3 2" xfId="15355"/>
    <cellStyle name="40% - Accent6 2 4 3 2 3 2 2" xfId="26498"/>
    <cellStyle name="40% - Accent6 2 4 3 2 3 3" xfId="20929"/>
    <cellStyle name="40% - Accent6 2 4 3 2 4" xfId="13925"/>
    <cellStyle name="40% - Accent6 2 4 3 2 4 2" xfId="25068"/>
    <cellStyle name="40% - Accent6 2 4 3 2 5" xfId="19499"/>
    <cellStyle name="40% - Accent6 2 4 3 2 6" xfId="6893"/>
    <cellStyle name="40% - Accent6 2 4 3 3" xfId="3340"/>
    <cellStyle name="40% - Accent6 2 4 3 3 2" xfId="5449"/>
    <cellStyle name="40% - Accent6 2 4 3 3 2 2" xfId="18062"/>
    <cellStyle name="40% - Accent6 2 4 3 3 2 2 2" xfId="29205"/>
    <cellStyle name="40% - Accent6 2 4 3 3 2 3" xfId="23636"/>
    <cellStyle name="40% - Accent6 2 4 3 3 2 4" xfId="9600"/>
    <cellStyle name="40% - Accent6 2 4 3 3 3" xfId="15993"/>
    <cellStyle name="40% - Accent6 2 4 3 3 3 2" xfId="27136"/>
    <cellStyle name="40% - Accent6 2 4 3 3 4" xfId="21567"/>
    <cellStyle name="40% - Accent6 2 4 3 3 5" xfId="7531"/>
    <cellStyle name="40% - Accent6 2 4 3 4" xfId="4019"/>
    <cellStyle name="40% - Accent6 2 4 3 4 2" xfId="16632"/>
    <cellStyle name="40% - Accent6 2 4 3 4 2 2" xfId="27775"/>
    <cellStyle name="40% - Accent6 2 4 3 4 3" xfId="22206"/>
    <cellStyle name="40% - Accent6 2 4 3 4 4" xfId="8170"/>
    <cellStyle name="40% - Accent6 2 4 3 5" xfId="11283"/>
    <cellStyle name="40% - Accent6 2 4 3 5 2" xfId="14716"/>
    <cellStyle name="40% - Accent6 2 4 3 5 2 2" xfId="25859"/>
    <cellStyle name="40% - Accent6 2 4 3 5 3" xfId="20290"/>
    <cellStyle name="40% - Accent6 2 4 3 6" xfId="13286"/>
    <cellStyle name="40% - Accent6 2 4 3 6 2" xfId="24429"/>
    <cellStyle name="40% - Accent6 2 4 3 7" xfId="18860"/>
    <cellStyle name="40% - Accent6 2 4 3 8" xfId="6254"/>
    <cellStyle name="40% - Accent6 2 4 4" xfId="2394"/>
    <cellStyle name="40% - Accent6 2 4 4 2" xfId="3035"/>
    <cellStyle name="40% - Accent6 2 4 4 2 2" xfId="5144"/>
    <cellStyle name="40% - Accent6 2 4 4 2 2 2" xfId="17757"/>
    <cellStyle name="40% - Accent6 2 4 4 2 2 2 2" xfId="28900"/>
    <cellStyle name="40% - Accent6 2 4 4 2 2 3" xfId="23331"/>
    <cellStyle name="40% - Accent6 2 4 4 2 2 4" xfId="9295"/>
    <cellStyle name="40% - Accent6 2 4 4 2 3" xfId="10392"/>
    <cellStyle name="40% - Accent6 2 4 4 2 3 2" xfId="15688"/>
    <cellStyle name="40% - Accent6 2 4 4 2 3 2 2" xfId="26831"/>
    <cellStyle name="40% - Accent6 2 4 4 2 3 3" xfId="21262"/>
    <cellStyle name="40% - Accent6 2 4 4 2 4" xfId="14258"/>
    <cellStyle name="40% - Accent6 2 4 4 2 4 2" xfId="25401"/>
    <cellStyle name="40% - Accent6 2 4 4 2 5" xfId="19832"/>
    <cellStyle name="40% - Accent6 2 4 4 2 6" xfId="7226"/>
    <cellStyle name="40% - Accent6 2 4 4 3" xfId="3673"/>
    <cellStyle name="40% - Accent6 2 4 4 3 2" xfId="5782"/>
    <cellStyle name="40% - Accent6 2 4 4 3 2 2" xfId="18395"/>
    <cellStyle name="40% - Accent6 2 4 4 3 2 2 2" xfId="29538"/>
    <cellStyle name="40% - Accent6 2 4 4 3 2 3" xfId="23969"/>
    <cellStyle name="40% - Accent6 2 4 4 3 2 4" xfId="9933"/>
    <cellStyle name="40% - Accent6 2 4 4 3 3" xfId="16326"/>
    <cellStyle name="40% - Accent6 2 4 4 3 3 2" xfId="27469"/>
    <cellStyle name="40% - Accent6 2 4 4 3 4" xfId="21900"/>
    <cellStyle name="40% - Accent6 2 4 4 3 5" xfId="7864"/>
    <cellStyle name="40% - Accent6 2 4 4 4" xfId="4352"/>
    <cellStyle name="40% - Accent6 2 4 4 4 2" xfId="16965"/>
    <cellStyle name="40% - Accent6 2 4 4 4 2 2" xfId="28108"/>
    <cellStyle name="40% - Accent6 2 4 4 4 3" xfId="22539"/>
    <cellStyle name="40% - Accent6 2 4 4 4 4" xfId="8503"/>
    <cellStyle name="40% - Accent6 2 4 4 5" xfId="10515"/>
    <cellStyle name="40% - Accent6 2 4 4 5 2" xfId="15049"/>
    <cellStyle name="40% - Accent6 2 4 4 5 2 2" xfId="26192"/>
    <cellStyle name="40% - Accent6 2 4 4 5 3" xfId="20623"/>
    <cellStyle name="40% - Accent6 2 4 4 6" xfId="13619"/>
    <cellStyle name="40% - Accent6 2 4 4 6 2" xfId="24762"/>
    <cellStyle name="40% - Accent6 2 4 4 7" xfId="19193"/>
    <cellStyle name="40% - Accent6 2 4 4 8" xfId="6587"/>
    <cellStyle name="40% - Accent6 2 4 5" xfId="1857"/>
    <cellStyle name="40% - Accent6 2 4 5 2" xfId="4505"/>
    <cellStyle name="40% - Accent6 2 4 5 2 2" xfId="17118"/>
    <cellStyle name="40% - Accent6 2 4 5 2 2 2" xfId="28261"/>
    <cellStyle name="40% - Accent6 2 4 5 2 3" xfId="22692"/>
    <cellStyle name="40% - Accent6 2 4 5 2 4" xfId="8656"/>
    <cellStyle name="40% - Accent6 2 4 5 3" xfId="11362"/>
    <cellStyle name="40% - Accent6 2 4 5 3 2" xfId="14564"/>
    <cellStyle name="40% - Accent6 2 4 5 3 2 2" xfId="25707"/>
    <cellStyle name="40% - Accent6 2 4 5 3 3" xfId="20138"/>
    <cellStyle name="40% - Accent6 2 4 5 4" xfId="13134"/>
    <cellStyle name="40% - Accent6 2 4 5 4 2" xfId="24277"/>
    <cellStyle name="40% - Accent6 2 4 5 5" xfId="18708"/>
    <cellStyle name="40% - Accent6 2 4 5 6" xfId="6102"/>
    <cellStyle name="40% - Accent6 2 4 6" xfId="2550"/>
    <cellStyle name="40% - Accent6 2 4 6 2" xfId="4659"/>
    <cellStyle name="40% - Accent6 2 4 6 2 2" xfId="17272"/>
    <cellStyle name="40% - Accent6 2 4 6 2 2 2" xfId="28415"/>
    <cellStyle name="40% - Accent6 2 4 6 2 3" xfId="22846"/>
    <cellStyle name="40% - Accent6 2 4 6 2 4" xfId="8810"/>
    <cellStyle name="40% - Accent6 2 4 6 3" xfId="11375"/>
    <cellStyle name="40% - Accent6 2 4 6 3 2" xfId="15203"/>
    <cellStyle name="40% - Accent6 2 4 6 3 2 2" xfId="26346"/>
    <cellStyle name="40% - Accent6 2 4 6 3 3" xfId="20777"/>
    <cellStyle name="40% - Accent6 2 4 6 4" xfId="13773"/>
    <cellStyle name="40% - Accent6 2 4 6 4 2" xfId="24916"/>
    <cellStyle name="40% - Accent6 2 4 6 5" xfId="19347"/>
    <cellStyle name="40% - Accent6 2 4 6 6" xfId="6741"/>
    <cellStyle name="40% - Accent6 2 4 7" xfId="3188"/>
    <cellStyle name="40% - Accent6 2 4 7 2" xfId="5297"/>
    <cellStyle name="40% - Accent6 2 4 7 2 2" xfId="17910"/>
    <cellStyle name="40% - Accent6 2 4 7 2 2 2" xfId="29053"/>
    <cellStyle name="40% - Accent6 2 4 7 2 3" xfId="23484"/>
    <cellStyle name="40% - Accent6 2 4 7 2 4" xfId="9448"/>
    <cellStyle name="40% - Accent6 2 4 7 3" xfId="15841"/>
    <cellStyle name="40% - Accent6 2 4 7 3 2" xfId="26984"/>
    <cellStyle name="40% - Accent6 2 4 7 4" xfId="21415"/>
    <cellStyle name="40% - Accent6 2 4 7 5" xfId="7379"/>
    <cellStyle name="40% - Accent6 2 4 8" xfId="3867"/>
    <cellStyle name="40% - Accent6 2 4 8 2" xfId="16480"/>
    <cellStyle name="40% - Accent6 2 4 8 2 2" xfId="27623"/>
    <cellStyle name="40% - Accent6 2 4 8 3" xfId="22054"/>
    <cellStyle name="40% - Accent6 2 4 8 4" xfId="8018"/>
    <cellStyle name="40% - Accent6 2 4 9" xfId="10842"/>
    <cellStyle name="40% - Accent6 2 4 9 2" xfId="14411"/>
    <cellStyle name="40% - Accent6 2 4 9 2 2" xfId="25554"/>
    <cellStyle name="40% - Accent6 2 4 9 3" xfId="19985"/>
    <cellStyle name="40% - Accent6 2 5" xfId="2163"/>
    <cellStyle name="40% - Accent6 2 5 2" xfId="2807"/>
    <cellStyle name="40% - Accent6 2 5 2 2" xfId="4916"/>
    <cellStyle name="40% - Accent6 2 5 2 2 2" xfId="17529"/>
    <cellStyle name="40% - Accent6 2 5 2 2 2 2" xfId="28672"/>
    <cellStyle name="40% - Accent6 2 5 2 2 3" xfId="23103"/>
    <cellStyle name="40% - Accent6 2 5 2 2 4" xfId="9067"/>
    <cellStyle name="40% - Accent6 2 5 2 3" xfId="10448"/>
    <cellStyle name="40% - Accent6 2 5 2 3 2" xfId="15460"/>
    <cellStyle name="40% - Accent6 2 5 2 3 2 2" xfId="26603"/>
    <cellStyle name="40% - Accent6 2 5 2 3 3" xfId="21034"/>
    <cellStyle name="40% - Accent6 2 5 2 4" xfId="14030"/>
    <cellStyle name="40% - Accent6 2 5 2 4 2" xfId="25173"/>
    <cellStyle name="40% - Accent6 2 5 2 5" xfId="19604"/>
    <cellStyle name="40% - Accent6 2 5 2 6" xfId="6998"/>
    <cellStyle name="40% - Accent6 2 5 3" xfId="3445"/>
    <cellStyle name="40% - Accent6 2 5 3 2" xfId="5554"/>
    <cellStyle name="40% - Accent6 2 5 3 2 2" xfId="18167"/>
    <cellStyle name="40% - Accent6 2 5 3 2 2 2" xfId="29310"/>
    <cellStyle name="40% - Accent6 2 5 3 2 3" xfId="23741"/>
    <cellStyle name="40% - Accent6 2 5 3 2 4" xfId="9705"/>
    <cellStyle name="40% - Accent6 2 5 3 3" xfId="16098"/>
    <cellStyle name="40% - Accent6 2 5 3 3 2" xfId="27241"/>
    <cellStyle name="40% - Accent6 2 5 3 4" xfId="21672"/>
    <cellStyle name="40% - Accent6 2 5 3 5" xfId="7636"/>
    <cellStyle name="40% - Accent6 2 5 4" xfId="4124"/>
    <cellStyle name="40% - Accent6 2 5 4 2" xfId="16737"/>
    <cellStyle name="40% - Accent6 2 5 4 2 2" xfId="27880"/>
    <cellStyle name="40% - Accent6 2 5 4 3" xfId="22311"/>
    <cellStyle name="40% - Accent6 2 5 4 4" xfId="8275"/>
    <cellStyle name="40% - Accent6 2 5 5" xfId="10993"/>
    <cellStyle name="40% - Accent6 2 5 5 2" xfId="14821"/>
    <cellStyle name="40% - Accent6 2 5 5 2 2" xfId="25964"/>
    <cellStyle name="40% - Accent6 2 5 5 3" xfId="20395"/>
    <cellStyle name="40% - Accent6 2 5 6" xfId="13391"/>
    <cellStyle name="40% - Accent6 2 5 6 2" xfId="24534"/>
    <cellStyle name="40% - Accent6 2 5 7" xfId="18965"/>
    <cellStyle name="40% - Accent6 2 5 8" xfId="6359"/>
    <cellStyle name="40% - Accent6 2 6" xfId="1956"/>
    <cellStyle name="40% - Accent6 2 6 2" xfId="2626"/>
    <cellStyle name="40% - Accent6 2 6 2 2" xfId="4735"/>
    <cellStyle name="40% - Accent6 2 6 2 2 2" xfId="17348"/>
    <cellStyle name="40% - Accent6 2 6 2 2 2 2" xfId="28491"/>
    <cellStyle name="40% - Accent6 2 6 2 2 3" xfId="22922"/>
    <cellStyle name="40% - Accent6 2 6 2 2 4" xfId="8886"/>
    <cellStyle name="40% - Accent6 2 6 2 3" xfId="5863"/>
    <cellStyle name="40% - Accent6 2 6 2 3 2" xfId="15279"/>
    <cellStyle name="40% - Accent6 2 6 2 3 2 2" xfId="26422"/>
    <cellStyle name="40% - Accent6 2 6 2 3 3" xfId="20853"/>
    <cellStyle name="40% - Accent6 2 6 2 4" xfId="13849"/>
    <cellStyle name="40% - Accent6 2 6 2 4 2" xfId="24992"/>
    <cellStyle name="40% - Accent6 2 6 2 5" xfId="19423"/>
    <cellStyle name="40% - Accent6 2 6 2 6" xfId="6817"/>
    <cellStyle name="40% - Accent6 2 6 3" xfId="3264"/>
    <cellStyle name="40% - Accent6 2 6 3 2" xfId="5373"/>
    <cellStyle name="40% - Accent6 2 6 3 2 2" xfId="17986"/>
    <cellStyle name="40% - Accent6 2 6 3 2 2 2" xfId="29129"/>
    <cellStyle name="40% - Accent6 2 6 3 2 3" xfId="23560"/>
    <cellStyle name="40% - Accent6 2 6 3 2 4" xfId="9524"/>
    <cellStyle name="40% - Accent6 2 6 3 3" xfId="15917"/>
    <cellStyle name="40% - Accent6 2 6 3 3 2" xfId="27060"/>
    <cellStyle name="40% - Accent6 2 6 3 4" xfId="21491"/>
    <cellStyle name="40% - Accent6 2 6 3 5" xfId="7455"/>
    <cellStyle name="40% - Accent6 2 6 4" xfId="3943"/>
    <cellStyle name="40% - Accent6 2 6 4 2" xfId="16556"/>
    <cellStyle name="40% - Accent6 2 6 4 2 2" xfId="27699"/>
    <cellStyle name="40% - Accent6 2 6 4 3" xfId="22130"/>
    <cellStyle name="40% - Accent6 2 6 4 4" xfId="8094"/>
    <cellStyle name="40% - Accent6 2 6 5" xfId="10467"/>
    <cellStyle name="40% - Accent6 2 6 5 2" xfId="14640"/>
    <cellStyle name="40% - Accent6 2 6 5 2 2" xfId="25783"/>
    <cellStyle name="40% - Accent6 2 6 5 3" xfId="20214"/>
    <cellStyle name="40% - Accent6 2 6 6" xfId="13210"/>
    <cellStyle name="40% - Accent6 2 6 6 2" xfId="24353"/>
    <cellStyle name="40% - Accent6 2 6 7" xfId="18784"/>
    <cellStyle name="40% - Accent6 2 6 8" xfId="6178"/>
    <cellStyle name="40% - Accent6 2 7" xfId="2317"/>
    <cellStyle name="40% - Accent6 2 7 2" xfId="2959"/>
    <cellStyle name="40% - Accent6 2 7 2 2" xfId="5068"/>
    <cellStyle name="40% - Accent6 2 7 2 2 2" xfId="17681"/>
    <cellStyle name="40% - Accent6 2 7 2 2 2 2" xfId="28824"/>
    <cellStyle name="40% - Accent6 2 7 2 2 3" xfId="23255"/>
    <cellStyle name="40% - Accent6 2 7 2 2 4" xfId="9219"/>
    <cellStyle name="40% - Accent6 2 7 2 3" xfId="10036"/>
    <cellStyle name="40% - Accent6 2 7 2 3 2" xfId="15612"/>
    <cellStyle name="40% - Accent6 2 7 2 3 2 2" xfId="26755"/>
    <cellStyle name="40% - Accent6 2 7 2 3 3" xfId="21186"/>
    <cellStyle name="40% - Accent6 2 7 2 4" xfId="14182"/>
    <cellStyle name="40% - Accent6 2 7 2 4 2" xfId="25325"/>
    <cellStyle name="40% - Accent6 2 7 2 5" xfId="19756"/>
    <cellStyle name="40% - Accent6 2 7 2 6" xfId="7150"/>
    <cellStyle name="40% - Accent6 2 7 3" xfId="3597"/>
    <cellStyle name="40% - Accent6 2 7 3 2" xfId="5706"/>
    <cellStyle name="40% - Accent6 2 7 3 2 2" xfId="18319"/>
    <cellStyle name="40% - Accent6 2 7 3 2 2 2" xfId="29462"/>
    <cellStyle name="40% - Accent6 2 7 3 2 3" xfId="23893"/>
    <cellStyle name="40% - Accent6 2 7 3 2 4" xfId="9857"/>
    <cellStyle name="40% - Accent6 2 7 3 3" xfId="16250"/>
    <cellStyle name="40% - Accent6 2 7 3 3 2" xfId="27393"/>
    <cellStyle name="40% - Accent6 2 7 3 4" xfId="21824"/>
    <cellStyle name="40% - Accent6 2 7 3 5" xfId="7788"/>
    <cellStyle name="40% - Accent6 2 7 4" xfId="4276"/>
    <cellStyle name="40% - Accent6 2 7 4 2" xfId="16889"/>
    <cellStyle name="40% - Accent6 2 7 4 2 2" xfId="28032"/>
    <cellStyle name="40% - Accent6 2 7 4 3" xfId="22463"/>
    <cellStyle name="40% - Accent6 2 7 4 4" xfId="8427"/>
    <cellStyle name="40% - Accent6 2 7 5" xfId="10792"/>
    <cellStyle name="40% - Accent6 2 7 5 2" xfId="14973"/>
    <cellStyle name="40% - Accent6 2 7 5 2 2" xfId="26116"/>
    <cellStyle name="40% - Accent6 2 7 5 3" xfId="20547"/>
    <cellStyle name="40% - Accent6 2 7 6" xfId="13543"/>
    <cellStyle name="40% - Accent6 2 7 6 2" xfId="24686"/>
    <cellStyle name="40% - Accent6 2 7 7" xfId="19117"/>
    <cellStyle name="40% - Accent6 2 7 8" xfId="6511"/>
    <cellStyle name="40% - Accent6 2 8" xfId="1781"/>
    <cellStyle name="40% - Accent6 2 8 2" xfId="4429"/>
    <cellStyle name="40% - Accent6 2 8 2 2" xfId="17042"/>
    <cellStyle name="40% - Accent6 2 8 2 2 2" xfId="28185"/>
    <cellStyle name="40% - Accent6 2 8 2 3" xfId="22616"/>
    <cellStyle name="40% - Accent6 2 8 2 4" xfId="8580"/>
    <cellStyle name="40% - Accent6 2 8 3" xfId="5858"/>
    <cellStyle name="40% - Accent6 2 8 3 2" xfId="14488"/>
    <cellStyle name="40% - Accent6 2 8 3 2 2" xfId="25631"/>
    <cellStyle name="40% - Accent6 2 8 3 3" xfId="20062"/>
    <cellStyle name="40% - Accent6 2 8 4" xfId="13058"/>
    <cellStyle name="40% - Accent6 2 8 4 2" xfId="24201"/>
    <cellStyle name="40% - Accent6 2 8 5" xfId="18632"/>
    <cellStyle name="40% - Accent6 2 8 6" xfId="6026"/>
    <cellStyle name="40% - Accent6 2 9" xfId="2474"/>
    <cellStyle name="40% - Accent6 2 9 2" xfId="4583"/>
    <cellStyle name="40% - Accent6 2 9 2 2" xfId="17196"/>
    <cellStyle name="40% - Accent6 2 9 2 2 2" xfId="28339"/>
    <cellStyle name="40% - Accent6 2 9 2 3" xfId="22770"/>
    <cellStyle name="40% - Accent6 2 9 2 4" xfId="8734"/>
    <cellStyle name="40% - Accent6 2 9 3" xfId="10412"/>
    <cellStyle name="40% - Accent6 2 9 3 2" xfId="15127"/>
    <cellStyle name="40% - Accent6 2 9 3 2 2" xfId="26270"/>
    <cellStyle name="40% - Accent6 2 9 3 3" xfId="20701"/>
    <cellStyle name="40% - Accent6 2 9 4" xfId="13697"/>
    <cellStyle name="40% - Accent6 2 9 4 2" xfId="24840"/>
    <cellStyle name="40% - Accent6 2 9 5" xfId="19271"/>
    <cellStyle name="40% - Accent6 2 9 6" xfId="6665"/>
    <cellStyle name="40% - Accent6 3" xfId="146"/>
    <cellStyle name="40% - Accent6 3 2" xfId="396"/>
    <cellStyle name="40% - Accent6 3 2 2" xfId="575"/>
    <cellStyle name="40% - Accent6 3 2 2 2" xfId="958"/>
    <cellStyle name="40% - Accent6 3 2 2 2 2" xfId="1697"/>
    <cellStyle name="40% - Accent6 3 2 2 2 2 2" xfId="12793"/>
    <cellStyle name="40% - Accent6 3 2 2 2 3" xfId="12083"/>
    <cellStyle name="40% - Accent6 3 2 2 3" xfId="1342"/>
    <cellStyle name="40% - Accent6 3 2 2 3 2" xfId="12438"/>
    <cellStyle name="40% - Accent6 3 2 2 4" xfId="11728"/>
    <cellStyle name="40% - Accent6 3 2 3" xfId="780"/>
    <cellStyle name="40% - Accent6 3 2 3 2" xfId="1519"/>
    <cellStyle name="40% - Accent6 3 2 3 2 2" xfId="12615"/>
    <cellStyle name="40% - Accent6 3 2 3 3" xfId="11905"/>
    <cellStyle name="40% - Accent6 3 2 4" xfId="1164"/>
    <cellStyle name="40% - Accent6 3 2 4 2" xfId="12260"/>
    <cellStyle name="40% - Accent6 3 2 5" xfId="11550"/>
    <cellStyle name="40% - Accent6 3 3" xfId="451"/>
    <cellStyle name="40% - Accent6 3 3 2" xfId="630"/>
    <cellStyle name="40% - Accent6 3 3 2 2" xfId="1013"/>
    <cellStyle name="40% - Accent6 3 3 2 2 2" xfId="1752"/>
    <cellStyle name="40% - Accent6 3 3 2 2 2 2" xfId="12848"/>
    <cellStyle name="40% - Accent6 3 3 2 2 3" xfId="12138"/>
    <cellStyle name="40% - Accent6 3 3 2 3" xfId="1397"/>
    <cellStyle name="40% - Accent6 3 3 2 3 2" xfId="12493"/>
    <cellStyle name="40% - Accent6 3 3 2 4" xfId="11783"/>
    <cellStyle name="40% - Accent6 3 3 3" xfId="835"/>
    <cellStyle name="40% - Accent6 3 3 3 2" xfId="1574"/>
    <cellStyle name="40% - Accent6 3 3 3 2 2" xfId="12670"/>
    <cellStyle name="40% - Accent6 3 3 3 3" xfId="11960"/>
    <cellStyle name="40% - Accent6 3 3 4" xfId="1219"/>
    <cellStyle name="40% - Accent6 3 3 4 2" xfId="12315"/>
    <cellStyle name="40% - Accent6 3 3 5" xfId="11605"/>
    <cellStyle name="40% - Accent6 3 4" xfId="513"/>
    <cellStyle name="40% - Accent6 3 4 2" xfId="897"/>
    <cellStyle name="40% - Accent6 3 4 2 2" xfId="1636"/>
    <cellStyle name="40% - Accent6 3 4 2 2 2" xfId="12732"/>
    <cellStyle name="40% - Accent6 3 4 2 3" xfId="12022"/>
    <cellStyle name="40% - Accent6 3 4 3" xfId="1281"/>
    <cellStyle name="40% - Accent6 3 4 3 2" xfId="12377"/>
    <cellStyle name="40% - Accent6 3 4 4" xfId="11667"/>
    <cellStyle name="40% - Accent6 3 5" xfId="719"/>
    <cellStyle name="40% - Accent6 3 5 2" xfId="1458"/>
    <cellStyle name="40% - Accent6 3 5 2 2" xfId="12554"/>
    <cellStyle name="40% - Accent6 3 5 3" xfId="11844"/>
    <cellStyle name="40% - Accent6 3 6" xfId="1103"/>
    <cellStyle name="40% - Accent6 3 6 2" xfId="12199"/>
    <cellStyle name="40% - Accent6 3 7" xfId="11489"/>
    <cellStyle name="40% - Accent6 4" xfId="176"/>
    <cellStyle name="40% - Accent6 4 2" xfId="408"/>
    <cellStyle name="40% - Accent6 4 2 2" xfId="587"/>
    <cellStyle name="40% - Accent6 4 2 2 2" xfId="970"/>
    <cellStyle name="40% - Accent6 4 2 2 2 2" xfId="1709"/>
    <cellStyle name="40% - Accent6 4 2 2 2 2 2" xfId="12805"/>
    <cellStyle name="40% - Accent6 4 2 2 2 3" xfId="12095"/>
    <cellStyle name="40% - Accent6 4 2 2 3" xfId="1354"/>
    <cellStyle name="40% - Accent6 4 2 2 3 2" xfId="12450"/>
    <cellStyle name="40% - Accent6 4 2 2 4" xfId="11740"/>
    <cellStyle name="40% - Accent6 4 2 3" xfId="792"/>
    <cellStyle name="40% - Accent6 4 2 3 2" xfId="1531"/>
    <cellStyle name="40% - Accent6 4 2 3 2 2" xfId="12627"/>
    <cellStyle name="40% - Accent6 4 2 3 3" xfId="11917"/>
    <cellStyle name="40% - Accent6 4 2 4" xfId="1176"/>
    <cellStyle name="40% - Accent6 4 2 4 2" xfId="12272"/>
    <cellStyle name="40% - Accent6 4 2 5" xfId="11562"/>
    <cellStyle name="40% - Accent6 4 3" xfId="463"/>
    <cellStyle name="40% - Accent6 4 3 2" xfId="642"/>
    <cellStyle name="40% - Accent6 4 3 2 2" xfId="1025"/>
    <cellStyle name="40% - Accent6 4 3 2 2 2" xfId="1764"/>
    <cellStyle name="40% - Accent6 4 3 2 2 2 2" xfId="12860"/>
    <cellStyle name="40% - Accent6 4 3 2 2 3" xfId="12150"/>
    <cellStyle name="40% - Accent6 4 3 2 3" xfId="1409"/>
    <cellStyle name="40% - Accent6 4 3 2 3 2" xfId="12505"/>
    <cellStyle name="40% - Accent6 4 3 2 4" xfId="11795"/>
    <cellStyle name="40% - Accent6 4 3 3" xfId="847"/>
    <cellStyle name="40% - Accent6 4 3 3 2" xfId="1586"/>
    <cellStyle name="40% - Accent6 4 3 3 2 2" xfId="12682"/>
    <cellStyle name="40% - Accent6 4 3 3 3" xfId="11972"/>
    <cellStyle name="40% - Accent6 4 3 4" xfId="1231"/>
    <cellStyle name="40% - Accent6 4 3 4 2" xfId="12327"/>
    <cellStyle name="40% - Accent6 4 3 5" xfId="11617"/>
    <cellStyle name="40% - Accent6 4 4" xfId="526"/>
    <cellStyle name="40% - Accent6 4 4 2" xfId="909"/>
    <cellStyle name="40% - Accent6 4 4 2 2" xfId="1648"/>
    <cellStyle name="40% - Accent6 4 4 2 2 2" xfId="12744"/>
    <cellStyle name="40% - Accent6 4 4 2 3" xfId="12034"/>
    <cellStyle name="40% - Accent6 4 4 3" xfId="1293"/>
    <cellStyle name="40% - Accent6 4 4 3 2" xfId="12389"/>
    <cellStyle name="40% - Accent6 4 4 4" xfId="11679"/>
    <cellStyle name="40% - Accent6 4 5" xfId="731"/>
    <cellStyle name="40% - Accent6 4 5 2" xfId="1470"/>
    <cellStyle name="40% - Accent6 4 5 2 2" xfId="12566"/>
    <cellStyle name="40% - Accent6 4 5 3" xfId="11856"/>
    <cellStyle name="40% - Accent6 4 6" xfId="1115"/>
    <cellStyle name="40% - Accent6 4 6 2" xfId="12211"/>
    <cellStyle name="40% - Accent6 4 7" xfId="11501"/>
    <cellStyle name="40% - Accent6 5" xfId="218"/>
    <cellStyle name="40% - Accent6 5 2" xfId="420"/>
    <cellStyle name="40% - Accent6 5 2 2" xfId="599"/>
    <cellStyle name="40% - Accent6 5 2 2 2" xfId="982"/>
    <cellStyle name="40% - Accent6 5 2 2 2 2" xfId="1721"/>
    <cellStyle name="40% - Accent6 5 2 2 2 2 2" xfId="12817"/>
    <cellStyle name="40% - Accent6 5 2 2 2 3" xfId="12107"/>
    <cellStyle name="40% - Accent6 5 2 2 3" xfId="1366"/>
    <cellStyle name="40% - Accent6 5 2 2 3 2" xfId="12462"/>
    <cellStyle name="40% - Accent6 5 2 2 4" xfId="11752"/>
    <cellStyle name="40% - Accent6 5 2 3" xfId="804"/>
    <cellStyle name="40% - Accent6 5 2 3 2" xfId="1543"/>
    <cellStyle name="40% - Accent6 5 2 3 2 2" xfId="12639"/>
    <cellStyle name="40% - Accent6 5 2 3 3" xfId="11929"/>
    <cellStyle name="40% - Accent6 5 2 4" xfId="1188"/>
    <cellStyle name="40% - Accent6 5 2 4 2" xfId="12284"/>
    <cellStyle name="40% - Accent6 5 2 5" xfId="11574"/>
    <cellStyle name="40% - Accent6 5 3" xfId="475"/>
    <cellStyle name="40% - Accent6 5 3 2" xfId="654"/>
    <cellStyle name="40% - Accent6 5 3 2 2" xfId="1037"/>
    <cellStyle name="40% - Accent6 5 3 2 2 2" xfId="1776"/>
    <cellStyle name="40% - Accent6 5 3 2 2 2 2" xfId="12872"/>
    <cellStyle name="40% - Accent6 5 3 2 2 3" xfId="12162"/>
    <cellStyle name="40% - Accent6 5 3 2 3" xfId="1421"/>
    <cellStyle name="40% - Accent6 5 3 2 3 2" xfId="12517"/>
    <cellStyle name="40% - Accent6 5 3 2 4" xfId="11807"/>
    <cellStyle name="40% - Accent6 5 3 3" xfId="859"/>
    <cellStyle name="40% - Accent6 5 3 3 2" xfId="1598"/>
    <cellStyle name="40% - Accent6 5 3 3 2 2" xfId="12694"/>
    <cellStyle name="40% - Accent6 5 3 3 3" xfId="11984"/>
    <cellStyle name="40% - Accent6 5 3 4" xfId="1243"/>
    <cellStyle name="40% - Accent6 5 3 4 2" xfId="12339"/>
    <cellStyle name="40% - Accent6 5 3 5" xfId="11629"/>
    <cellStyle name="40% - Accent6 5 4" xfId="538"/>
    <cellStyle name="40% - Accent6 5 4 2" xfId="921"/>
    <cellStyle name="40% - Accent6 5 4 2 2" xfId="1660"/>
    <cellStyle name="40% - Accent6 5 4 2 2 2" xfId="12756"/>
    <cellStyle name="40% - Accent6 5 4 2 3" xfId="12046"/>
    <cellStyle name="40% - Accent6 5 4 3" xfId="1305"/>
    <cellStyle name="40% - Accent6 5 4 3 2" xfId="12401"/>
    <cellStyle name="40% - Accent6 5 4 4" xfId="11691"/>
    <cellStyle name="40% - Accent6 5 5" xfId="743"/>
    <cellStyle name="40% - Accent6 5 5 2" xfId="1482"/>
    <cellStyle name="40% - Accent6 5 5 2 2" xfId="12578"/>
    <cellStyle name="40% - Accent6 5 5 3" xfId="11868"/>
    <cellStyle name="40% - Accent6 5 6" xfId="1127"/>
    <cellStyle name="40% - Accent6 5 6 2" xfId="12223"/>
    <cellStyle name="40% - Accent6 5 7" xfId="11513"/>
    <cellStyle name="40% - Accent6 6" xfId="364"/>
    <cellStyle name="40% - Accent6 6 2" xfId="377"/>
    <cellStyle name="40% - Accent6 6 2 2" xfId="556"/>
    <cellStyle name="40% - Accent6 6 2 2 2" xfId="939"/>
    <cellStyle name="40% - Accent6 6 2 2 2 2" xfId="1678"/>
    <cellStyle name="40% - Accent6 6 2 2 2 2 2" xfId="12774"/>
    <cellStyle name="40% - Accent6 6 2 2 2 3" xfId="12064"/>
    <cellStyle name="40% - Accent6 6 2 2 3" xfId="1323"/>
    <cellStyle name="40% - Accent6 6 2 2 3 2" xfId="12419"/>
    <cellStyle name="40% - Accent6 6 2 2 4" xfId="11709"/>
    <cellStyle name="40% - Accent6 6 2 3" xfId="761"/>
    <cellStyle name="40% - Accent6 6 2 3 2" xfId="1500"/>
    <cellStyle name="40% - Accent6 6 2 3 2 2" xfId="12596"/>
    <cellStyle name="40% - Accent6 6 2 3 3" xfId="11886"/>
    <cellStyle name="40% - Accent6 6 2 4" xfId="1145"/>
    <cellStyle name="40% - Accent6 6 2 4 2" xfId="12241"/>
    <cellStyle name="40% - Accent6 6 2 5" xfId="11531"/>
    <cellStyle name="40% - Accent6 6 3" xfId="544"/>
    <cellStyle name="40% - Accent6 6 3 2" xfId="927"/>
    <cellStyle name="40% - Accent6 6 3 2 2" xfId="1666"/>
    <cellStyle name="40% - Accent6 6 3 2 2 2" xfId="12762"/>
    <cellStyle name="40% - Accent6 6 3 2 3" xfId="12052"/>
    <cellStyle name="40% - Accent6 6 3 3" xfId="1311"/>
    <cellStyle name="40% - Accent6 6 3 3 2" xfId="12407"/>
    <cellStyle name="40% - Accent6 6 3 4" xfId="11697"/>
    <cellStyle name="40% - Accent6 6 4" xfId="749"/>
    <cellStyle name="40% - Accent6 6 4 2" xfId="1488"/>
    <cellStyle name="40% - Accent6 6 4 2 2" xfId="12584"/>
    <cellStyle name="40% - Accent6 6 4 3" xfId="11874"/>
    <cellStyle name="40% - Accent6 6 5" xfId="1133"/>
    <cellStyle name="40% - Accent6 6 5 2" xfId="12229"/>
    <cellStyle name="40% - Accent6 6 6" xfId="11519"/>
    <cellStyle name="40% - Accent6 7" xfId="432"/>
    <cellStyle name="40% - Accent6 7 2" xfId="611"/>
    <cellStyle name="40% - Accent6 7 2 2" xfId="994"/>
    <cellStyle name="40% - Accent6 7 2 2 2" xfId="1733"/>
    <cellStyle name="40% - Accent6 7 2 2 2 2" xfId="12829"/>
    <cellStyle name="40% - Accent6 7 2 2 3" xfId="12119"/>
    <cellStyle name="40% - Accent6 7 2 3" xfId="1378"/>
    <cellStyle name="40% - Accent6 7 2 3 2" xfId="12474"/>
    <cellStyle name="40% - Accent6 7 2 4" xfId="11764"/>
    <cellStyle name="40% - Accent6 7 3" xfId="816"/>
    <cellStyle name="40% - Accent6 7 3 2" xfId="1555"/>
    <cellStyle name="40% - Accent6 7 3 2 2" xfId="12651"/>
    <cellStyle name="40% - Accent6 7 3 3" xfId="11941"/>
    <cellStyle name="40% - Accent6 7 4" xfId="1200"/>
    <cellStyle name="40% - Accent6 7 4 2" xfId="12296"/>
    <cellStyle name="40% - Accent6 7 5" xfId="11586"/>
    <cellStyle name="40% - Accent6 8" xfId="488"/>
    <cellStyle name="40% - Accent6 8 2" xfId="872"/>
    <cellStyle name="40% - Accent6 8 2 2" xfId="1611"/>
    <cellStyle name="40% - Accent6 8 2 2 2" xfId="12707"/>
    <cellStyle name="40% - Accent6 8 2 3" xfId="11997"/>
    <cellStyle name="40% - Accent6 8 3" xfId="1256"/>
    <cellStyle name="40% - Accent6 8 3 2" xfId="12352"/>
    <cellStyle name="40% - Accent6 8 4" xfId="11642"/>
    <cellStyle name="40% - Accent6 9" xfId="693"/>
    <cellStyle name="40% - Accent6 9 2" xfId="1433"/>
    <cellStyle name="40% - Accent6 9 2 2" xfId="12529"/>
    <cellStyle name="40% - Accent6 9 3" xfId="11819"/>
    <cellStyle name="60% - Accent1" xfId="20" builtinId="32" customBuiltin="1"/>
    <cellStyle name="60% - Accent1 2" xfId="114"/>
    <cellStyle name="60% - Accent1 3" xfId="157"/>
    <cellStyle name="60% - Accent1 4" xfId="199"/>
    <cellStyle name="60% - Accent1 5" xfId="51"/>
    <cellStyle name="60% - Accent1 6" xfId="674"/>
    <cellStyle name="60% - Accent1 7" xfId="1058"/>
    <cellStyle name="60% - Accent1 8" xfId="1942"/>
    <cellStyle name="60% - Accent1 9" xfId="3766"/>
    <cellStyle name="60% - Accent2" xfId="24" builtinId="36" customBuiltin="1"/>
    <cellStyle name="60% - Accent2 2" xfId="125"/>
    <cellStyle name="60% - Accent2 3" xfId="161"/>
    <cellStyle name="60% - Accent2 4" xfId="203"/>
    <cellStyle name="60% - Accent2 5" xfId="58"/>
    <cellStyle name="60% - Accent2 6" xfId="678"/>
    <cellStyle name="60% - Accent2 7" xfId="1062"/>
    <cellStyle name="60% - Accent2 8" xfId="1982"/>
    <cellStyle name="60% - Accent2 9" xfId="3770"/>
    <cellStyle name="60% - Accent3" xfId="28" builtinId="40" customBuiltin="1"/>
    <cellStyle name="60% - Accent3 2" xfId="109"/>
    <cellStyle name="60% - Accent3 3" xfId="165"/>
    <cellStyle name="60% - Accent3 4" xfId="207"/>
    <cellStyle name="60% - Accent3 5" xfId="353"/>
    <cellStyle name="60% - Accent3 6" xfId="682"/>
    <cellStyle name="60% - Accent3 7" xfId="1066"/>
    <cellStyle name="60% - Accent3 8" xfId="1981"/>
    <cellStyle name="60% - Accent3 9" xfId="3774"/>
    <cellStyle name="60% - Accent4" xfId="32" builtinId="44" customBuiltin="1"/>
    <cellStyle name="60% - Accent4 2" xfId="116"/>
    <cellStyle name="60% - Accent4 3" xfId="169"/>
    <cellStyle name="60% - Accent4 4" xfId="211"/>
    <cellStyle name="60% - Accent4 5" xfId="357"/>
    <cellStyle name="60% - Accent4 6" xfId="686"/>
    <cellStyle name="60% - Accent4 7" xfId="1070"/>
    <cellStyle name="60% - Accent4 8" xfId="1980"/>
    <cellStyle name="60% - Accent4 9" xfId="3778"/>
    <cellStyle name="60% - Accent5" xfId="36" builtinId="48" customBuiltin="1"/>
    <cellStyle name="60% - Accent5 2" xfId="123"/>
    <cellStyle name="60% - Accent5 3" xfId="173"/>
    <cellStyle name="60% - Accent5 4" xfId="215"/>
    <cellStyle name="60% - Accent5 5" xfId="361"/>
    <cellStyle name="60% - Accent5 6" xfId="690"/>
    <cellStyle name="60% - Accent5 7" xfId="1074"/>
    <cellStyle name="60% - Accent5 8" xfId="1979"/>
    <cellStyle name="60% - Accent5 9" xfId="3782"/>
    <cellStyle name="60% - Accent6" xfId="40" builtinId="52" customBuiltin="1"/>
    <cellStyle name="60% - Accent6 2" xfId="107"/>
    <cellStyle name="60% - Accent6 3" xfId="177"/>
    <cellStyle name="60% - Accent6 4" xfId="219"/>
    <cellStyle name="60% - Accent6 5" xfId="365"/>
    <cellStyle name="60% - Accent6 6" xfId="694"/>
    <cellStyle name="60% - Accent6 7" xfId="1078"/>
    <cellStyle name="60% - Accent6 8" xfId="1983"/>
    <cellStyle name="60% - Accent6 9" xfId="3786"/>
    <cellStyle name="Accent1" xfId="17" builtinId="29" customBuiltin="1"/>
    <cellStyle name="Accent1 2" xfId="126"/>
    <cellStyle name="Accent1 3" xfId="78"/>
    <cellStyle name="Accent1 4" xfId="196"/>
    <cellStyle name="Accent1 5" xfId="63"/>
    <cellStyle name="Accent1 6" xfId="671"/>
    <cellStyle name="Accent1 7" xfId="1055"/>
    <cellStyle name="Accent1 8" xfId="1950"/>
    <cellStyle name="Accent1 9" xfId="3763"/>
    <cellStyle name="Accent2" xfId="21" builtinId="33" customBuiltin="1"/>
    <cellStyle name="Accent2 2" xfId="110"/>
    <cellStyle name="Accent2 3" xfId="158"/>
    <cellStyle name="Accent2 4" xfId="200"/>
    <cellStyle name="Accent2 5" xfId="47"/>
    <cellStyle name="Accent2 6" xfId="675"/>
    <cellStyle name="Accent2 7" xfId="1059"/>
    <cellStyle name="Accent2 8" xfId="1948"/>
    <cellStyle name="Accent2 9" xfId="3767"/>
    <cellStyle name="Accent3" xfId="25" builtinId="37" customBuiltin="1"/>
    <cellStyle name="Accent3 2" xfId="121"/>
    <cellStyle name="Accent3 3" xfId="162"/>
    <cellStyle name="Accent3 4" xfId="204"/>
    <cellStyle name="Accent3 5" xfId="54"/>
    <cellStyle name="Accent3 6" xfId="679"/>
    <cellStyle name="Accent3 7" xfId="1063"/>
    <cellStyle name="Accent3 8" xfId="1940"/>
    <cellStyle name="Accent3 9" xfId="3771"/>
    <cellStyle name="Accent4" xfId="29" builtinId="41" customBuiltin="1"/>
    <cellStyle name="Accent4 2" xfId="128"/>
    <cellStyle name="Accent4 3" xfId="166"/>
    <cellStyle name="Accent4 4" xfId="208"/>
    <cellStyle name="Accent4 5" xfId="354"/>
    <cellStyle name="Accent4 6" xfId="683"/>
    <cellStyle name="Accent4 7" xfId="1067"/>
    <cellStyle name="Accent4 8" xfId="1941"/>
    <cellStyle name="Accent4 9" xfId="3775"/>
    <cellStyle name="Accent5" xfId="33" builtinId="45" customBuiltin="1"/>
    <cellStyle name="Accent5 2" xfId="112"/>
    <cellStyle name="Accent5 3" xfId="170"/>
    <cellStyle name="Accent5 4" xfId="212"/>
    <cellStyle name="Accent5 5" xfId="358"/>
    <cellStyle name="Accent5 6" xfId="687"/>
    <cellStyle name="Accent5 7" xfId="1071"/>
    <cellStyle name="Accent5 8" xfId="1943"/>
    <cellStyle name="Accent5 9" xfId="3779"/>
    <cellStyle name="Accent6" xfId="37" builtinId="49" customBuiltin="1"/>
    <cellStyle name="Accent6 2" xfId="119"/>
    <cellStyle name="Accent6 3" xfId="174"/>
    <cellStyle name="Accent6 4" xfId="216"/>
    <cellStyle name="Accent6 5" xfId="362"/>
    <cellStyle name="Accent6 6" xfId="691"/>
    <cellStyle name="Accent6 7" xfId="1075"/>
    <cellStyle name="Accent6 8" xfId="1945"/>
    <cellStyle name="Accent6 9" xfId="3783"/>
    <cellStyle name="Bad" xfId="7" builtinId="27" customBuiltin="1"/>
    <cellStyle name="Bad 2" xfId="99"/>
    <cellStyle name="Bad 3" xfId="74"/>
    <cellStyle name="Bad 4" xfId="186"/>
    <cellStyle name="Bad 5" xfId="53"/>
    <cellStyle name="Bad 6" xfId="661"/>
    <cellStyle name="Bad 7" xfId="1045"/>
    <cellStyle name="Bad 8" xfId="1975"/>
    <cellStyle name="Bad 9" xfId="3753"/>
    <cellStyle name="Calculation" xfId="11" builtinId="22" customBuiltin="1"/>
    <cellStyle name="Calculation 2" xfId="92"/>
    <cellStyle name="Calculation 3" xfId="79"/>
    <cellStyle name="Calculation 4" xfId="190"/>
    <cellStyle name="Calculation 5" xfId="64"/>
    <cellStyle name="Calculation 6" xfId="665"/>
    <cellStyle name="Calculation 7" xfId="1049"/>
    <cellStyle name="Calculation 8" xfId="1984"/>
    <cellStyle name="Calculation 9" xfId="3757"/>
    <cellStyle name="Check Cell" xfId="13" builtinId="23" customBuiltin="1"/>
    <cellStyle name="Check Cell 2" xfId="105"/>
    <cellStyle name="Check Cell 3" xfId="73"/>
    <cellStyle name="Check Cell 4" xfId="192"/>
    <cellStyle name="Check Cell 5" xfId="56"/>
    <cellStyle name="Check Cell 6" xfId="667"/>
    <cellStyle name="Check Cell 7" xfId="1051"/>
    <cellStyle name="Check Cell 8" xfId="1949"/>
    <cellStyle name="Check Cell 9" xfId="3759"/>
    <cellStyle name="Comma [1]" xfId="11033"/>
    <cellStyle name="Comma [2]" xfId="10980"/>
    <cellStyle name="Explanatory Text" xfId="15" builtinId="53" customBuiltin="1"/>
    <cellStyle name="Explanatory Text 2" xfId="101"/>
    <cellStyle name="Explanatory Text 3" xfId="84"/>
    <cellStyle name="Explanatory Text 4" xfId="194"/>
    <cellStyle name="Explanatory Text 5" xfId="48"/>
    <cellStyle name="Explanatory Text 6" xfId="669"/>
    <cellStyle name="Explanatory Text 7" xfId="1053"/>
    <cellStyle name="Explanatory Text 8" xfId="1986"/>
    <cellStyle name="Explanatory Text 9" xfId="3761"/>
    <cellStyle name="Good" xfId="6" builtinId="26" customBuiltin="1"/>
    <cellStyle name="Good 2" xfId="102"/>
    <cellStyle name="Good 3" xfId="77"/>
    <cellStyle name="Good 4" xfId="185"/>
    <cellStyle name="Good 5" xfId="57"/>
    <cellStyle name="Good 6" xfId="660"/>
    <cellStyle name="Good 7" xfId="1044"/>
    <cellStyle name="Good 8" xfId="1967"/>
    <cellStyle name="Good 9" xfId="3752"/>
    <cellStyle name="Heading 1" xfId="2" builtinId="16" customBuiltin="1"/>
    <cellStyle name="Heading 1 2" xfId="100"/>
    <cellStyle name="Heading 1 3" xfId="89"/>
    <cellStyle name="Heading 1 4" xfId="181"/>
    <cellStyle name="Heading 1 5" xfId="44"/>
    <cellStyle name="Heading 1 6" xfId="656"/>
    <cellStyle name="Heading 1 7" xfId="1040"/>
    <cellStyle name="Heading 1 8" xfId="1969"/>
    <cellStyle name="Heading 1 9" xfId="3748"/>
    <cellStyle name="Heading 2" xfId="3" builtinId="17" customBuiltin="1"/>
    <cellStyle name="Heading 2 2" xfId="104"/>
    <cellStyle name="Heading 2 3" xfId="86"/>
    <cellStyle name="Heading 2 4" xfId="182"/>
    <cellStyle name="Heading 2 5" xfId="43"/>
    <cellStyle name="Heading 2 6" xfId="657"/>
    <cellStyle name="Heading 2 7" xfId="1041"/>
    <cellStyle name="Heading 2 8" xfId="1976"/>
    <cellStyle name="Heading 2 9" xfId="3749"/>
    <cellStyle name="Heading 3" xfId="4" builtinId="18" customBuiltin="1"/>
    <cellStyle name="Heading 3 2" xfId="90"/>
    <cellStyle name="Heading 3 3" xfId="83"/>
    <cellStyle name="Heading 3 4" xfId="183"/>
    <cellStyle name="Heading 3 5" xfId="65"/>
    <cellStyle name="Heading 3 6" xfId="658"/>
    <cellStyle name="Heading 3 7" xfId="1042"/>
    <cellStyle name="Heading 3 8" xfId="2137"/>
    <cellStyle name="Heading 3 9" xfId="3750"/>
    <cellStyle name="Heading 4" xfId="5" builtinId="19" customBuiltin="1"/>
    <cellStyle name="Heading 4 2" xfId="98"/>
    <cellStyle name="Heading 4 3" xfId="80"/>
    <cellStyle name="Heading 4 4" xfId="184"/>
    <cellStyle name="Heading 4 5" xfId="61"/>
    <cellStyle name="Heading 4 6" xfId="659"/>
    <cellStyle name="Heading 4 7" xfId="1043"/>
    <cellStyle name="Heading 4 8" xfId="1972"/>
    <cellStyle name="Heading 4 9" xfId="3751"/>
    <cellStyle name="Hyperlink 2" xfId="153"/>
    <cellStyle name="Input" xfId="9" builtinId="20" customBuiltin="1"/>
    <cellStyle name="Input 2" xfId="94"/>
    <cellStyle name="Input 3" xfId="85"/>
    <cellStyle name="Input 4" xfId="188"/>
    <cellStyle name="Input 5" xfId="45"/>
    <cellStyle name="Input 6" xfId="663"/>
    <cellStyle name="Input 7" xfId="1047"/>
    <cellStyle name="Input 8" xfId="2120"/>
    <cellStyle name="Input 9" xfId="3755"/>
    <cellStyle name="Linked Cell" xfId="12" builtinId="24" customBuiltin="1"/>
    <cellStyle name="Linked Cell 2" xfId="96"/>
    <cellStyle name="Linked Cell 3" xfId="76"/>
    <cellStyle name="Linked Cell 4" xfId="191"/>
    <cellStyle name="Linked Cell 5" xfId="60"/>
    <cellStyle name="Linked Cell 6" xfId="666"/>
    <cellStyle name="Linked Cell 7" xfId="1050"/>
    <cellStyle name="Linked Cell 8" xfId="1944"/>
    <cellStyle name="Linked Cell 9" xfId="3758"/>
    <cellStyle name="Neutral" xfId="8" builtinId="28" customBuiltin="1"/>
    <cellStyle name="Neutral 2" xfId="95"/>
    <cellStyle name="Neutral 3" xfId="88"/>
    <cellStyle name="Neutral 4" xfId="187"/>
    <cellStyle name="Neutral 5" xfId="49"/>
    <cellStyle name="Neutral 6" xfId="662"/>
    <cellStyle name="Neutral 7" xfId="1046"/>
    <cellStyle name="Neutral 8" xfId="1977"/>
    <cellStyle name="Neutral 9" xfId="3754"/>
    <cellStyle name="Normal" xfId="0" builtinId="0"/>
    <cellStyle name="Normal - Style1" xfId="11149"/>
    <cellStyle name="Normal - Style2" xfId="10696"/>
    <cellStyle name="Normal - Style3" xfId="10290"/>
    <cellStyle name="Normal - Style4" xfId="10168"/>
    <cellStyle name="Normal - Style5" xfId="10205"/>
    <cellStyle name="Normal - Style6" xfId="10339"/>
    <cellStyle name="Normal - Style7" xfId="10788"/>
    <cellStyle name="Normal - Style8" xfId="11338"/>
    <cellStyle name="Normal 10" xfId="179"/>
    <cellStyle name="Normal 10 10" xfId="3806"/>
    <cellStyle name="Normal 10 10 2" xfId="16419"/>
    <cellStyle name="Normal 10 10 2 2" xfId="27562"/>
    <cellStyle name="Normal 10 10 3" xfId="21993"/>
    <cellStyle name="Normal 10 10 4" xfId="7957"/>
    <cellStyle name="Normal 10 11" xfId="10214"/>
    <cellStyle name="Normal 10 11 2" xfId="14350"/>
    <cellStyle name="Normal 10 11 2 2" xfId="25493"/>
    <cellStyle name="Normal 10 11 3" xfId="19924"/>
    <cellStyle name="Normal 10 12" xfId="12919"/>
    <cellStyle name="Normal 10 12 2" xfId="24063"/>
    <cellStyle name="Normal 10 13" xfId="18494"/>
    <cellStyle name="Normal 10 14" xfId="5887"/>
    <cellStyle name="Normal 10 2" xfId="258"/>
    <cellStyle name="Normal 10 2 10" xfId="11095"/>
    <cellStyle name="Normal 10 2 10 2" xfId="14388"/>
    <cellStyle name="Normal 10 2 10 2 2" xfId="25531"/>
    <cellStyle name="Normal 10 2 10 3" xfId="19962"/>
    <cellStyle name="Normal 10 2 11" xfId="12957"/>
    <cellStyle name="Normal 10 2 11 2" xfId="24101"/>
    <cellStyle name="Normal 10 2 12" xfId="18532"/>
    <cellStyle name="Normal 10 2 13" xfId="5925"/>
    <cellStyle name="Normal 10 2 2" xfId="334"/>
    <cellStyle name="Normal 10 2 2 10" xfId="13033"/>
    <cellStyle name="Normal 10 2 2 10 2" xfId="24177"/>
    <cellStyle name="Normal 10 2 2 11" xfId="18608"/>
    <cellStyle name="Normal 10 2 2 12" xfId="6001"/>
    <cellStyle name="Normal 10 2 2 2" xfId="2292"/>
    <cellStyle name="Normal 10 2 2 2 2" xfId="2936"/>
    <cellStyle name="Normal 10 2 2 2 2 2" xfId="5045"/>
    <cellStyle name="Normal 10 2 2 2 2 2 2" xfId="17658"/>
    <cellStyle name="Normal 10 2 2 2 2 2 2 2" xfId="28801"/>
    <cellStyle name="Normal 10 2 2 2 2 2 3" xfId="23232"/>
    <cellStyle name="Normal 10 2 2 2 2 2 4" xfId="9196"/>
    <cellStyle name="Normal 10 2 2 2 2 3" xfId="10151"/>
    <cellStyle name="Normal 10 2 2 2 2 3 2" xfId="15589"/>
    <cellStyle name="Normal 10 2 2 2 2 3 2 2" xfId="26732"/>
    <cellStyle name="Normal 10 2 2 2 2 3 3" xfId="21163"/>
    <cellStyle name="Normal 10 2 2 2 2 4" xfId="14159"/>
    <cellStyle name="Normal 10 2 2 2 2 4 2" xfId="25302"/>
    <cellStyle name="Normal 10 2 2 2 2 5" xfId="19733"/>
    <cellStyle name="Normal 10 2 2 2 2 6" xfId="7127"/>
    <cellStyle name="Normal 10 2 2 2 3" xfId="3574"/>
    <cellStyle name="Normal 10 2 2 2 3 2" xfId="5683"/>
    <cellStyle name="Normal 10 2 2 2 3 2 2" xfId="18296"/>
    <cellStyle name="Normal 10 2 2 2 3 2 2 2" xfId="29439"/>
    <cellStyle name="Normal 10 2 2 2 3 2 3" xfId="23870"/>
    <cellStyle name="Normal 10 2 2 2 3 2 4" xfId="9834"/>
    <cellStyle name="Normal 10 2 2 2 3 3" xfId="16227"/>
    <cellStyle name="Normal 10 2 2 2 3 3 2" xfId="27370"/>
    <cellStyle name="Normal 10 2 2 2 3 4" xfId="21801"/>
    <cellStyle name="Normal 10 2 2 2 3 5" xfId="7765"/>
    <cellStyle name="Normal 10 2 2 2 4" xfId="4253"/>
    <cellStyle name="Normal 10 2 2 2 4 2" xfId="16866"/>
    <cellStyle name="Normal 10 2 2 2 4 2 2" xfId="28009"/>
    <cellStyle name="Normal 10 2 2 2 4 3" xfId="22440"/>
    <cellStyle name="Normal 10 2 2 2 4 4" xfId="8404"/>
    <cellStyle name="Normal 10 2 2 2 5" xfId="10831"/>
    <cellStyle name="Normal 10 2 2 2 5 2" xfId="14950"/>
    <cellStyle name="Normal 10 2 2 2 5 2 2" xfId="26093"/>
    <cellStyle name="Normal 10 2 2 2 5 3" xfId="20524"/>
    <cellStyle name="Normal 10 2 2 2 6" xfId="13520"/>
    <cellStyle name="Normal 10 2 2 2 6 2" xfId="24663"/>
    <cellStyle name="Normal 10 2 2 2 7" xfId="19094"/>
    <cellStyle name="Normal 10 2 2 2 8" xfId="6488"/>
    <cellStyle name="Normal 10 2 2 3" xfId="2100"/>
    <cellStyle name="Normal 10 2 2 3 2" xfId="2755"/>
    <cellStyle name="Normal 10 2 2 3 2 2" xfId="4864"/>
    <cellStyle name="Normal 10 2 2 3 2 2 2" xfId="17477"/>
    <cellStyle name="Normal 10 2 2 3 2 2 2 2" xfId="28620"/>
    <cellStyle name="Normal 10 2 2 3 2 2 3" xfId="23051"/>
    <cellStyle name="Normal 10 2 2 3 2 2 4" xfId="9015"/>
    <cellStyle name="Normal 10 2 2 3 2 3" xfId="10384"/>
    <cellStyle name="Normal 10 2 2 3 2 3 2" xfId="15408"/>
    <cellStyle name="Normal 10 2 2 3 2 3 2 2" xfId="26551"/>
    <cellStyle name="Normal 10 2 2 3 2 3 3" xfId="20982"/>
    <cellStyle name="Normal 10 2 2 3 2 4" xfId="13978"/>
    <cellStyle name="Normal 10 2 2 3 2 4 2" xfId="25121"/>
    <cellStyle name="Normal 10 2 2 3 2 5" xfId="19552"/>
    <cellStyle name="Normal 10 2 2 3 2 6" xfId="6946"/>
    <cellStyle name="Normal 10 2 2 3 3" xfId="3393"/>
    <cellStyle name="Normal 10 2 2 3 3 2" xfId="5502"/>
    <cellStyle name="Normal 10 2 2 3 3 2 2" xfId="18115"/>
    <cellStyle name="Normal 10 2 2 3 3 2 2 2" xfId="29258"/>
    <cellStyle name="Normal 10 2 2 3 3 2 3" xfId="23689"/>
    <cellStyle name="Normal 10 2 2 3 3 2 4" xfId="9653"/>
    <cellStyle name="Normal 10 2 2 3 3 3" xfId="16046"/>
    <cellStyle name="Normal 10 2 2 3 3 3 2" xfId="27189"/>
    <cellStyle name="Normal 10 2 2 3 3 4" xfId="21620"/>
    <cellStyle name="Normal 10 2 2 3 3 5" xfId="7584"/>
    <cellStyle name="Normal 10 2 2 3 4" xfId="4072"/>
    <cellStyle name="Normal 10 2 2 3 4 2" xfId="16685"/>
    <cellStyle name="Normal 10 2 2 3 4 2 2" xfId="27828"/>
    <cellStyle name="Normal 10 2 2 3 4 3" xfId="22259"/>
    <cellStyle name="Normal 10 2 2 3 4 4" xfId="8223"/>
    <cellStyle name="Normal 10 2 2 3 5" xfId="11205"/>
    <cellStyle name="Normal 10 2 2 3 5 2" xfId="14769"/>
    <cellStyle name="Normal 10 2 2 3 5 2 2" xfId="25912"/>
    <cellStyle name="Normal 10 2 2 3 5 3" xfId="20343"/>
    <cellStyle name="Normal 10 2 2 3 6" xfId="13339"/>
    <cellStyle name="Normal 10 2 2 3 6 2" xfId="24482"/>
    <cellStyle name="Normal 10 2 2 3 7" xfId="18913"/>
    <cellStyle name="Normal 10 2 2 3 8" xfId="6307"/>
    <cellStyle name="Normal 10 2 2 4" xfId="2447"/>
    <cellStyle name="Normal 10 2 2 4 2" xfId="3088"/>
    <cellStyle name="Normal 10 2 2 4 2 2" xfId="5197"/>
    <cellStyle name="Normal 10 2 2 4 2 2 2" xfId="17810"/>
    <cellStyle name="Normal 10 2 2 4 2 2 2 2" xfId="28953"/>
    <cellStyle name="Normal 10 2 2 4 2 2 3" xfId="23384"/>
    <cellStyle name="Normal 10 2 2 4 2 2 4" xfId="9348"/>
    <cellStyle name="Normal 10 2 2 4 2 3" xfId="10731"/>
    <cellStyle name="Normal 10 2 2 4 2 3 2" xfId="15741"/>
    <cellStyle name="Normal 10 2 2 4 2 3 2 2" xfId="26884"/>
    <cellStyle name="Normal 10 2 2 4 2 3 3" xfId="21315"/>
    <cellStyle name="Normal 10 2 2 4 2 4" xfId="14311"/>
    <cellStyle name="Normal 10 2 2 4 2 4 2" xfId="25454"/>
    <cellStyle name="Normal 10 2 2 4 2 5" xfId="19885"/>
    <cellStyle name="Normal 10 2 2 4 2 6" xfId="7279"/>
    <cellStyle name="Normal 10 2 2 4 3" xfId="3726"/>
    <cellStyle name="Normal 10 2 2 4 3 2" xfId="5835"/>
    <cellStyle name="Normal 10 2 2 4 3 2 2" xfId="18448"/>
    <cellStyle name="Normal 10 2 2 4 3 2 2 2" xfId="29591"/>
    <cellStyle name="Normal 10 2 2 4 3 2 3" xfId="24022"/>
    <cellStyle name="Normal 10 2 2 4 3 2 4" xfId="9986"/>
    <cellStyle name="Normal 10 2 2 4 3 3" xfId="16379"/>
    <cellStyle name="Normal 10 2 2 4 3 3 2" xfId="27522"/>
    <cellStyle name="Normal 10 2 2 4 3 4" xfId="21953"/>
    <cellStyle name="Normal 10 2 2 4 3 5" xfId="7917"/>
    <cellStyle name="Normal 10 2 2 4 4" xfId="4405"/>
    <cellStyle name="Normal 10 2 2 4 4 2" xfId="17018"/>
    <cellStyle name="Normal 10 2 2 4 4 2 2" xfId="28161"/>
    <cellStyle name="Normal 10 2 2 4 4 3" xfId="22592"/>
    <cellStyle name="Normal 10 2 2 4 4 4" xfId="8556"/>
    <cellStyle name="Normal 10 2 2 4 5" xfId="11234"/>
    <cellStyle name="Normal 10 2 2 4 5 2" xfId="15102"/>
    <cellStyle name="Normal 10 2 2 4 5 2 2" xfId="26245"/>
    <cellStyle name="Normal 10 2 2 4 5 3" xfId="20676"/>
    <cellStyle name="Normal 10 2 2 4 6" xfId="13672"/>
    <cellStyle name="Normal 10 2 2 4 6 2" xfId="24815"/>
    <cellStyle name="Normal 10 2 2 4 7" xfId="19246"/>
    <cellStyle name="Normal 10 2 2 4 8" xfId="6640"/>
    <cellStyle name="Normal 10 2 2 5" xfId="1910"/>
    <cellStyle name="Normal 10 2 2 5 2" xfId="4558"/>
    <cellStyle name="Normal 10 2 2 5 2 2" xfId="17171"/>
    <cellStyle name="Normal 10 2 2 5 2 2 2" xfId="28314"/>
    <cellStyle name="Normal 10 2 2 5 2 3" xfId="22745"/>
    <cellStyle name="Normal 10 2 2 5 2 4" xfId="8709"/>
    <cellStyle name="Normal 10 2 2 5 3" xfId="10931"/>
    <cellStyle name="Normal 10 2 2 5 3 2" xfId="14617"/>
    <cellStyle name="Normal 10 2 2 5 3 2 2" xfId="25760"/>
    <cellStyle name="Normal 10 2 2 5 3 3" xfId="20191"/>
    <cellStyle name="Normal 10 2 2 5 4" xfId="13187"/>
    <cellStyle name="Normal 10 2 2 5 4 2" xfId="24330"/>
    <cellStyle name="Normal 10 2 2 5 5" xfId="18761"/>
    <cellStyle name="Normal 10 2 2 5 6" xfId="6155"/>
    <cellStyle name="Normal 10 2 2 6" xfId="2603"/>
    <cellStyle name="Normal 10 2 2 6 2" xfId="4712"/>
    <cellStyle name="Normal 10 2 2 6 2 2" xfId="17325"/>
    <cellStyle name="Normal 10 2 2 6 2 2 2" xfId="28468"/>
    <cellStyle name="Normal 10 2 2 6 2 3" xfId="22899"/>
    <cellStyle name="Normal 10 2 2 6 2 4" xfId="8863"/>
    <cellStyle name="Normal 10 2 2 6 3" xfId="11183"/>
    <cellStyle name="Normal 10 2 2 6 3 2" xfId="15256"/>
    <cellStyle name="Normal 10 2 2 6 3 2 2" xfId="26399"/>
    <cellStyle name="Normal 10 2 2 6 3 3" xfId="20830"/>
    <cellStyle name="Normal 10 2 2 6 4" xfId="13826"/>
    <cellStyle name="Normal 10 2 2 6 4 2" xfId="24969"/>
    <cellStyle name="Normal 10 2 2 6 5" xfId="19400"/>
    <cellStyle name="Normal 10 2 2 6 6" xfId="6794"/>
    <cellStyle name="Normal 10 2 2 7" xfId="3241"/>
    <cellStyle name="Normal 10 2 2 7 2" xfId="5350"/>
    <cellStyle name="Normal 10 2 2 7 2 2" xfId="17963"/>
    <cellStyle name="Normal 10 2 2 7 2 2 2" xfId="29106"/>
    <cellStyle name="Normal 10 2 2 7 2 3" xfId="23537"/>
    <cellStyle name="Normal 10 2 2 7 2 4" xfId="9501"/>
    <cellStyle name="Normal 10 2 2 7 3" xfId="15894"/>
    <cellStyle name="Normal 10 2 2 7 3 2" xfId="27037"/>
    <cellStyle name="Normal 10 2 2 7 4" xfId="21468"/>
    <cellStyle name="Normal 10 2 2 7 5" xfId="7432"/>
    <cellStyle name="Normal 10 2 2 8" xfId="3920"/>
    <cellStyle name="Normal 10 2 2 8 2" xfId="16533"/>
    <cellStyle name="Normal 10 2 2 8 2 2" xfId="27676"/>
    <cellStyle name="Normal 10 2 2 8 3" xfId="22107"/>
    <cellStyle name="Normal 10 2 2 8 4" xfId="8071"/>
    <cellStyle name="Normal 10 2 2 9" xfId="10186"/>
    <cellStyle name="Normal 10 2 2 9 2" xfId="14464"/>
    <cellStyle name="Normal 10 2 2 9 2 2" xfId="25607"/>
    <cellStyle name="Normal 10 2 2 9 3" xfId="20038"/>
    <cellStyle name="Normal 10 2 3" xfId="2216"/>
    <cellStyle name="Normal 10 2 3 2" xfId="2860"/>
    <cellStyle name="Normal 10 2 3 2 2" xfId="4969"/>
    <cellStyle name="Normal 10 2 3 2 2 2" xfId="17582"/>
    <cellStyle name="Normal 10 2 3 2 2 2 2" xfId="28725"/>
    <cellStyle name="Normal 10 2 3 2 2 3" xfId="23156"/>
    <cellStyle name="Normal 10 2 3 2 2 4" xfId="9120"/>
    <cellStyle name="Normal 10 2 3 2 3" xfId="10590"/>
    <cellStyle name="Normal 10 2 3 2 3 2" xfId="15513"/>
    <cellStyle name="Normal 10 2 3 2 3 2 2" xfId="26656"/>
    <cellStyle name="Normal 10 2 3 2 3 3" xfId="21087"/>
    <cellStyle name="Normal 10 2 3 2 4" xfId="14083"/>
    <cellStyle name="Normal 10 2 3 2 4 2" xfId="25226"/>
    <cellStyle name="Normal 10 2 3 2 5" xfId="19657"/>
    <cellStyle name="Normal 10 2 3 2 6" xfId="7051"/>
    <cellStyle name="Normal 10 2 3 3" xfId="3498"/>
    <cellStyle name="Normal 10 2 3 3 2" xfId="5607"/>
    <cellStyle name="Normal 10 2 3 3 2 2" xfId="18220"/>
    <cellStyle name="Normal 10 2 3 3 2 2 2" xfId="29363"/>
    <cellStyle name="Normal 10 2 3 3 2 3" xfId="23794"/>
    <cellStyle name="Normal 10 2 3 3 2 4" xfId="9758"/>
    <cellStyle name="Normal 10 2 3 3 3" xfId="16151"/>
    <cellStyle name="Normal 10 2 3 3 3 2" xfId="27294"/>
    <cellStyle name="Normal 10 2 3 3 4" xfId="21725"/>
    <cellStyle name="Normal 10 2 3 3 5" xfId="7689"/>
    <cellStyle name="Normal 10 2 3 4" xfId="4177"/>
    <cellStyle name="Normal 10 2 3 4 2" xfId="16790"/>
    <cellStyle name="Normal 10 2 3 4 2 2" xfId="27933"/>
    <cellStyle name="Normal 10 2 3 4 3" xfId="22364"/>
    <cellStyle name="Normal 10 2 3 4 4" xfId="8328"/>
    <cellStyle name="Normal 10 2 3 5" xfId="10400"/>
    <cellStyle name="Normal 10 2 3 5 2" xfId="14874"/>
    <cellStyle name="Normal 10 2 3 5 2 2" xfId="26017"/>
    <cellStyle name="Normal 10 2 3 5 3" xfId="20448"/>
    <cellStyle name="Normal 10 2 3 6" xfId="13444"/>
    <cellStyle name="Normal 10 2 3 6 2" xfId="24587"/>
    <cellStyle name="Normal 10 2 3 7" xfId="19018"/>
    <cellStyle name="Normal 10 2 3 8" xfId="6412"/>
    <cellStyle name="Normal 10 2 4" xfId="2024"/>
    <cellStyle name="Normal 10 2 4 2" xfId="2679"/>
    <cellStyle name="Normal 10 2 4 2 2" xfId="4788"/>
    <cellStyle name="Normal 10 2 4 2 2 2" xfId="17401"/>
    <cellStyle name="Normal 10 2 4 2 2 2 2" xfId="28544"/>
    <cellStyle name="Normal 10 2 4 2 2 3" xfId="22975"/>
    <cellStyle name="Normal 10 2 4 2 2 4" xfId="8939"/>
    <cellStyle name="Normal 10 2 4 2 3" xfId="11395"/>
    <cellStyle name="Normal 10 2 4 2 3 2" xfId="15332"/>
    <cellStyle name="Normal 10 2 4 2 3 2 2" xfId="26475"/>
    <cellStyle name="Normal 10 2 4 2 3 3" xfId="20906"/>
    <cellStyle name="Normal 10 2 4 2 4" xfId="13902"/>
    <cellStyle name="Normal 10 2 4 2 4 2" xfId="25045"/>
    <cellStyle name="Normal 10 2 4 2 5" xfId="19476"/>
    <cellStyle name="Normal 10 2 4 2 6" xfId="6870"/>
    <cellStyle name="Normal 10 2 4 3" xfId="3317"/>
    <cellStyle name="Normal 10 2 4 3 2" xfId="5426"/>
    <cellStyle name="Normal 10 2 4 3 2 2" xfId="18039"/>
    <cellStyle name="Normal 10 2 4 3 2 2 2" xfId="29182"/>
    <cellStyle name="Normal 10 2 4 3 2 3" xfId="23613"/>
    <cellStyle name="Normal 10 2 4 3 2 4" xfId="9577"/>
    <cellStyle name="Normal 10 2 4 3 3" xfId="15970"/>
    <cellStyle name="Normal 10 2 4 3 3 2" xfId="27113"/>
    <cellStyle name="Normal 10 2 4 3 4" xfId="21544"/>
    <cellStyle name="Normal 10 2 4 3 5" xfId="7508"/>
    <cellStyle name="Normal 10 2 4 4" xfId="3996"/>
    <cellStyle name="Normal 10 2 4 4 2" xfId="16609"/>
    <cellStyle name="Normal 10 2 4 4 2 2" xfId="27752"/>
    <cellStyle name="Normal 10 2 4 4 3" xfId="22183"/>
    <cellStyle name="Normal 10 2 4 4 4" xfId="8147"/>
    <cellStyle name="Normal 10 2 4 5" xfId="11361"/>
    <cellStyle name="Normal 10 2 4 5 2" xfId="14693"/>
    <cellStyle name="Normal 10 2 4 5 2 2" xfId="25836"/>
    <cellStyle name="Normal 10 2 4 5 3" xfId="20267"/>
    <cellStyle name="Normal 10 2 4 6" xfId="13263"/>
    <cellStyle name="Normal 10 2 4 6 2" xfId="24406"/>
    <cellStyle name="Normal 10 2 4 7" xfId="18837"/>
    <cellStyle name="Normal 10 2 4 8" xfId="6231"/>
    <cellStyle name="Normal 10 2 5" xfId="2371"/>
    <cellStyle name="Normal 10 2 5 2" xfId="3012"/>
    <cellStyle name="Normal 10 2 5 2 2" xfId="5121"/>
    <cellStyle name="Normal 10 2 5 2 2 2" xfId="17734"/>
    <cellStyle name="Normal 10 2 5 2 2 2 2" xfId="28877"/>
    <cellStyle name="Normal 10 2 5 2 2 3" xfId="23308"/>
    <cellStyle name="Normal 10 2 5 2 2 4" xfId="9272"/>
    <cellStyle name="Normal 10 2 5 2 3" xfId="10553"/>
    <cellStyle name="Normal 10 2 5 2 3 2" xfId="15665"/>
    <cellStyle name="Normal 10 2 5 2 3 2 2" xfId="26808"/>
    <cellStyle name="Normal 10 2 5 2 3 3" xfId="21239"/>
    <cellStyle name="Normal 10 2 5 2 4" xfId="14235"/>
    <cellStyle name="Normal 10 2 5 2 4 2" xfId="25378"/>
    <cellStyle name="Normal 10 2 5 2 5" xfId="19809"/>
    <cellStyle name="Normal 10 2 5 2 6" xfId="7203"/>
    <cellStyle name="Normal 10 2 5 3" xfId="3650"/>
    <cellStyle name="Normal 10 2 5 3 2" xfId="5759"/>
    <cellStyle name="Normal 10 2 5 3 2 2" xfId="18372"/>
    <cellStyle name="Normal 10 2 5 3 2 2 2" xfId="29515"/>
    <cellStyle name="Normal 10 2 5 3 2 3" xfId="23946"/>
    <cellStyle name="Normal 10 2 5 3 2 4" xfId="9910"/>
    <cellStyle name="Normal 10 2 5 3 3" xfId="16303"/>
    <cellStyle name="Normal 10 2 5 3 3 2" xfId="27446"/>
    <cellStyle name="Normal 10 2 5 3 4" xfId="21877"/>
    <cellStyle name="Normal 10 2 5 3 5" xfId="7841"/>
    <cellStyle name="Normal 10 2 5 4" xfId="4329"/>
    <cellStyle name="Normal 10 2 5 4 2" xfId="16942"/>
    <cellStyle name="Normal 10 2 5 4 2 2" xfId="28085"/>
    <cellStyle name="Normal 10 2 5 4 3" xfId="22516"/>
    <cellStyle name="Normal 10 2 5 4 4" xfId="8480"/>
    <cellStyle name="Normal 10 2 5 5" xfId="10303"/>
    <cellStyle name="Normal 10 2 5 5 2" xfId="15026"/>
    <cellStyle name="Normal 10 2 5 5 2 2" xfId="26169"/>
    <cellStyle name="Normal 10 2 5 5 3" xfId="20600"/>
    <cellStyle name="Normal 10 2 5 6" xfId="13596"/>
    <cellStyle name="Normal 10 2 5 6 2" xfId="24739"/>
    <cellStyle name="Normal 10 2 5 7" xfId="19170"/>
    <cellStyle name="Normal 10 2 5 8" xfId="6564"/>
    <cellStyle name="Normal 10 2 6" xfId="1834"/>
    <cellStyle name="Normal 10 2 6 2" xfId="4482"/>
    <cellStyle name="Normal 10 2 6 2 2" xfId="17095"/>
    <cellStyle name="Normal 10 2 6 2 2 2" xfId="28238"/>
    <cellStyle name="Normal 10 2 6 2 3" xfId="22669"/>
    <cellStyle name="Normal 10 2 6 2 4" xfId="8633"/>
    <cellStyle name="Normal 10 2 6 3" xfId="11157"/>
    <cellStyle name="Normal 10 2 6 3 2" xfId="14541"/>
    <cellStyle name="Normal 10 2 6 3 2 2" xfId="25684"/>
    <cellStyle name="Normal 10 2 6 3 3" xfId="20115"/>
    <cellStyle name="Normal 10 2 6 4" xfId="13111"/>
    <cellStyle name="Normal 10 2 6 4 2" xfId="24254"/>
    <cellStyle name="Normal 10 2 6 5" xfId="18685"/>
    <cellStyle name="Normal 10 2 6 6" xfId="6079"/>
    <cellStyle name="Normal 10 2 7" xfId="2527"/>
    <cellStyle name="Normal 10 2 7 2" xfId="4636"/>
    <cellStyle name="Normal 10 2 7 2 2" xfId="17249"/>
    <cellStyle name="Normal 10 2 7 2 2 2" xfId="28392"/>
    <cellStyle name="Normal 10 2 7 2 3" xfId="22823"/>
    <cellStyle name="Normal 10 2 7 2 4" xfId="8787"/>
    <cellStyle name="Normal 10 2 7 3" xfId="10218"/>
    <cellStyle name="Normal 10 2 7 3 2" xfId="15180"/>
    <cellStyle name="Normal 10 2 7 3 2 2" xfId="26323"/>
    <cellStyle name="Normal 10 2 7 3 3" xfId="20754"/>
    <cellStyle name="Normal 10 2 7 4" xfId="13750"/>
    <cellStyle name="Normal 10 2 7 4 2" xfId="24893"/>
    <cellStyle name="Normal 10 2 7 5" xfId="19324"/>
    <cellStyle name="Normal 10 2 7 6" xfId="6718"/>
    <cellStyle name="Normal 10 2 8" xfId="3165"/>
    <cellStyle name="Normal 10 2 8 2" xfId="5274"/>
    <cellStyle name="Normal 10 2 8 2 2" xfId="17887"/>
    <cellStyle name="Normal 10 2 8 2 2 2" xfId="29030"/>
    <cellStyle name="Normal 10 2 8 2 3" xfId="23461"/>
    <cellStyle name="Normal 10 2 8 2 4" xfId="9425"/>
    <cellStyle name="Normal 10 2 8 3" xfId="15818"/>
    <cellStyle name="Normal 10 2 8 3 2" xfId="26961"/>
    <cellStyle name="Normal 10 2 8 4" xfId="21392"/>
    <cellStyle name="Normal 10 2 8 5" xfId="7356"/>
    <cellStyle name="Normal 10 2 9" xfId="3844"/>
    <cellStyle name="Normal 10 2 9 2" xfId="16457"/>
    <cellStyle name="Normal 10 2 9 2 2" xfId="27600"/>
    <cellStyle name="Normal 10 2 9 3" xfId="22031"/>
    <cellStyle name="Normal 10 2 9 4" xfId="7995"/>
    <cellStyle name="Normal 10 3" xfId="296"/>
    <cellStyle name="Normal 10 3 10" xfId="12995"/>
    <cellStyle name="Normal 10 3 10 2" xfId="24139"/>
    <cellStyle name="Normal 10 3 11" xfId="18570"/>
    <cellStyle name="Normal 10 3 12" xfId="5963"/>
    <cellStyle name="Normal 10 3 2" xfId="2254"/>
    <cellStyle name="Normal 10 3 2 2" xfId="2898"/>
    <cellStyle name="Normal 10 3 2 2 2" xfId="5007"/>
    <cellStyle name="Normal 10 3 2 2 2 2" xfId="17620"/>
    <cellStyle name="Normal 10 3 2 2 2 2 2" xfId="28763"/>
    <cellStyle name="Normal 10 3 2 2 2 3" xfId="23194"/>
    <cellStyle name="Normal 10 3 2 2 2 4" xfId="9158"/>
    <cellStyle name="Normal 10 3 2 2 3" xfId="11306"/>
    <cellStyle name="Normal 10 3 2 2 3 2" xfId="15551"/>
    <cellStyle name="Normal 10 3 2 2 3 2 2" xfId="26694"/>
    <cellStyle name="Normal 10 3 2 2 3 3" xfId="21125"/>
    <cellStyle name="Normal 10 3 2 2 4" xfId="14121"/>
    <cellStyle name="Normal 10 3 2 2 4 2" xfId="25264"/>
    <cellStyle name="Normal 10 3 2 2 5" xfId="19695"/>
    <cellStyle name="Normal 10 3 2 2 6" xfId="7089"/>
    <cellStyle name="Normal 10 3 2 3" xfId="3536"/>
    <cellStyle name="Normal 10 3 2 3 2" xfId="5645"/>
    <cellStyle name="Normal 10 3 2 3 2 2" xfId="18258"/>
    <cellStyle name="Normal 10 3 2 3 2 2 2" xfId="29401"/>
    <cellStyle name="Normal 10 3 2 3 2 3" xfId="23832"/>
    <cellStyle name="Normal 10 3 2 3 2 4" xfId="9796"/>
    <cellStyle name="Normal 10 3 2 3 3" xfId="16189"/>
    <cellStyle name="Normal 10 3 2 3 3 2" xfId="27332"/>
    <cellStyle name="Normal 10 3 2 3 4" xfId="21763"/>
    <cellStyle name="Normal 10 3 2 3 5" xfId="7727"/>
    <cellStyle name="Normal 10 3 2 4" xfId="4215"/>
    <cellStyle name="Normal 10 3 2 4 2" xfId="16828"/>
    <cellStyle name="Normal 10 3 2 4 2 2" xfId="27971"/>
    <cellStyle name="Normal 10 3 2 4 3" xfId="22402"/>
    <cellStyle name="Normal 10 3 2 4 4" xfId="8366"/>
    <cellStyle name="Normal 10 3 2 5" xfId="10364"/>
    <cellStyle name="Normal 10 3 2 5 2" xfId="14912"/>
    <cellStyle name="Normal 10 3 2 5 2 2" xfId="26055"/>
    <cellStyle name="Normal 10 3 2 5 3" xfId="20486"/>
    <cellStyle name="Normal 10 3 2 6" xfId="13482"/>
    <cellStyle name="Normal 10 3 2 6 2" xfId="24625"/>
    <cellStyle name="Normal 10 3 2 7" xfId="19056"/>
    <cellStyle name="Normal 10 3 2 8" xfId="6450"/>
    <cellStyle name="Normal 10 3 3" xfId="2062"/>
    <cellStyle name="Normal 10 3 3 2" xfId="2717"/>
    <cellStyle name="Normal 10 3 3 2 2" xfId="4826"/>
    <cellStyle name="Normal 10 3 3 2 2 2" xfId="17439"/>
    <cellStyle name="Normal 10 3 3 2 2 2 2" xfId="28582"/>
    <cellStyle name="Normal 10 3 3 2 2 3" xfId="23013"/>
    <cellStyle name="Normal 10 3 3 2 2 4" xfId="8977"/>
    <cellStyle name="Normal 10 3 3 2 3" xfId="11131"/>
    <cellStyle name="Normal 10 3 3 2 3 2" xfId="15370"/>
    <cellStyle name="Normal 10 3 3 2 3 2 2" xfId="26513"/>
    <cellStyle name="Normal 10 3 3 2 3 3" xfId="20944"/>
    <cellStyle name="Normal 10 3 3 2 4" xfId="13940"/>
    <cellStyle name="Normal 10 3 3 2 4 2" xfId="25083"/>
    <cellStyle name="Normal 10 3 3 2 5" xfId="19514"/>
    <cellStyle name="Normal 10 3 3 2 6" xfId="6908"/>
    <cellStyle name="Normal 10 3 3 3" xfId="3355"/>
    <cellStyle name="Normal 10 3 3 3 2" xfId="5464"/>
    <cellStyle name="Normal 10 3 3 3 2 2" xfId="18077"/>
    <cellStyle name="Normal 10 3 3 3 2 2 2" xfId="29220"/>
    <cellStyle name="Normal 10 3 3 3 2 3" xfId="23651"/>
    <cellStyle name="Normal 10 3 3 3 2 4" xfId="9615"/>
    <cellStyle name="Normal 10 3 3 3 3" xfId="16008"/>
    <cellStyle name="Normal 10 3 3 3 3 2" xfId="27151"/>
    <cellStyle name="Normal 10 3 3 3 4" xfId="21582"/>
    <cellStyle name="Normal 10 3 3 3 5" xfId="7546"/>
    <cellStyle name="Normal 10 3 3 4" xfId="4034"/>
    <cellStyle name="Normal 10 3 3 4 2" xfId="16647"/>
    <cellStyle name="Normal 10 3 3 4 2 2" xfId="27790"/>
    <cellStyle name="Normal 10 3 3 4 3" xfId="22221"/>
    <cellStyle name="Normal 10 3 3 4 4" xfId="8185"/>
    <cellStyle name="Normal 10 3 3 5" xfId="11144"/>
    <cellStyle name="Normal 10 3 3 5 2" xfId="14731"/>
    <cellStyle name="Normal 10 3 3 5 2 2" xfId="25874"/>
    <cellStyle name="Normal 10 3 3 5 3" xfId="20305"/>
    <cellStyle name="Normal 10 3 3 6" xfId="13301"/>
    <cellStyle name="Normal 10 3 3 6 2" xfId="24444"/>
    <cellStyle name="Normal 10 3 3 7" xfId="18875"/>
    <cellStyle name="Normal 10 3 3 8" xfId="6269"/>
    <cellStyle name="Normal 10 3 4" xfId="2409"/>
    <cellStyle name="Normal 10 3 4 2" xfId="3050"/>
    <cellStyle name="Normal 10 3 4 2 2" xfId="5159"/>
    <cellStyle name="Normal 10 3 4 2 2 2" xfId="17772"/>
    <cellStyle name="Normal 10 3 4 2 2 2 2" xfId="28915"/>
    <cellStyle name="Normal 10 3 4 2 2 3" xfId="23346"/>
    <cellStyle name="Normal 10 3 4 2 2 4" xfId="9310"/>
    <cellStyle name="Normal 10 3 4 2 3" xfId="11022"/>
    <cellStyle name="Normal 10 3 4 2 3 2" xfId="15703"/>
    <cellStyle name="Normal 10 3 4 2 3 2 2" xfId="26846"/>
    <cellStyle name="Normal 10 3 4 2 3 3" xfId="21277"/>
    <cellStyle name="Normal 10 3 4 2 4" xfId="14273"/>
    <cellStyle name="Normal 10 3 4 2 4 2" xfId="25416"/>
    <cellStyle name="Normal 10 3 4 2 5" xfId="19847"/>
    <cellStyle name="Normal 10 3 4 2 6" xfId="7241"/>
    <cellStyle name="Normal 10 3 4 3" xfId="3688"/>
    <cellStyle name="Normal 10 3 4 3 2" xfId="5797"/>
    <cellStyle name="Normal 10 3 4 3 2 2" xfId="18410"/>
    <cellStyle name="Normal 10 3 4 3 2 2 2" xfId="29553"/>
    <cellStyle name="Normal 10 3 4 3 2 3" xfId="23984"/>
    <cellStyle name="Normal 10 3 4 3 2 4" xfId="9948"/>
    <cellStyle name="Normal 10 3 4 3 3" xfId="16341"/>
    <cellStyle name="Normal 10 3 4 3 3 2" xfId="27484"/>
    <cellStyle name="Normal 10 3 4 3 4" xfId="21915"/>
    <cellStyle name="Normal 10 3 4 3 5" xfId="7879"/>
    <cellStyle name="Normal 10 3 4 4" xfId="4367"/>
    <cellStyle name="Normal 10 3 4 4 2" xfId="16980"/>
    <cellStyle name="Normal 10 3 4 4 2 2" xfId="28123"/>
    <cellStyle name="Normal 10 3 4 4 3" xfId="22554"/>
    <cellStyle name="Normal 10 3 4 4 4" xfId="8518"/>
    <cellStyle name="Normal 10 3 4 5" xfId="10068"/>
    <cellStyle name="Normal 10 3 4 5 2" xfId="15064"/>
    <cellStyle name="Normal 10 3 4 5 2 2" xfId="26207"/>
    <cellStyle name="Normal 10 3 4 5 3" xfId="20638"/>
    <cellStyle name="Normal 10 3 4 6" xfId="13634"/>
    <cellStyle name="Normal 10 3 4 6 2" xfId="24777"/>
    <cellStyle name="Normal 10 3 4 7" xfId="19208"/>
    <cellStyle name="Normal 10 3 4 8" xfId="6602"/>
    <cellStyle name="Normal 10 3 5" xfId="1872"/>
    <cellStyle name="Normal 10 3 5 2" xfId="4520"/>
    <cellStyle name="Normal 10 3 5 2 2" xfId="17133"/>
    <cellStyle name="Normal 10 3 5 2 2 2" xfId="28276"/>
    <cellStyle name="Normal 10 3 5 2 3" xfId="22707"/>
    <cellStyle name="Normal 10 3 5 2 4" xfId="8671"/>
    <cellStyle name="Normal 10 3 5 3" xfId="10658"/>
    <cellStyle name="Normal 10 3 5 3 2" xfId="14579"/>
    <cellStyle name="Normal 10 3 5 3 2 2" xfId="25722"/>
    <cellStyle name="Normal 10 3 5 3 3" xfId="20153"/>
    <cellStyle name="Normal 10 3 5 4" xfId="13149"/>
    <cellStyle name="Normal 10 3 5 4 2" xfId="24292"/>
    <cellStyle name="Normal 10 3 5 5" xfId="18723"/>
    <cellStyle name="Normal 10 3 5 6" xfId="6117"/>
    <cellStyle name="Normal 10 3 6" xfId="2565"/>
    <cellStyle name="Normal 10 3 6 2" xfId="4674"/>
    <cellStyle name="Normal 10 3 6 2 2" xfId="17287"/>
    <cellStyle name="Normal 10 3 6 2 2 2" xfId="28430"/>
    <cellStyle name="Normal 10 3 6 2 3" xfId="22861"/>
    <cellStyle name="Normal 10 3 6 2 4" xfId="8825"/>
    <cellStyle name="Normal 10 3 6 3" xfId="10363"/>
    <cellStyle name="Normal 10 3 6 3 2" xfId="15218"/>
    <cellStyle name="Normal 10 3 6 3 2 2" xfId="26361"/>
    <cellStyle name="Normal 10 3 6 3 3" xfId="20792"/>
    <cellStyle name="Normal 10 3 6 4" xfId="13788"/>
    <cellStyle name="Normal 10 3 6 4 2" xfId="24931"/>
    <cellStyle name="Normal 10 3 6 5" xfId="19362"/>
    <cellStyle name="Normal 10 3 6 6" xfId="6756"/>
    <cellStyle name="Normal 10 3 7" xfId="3203"/>
    <cellStyle name="Normal 10 3 7 2" xfId="5312"/>
    <cellStyle name="Normal 10 3 7 2 2" xfId="17925"/>
    <cellStyle name="Normal 10 3 7 2 2 2" xfId="29068"/>
    <cellStyle name="Normal 10 3 7 2 3" xfId="23499"/>
    <cellStyle name="Normal 10 3 7 2 4" xfId="9463"/>
    <cellStyle name="Normal 10 3 7 3" xfId="15856"/>
    <cellStyle name="Normal 10 3 7 3 2" xfId="26999"/>
    <cellStyle name="Normal 10 3 7 4" xfId="21430"/>
    <cellStyle name="Normal 10 3 7 5" xfId="7394"/>
    <cellStyle name="Normal 10 3 8" xfId="3882"/>
    <cellStyle name="Normal 10 3 8 2" xfId="16495"/>
    <cellStyle name="Normal 10 3 8 2 2" xfId="27638"/>
    <cellStyle name="Normal 10 3 8 3" xfId="22069"/>
    <cellStyle name="Normal 10 3 8 4" xfId="8033"/>
    <cellStyle name="Normal 10 3 9" xfId="10882"/>
    <cellStyle name="Normal 10 3 9 2" xfId="14426"/>
    <cellStyle name="Normal 10 3 9 2 2" xfId="25569"/>
    <cellStyle name="Normal 10 3 9 3" xfId="20000"/>
    <cellStyle name="Normal 10 4" xfId="2178"/>
    <cellStyle name="Normal 10 4 2" xfId="2822"/>
    <cellStyle name="Normal 10 4 2 2" xfId="4931"/>
    <cellStyle name="Normal 10 4 2 2 2" xfId="17544"/>
    <cellStyle name="Normal 10 4 2 2 2 2" xfId="28687"/>
    <cellStyle name="Normal 10 4 2 2 3" xfId="23118"/>
    <cellStyle name="Normal 10 4 2 2 4" xfId="9082"/>
    <cellStyle name="Normal 10 4 2 3" xfId="10212"/>
    <cellStyle name="Normal 10 4 2 3 2" xfId="15475"/>
    <cellStyle name="Normal 10 4 2 3 2 2" xfId="26618"/>
    <cellStyle name="Normal 10 4 2 3 3" xfId="21049"/>
    <cellStyle name="Normal 10 4 2 4" xfId="14045"/>
    <cellStyle name="Normal 10 4 2 4 2" xfId="25188"/>
    <cellStyle name="Normal 10 4 2 5" xfId="19619"/>
    <cellStyle name="Normal 10 4 2 6" xfId="7013"/>
    <cellStyle name="Normal 10 4 3" xfId="3460"/>
    <cellStyle name="Normal 10 4 3 2" xfId="5569"/>
    <cellStyle name="Normal 10 4 3 2 2" xfId="18182"/>
    <cellStyle name="Normal 10 4 3 2 2 2" xfId="29325"/>
    <cellStyle name="Normal 10 4 3 2 3" xfId="23756"/>
    <cellStyle name="Normal 10 4 3 2 4" xfId="9720"/>
    <cellStyle name="Normal 10 4 3 3" xfId="16113"/>
    <cellStyle name="Normal 10 4 3 3 2" xfId="27256"/>
    <cellStyle name="Normal 10 4 3 4" xfId="21687"/>
    <cellStyle name="Normal 10 4 3 5" xfId="7651"/>
    <cellStyle name="Normal 10 4 4" xfId="4139"/>
    <cellStyle name="Normal 10 4 4 2" xfId="16752"/>
    <cellStyle name="Normal 10 4 4 2 2" xfId="27895"/>
    <cellStyle name="Normal 10 4 4 3" xfId="22326"/>
    <cellStyle name="Normal 10 4 4 4" xfId="8290"/>
    <cellStyle name="Normal 10 4 5" xfId="10090"/>
    <cellStyle name="Normal 10 4 5 2" xfId="14836"/>
    <cellStyle name="Normal 10 4 5 2 2" xfId="25979"/>
    <cellStyle name="Normal 10 4 5 3" xfId="20410"/>
    <cellStyle name="Normal 10 4 6" xfId="13406"/>
    <cellStyle name="Normal 10 4 6 2" xfId="24549"/>
    <cellStyle name="Normal 10 4 7" xfId="18980"/>
    <cellStyle name="Normal 10 4 8" xfId="6374"/>
    <cellStyle name="Normal 10 5" xfId="1978"/>
    <cellStyle name="Normal 10 5 2" xfId="2641"/>
    <cellStyle name="Normal 10 5 2 2" xfId="4750"/>
    <cellStyle name="Normal 10 5 2 2 2" xfId="17363"/>
    <cellStyle name="Normal 10 5 2 2 2 2" xfId="28506"/>
    <cellStyle name="Normal 10 5 2 2 3" xfId="22937"/>
    <cellStyle name="Normal 10 5 2 2 4" xfId="8901"/>
    <cellStyle name="Normal 10 5 2 3" xfId="10320"/>
    <cellStyle name="Normal 10 5 2 3 2" xfId="15294"/>
    <cellStyle name="Normal 10 5 2 3 2 2" xfId="26437"/>
    <cellStyle name="Normal 10 5 2 3 3" xfId="20868"/>
    <cellStyle name="Normal 10 5 2 4" xfId="13864"/>
    <cellStyle name="Normal 10 5 2 4 2" xfId="25007"/>
    <cellStyle name="Normal 10 5 2 5" xfId="19438"/>
    <cellStyle name="Normal 10 5 2 6" xfId="6832"/>
    <cellStyle name="Normal 10 5 3" xfId="3279"/>
    <cellStyle name="Normal 10 5 3 2" xfId="5388"/>
    <cellStyle name="Normal 10 5 3 2 2" xfId="18001"/>
    <cellStyle name="Normal 10 5 3 2 2 2" xfId="29144"/>
    <cellStyle name="Normal 10 5 3 2 3" xfId="23575"/>
    <cellStyle name="Normal 10 5 3 2 4" xfId="9539"/>
    <cellStyle name="Normal 10 5 3 3" xfId="15932"/>
    <cellStyle name="Normal 10 5 3 3 2" xfId="27075"/>
    <cellStyle name="Normal 10 5 3 4" xfId="21506"/>
    <cellStyle name="Normal 10 5 3 5" xfId="7470"/>
    <cellStyle name="Normal 10 5 4" xfId="3958"/>
    <cellStyle name="Normal 10 5 4 2" xfId="16571"/>
    <cellStyle name="Normal 10 5 4 2 2" xfId="27714"/>
    <cellStyle name="Normal 10 5 4 3" xfId="22145"/>
    <cellStyle name="Normal 10 5 4 4" xfId="8109"/>
    <cellStyle name="Normal 10 5 5" xfId="10761"/>
    <cellStyle name="Normal 10 5 5 2" xfId="14655"/>
    <cellStyle name="Normal 10 5 5 2 2" xfId="25798"/>
    <cellStyle name="Normal 10 5 5 3" xfId="20229"/>
    <cellStyle name="Normal 10 5 6" xfId="13225"/>
    <cellStyle name="Normal 10 5 6 2" xfId="24368"/>
    <cellStyle name="Normal 10 5 7" xfId="18799"/>
    <cellStyle name="Normal 10 5 8" xfId="6193"/>
    <cellStyle name="Normal 10 6" xfId="2332"/>
    <cellStyle name="Normal 10 6 2" xfId="2974"/>
    <cellStyle name="Normal 10 6 2 2" xfId="5083"/>
    <cellStyle name="Normal 10 6 2 2 2" xfId="17696"/>
    <cellStyle name="Normal 10 6 2 2 2 2" xfId="28839"/>
    <cellStyle name="Normal 10 6 2 2 3" xfId="23270"/>
    <cellStyle name="Normal 10 6 2 2 4" xfId="9234"/>
    <cellStyle name="Normal 10 6 2 3" xfId="10732"/>
    <cellStyle name="Normal 10 6 2 3 2" xfId="15627"/>
    <cellStyle name="Normal 10 6 2 3 2 2" xfId="26770"/>
    <cellStyle name="Normal 10 6 2 3 3" xfId="21201"/>
    <cellStyle name="Normal 10 6 2 4" xfId="14197"/>
    <cellStyle name="Normal 10 6 2 4 2" xfId="25340"/>
    <cellStyle name="Normal 10 6 2 5" xfId="19771"/>
    <cellStyle name="Normal 10 6 2 6" xfId="7165"/>
    <cellStyle name="Normal 10 6 3" xfId="3612"/>
    <cellStyle name="Normal 10 6 3 2" xfId="5721"/>
    <cellStyle name="Normal 10 6 3 2 2" xfId="18334"/>
    <cellStyle name="Normal 10 6 3 2 2 2" xfId="29477"/>
    <cellStyle name="Normal 10 6 3 2 3" xfId="23908"/>
    <cellStyle name="Normal 10 6 3 2 4" xfId="9872"/>
    <cellStyle name="Normal 10 6 3 3" xfId="16265"/>
    <cellStyle name="Normal 10 6 3 3 2" xfId="27408"/>
    <cellStyle name="Normal 10 6 3 4" xfId="21839"/>
    <cellStyle name="Normal 10 6 3 5" xfId="7803"/>
    <cellStyle name="Normal 10 6 4" xfId="4291"/>
    <cellStyle name="Normal 10 6 4 2" xfId="16904"/>
    <cellStyle name="Normal 10 6 4 2 2" xfId="28047"/>
    <cellStyle name="Normal 10 6 4 3" xfId="22478"/>
    <cellStyle name="Normal 10 6 4 4" xfId="8442"/>
    <cellStyle name="Normal 10 6 5" xfId="11051"/>
    <cellStyle name="Normal 10 6 5 2" xfId="14988"/>
    <cellStyle name="Normal 10 6 5 2 2" xfId="26131"/>
    <cellStyle name="Normal 10 6 5 3" xfId="20562"/>
    <cellStyle name="Normal 10 6 6" xfId="13558"/>
    <cellStyle name="Normal 10 6 6 2" xfId="24701"/>
    <cellStyle name="Normal 10 6 7" xfId="19132"/>
    <cellStyle name="Normal 10 6 8" xfId="6526"/>
    <cellStyle name="Normal 10 7" xfId="1796"/>
    <cellStyle name="Normal 10 7 2" xfId="4444"/>
    <cellStyle name="Normal 10 7 2 2" xfId="17057"/>
    <cellStyle name="Normal 10 7 2 2 2" xfId="28200"/>
    <cellStyle name="Normal 10 7 2 3" xfId="22631"/>
    <cellStyle name="Normal 10 7 2 4" xfId="8595"/>
    <cellStyle name="Normal 10 7 3" xfId="10723"/>
    <cellStyle name="Normal 10 7 3 2" xfId="14503"/>
    <cellStyle name="Normal 10 7 3 2 2" xfId="25646"/>
    <cellStyle name="Normal 10 7 3 3" xfId="20077"/>
    <cellStyle name="Normal 10 7 4" xfId="13073"/>
    <cellStyle name="Normal 10 7 4 2" xfId="24216"/>
    <cellStyle name="Normal 10 7 5" xfId="18647"/>
    <cellStyle name="Normal 10 7 6" xfId="6041"/>
    <cellStyle name="Normal 10 8" xfId="2489"/>
    <cellStyle name="Normal 10 8 2" xfId="4598"/>
    <cellStyle name="Normal 10 8 2 2" xfId="17211"/>
    <cellStyle name="Normal 10 8 2 2 2" xfId="28354"/>
    <cellStyle name="Normal 10 8 2 3" xfId="22785"/>
    <cellStyle name="Normal 10 8 2 4" xfId="8749"/>
    <cellStyle name="Normal 10 8 3" xfId="11356"/>
    <cellStyle name="Normal 10 8 3 2" xfId="15142"/>
    <cellStyle name="Normal 10 8 3 2 2" xfId="26285"/>
    <cellStyle name="Normal 10 8 3 3" xfId="20716"/>
    <cellStyle name="Normal 10 8 4" xfId="13712"/>
    <cellStyle name="Normal 10 8 4 2" xfId="24855"/>
    <cellStyle name="Normal 10 8 5" xfId="19286"/>
    <cellStyle name="Normal 10 8 6" xfId="6680"/>
    <cellStyle name="Normal 10 9" xfId="3127"/>
    <cellStyle name="Normal 10 9 2" xfId="5236"/>
    <cellStyle name="Normal 10 9 2 2" xfId="17849"/>
    <cellStyle name="Normal 10 9 2 2 2" xfId="28992"/>
    <cellStyle name="Normal 10 9 2 3" xfId="23423"/>
    <cellStyle name="Normal 10 9 2 4" xfId="9387"/>
    <cellStyle name="Normal 10 9 3" xfId="15780"/>
    <cellStyle name="Normal 10 9 3 2" xfId="26923"/>
    <cellStyle name="Normal 10 9 4" xfId="21354"/>
    <cellStyle name="Normal 10 9 5" xfId="7318"/>
    <cellStyle name="Normal 11" xfId="239"/>
    <cellStyle name="Normal 11 10" xfId="10167"/>
    <cellStyle name="Normal 11 10 2" xfId="14369"/>
    <cellStyle name="Normal 11 10 2 2" xfId="25512"/>
    <cellStyle name="Normal 11 10 3" xfId="19943"/>
    <cellStyle name="Normal 11 11" xfId="12938"/>
    <cellStyle name="Normal 11 11 2" xfId="24082"/>
    <cellStyle name="Normal 11 12" xfId="18513"/>
    <cellStyle name="Normal 11 13" xfId="5906"/>
    <cellStyle name="Normal 11 2" xfId="315"/>
    <cellStyle name="Normal 11 2 10" xfId="13014"/>
    <cellStyle name="Normal 11 2 10 2" xfId="24158"/>
    <cellStyle name="Normal 11 2 11" xfId="18589"/>
    <cellStyle name="Normal 11 2 12" xfId="5982"/>
    <cellStyle name="Normal 11 2 2" xfId="2273"/>
    <cellStyle name="Normal 11 2 2 2" xfId="2917"/>
    <cellStyle name="Normal 11 2 2 2 2" xfId="5026"/>
    <cellStyle name="Normal 11 2 2 2 2 2" xfId="17639"/>
    <cellStyle name="Normal 11 2 2 2 2 2 2" xfId="28782"/>
    <cellStyle name="Normal 11 2 2 2 2 3" xfId="23213"/>
    <cellStyle name="Normal 11 2 2 2 2 4" xfId="9177"/>
    <cellStyle name="Normal 11 2 2 2 3" xfId="11318"/>
    <cellStyle name="Normal 11 2 2 2 3 2" xfId="15570"/>
    <cellStyle name="Normal 11 2 2 2 3 2 2" xfId="26713"/>
    <cellStyle name="Normal 11 2 2 2 3 3" xfId="21144"/>
    <cellStyle name="Normal 11 2 2 2 4" xfId="14140"/>
    <cellStyle name="Normal 11 2 2 2 4 2" xfId="25283"/>
    <cellStyle name="Normal 11 2 2 2 5" xfId="19714"/>
    <cellStyle name="Normal 11 2 2 2 6" xfId="7108"/>
    <cellStyle name="Normal 11 2 2 3" xfId="3555"/>
    <cellStyle name="Normal 11 2 2 3 2" xfId="5664"/>
    <cellStyle name="Normal 11 2 2 3 2 2" xfId="18277"/>
    <cellStyle name="Normal 11 2 2 3 2 2 2" xfId="29420"/>
    <cellStyle name="Normal 11 2 2 3 2 3" xfId="23851"/>
    <cellStyle name="Normal 11 2 2 3 2 4" xfId="9815"/>
    <cellStyle name="Normal 11 2 2 3 3" xfId="16208"/>
    <cellStyle name="Normal 11 2 2 3 3 2" xfId="27351"/>
    <cellStyle name="Normal 11 2 2 3 4" xfId="21782"/>
    <cellStyle name="Normal 11 2 2 3 5" xfId="7746"/>
    <cellStyle name="Normal 11 2 2 4" xfId="4234"/>
    <cellStyle name="Normal 11 2 2 4 2" xfId="16847"/>
    <cellStyle name="Normal 11 2 2 4 2 2" xfId="27990"/>
    <cellStyle name="Normal 11 2 2 4 3" xfId="22421"/>
    <cellStyle name="Normal 11 2 2 4 4" xfId="8385"/>
    <cellStyle name="Normal 11 2 2 5" xfId="11135"/>
    <cellStyle name="Normal 11 2 2 5 2" xfId="14931"/>
    <cellStyle name="Normal 11 2 2 5 2 2" xfId="26074"/>
    <cellStyle name="Normal 11 2 2 5 3" xfId="20505"/>
    <cellStyle name="Normal 11 2 2 6" xfId="13501"/>
    <cellStyle name="Normal 11 2 2 6 2" xfId="24644"/>
    <cellStyle name="Normal 11 2 2 7" xfId="19075"/>
    <cellStyle name="Normal 11 2 2 8" xfId="6469"/>
    <cellStyle name="Normal 11 2 3" xfId="2081"/>
    <cellStyle name="Normal 11 2 3 2" xfId="2736"/>
    <cellStyle name="Normal 11 2 3 2 2" xfId="4845"/>
    <cellStyle name="Normal 11 2 3 2 2 2" xfId="17458"/>
    <cellStyle name="Normal 11 2 3 2 2 2 2" xfId="28601"/>
    <cellStyle name="Normal 11 2 3 2 2 3" xfId="23032"/>
    <cellStyle name="Normal 11 2 3 2 2 4" xfId="8996"/>
    <cellStyle name="Normal 11 2 3 2 3" xfId="11240"/>
    <cellStyle name="Normal 11 2 3 2 3 2" xfId="15389"/>
    <cellStyle name="Normal 11 2 3 2 3 2 2" xfId="26532"/>
    <cellStyle name="Normal 11 2 3 2 3 3" xfId="20963"/>
    <cellStyle name="Normal 11 2 3 2 4" xfId="13959"/>
    <cellStyle name="Normal 11 2 3 2 4 2" xfId="25102"/>
    <cellStyle name="Normal 11 2 3 2 5" xfId="19533"/>
    <cellStyle name="Normal 11 2 3 2 6" xfId="6927"/>
    <cellStyle name="Normal 11 2 3 3" xfId="3374"/>
    <cellStyle name="Normal 11 2 3 3 2" xfId="5483"/>
    <cellStyle name="Normal 11 2 3 3 2 2" xfId="18096"/>
    <cellStyle name="Normal 11 2 3 3 2 2 2" xfId="29239"/>
    <cellStyle name="Normal 11 2 3 3 2 3" xfId="23670"/>
    <cellStyle name="Normal 11 2 3 3 2 4" xfId="9634"/>
    <cellStyle name="Normal 11 2 3 3 3" xfId="16027"/>
    <cellStyle name="Normal 11 2 3 3 3 2" xfId="27170"/>
    <cellStyle name="Normal 11 2 3 3 4" xfId="21601"/>
    <cellStyle name="Normal 11 2 3 3 5" xfId="7565"/>
    <cellStyle name="Normal 11 2 3 4" xfId="4053"/>
    <cellStyle name="Normal 11 2 3 4 2" xfId="16666"/>
    <cellStyle name="Normal 11 2 3 4 2 2" xfId="27809"/>
    <cellStyle name="Normal 11 2 3 4 3" xfId="22240"/>
    <cellStyle name="Normal 11 2 3 4 4" xfId="8204"/>
    <cellStyle name="Normal 11 2 3 5" xfId="10441"/>
    <cellStyle name="Normal 11 2 3 5 2" xfId="14750"/>
    <cellStyle name="Normal 11 2 3 5 2 2" xfId="25893"/>
    <cellStyle name="Normal 11 2 3 5 3" xfId="20324"/>
    <cellStyle name="Normal 11 2 3 6" xfId="13320"/>
    <cellStyle name="Normal 11 2 3 6 2" xfId="24463"/>
    <cellStyle name="Normal 11 2 3 7" xfId="18894"/>
    <cellStyle name="Normal 11 2 3 8" xfId="6288"/>
    <cellStyle name="Normal 11 2 4" xfId="2428"/>
    <cellStyle name="Normal 11 2 4 2" xfId="3069"/>
    <cellStyle name="Normal 11 2 4 2 2" xfId="5178"/>
    <cellStyle name="Normal 11 2 4 2 2 2" xfId="17791"/>
    <cellStyle name="Normal 11 2 4 2 2 2 2" xfId="28934"/>
    <cellStyle name="Normal 11 2 4 2 2 3" xfId="23365"/>
    <cellStyle name="Normal 11 2 4 2 2 4" xfId="9329"/>
    <cellStyle name="Normal 11 2 4 2 3" xfId="11220"/>
    <cellStyle name="Normal 11 2 4 2 3 2" xfId="15722"/>
    <cellStyle name="Normal 11 2 4 2 3 2 2" xfId="26865"/>
    <cellStyle name="Normal 11 2 4 2 3 3" xfId="21296"/>
    <cellStyle name="Normal 11 2 4 2 4" xfId="14292"/>
    <cellStyle name="Normal 11 2 4 2 4 2" xfId="25435"/>
    <cellStyle name="Normal 11 2 4 2 5" xfId="19866"/>
    <cellStyle name="Normal 11 2 4 2 6" xfId="7260"/>
    <cellStyle name="Normal 11 2 4 3" xfId="3707"/>
    <cellStyle name="Normal 11 2 4 3 2" xfId="5816"/>
    <cellStyle name="Normal 11 2 4 3 2 2" xfId="18429"/>
    <cellStyle name="Normal 11 2 4 3 2 2 2" xfId="29572"/>
    <cellStyle name="Normal 11 2 4 3 2 3" xfId="24003"/>
    <cellStyle name="Normal 11 2 4 3 2 4" xfId="9967"/>
    <cellStyle name="Normal 11 2 4 3 3" xfId="16360"/>
    <cellStyle name="Normal 11 2 4 3 3 2" xfId="27503"/>
    <cellStyle name="Normal 11 2 4 3 4" xfId="21934"/>
    <cellStyle name="Normal 11 2 4 3 5" xfId="7898"/>
    <cellStyle name="Normal 11 2 4 4" xfId="4386"/>
    <cellStyle name="Normal 11 2 4 4 2" xfId="16999"/>
    <cellStyle name="Normal 11 2 4 4 2 2" xfId="28142"/>
    <cellStyle name="Normal 11 2 4 4 3" xfId="22573"/>
    <cellStyle name="Normal 11 2 4 4 4" xfId="8537"/>
    <cellStyle name="Normal 11 2 4 5" xfId="11169"/>
    <cellStyle name="Normal 11 2 4 5 2" xfId="15083"/>
    <cellStyle name="Normal 11 2 4 5 2 2" xfId="26226"/>
    <cellStyle name="Normal 11 2 4 5 3" xfId="20657"/>
    <cellStyle name="Normal 11 2 4 6" xfId="13653"/>
    <cellStyle name="Normal 11 2 4 6 2" xfId="24796"/>
    <cellStyle name="Normal 11 2 4 7" xfId="19227"/>
    <cellStyle name="Normal 11 2 4 8" xfId="6621"/>
    <cellStyle name="Normal 11 2 5" xfId="1891"/>
    <cellStyle name="Normal 11 2 5 2" xfId="4539"/>
    <cellStyle name="Normal 11 2 5 2 2" xfId="17152"/>
    <cellStyle name="Normal 11 2 5 2 2 2" xfId="28295"/>
    <cellStyle name="Normal 11 2 5 2 3" xfId="22726"/>
    <cellStyle name="Normal 11 2 5 2 4" xfId="8690"/>
    <cellStyle name="Normal 11 2 5 3" xfId="11438"/>
    <cellStyle name="Normal 11 2 5 3 2" xfId="14598"/>
    <cellStyle name="Normal 11 2 5 3 2 2" xfId="25741"/>
    <cellStyle name="Normal 11 2 5 3 3" xfId="20172"/>
    <cellStyle name="Normal 11 2 5 4" xfId="13168"/>
    <cellStyle name="Normal 11 2 5 4 2" xfId="24311"/>
    <cellStyle name="Normal 11 2 5 5" xfId="18742"/>
    <cellStyle name="Normal 11 2 5 6" xfId="6136"/>
    <cellStyle name="Normal 11 2 6" xfId="2584"/>
    <cellStyle name="Normal 11 2 6 2" xfId="4693"/>
    <cellStyle name="Normal 11 2 6 2 2" xfId="17306"/>
    <cellStyle name="Normal 11 2 6 2 2 2" xfId="28449"/>
    <cellStyle name="Normal 11 2 6 2 3" xfId="22880"/>
    <cellStyle name="Normal 11 2 6 2 4" xfId="8844"/>
    <cellStyle name="Normal 11 2 6 3" xfId="10233"/>
    <cellStyle name="Normal 11 2 6 3 2" xfId="15237"/>
    <cellStyle name="Normal 11 2 6 3 2 2" xfId="26380"/>
    <cellStyle name="Normal 11 2 6 3 3" xfId="20811"/>
    <cellStyle name="Normal 11 2 6 4" xfId="13807"/>
    <cellStyle name="Normal 11 2 6 4 2" xfId="24950"/>
    <cellStyle name="Normal 11 2 6 5" xfId="19381"/>
    <cellStyle name="Normal 11 2 6 6" xfId="6775"/>
    <cellStyle name="Normal 11 2 7" xfId="3222"/>
    <cellStyle name="Normal 11 2 7 2" xfId="5331"/>
    <cellStyle name="Normal 11 2 7 2 2" xfId="17944"/>
    <cellStyle name="Normal 11 2 7 2 2 2" xfId="29087"/>
    <cellStyle name="Normal 11 2 7 2 3" xfId="23518"/>
    <cellStyle name="Normal 11 2 7 2 4" xfId="9482"/>
    <cellStyle name="Normal 11 2 7 3" xfId="15875"/>
    <cellStyle name="Normal 11 2 7 3 2" xfId="27018"/>
    <cellStyle name="Normal 11 2 7 4" xfId="21449"/>
    <cellStyle name="Normal 11 2 7 5" xfId="7413"/>
    <cellStyle name="Normal 11 2 8" xfId="3901"/>
    <cellStyle name="Normal 11 2 8 2" xfId="16514"/>
    <cellStyle name="Normal 11 2 8 2 2" xfId="27657"/>
    <cellStyle name="Normal 11 2 8 3" xfId="22088"/>
    <cellStyle name="Normal 11 2 8 4" xfId="8052"/>
    <cellStyle name="Normal 11 2 9" xfId="10646"/>
    <cellStyle name="Normal 11 2 9 2" xfId="14445"/>
    <cellStyle name="Normal 11 2 9 2 2" xfId="25588"/>
    <cellStyle name="Normal 11 2 9 3" xfId="20019"/>
    <cellStyle name="Normal 11 3" xfId="2197"/>
    <cellStyle name="Normal 11 3 2" xfId="2841"/>
    <cellStyle name="Normal 11 3 2 2" xfId="4950"/>
    <cellStyle name="Normal 11 3 2 2 2" xfId="17563"/>
    <cellStyle name="Normal 11 3 2 2 2 2" xfId="28706"/>
    <cellStyle name="Normal 11 3 2 2 3" xfId="23137"/>
    <cellStyle name="Normal 11 3 2 2 4" xfId="9101"/>
    <cellStyle name="Normal 11 3 2 3" xfId="10586"/>
    <cellStyle name="Normal 11 3 2 3 2" xfId="15494"/>
    <cellStyle name="Normal 11 3 2 3 2 2" xfId="26637"/>
    <cellStyle name="Normal 11 3 2 3 3" xfId="21068"/>
    <cellStyle name="Normal 11 3 2 4" xfId="14064"/>
    <cellStyle name="Normal 11 3 2 4 2" xfId="25207"/>
    <cellStyle name="Normal 11 3 2 5" xfId="19638"/>
    <cellStyle name="Normal 11 3 2 6" xfId="7032"/>
    <cellStyle name="Normal 11 3 3" xfId="3479"/>
    <cellStyle name="Normal 11 3 3 2" xfId="5588"/>
    <cellStyle name="Normal 11 3 3 2 2" xfId="18201"/>
    <cellStyle name="Normal 11 3 3 2 2 2" xfId="29344"/>
    <cellStyle name="Normal 11 3 3 2 3" xfId="23775"/>
    <cellStyle name="Normal 11 3 3 2 4" xfId="9739"/>
    <cellStyle name="Normal 11 3 3 3" xfId="16132"/>
    <cellStyle name="Normal 11 3 3 3 2" xfId="27275"/>
    <cellStyle name="Normal 11 3 3 4" xfId="21706"/>
    <cellStyle name="Normal 11 3 3 5" xfId="7670"/>
    <cellStyle name="Normal 11 3 4" xfId="4158"/>
    <cellStyle name="Normal 11 3 4 2" xfId="16771"/>
    <cellStyle name="Normal 11 3 4 2 2" xfId="27914"/>
    <cellStyle name="Normal 11 3 4 3" xfId="22345"/>
    <cellStyle name="Normal 11 3 4 4" xfId="8309"/>
    <cellStyle name="Normal 11 3 5" xfId="11172"/>
    <cellStyle name="Normal 11 3 5 2" xfId="14855"/>
    <cellStyle name="Normal 11 3 5 2 2" xfId="25998"/>
    <cellStyle name="Normal 11 3 5 3" xfId="20429"/>
    <cellStyle name="Normal 11 3 6" xfId="13425"/>
    <cellStyle name="Normal 11 3 6 2" xfId="24568"/>
    <cellStyle name="Normal 11 3 7" xfId="18999"/>
    <cellStyle name="Normal 11 3 8" xfId="6393"/>
    <cellStyle name="Normal 11 4" xfId="2005"/>
    <cellStyle name="Normal 11 4 2" xfId="2660"/>
    <cellStyle name="Normal 11 4 2 2" xfId="4769"/>
    <cellStyle name="Normal 11 4 2 2 2" xfId="17382"/>
    <cellStyle name="Normal 11 4 2 2 2 2" xfId="28525"/>
    <cellStyle name="Normal 11 4 2 2 3" xfId="22956"/>
    <cellStyle name="Normal 11 4 2 2 4" xfId="8920"/>
    <cellStyle name="Normal 11 4 2 3" xfId="10601"/>
    <cellStyle name="Normal 11 4 2 3 2" xfId="15313"/>
    <cellStyle name="Normal 11 4 2 3 2 2" xfId="26456"/>
    <cellStyle name="Normal 11 4 2 3 3" xfId="20887"/>
    <cellStyle name="Normal 11 4 2 4" xfId="13883"/>
    <cellStyle name="Normal 11 4 2 4 2" xfId="25026"/>
    <cellStyle name="Normal 11 4 2 5" xfId="19457"/>
    <cellStyle name="Normal 11 4 2 6" xfId="6851"/>
    <cellStyle name="Normal 11 4 3" xfId="3298"/>
    <cellStyle name="Normal 11 4 3 2" xfId="5407"/>
    <cellStyle name="Normal 11 4 3 2 2" xfId="18020"/>
    <cellStyle name="Normal 11 4 3 2 2 2" xfId="29163"/>
    <cellStyle name="Normal 11 4 3 2 3" xfId="23594"/>
    <cellStyle name="Normal 11 4 3 2 4" xfId="9558"/>
    <cellStyle name="Normal 11 4 3 3" xfId="15951"/>
    <cellStyle name="Normal 11 4 3 3 2" xfId="27094"/>
    <cellStyle name="Normal 11 4 3 4" xfId="21525"/>
    <cellStyle name="Normal 11 4 3 5" xfId="7489"/>
    <cellStyle name="Normal 11 4 4" xfId="3977"/>
    <cellStyle name="Normal 11 4 4 2" xfId="16590"/>
    <cellStyle name="Normal 11 4 4 2 2" xfId="27733"/>
    <cellStyle name="Normal 11 4 4 3" xfId="22164"/>
    <cellStyle name="Normal 11 4 4 4" xfId="8128"/>
    <cellStyle name="Normal 11 4 5" xfId="10038"/>
    <cellStyle name="Normal 11 4 5 2" xfId="14674"/>
    <cellStyle name="Normal 11 4 5 2 2" xfId="25817"/>
    <cellStyle name="Normal 11 4 5 3" xfId="20248"/>
    <cellStyle name="Normal 11 4 6" xfId="13244"/>
    <cellStyle name="Normal 11 4 6 2" xfId="24387"/>
    <cellStyle name="Normal 11 4 7" xfId="18818"/>
    <cellStyle name="Normal 11 4 8" xfId="6212"/>
    <cellStyle name="Normal 11 5" xfId="2352"/>
    <cellStyle name="Normal 11 5 2" xfId="2993"/>
    <cellStyle name="Normal 11 5 2 2" xfId="5102"/>
    <cellStyle name="Normal 11 5 2 2 2" xfId="17715"/>
    <cellStyle name="Normal 11 5 2 2 2 2" xfId="28858"/>
    <cellStyle name="Normal 11 5 2 2 3" xfId="23289"/>
    <cellStyle name="Normal 11 5 2 2 4" xfId="9253"/>
    <cellStyle name="Normal 11 5 2 3" xfId="11176"/>
    <cellStyle name="Normal 11 5 2 3 2" xfId="15646"/>
    <cellStyle name="Normal 11 5 2 3 2 2" xfId="26789"/>
    <cellStyle name="Normal 11 5 2 3 3" xfId="21220"/>
    <cellStyle name="Normal 11 5 2 4" xfId="14216"/>
    <cellStyle name="Normal 11 5 2 4 2" xfId="25359"/>
    <cellStyle name="Normal 11 5 2 5" xfId="19790"/>
    <cellStyle name="Normal 11 5 2 6" xfId="7184"/>
    <cellStyle name="Normal 11 5 3" xfId="3631"/>
    <cellStyle name="Normal 11 5 3 2" xfId="5740"/>
    <cellStyle name="Normal 11 5 3 2 2" xfId="18353"/>
    <cellStyle name="Normal 11 5 3 2 2 2" xfId="29496"/>
    <cellStyle name="Normal 11 5 3 2 3" xfId="23927"/>
    <cellStyle name="Normal 11 5 3 2 4" xfId="9891"/>
    <cellStyle name="Normal 11 5 3 3" xfId="16284"/>
    <cellStyle name="Normal 11 5 3 3 2" xfId="27427"/>
    <cellStyle name="Normal 11 5 3 4" xfId="21858"/>
    <cellStyle name="Normal 11 5 3 5" xfId="7822"/>
    <cellStyle name="Normal 11 5 4" xfId="4310"/>
    <cellStyle name="Normal 11 5 4 2" xfId="16923"/>
    <cellStyle name="Normal 11 5 4 2 2" xfId="28066"/>
    <cellStyle name="Normal 11 5 4 3" xfId="22497"/>
    <cellStyle name="Normal 11 5 4 4" xfId="8461"/>
    <cellStyle name="Normal 11 5 5" xfId="11081"/>
    <cellStyle name="Normal 11 5 5 2" xfId="15007"/>
    <cellStyle name="Normal 11 5 5 2 2" xfId="26150"/>
    <cellStyle name="Normal 11 5 5 3" xfId="20581"/>
    <cellStyle name="Normal 11 5 6" xfId="13577"/>
    <cellStyle name="Normal 11 5 6 2" xfId="24720"/>
    <cellStyle name="Normal 11 5 7" xfId="19151"/>
    <cellStyle name="Normal 11 5 8" xfId="6545"/>
    <cellStyle name="Normal 11 6" xfId="1815"/>
    <cellStyle name="Normal 11 6 2" xfId="4463"/>
    <cellStyle name="Normal 11 6 2 2" xfId="17076"/>
    <cellStyle name="Normal 11 6 2 2 2" xfId="28219"/>
    <cellStyle name="Normal 11 6 2 3" xfId="22650"/>
    <cellStyle name="Normal 11 6 2 4" xfId="8614"/>
    <cellStyle name="Normal 11 6 3" xfId="11410"/>
    <cellStyle name="Normal 11 6 3 2" xfId="14522"/>
    <cellStyle name="Normal 11 6 3 2 2" xfId="25665"/>
    <cellStyle name="Normal 11 6 3 3" xfId="20096"/>
    <cellStyle name="Normal 11 6 4" xfId="13092"/>
    <cellStyle name="Normal 11 6 4 2" xfId="24235"/>
    <cellStyle name="Normal 11 6 5" xfId="18666"/>
    <cellStyle name="Normal 11 6 6" xfId="6060"/>
    <cellStyle name="Normal 11 7" xfId="2508"/>
    <cellStyle name="Normal 11 7 2" xfId="4617"/>
    <cellStyle name="Normal 11 7 2 2" xfId="17230"/>
    <cellStyle name="Normal 11 7 2 2 2" xfId="28373"/>
    <cellStyle name="Normal 11 7 2 3" xfId="22804"/>
    <cellStyle name="Normal 11 7 2 4" xfId="8768"/>
    <cellStyle name="Normal 11 7 3" xfId="11111"/>
    <cellStyle name="Normal 11 7 3 2" xfId="15161"/>
    <cellStyle name="Normal 11 7 3 2 2" xfId="26304"/>
    <cellStyle name="Normal 11 7 3 3" xfId="20735"/>
    <cellStyle name="Normal 11 7 4" xfId="13731"/>
    <cellStyle name="Normal 11 7 4 2" xfId="24874"/>
    <cellStyle name="Normal 11 7 5" xfId="19305"/>
    <cellStyle name="Normal 11 7 6" xfId="6699"/>
    <cellStyle name="Normal 11 8" xfId="3146"/>
    <cellStyle name="Normal 11 8 2" xfId="5255"/>
    <cellStyle name="Normal 11 8 2 2" xfId="17868"/>
    <cellStyle name="Normal 11 8 2 2 2" xfId="29011"/>
    <cellStyle name="Normal 11 8 2 3" xfId="23442"/>
    <cellStyle name="Normal 11 8 2 4" xfId="9406"/>
    <cellStyle name="Normal 11 8 3" xfId="15799"/>
    <cellStyle name="Normal 11 8 3 2" xfId="26942"/>
    <cellStyle name="Normal 11 8 4" xfId="21373"/>
    <cellStyle name="Normal 11 8 5" xfId="7337"/>
    <cellStyle name="Normal 11 9" xfId="3825"/>
    <cellStyle name="Normal 11 9 2" xfId="16438"/>
    <cellStyle name="Normal 11 9 2 2" xfId="27581"/>
    <cellStyle name="Normal 11 9 3" xfId="22012"/>
    <cellStyle name="Normal 11 9 4" xfId="7976"/>
    <cellStyle name="Normal 12" xfId="277"/>
    <cellStyle name="Normal 12 10" xfId="12976"/>
    <cellStyle name="Normal 12 10 2" xfId="24120"/>
    <cellStyle name="Normal 12 11" xfId="18551"/>
    <cellStyle name="Normal 12 12" xfId="5944"/>
    <cellStyle name="Normal 12 2" xfId="2235"/>
    <cellStyle name="Normal 12 2 2" xfId="2879"/>
    <cellStyle name="Normal 12 2 2 2" xfId="4988"/>
    <cellStyle name="Normal 12 2 2 2 2" xfId="17601"/>
    <cellStyle name="Normal 12 2 2 2 2 2" xfId="28744"/>
    <cellStyle name="Normal 12 2 2 2 3" xfId="23175"/>
    <cellStyle name="Normal 12 2 2 2 4" xfId="9139"/>
    <cellStyle name="Normal 12 2 2 3" xfId="10850"/>
    <cellStyle name="Normal 12 2 2 3 2" xfId="15532"/>
    <cellStyle name="Normal 12 2 2 3 2 2" xfId="26675"/>
    <cellStyle name="Normal 12 2 2 3 3" xfId="21106"/>
    <cellStyle name="Normal 12 2 2 4" xfId="14102"/>
    <cellStyle name="Normal 12 2 2 4 2" xfId="25245"/>
    <cellStyle name="Normal 12 2 2 5" xfId="19676"/>
    <cellStyle name="Normal 12 2 2 6" xfId="7070"/>
    <cellStyle name="Normal 12 2 3" xfId="3517"/>
    <cellStyle name="Normal 12 2 3 2" xfId="5626"/>
    <cellStyle name="Normal 12 2 3 2 2" xfId="18239"/>
    <cellStyle name="Normal 12 2 3 2 2 2" xfId="29382"/>
    <cellStyle name="Normal 12 2 3 2 3" xfId="23813"/>
    <cellStyle name="Normal 12 2 3 2 4" xfId="9777"/>
    <cellStyle name="Normal 12 2 3 3" xfId="16170"/>
    <cellStyle name="Normal 12 2 3 3 2" xfId="27313"/>
    <cellStyle name="Normal 12 2 3 4" xfId="21744"/>
    <cellStyle name="Normal 12 2 3 5" xfId="7708"/>
    <cellStyle name="Normal 12 2 4" xfId="4196"/>
    <cellStyle name="Normal 12 2 4 2" xfId="16809"/>
    <cellStyle name="Normal 12 2 4 2 2" xfId="27952"/>
    <cellStyle name="Normal 12 2 4 3" xfId="22383"/>
    <cellStyle name="Normal 12 2 4 4" xfId="8347"/>
    <cellStyle name="Normal 12 2 5" xfId="11252"/>
    <cellStyle name="Normal 12 2 5 2" xfId="14893"/>
    <cellStyle name="Normal 12 2 5 2 2" xfId="26036"/>
    <cellStyle name="Normal 12 2 5 3" xfId="20467"/>
    <cellStyle name="Normal 12 2 6" xfId="13463"/>
    <cellStyle name="Normal 12 2 6 2" xfId="24606"/>
    <cellStyle name="Normal 12 2 7" xfId="19037"/>
    <cellStyle name="Normal 12 2 8" xfId="6431"/>
    <cellStyle name="Normal 12 3" xfId="2043"/>
    <cellStyle name="Normal 12 3 2" xfId="2698"/>
    <cellStyle name="Normal 12 3 2 2" xfId="4807"/>
    <cellStyle name="Normal 12 3 2 2 2" xfId="17420"/>
    <cellStyle name="Normal 12 3 2 2 2 2" xfId="28563"/>
    <cellStyle name="Normal 12 3 2 2 3" xfId="22994"/>
    <cellStyle name="Normal 12 3 2 2 4" xfId="8958"/>
    <cellStyle name="Normal 12 3 2 3" xfId="11315"/>
    <cellStyle name="Normal 12 3 2 3 2" xfId="15351"/>
    <cellStyle name="Normal 12 3 2 3 2 2" xfId="26494"/>
    <cellStyle name="Normal 12 3 2 3 3" xfId="20925"/>
    <cellStyle name="Normal 12 3 2 4" xfId="13921"/>
    <cellStyle name="Normal 12 3 2 4 2" xfId="25064"/>
    <cellStyle name="Normal 12 3 2 5" xfId="19495"/>
    <cellStyle name="Normal 12 3 2 6" xfId="6889"/>
    <cellStyle name="Normal 12 3 3" xfId="3336"/>
    <cellStyle name="Normal 12 3 3 2" xfId="5445"/>
    <cellStyle name="Normal 12 3 3 2 2" xfId="18058"/>
    <cellStyle name="Normal 12 3 3 2 2 2" xfId="29201"/>
    <cellStyle name="Normal 12 3 3 2 3" xfId="23632"/>
    <cellStyle name="Normal 12 3 3 2 4" xfId="9596"/>
    <cellStyle name="Normal 12 3 3 3" xfId="15989"/>
    <cellStyle name="Normal 12 3 3 3 2" xfId="27132"/>
    <cellStyle name="Normal 12 3 3 4" xfId="21563"/>
    <cellStyle name="Normal 12 3 3 5" xfId="7527"/>
    <cellStyle name="Normal 12 3 4" xfId="4015"/>
    <cellStyle name="Normal 12 3 4 2" xfId="16628"/>
    <cellStyle name="Normal 12 3 4 2 2" xfId="27771"/>
    <cellStyle name="Normal 12 3 4 3" xfId="22202"/>
    <cellStyle name="Normal 12 3 4 4" xfId="8166"/>
    <cellStyle name="Normal 12 3 5" xfId="10013"/>
    <cellStyle name="Normal 12 3 5 2" xfId="14712"/>
    <cellStyle name="Normal 12 3 5 2 2" xfId="25855"/>
    <cellStyle name="Normal 12 3 5 3" xfId="20286"/>
    <cellStyle name="Normal 12 3 6" xfId="13282"/>
    <cellStyle name="Normal 12 3 6 2" xfId="24425"/>
    <cellStyle name="Normal 12 3 7" xfId="18856"/>
    <cellStyle name="Normal 12 3 8" xfId="6250"/>
    <cellStyle name="Normal 12 4" xfId="2390"/>
    <cellStyle name="Normal 12 4 2" xfId="3031"/>
    <cellStyle name="Normal 12 4 2 2" xfId="5140"/>
    <cellStyle name="Normal 12 4 2 2 2" xfId="17753"/>
    <cellStyle name="Normal 12 4 2 2 2 2" xfId="28896"/>
    <cellStyle name="Normal 12 4 2 2 3" xfId="23327"/>
    <cellStyle name="Normal 12 4 2 2 4" xfId="9291"/>
    <cellStyle name="Normal 12 4 2 3" xfId="11378"/>
    <cellStyle name="Normal 12 4 2 3 2" xfId="15684"/>
    <cellStyle name="Normal 12 4 2 3 2 2" xfId="26827"/>
    <cellStyle name="Normal 12 4 2 3 3" xfId="21258"/>
    <cellStyle name="Normal 12 4 2 4" xfId="14254"/>
    <cellStyle name="Normal 12 4 2 4 2" xfId="25397"/>
    <cellStyle name="Normal 12 4 2 5" xfId="19828"/>
    <cellStyle name="Normal 12 4 2 6" xfId="7222"/>
    <cellStyle name="Normal 12 4 3" xfId="3669"/>
    <cellStyle name="Normal 12 4 3 2" xfId="5778"/>
    <cellStyle name="Normal 12 4 3 2 2" xfId="18391"/>
    <cellStyle name="Normal 12 4 3 2 2 2" xfId="29534"/>
    <cellStyle name="Normal 12 4 3 2 3" xfId="23965"/>
    <cellStyle name="Normal 12 4 3 2 4" xfId="9929"/>
    <cellStyle name="Normal 12 4 3 3" xfId="16322"/>
    <cellStyle name="Normal 12 4 3 3 2" xfId="27465"/>
    <cellStyle name="Normal 12 4 3 4" xfId="21896"/>
    <cellStyle name="Normal 12 4 3 5" xfId="7860"/>
    <cellStyle name="Normal 12 4 4" xfId="4348"/>
    <cellStyle name="Normal 12 4 4 2" xfId="16961"/>
    <cellStyle name="Normal 12 4 4 2 2" xfId="28104"/>
    <cellStyle name="Normal 12 4 4 3" xfId="22535"/>
    <cellStyle name="Normal 12 4 4 4" xfId="8499"/>
    <cellStyle name="Normal 12 4 5" xfId="10401"/>
    <cellStyle name="Normal 12 4 5 2" xfId="15045"/>
    <cellStyle name="Normal 12 4 5 2 2" xfId="26188"/>
    <cellStyle name="Normal 12 4 5 3" xfId="20619"/>
    <cellStyle name="Normal 12 4 6" xfId="13615"/>
    <cellStyle name="Normal 12 4 6 2" xfId="24758"/>
    <cellStyle name="Normal 12 4 7" xfId="19189"/>
    <cellStyle name="Normal 12 4 8" xfId="6583"/>
    <cellStyle name="Normal 12 5" xfId="1853"/>
    <cellStyle name="Normal 12 5 2" xfId="4501"/>
    <cellStyle name="Normal 12 5 2 2" xfId="17114"/>
    <cellStyle name="Normal 12 5 2 2 2" xfId="28257"/>
    <cellStyle name="Normal 12 5 2 3" xfId="22688"/>
    <cellStyle name="Normal 12 5 2 4" xfId="8652"/>
    <cellStyle name="Normal 12 5 3" xfId="10887"/>
    <cellStyle name="Normal 12 5 3 2" xfId="14560"/>
    <cellStyle name="Normal 12 5 3 2 2" xfId="25703"/>
    <cellStyle name="Normal 12 5 3 3" xfId="20134"/>
    <cellStyle name="Normal 12 5 4" xfId="13130"/>
    <cellStyle name="Normal 12 5 4 2" xfId="24273"/>
    <cellStyle name="Normal 12 5 5" xfId="18704"/>
    <cellStyle name="Normal 12 5 6" xfId="6098"/>
    <cellStyle name="Normal 12 6" xfId="2546"/>
    <cellStyle name="Normal 12 6 2" xfId="4655"/>
    <cellStyle name="Normal 12 6 2 2" xfId="17268"/>
    <cellStyle name="Normal 12 6 2 2 2" xfId="28411"/>
    <cellStyle name="Normal 12 6 2 3" xfId="22842"/>
    <cellStyle name="Normal 12 6 2 4" xfId="8806"/>
    <cellStyle name="Normal 12 6 3" xfId="11444"/>
    <cellStyle name="Normal 12 6 3 2" xfId="15199"/>
    <cellStyle name="Normal 12 6 3 2 2" xfId="26342"/>
    <cellStyle name="Normal 12 6 3 3" xfId="20773"/>
    <cellStyle name="Normal 12 6 4" xfId="13769"/>
    <cellStyle name="Normal 12 6 4 2" xfId="24912"/>
    <cellStyle name="Normal 12 6 5" xfId="19343"/>
    <cellStyle name="Normal 12 6 6" xfId="6737"/>
    <cellStyle name="Normal 12 7" xfId="3184"/>
    <cellStyle name="Normal 12 7 2" xfId="5293"/>
    <cellStyle name="Normal 12 7 2 2" xfId="17906"/>
    <cellStyle name="Normal 12 7 2 2 2" xfId="29049"/>
    <cellStyle name="Normal 12 7 2 3" xfId="23480"/>
    <cellStyle name="Normal 12 7 2 4" xfId="9444"/>
    <cellStyle name="Normal 12 7 3" xfId="15837"/>
    <cellStyle name="Normal 12 7 3 2" xfId="26980"/>
    <cellStyle name="Normal 12 7 4" xfId="21411"/>
    <cellStyle name="Normal 12 7 5" xfId="7375"/>
    <cellStyle name="Normal 12 8" xfId="3863"/>
    <cellStyle name="Normal 12 8 2" xfId="16476"/>
    <cellStyle name="Normal 12 8 2 2" xfId="27619"/>
    <cellStyle name="Normal 12 8 3" xfId="22050"/>
    <cellStyle name="Normal 12 8 4" xfId="8014"/>
    <cellStyle name="Normal 12 9" xfId="10914"/>
    <cellStyle name="Normal 12 9 2" xfId="14407"/>
    <cellStyle name="Normal 12 9 2 2" xfId="25550"/>
    <cellStyle name="Normal 12 9 3" xfId="19981"/>
    <cellStyle name="Normal 13" xfId="476"/>
    <cellStyle name="Normal 13 2" xfId="860"/>
    <cellStyle name="Normal 13 2 2" xfId="1599"/>
    <cellStyle name="Normal 13 2 2 2" xfId="12695"/>
    <cellStyle name="Normal 13 2 3" xfId="11985"/>
    <cellStyle name="Normal 13 3" xfId="1244"/>
    <cellStyle name="Normal 13 3 2" xfId="12340"/>
    <cellStyle name="Normal 13 4" xfId="11630"/>
    <cellStyle name="Normal 14" xfId="655"/>
    <cellStyle name="Normal 14 2" xfId="1038"/>
    <cellStyle name="Normal 14 3" xfId="2467"/>
    <cellStyle name="Normal 15" xfId="1039"/>
    <cellStyle name="Normal 15 2" xfId="2119"/>
    <cellStyle name="Normal 15 3" xfId="2468"/>
    <cellStyle name="Normal 15 4" xfId="1930"/>
    <cellStyle name="Normal 15 5" xfId="10783"/>
    <cellStyle name="Normal 15 6" xfId="10417"/>
    <cellStyle name="Normal 16" xfId="2135"/>
    <cellStyle name="Normal 16 2" xfId="2311"/>
    <cellStyle name="Normal 17" xfId="2469"/>
    <cellStyle name="Normal 17 2" xfId="4578"/>
    <cellStyle name="Normal 17 2 2" xfId="17191"/>
    <cellStyle name="Normal 17 2 2 2" xfId="28334"/>
    <cellStyle name="Normal 17 2 3" xfId="22765"/>
    <cellStyle name="Normal 17 2 4" xfId="8729"/>
    <cellStyle name="Normal 17 3" xfId="3747"/>
    <cellStyle name="Normal 17 4" xfId="10296"/>
    <cellStyle name="Normal 17 4 2" xfId="15122"/>
    <cellStyle name="Normal 17 4 2 2" xfId="26265"/>
    <cellStyle name="Normal 17 4 3" xfId="20696"/>
    <cellStyle name="Normal 17 5" xfId="13692"/>
    <cellStyle name="Normal 17 5 2" xfId="24835"/>
    <cellStyle name="Normal 17 6" xfId="19266"/>
    <cellStyle name="Normal 17 7" xfId="6660"/>
    <cellStyle name="Normal 18" xfId="3746"/>
    <cellStyle name="Normal 18 2" xfId="16399"/>
    <cellStyle name="Normal 18 2 2" xfId="27542"/>
    <cellStyle name="Normal 18 3" xfId="21973"/>
    <cellStyle name="Normal 18 4" xfId="7937"/>
    <cellStyle name="Normal 19" xfId="5855"/>
    <cellStyle name="Normal 19 2" xfId="11112"/>
    <cellStyle name="Normal 2" xfId="41"/>
    <cellStyle name="Normal 2 10" xfId="2312"/>
    <cellStyle name="Normal 2 2" xfId="156"/>
    <cellStyle name="Normal 2 3" xfId="154"/>
    <cellStyle name="Normal 2 4" xfId="234"/>
    <cellStyle name="Normal 2 4 10" xfId="3820"/>
    <cellStyle name="Normal 2 4 10 2" xfId="16433"/>
    <cellStyle name="Normal 2 4 10 2 2" xfId="27576"/>
    <cellStyle name="Normal 2 4 10 3" xfId="22007"/>
    <cellStyle name="Normal 2 4 10 4" xfId="7971"/>
    <cellStyle name="Normal 2 4 11" xfId="10510"/>
    <cellStyle name="Normal 2 4 11 2" xfId="14364"/>
    <cellStyle name="Normal 2 4 11 2 2" xfId="25507"/>
    <cellStyle name="Normal 2 4 11 3" xfId="19938"/>
    <cellStyle name="Normal 2 4 12" xfId="12933"/>
    <cellStyle name="Normal 2 4 12 2" xfId="24077"/>
    <cellStyle name="Normal 2 4 13" xfId="18508"/>
    <cellStyle name="Normal 2 4 14" xfId="5901"/>
    <cellStyle name="Normal 2 4 2" xfId="272"/>
    <cellStyle name="Normal 2 4 2 10" xfId="11078"/>
    <cellStyle name="Normal 2 4 2 10 2" xfId="14402"/>
    <cellStyle name="Normal 2 4 2 10 2 2" xfId="25545"/>
    <cellStyle name="Normal 2 4 2 10 3" xfId="19976"/>
    <cellStyle name="Normal 2 4 2 11" xfId="12971"/>
    <cellStyle name="Normal 2 4 2 11 2" xfId="24115"/>
    <cellStyle name="Normal 2 4 2 12" xfId="18546"/>
    <cellStyle name="Normal 2 4 2 13" xfId="5939"/>
    <cellStyle name="Normal 2 4 2 2" xfId="348"/>
    <cellStyle name="Normal 2 4 2 2 10" xfId="13047"/>
    <cellStyle name="Normal 2 4 2 2 10 2" xfId="24191"/>
    <cellStyle name="Normal 2 4 2 2 11" xfId="18622"/>
    <cellStyle name="Normal 2 4 2 2 12" xfId="6015"/>
    <cellStyle name="Normal 2 4 2 2 2" xfId="2306"/>
    <cellStyle name="Normal 2 4 2 2 2 2" xfId="2950"/>
    <cellStyle name="Normal 2 4 2 2 2 2 2" xfId="5059"/>
    <cellStyle name="Normal 2 4 2 2 2 2 2 2" xfId="17672"/>
    <cellStyle name="Normal 2 4 2 2 2 2 2 2 2" xfId="28815"/>
    <cellStyle name="Normal 2 4 2 2 2 2 2 3" xfId="23246"/>
    <cellStyle name="Normal 2 4 2 2 2 2 2 4" xfId="9210"/>
    <cellStyle name="Normal 2 4 2 2 2 2 3" xfId="10275"/>
    <cellStyle name="Normal 2 4 2 2 2 2 3 2" xfId="15603"/>
    <cellStyle name="Normal 2 4 2 2 2 2 3 2 2" xfId="26746"/>
    <cellStyle name="Normal 2 4 2 2 2 2 3 3" xfId="21177"/>
    <cellStyle name="Normal 2 4 2 2 2 2 4" xfId="14173"/>
    <cellStyle name="Normal 2 4 2 2 2 2 4 2" xfId="25316"/>
    <cellStyle name="Normal 2 4 2 2 2 2 5" xfId="19747"/>
    <cellStyle name="Normal 2 4 2 2 2 2 6" xfId="7141"/>
    <cellStyle name="Normal 2 4 2 2 2 3" xfId="3588"/>
    <cellStyle name="Normal 2 4 2 2 2 3 2" xfId="5697"/>
    <cellStyle name="Normal 2 4 2 2 2 3 2 2" xfId="18310"/>
    <cellStyle name="Normal 2 4 2 2 2 3 2 2 2" xfId="29453"/>
    <cellStyle name="Normal 2 4 2 2 2 3 2 3" xfId="23884"/>
    <cellStyle name="Normal 2 4 2 2 2 3 2 4" xfId="9848"/>
    <cellStyle name="Normal 2 4 2 2 2 3 3" xfId="16241"/>
    <cellStyle name="Normal 2 4 2 2 2 3 3 2" xfId="27384"/>
    <cellStyle name="Normal 2 4 2 2 2 3 4" xfId="21815"/>
    <cellStyle name="Normal 2 4 2 2 2 3 5" xfId="7779"/>
    <cellStyle name="Normal 2 4 2 2 2 4" xfId="4267"/>
    <cellStyle name="Normal 2 4 2 2 2 4 2" xfId="16880"/>
    <cellStyle name="Normal 2 4 2 2 2 4 2 2" xfId="28023"/>
    <cellStyle name="Normal 2 4 2 2 2 4 3" xfId="22454"/>
    <cellStyle name="Normal 2 4 2 2 2 4 4" xfId="8418"/>
    <cellStyle name="Normal 2 4 2 2 2 5" xfId="11148"/>
    <cellStyle name="Normal 2 4 2 2 2 5 2" xfId="14964"/>
    <cellStyle name="Normal 2 4 2 2 2 5 2 2" xfId="26107"/>
    <cellStyle name="Normal 2 4 2 2 2 5 3" xfId="20538"/>
    <cellStyle name="Normal 2 4 2 2 2 6" xfId="13534"/>
    <cellStyle name="Normal 2 4 2 2 2 6 2" xfId="24677"/>
    <cellStyle name="Normal 2 4 2 2 2 7" xfId="19108"/>
    <cellStyle name="Normal 2 4 2 2 2 8" xfId="6502"/>
    <cellStyle name="Normal 2 4 2 2 3" xfId="2114"/>
    <cellStyle name="Normal 2 4 2 2 3 2" xfId="2769"/>
    <cellStyle name="Normal 2 4 2 2 3 2 2" xfId="4878"/>
    <cellStyle name="Normal 2 4 2 2 3 2 2 2" xfId="17491"/>
    <cellStyle name="Normal 2 4 2 2 3 2 2 2 2" xfId="28634"/>
    <cellStyle name="Normal 2 4 2 2 3 2 2 3" xfId="23065"/>
    <cellStyle name="Normal 2 4 2 2 3 2 2 4" xfId="9029"/>
    <cellStyle name="Normal 2 4 2 2 3 2 3" xfId="11053"/>
    <cellStyle name="Normal 2 4 2 2 3 2 3 2" xfId="15422"/>
    <cellStyle name="Normal 2 4 2 2 3 2 3 2 2" xfId="26565"/>
    <cellStyle name="Normal 2 4 2 2 3 2 3 3" xfId="20996"/>
    <cellStyle name="Normal 2 4 2 2 3 2 4" xfId="13992"/>
    <cellStyle name="Normal 2 4 2 2 3 2 4 2" xfId="25135"/>
    <cellStyle name="Normal 2 4 2 2 3 2 5" xfId="19566"/>
    <cellStyle name="Normal 2 4 2 2 3 2 6" xfId="6960"/>
    <cellStyle name="Normal 2 4 2 2 3 3" xfId="3407"/>
    <cellStyle name="Normal 2 4 2 2 3 3 2" xfId="5516"/>
    <cellStyle name="Normal 2 4 2 2 3 3 2 2" xfId="18129"/>
    <cellStyle name="Normal 2 4 2 2 3 3 2 2 2" xfId="29272"/>
    <cellStyle name="Normal 2 4 2 2 3 3 2 3" xfId="23703"/>
    <cellStyle name="Normal 2 4 2 2 3 3 2 4" xfId="9667"/>
    <cellStyle name="Normal 2 4 2 2 3 3 3" xfId="16060"/>
    <cellStyle name="Normal 2 4 2 2 3 3 3 2" xfId="27203"/>
    <cellStyle name="Normal 2 4 2 2 3 3 4" xfId="21634"/>
    <cellStyle name="Normal 2 4 2 2 3 3 5" xfId="7598"/>
    <cellStyle name="Normal 2 4 2 2 3 4" xfId="4086"/>
    <cellStyle name="Normal 2 4 2 2 3 4 2" xfId="16699"/>
    <cellStyle name="Normal 2 4 2 2 3 4 2 2" xfId="27842"/>
    <cellStyle name="Normal 2 4 2 2 3 4 3" xfId="22273"/>
    <cellStyle name="Normal 2 4 2 2 3 4 4" xfId="8237"/>
    <cellStyle name="Normal 2 4 2 2 3 5" xfId="11329"/>
    <cellStyle name="Normal 2 4 2 2 3 5 2" xfId="14783"/>
    <cellStyle name="Normal 2 4 2 2 3 5 2 2" xfId="25926"/>
    <cellStyle name="Normal 2 4 2 2 3 5 3" xfId="20357"/>
    <cellStyle name="Normal 2 4 2 2 3 6" xfId="13353"/>
    <cellStyle name="Normal 2 4 2 2 3 6 2" xfId="24496"/>
    <cellStyle name="Normal 2 4 2 2 3 7" xfId="18927"/>
    <cellStyle name="Normal 2 4 2 2 3 8" xfId="6321"/>
    <cellStyle name="Normal 2 4 2 2 4" xfId="2461"/>
    <cellStyle name="Normal 2 4 2 2 4 2" xfId="3102"/>
    <cellStyle name="Normal 2 4 2 2 4 2 2" xfId="5211"/>
    <cellStyle name="Normal 2 4 2 2 4 2 2 2" xfId="17824"/>
    <cellStyle name="Normal 2 4 2 2 4 2 2 2 2" xfId="28967"/>
    <cellStyle name="Normal 2 4 2 2 4 2 2 3" xfId="23398"/>
    <cellStyle name="Normal 2 4 2 2 4 2 2 4" xfId="9362"/>
    <cellStyle name="Normal 2 4 2 2 4 2 3" xfId="10619"/>
    <cellStyle name="Normal 2 4 2 2 4 2 3 2" xfId="15755"/>
    <cellStyle name="Normal 2 4 2 2 4 2 3 2 2" xfId="26898"/>
    <cellStyle name="Normal 2 4 2 2 4 2 3 3" xfId="21329"/>
    <cellStyle name="Normal 2 4 2 2 4 2 4" xfId="14325"/>
    <cellStyle name="Normal 2 4 2 2 4 2 4 2" xfId="25468"/>
    <cellStyle name="Normal 2 4 2 2 4 2 5" xfId="19899"/>
    <cellStyle name="Normal 2 4 2 2 4 2 6" xfId="7293"/>
    <cellStyle name="Normal 2 4 2 2 4 3" xfId="3740"/>
    <cellStyle name="Normal 2 4 2 2 4 3 2" xfId="5849"/>
    <cellStyle name="Normal 2 4 2 2 4 3 2 2" xfId="18462"/>
    <cellStyle name="Normal 2 4 2 2 4 3 2 2 2" xfId="29605"/>
    <cellStyle name="Normal 2 4 2 2 4 3 2 3" xfId="24036"/>
    <cellStyle name="Normal 2 4 2 2 4 3 2 4" xfId="10000"/>
    <cellStyle name="Normal 2 4 2 2 4 3 3" xfId="16393"/>
    <cellStyle name="Normal 2 4 2 2 4 3 3 2" xfId="27536"/>
    <cellStyle name="Normal 2 4 2 2 4 3 4" xfId="21967"/>
    <cellStyle name="Normal 2 4 2 2 4 3 5" xfId="7931"/>
    <cellStyle name="Normal 2 4 2 2 4 4" xfId="4419"/>
    <cellStyle name="Normal 2 4 2 2 4 4 2" xfId="17032"/>
    <cellStyle name="Normal 2 4 2 2 4 4 2 2" xfId="28175"/>
    <cellStyle name="Normal 2 4 2 2 4 4 3" xfId="22606"/>
    <cellStyle name="Normal 2 4 2 2 4 4 4" xfId="8570"/>
    <cellStyle name="Normal 2 4 2 2 4 5" xfId="10855"/>
    <cellStyle name="Normal 2 4 2 2 4 5 2" xfId="15116"/>
    <cellStyle name="Normal 2 4 2 2 4 5 2 2" xfId="26259"/>
    <cellStyle name="Normal 2 4 2 2 4 5 3" xfId="20690"/>
    <cellStyle name="Normal 2 4 2 2 4 6" xfId="13686"/>
    <cellStyle name="Normal 2 4 2 2 4 6 2" xfId="24829"/>
    <cellStyle name="Normal 2 4 2 2 4 7" xfId="19260"/>
    <cellStyle name="Normal 2 4 2 2 4 8" xfId="6654"/>
    <cellStyle name="Normal 2 4 2 2 5" xfId="1924"/>
    <cellStyle name="Normal 2 4 2 2 5 2" xfId="4572"/>
    <cellStyle name="Normal 2 4 2 2 5 2 2" xfId="17185"/>
    <cellStyle name="Normal 2 4 2 2 5 2 2 2" xfId="28328"/>
    <cellStyle name="Normal 2 4 2 2 5 2 3" xfId="22759"/>
    <cellStyle name="Normal 2 4 2 2 5 2 4" xfId="8723"/>
    <cellStyle name="Normal 2 4 2 2 5 3" xfId="10785"/>
    <cellStyle name="Normal 2 4 2 2 5 3 2" xfId="14631"/>
    <cellStyle name="Normal 2 4 2 2 5 3 2 2" xfId="25774"/>
    <cellStyle name="Normal 2 4 2 2 5 3 3" xfId="20205"/>
    <cellStyle name="Normal 2 4 2 2 5 4" xfId="13201"/>
    <cellStyle name="Normal 2 4 2 2 5 4 2" xfId="24344"/>
    <cellStyle name="Normal 2 4 2 2 5 5" xfId="18775"/>
    <cellStyle name="Normal 2 4 2 2 5 6" xfId="6169"/>
    <cellStyle name="Normal 2 4 2 2 6" xfId="2617"/>
    <cellStyle name="Normal 2 4 2 2 6 2" xfId="4726"/>
    <cellStyle name="Normal 2 4 2 2 6 2 2" xfId="17339"/>
    <cellStyle name="Normal 2 4 2 2 6 2 2 2" xfId="28482"/>
    <cellStyle name="Normal 2 4 2 2 6 2 3" xfId="22913"/>
    <cellStyle name="Normal 2 4 2 2 6 2 4" xfId="8877"/>
    <cellStyle name="Normal 2 4 2 2 6 3" xfId="11147"/>
    <cellStyle name="Normal 2 4 2 2 6 3 2" xfId="15270"/>
    <cellStyle name="Normal 2 4 2 2 6 3 2 2" xfId="26413"/>
    <cellStyle name="Normal 2 4 2 2 6 3 3" xfId="20844"/>
    <cellStyle name="Normal 2 4 2 2 6 4" xfId="13840"/>
    <cellStyle name="Normal 2 4 2 2 6 4 2" xfId="24983"/>
    <cellStyle name="Normal 2 4 2 2 6 5" xfId="19414"/>
    <cellStyle name="Normal 2 4 2 2 6 6" xfId="6808"/>
    <cellStyle name="Normal 2 4 2 2 7" xfId="3255"/>
    <cellStyle name="Normal 2 4 2 2 7 2" xfId="5364"/>
    <cellStyle name="Normal 2 4 2 2 7 2 2" xfId="17977"/>
    <cellStyle name="Normal 2 4 2 2 7 2 2 2" xfId="29120"/>
    <cellStyle name="Normal 2 4 2 2 7 2 3" xfId="23551"/>
    <cellStyle name="Normal 2 4 2 2 7 2 4" xfId="9515"/>
    <cellStyle name="Normal 2 4 2 2 7 3" xfId="15908"/>
    <cellStyle name="Normal 2 4 2 2 7 3 2" xfId="27051"/>
    <cellStyle name="Normal 2 4 2 2 7 4" xfId="21482"/>
    <cellStyle name="Normal 2 4 2 2 7 5" xfId="7446"/>
    <cellStyle name="Normal 2 4 2 2 8" xfId="3934"/>
    <cellStyle name="Normal 2 4 2 2 8 2" xfId="16547"/>
    <cellStyle name="Normal 2 4 2 2 8 2 2" xfId="27690"/>
    <cellStyle name="Normal 2 4 2 2 8 3" xfId="22121"/>
    <cellStyle name="Normal 2 4 2 2 8 4" xfId="8085"/>
    <cellStyle name="Normal 2 4 2 2 9" xfId="10864"/>
    <cellStyle name="Normal 2 4 2 2 9 2" xfId="14478"/>
    <cellStyle name="Normal 2 4 2 2 9 2 2" xfId="25621"/>
    <cellStyle name="Normal 2 4 2 2 9 3" xfId="20052"/>
    <cellStyle name="Normal 2 4 2 3" xfId="2230"/>
    <cellStyle name="Normal 2 4 2 3 2" xfId="2874"/>
    <cellStyle name="Normal 2 4 2 3 2 2" xfId="4983"/>
    <cellStyle name="Normal 2 4 2 3 2 2 2" xfId="17596"/>
    <cellStyle name="Normal 2 4 2 3 2 2 2 2" xfId="28739"/>
    <cellStyle name="Normal 2 4 2 3 2 2 3" xfId="23170"/>
    <cellStyle name="Normal 2 4 2 3 2 2 4" xfId="9134"/>
    <cellStyle name="Normal 2 4 2 3 2 3" xfId="11109"/>
    <cellStyle name="Normal 2 4 2 3 2 3 2" xfId="15527"/>
    <cellStyle name="Normal 2 4 2 3 2 3 2 2" xfId="26670"/>
    <cellStyle name="Normal 2 4 2 3 2 3 3" xfId="21101"/>
    <cellStyle name="Normal 2 4 2 3 2 4" xfId="14097"/>
    <cellStyle name="Normal 2 4 2 3 2 4 2" xfId="25240"/>
    <cellStyle name="Normal 2 4 2 3 2 5" xfId="19671"/>
    <cellStyle name="Normal 2 4 2 3 2 6" xfId="7065"/>
    <cellStyle name="Normal 2 4 2 3 3" xfId="3512"/>
    <cellStyle name="Normal 2 4 2 3 3 2" xfId="5621"/>
    <cellStyle name="Normal 2 4 2 3 3 2 2" xfId="18234"/>
    <cellStyle name="Normal 2 4 2 3 3 2 2 2" xfId="29377"/>
    <cellStyle name="Normal 2 4 2 3 3 2 3" xfId="23808"/>
    <cellStyle name="Normal 2 4 2 3 3 2 4" xfId="9772"/>
    <cellStyle name="Normal 2 4 2 3 3 3" xfId="16165"/>
    <cellStyle name="Normal 2 4 2 3 3 3 2" xfId="27308"/>
    <cellStyle name="Normal 2 4 2 3 3 4" xfId="21739"/>
    <cellStyle name="Normal 2 4 2 3 3 5" xfId="7703"/>
    <cellStyle name="Normal 2 4 2 3 4" xfId="4191"/>
    <cellStyle name="Normal 2 4 2 3 4 2" xfId="16804"/>
    <cellStyle name="Normal 2 4 2 3 4 2 2" xfId="27947"/>
    <cellStyle name="Normal 2 4 2 3 4 3" xfId="22378"/>
    <cellStyle name="Normal 2 4 2 3 4 4" xfId="8342"/>
    <cellStyle name="Normal 2 4 2 3 5" xfId="11092"/>
    <cellStyle name="Normal 2 4 2 3 5 2" xfId="14888"/>
    <cellStyle name="Normal 2 4 2 3 5 2 2" xfId="26031"/>
    <cellStyle name="Normal 2 4 2 3 5 3" xfId="20462"/>
    <cellStyle name="Normal 2 4 2 3 6" xfId="13458"/>
    <cellStyle name="Normal 2 4 2 3 6 2" xfId="24601"/>
    <cellStyle name="Normal 2 4 2 3 7" xfId="19032"/>
    <cellStyle name="Normal 2 4 2 3 8" xfId="6426"/>
    <cellStyle name="Normal 2 4 2 4" xfId="2038"/>
    <cellStyle name="Normal 2 4 2 4 2" xfId="2693"/>
    <cellStyle name="Normal 2 4 2 4 2 2" xfId="4802"/>
    <cellStyle name="Normal 2 4 2 4 2 2 2" xfId="17415"/>
    <cellStyle name="Normal 2 4 2 4 2 2 2 2" xfId="28558"/>
    <cellStyle name="Normal 2 4 2 4 2 2 3" xfId="22989"/>
    <cellStyle name="Normal 2 4 2 4 2 2 4" xfId="8953"/>
    <cellStyle name="Normal 2 4 2 4 2 3" xfId="10578"/>
    <cellStyle name="Normal 2 4 2 4 2 3 2" xfId="15346"/>
    <cellStyle name="Normal 2 4 2 4 2 3 2 2" xfId="26489"/>
    <cellStyle name="Normal 2 4 2 4 2 3 3" xfId="20920"/>
    <cellStyle name="Normal 2 4 2 4 2 4" xfId="13916"/>
    <cellStyle name="Normal 2 4 2 4 2 4 2" xfId="25059"/>
    <cellStyle name="Normal 2 4 2 4 2 5" xfId="19490"/>
    <cellStyle name="Normal 2 4 2 4 2 6" xfId="6884"/>
    <cellStyle name="Normal 2 4 2 4 3" xfId="3331"/>
    <cellStyle name="Normal 2 4 2 4 3 2" xfId="5440"/>
    <cellStyle name="Normal 2 4 2 4 3 2 2" xfId="18053"/>
    <cellStyle name="Normal 2 4 2 4 3 2 2 2" xfId="29196"/>
    <cellStyle name="Normal 2 4 2 4 3 2 3" xfId="23627"/>
    <cellStyle name="Normal 2 4 2 4 3 2 4" xfId="9591"/>
    <cellStyle name="Normal 2 4 2 4 3 3" xfId="15984"/>
    <cellStyle name="Normal 2 4 2 4 3 3 2" xfId="27127"/>
    <cellStyle name="Normal 2 4 2 4 3 4" xfId="21558"/>
    <cellStyle name="Normal 2 4 2 4 3 5" xfId="7522"/>
    <cellStyle name="Normal 2 4 2 4 4" xfId="4010"/>
    <cellStyle name="Normal 2 4 2 4 4 2" xfId="16623"/>
    <cellStyle name="Normal 2 4 2 4 4 2 2" xfId="27766"/>
    <cellStyle name="Normal 2 4 2 4 4 3" xfId="22197"/>
    <cellStyle name="Normal 2 4 2 4 4 4" xfId="8161"/>
    <cellStyle name="Normal 2 4 2 4 5" xfId="10459"/>
    <cellStyle name="Normal 2 4 2 4 5 2" xfId="14707"/>
    <cellStyle name="Normal 2 4 2 4 5 2 2" xfId="25850"/>
    <cellStyle name="Normal 2 4 2 4 5 3" xfId="20281"/>
    <cellStyle name="Normal 2 4 2 4 6" xfId="13277"/>
    <cellStyle name="Normal 2 4 2 4 6 2" xfId="24420"/>
    <cellStyle name="Normal 2 4 2 4 7" xfId="18851"/>
    <cellStyle name="Normal 2 4 2 4 8" xfId="6245"/>
    <cellStyle name="Normal 2 4 2 5" xfId="2385"/>
    <cellStyle name="Normal 2 4 2 5 2" xfId="3026"/>
    <cellStyle name="Normal 2 4 2 5 2 2" xfId="5135"/>
    <cellStyle name="Normal 2 4 2 5 2 2 2" xfId="17748"/>
    <cellStyle name="Normal 2 4 2 5 2 2 2 2" xfId="28891"/>
    <cellStyle name="Normal 2 4 2 5 2 2 3" xfId="23322"/>
    <cellStyle name="Normal 2 4 2 5 2 2 4" xfId="9286"/>
    <cellStyle name="Normal 2 4 2 5 2 3" xfId="11206"/>
    <cellStyle name="Normal 2 4 2 5 2 3 2" xfId="15679"/>
    <cellStyle name="Normal 2 4 2 5 2 3 2 2" xfId="26822"/>
    <cellStyle name="Normal 2 4 2 5 2 3 3" xfId="21253"/>
    <cellStyle name="Normal 2 4 2 5 2 4" xfId="14249"/>
    <cellStyle name="Normal 2 4 2 5 2 4 2" xfId="25392"/>
    <cellStyle name="Normal 2 4 2 5 2 5" xfId="19823"/>
    <cellStyle name="Normal 2 4 2 5 2 6" xfId="7217"/>
    <cellStyle name="Normal 2 4 2 5 3" xfId="3664"/>
    <cellStyle name="Normal 2 4 2 5 3 2" xfId="5773"/>
    <cellStyle name="Normal 2 4 2 5 3 2 2" xfId="18386"/>
    <cellStyle name="Normal 2 4 2 5 3 2 2 2" xfId="29529"/>
    <cellStyle name="Normal 2 4 2 5 3 2 3" xfId="23960"/>
    <cellStyle name="Normal 2 4 2 5 3 2 4" xfId="9924"/>
    <cellStyle name="Normal 2 4 2 5 3 3" xfId="16317"/>
    <cellStyle name="Normal 2 4 2 5 3 3 2" xfId="27460"/>
    <cellStyle name="Normal 2 4 2 5 3 4" xfId="21891"/>
    <cellStyle name="Normal 2 4 2 5 3 5" xfId="7855"/>
    <cellStyle name="Normal 2 4 2 5 4" xfId="4343"/>
    <cellStyle name="Normal 2 4 2 5 4 2" xfId="16956"/>
    <cellStyle name="Normal 2 4 2 5 4 2 2" xfId="28099"/>
    <cellStyle name="Normal 2 4 2 5 4 3" xfId="22530"/>
    <cellStyle name="Normal 2 4 2 5 4 4" xfId="8494"/>
    <cellStyle name="Normal 2 4 2 5 5" xfId="11409"/>
    <cellStyle name="Normal 2 4 2 5 5 2" xfId="15040"/>
    <cellStyle name="Normal 2 4 2 5 5 2 2" xfId="26183"/>
    <cellStyle name="Normal 2 4 2 5 5 3" xfId="20614"/>
    <cellStyle name="Normal 2 4 2 5 6" xfId="13610"/>
    <cellStyle name="Normal 2 4 2 5 6 2" xfId="24753"/>
    <cellStyle name="Normal 2 4 2 5 7" xfId="19184"/>
    <cellStyle name="Normal 2 4 2 5 8" xfId="6578"/>
    <cellStyle name="Normal 2 4 2 6" xfId="1848"/>
    <cellStyle name="Normal 2 4 2 6 2" xfId="4496"/>
    <cellStyle name="Normal 2 4 2 6 2 2" xfId="17109"/>
    <cellStyle name="Normal 2 4 2 6 2 2 2" xfId="28252"/>
    <cellStyle name="Normal 2 4 2 6 2 3" xfId="22683"/>
    <cellStyle name="Normal 2 4 2 6 2 4" xfId="8647"/>
    <cellStyle name="Normal 2 4 2 6 3" xfId="11168"/>
    <cellStyle name="Normal 2 4 2 6 3 2" xfId="14555"/>
    <cellStyle name="Normal 2 4 2 6 3 2 2" xfId="25698"/>
    <cellStyle name="Normal 2 4 2 6 3 3" xfId="20129"/>
    <cellStyle name="Normal 2 4 2 6 4" xfId="13125"/>
    <cellStyle name="Normal 2 4 2 6 4 2" xfId="24268"/>
    <cellStyle name="Normal 2 4 2 6 5" xfId="18699"/>
    <cellStyle name="Normal 2 4 2 6 6" xfId="6093"/>
    <cellStyle name="Normal 2 4 2 7" xfId="2541"/>
    <cellStyle name="Normal 2 4 2 7 2" xfId="4650"/>
    <cellStyle name="Normal 2 4 2 7 2 2" xfId="17263"/>
    <cellStyle name="Normal 2 4 2 7 2 2 2" xfId="28406"/>
    <cellStyle name="Normal 2 4 2 7 2 3" xfId="22837"/>
    <cellStyle name="Normal 2 4 2 7 2 4" xfId="8801"/>
    <cellStyle name="Normal 2 4 2 7 3" xfId="10261"/>
    <cellStyle name="Normal 2 4 2 7 3 2" xfId="15194"/>
    <cellStyle name="Normal 2 4 2 7 3 2 2" xfId="26337"/>
    <cellStyle name="Normal 2 4 2 7 3 3" xfId="20768"/>
    <cellStyle name="Normal 2 4 2 7 4" xfId="13764"/>
    <cellStyle name="Normal 2 4 2 7 4 2" xfId="24907"/>
    <cellStyle name="Normal 2 4 2 7 5" xfId="19338"/>
    <cellStyle name="Normal 2 4 2 7 6" xfId="6732"/>
    <cellStyle name="Normal 2 4 2 8" xfId="3179"/>
    <cellStyle name="Normal 2 4 2 8 2" xfId="5288"/>
    <cellStyle name="Normal 2 4 2 8 2 2" xfId="17901"/>
    <cellStyle name="Normal 2 4 2 8 2 2 2" xfId="29044"/>
    <cellStyle name="Normal 2 4 2 8 2 3" xfId="23475"/>
    <cellStyle name="Normal 2 4 2 8 2 4" xfId="9439"/>
    <cellStyle name="Normal 2 4 2 8 3" xfId="15832"/>
    <cellStyle name="Normal 2 4 2 8 3 2" xfId="26975"/>
    <cellStyle name="Normal 2 4 2 8 4" xfId="21406"/>
    <cellStyle name="Normal 2 4 2 8 5" xfId="7370"/>
    <cellStyle name="Normal 2 4 2 9" xfId="3858"/>
    <cellStyle name="Normal 2 4 2 9 2" xfId="16471"/>
    <cellStyle name="Normal 2 4 2 9 2 2" xfId="27614"/>
    <cellStyle name="Normal 2 4 2 9 3" xfId="22045"/>
    <cellStyle name="Normal 2 4 2 9 4" xfId="8009"/>
    <cellStyle name="Normal 2 4 3" xfId="310"/>
    <cellStyle name="Normal 2 4 3 10" xfId="13009"/>
    <cellStyle name="Normal 2 4 3 10 2" xfId="24153"/>
    <cellStyle name="Normal 2 4 3 11" xfId="18584"/>
    <cellStyle name="Normal 2 4 3 12" xfId="5977"/>
    <cellStyle name="Normal 2 4 3 2" xfId="2268"/>
    <cellStyle name="Normal 2 4 3 2 2" xfId="2912"/>
    <cellStyle name="Normal 2 4 3 2 2 2" xfId="5021"/>
    <cellStyle name="Normal 2 4 3 2 2 2 2" xfId="17634"/>
    <cellStyle name="Normal 2 4 3 2 2 2 2 2" xfId="28777"/>
    <cellStyle name="Normal 2 4 3 2 2 2 3" xfId="23208"/>
    <cellStyle name="Normal 2 4 3 2 2 2 4" xfId="9172"/>
    <cellStyle name="Normal 2 4 3 2 2 3" xfId="10856"/>
    <cellStyle name="Normal 2 4 3 2 2 3 2" xfId="15565"/>
    <cellStyle name="Normal 2 4 3 2 2 3 2 2" xfId="26708"/>
    <cellStyle name="Normal 2 4 3 2 2 3 3" xfId="21139"/>
    <cellStyle name="Normal 2 4 3 2 2 4" xfId="14135"/>
    <cellStyle name="Normal 2 4 3 2 2 4 2" xfId="25278"/>
    <cellStyle name="Normal 2 4 3 2 2 5" xfId="19709"/>
    <cellStyle name="Normal 2 4 3 2 2 6" xfId="7103"/>
    <cellStyle name="Normal 2 4 3 2 3" xfId="3550"/>
    <cellStyle name="Normal 2 4 3 2 3 2" xfId="5659"/>
    <cellStyle name="Normal 2 4 3 2 3 2 2" xfId="18272"/>
    <cellStyle name="Normal 2 4 3 2 3 2 2 2" xfId="29415"/>
    <cellStyle name="Normal 2 4 3 2 3 2 3" xfId="23846"/>
    <cellStyle name="Normal 2 4 3 2 3 2 4" xfId="9810"/>
    <cellStyle name="Normal 2 4 3 2 3 3" xfId="16203"/>
    <cellStyle name="Normal 2 4 3 2 3 3 2" xfId="27346"/>
    <cellStyle name="Normal 2 4 3 2 3 4" xfId="21777"/>
    <cellStyle name="Normal 2 4 3 2 3 5" xfId="7741"/>
    <cellStyle name="Normal 2 4 3 2 4" xfId="4229"/>
    <cellStyle name="Normal 2 4 3 2 4 2" xfId="16842"/>
    <cellStyle name="Normal 2 4 3 2 4 2 2" xfId="27985"/>
    <cellStyle name="Normal 2 4 3 2 4 3" xfId="22416"/>
    <cellStyle name="Normal 2 4 3 2 4 4" xfId="8380"/>
    <cellStyle name="Normal 2 4 3 2 5" xfId="10898"/>
    <cellStyle name="Normal 2 4 3 2 5 2" xfId="14926"/>
    <cellStyle name="Normal 2 4 3 2 5 2 2" xfId="26069"/>
    <cellStyle name="Normal 2 4 3 2 5 3" xfId="20500"/>
    <cellStyle name="Normal 2 4 3 2 6" xfId="13496"/>
    <cellStyle name="Normal 2 4 3 2 6 2" xfId="24639"/>
    <cellStyle name="Normal 2 4 3 2 7" xfId="19070"/>
    <cellStyle name="Normal 2 4 3 2 8" xfId="6464"/>
    <cellStyle name="Normal 2 4 3 3" xfId="2076"/>
    <cellStyle name="Normal 2 4 3 3 2" xfId="2731"/>
    <cellStyle name="Normal 2 4 3 3 2 2" xfId="4840"/>
    <cellStyle name="Normal 2 4 3 3 2 2 2" xfId="17453"/>
    <cellStyle name="Normal 2 4 3 3 2 2 2 2" xfId="28596"/>
    <cellStyle name="Normal 2 4 3 3 2 2 3" xfId="23027"/>
    <cellStyle name="Normal 2 4 3 3 2 2 4" xfId="8991"/>
    <cellStyle name="Normal 2 4 3 3 2 3" xfId="10908"/>
    <cellStyle name="Normal 2 4 3 3 2 3 2" xfId="15384"/>
    <cellStyle name="Normal 2 4 3 3 2 3 2 2" xfId="26527"/>
    <cellStyle name="Normal 2 4 3 3 2 3 3" xfId="20958"/>
    <cellStyle name="Normal 2 4 3 3 2 4" xfId="13954"/>
    <cellStyle name="Normal 2 4 3 3 2 4 2" xfId="25097"/>
    <cellStyle name="Normal 2 4 3 3 2 5" xfId="19528"/>
    <cellStyle name="Normal 2 4 3 3 2 6" xfId="6922"/>
    <cellStyle name="Normal 2 4 3 3 3" xfId="3369"/>
    <cellStyle name="Normal 2 4 3 3 3 2" xfId="5478"/>
    <cellStyle name="Normal 2 4 3 3 3 2 2" xfId="18091"/>
    <cellStyle name="Normal 2 4 3 3 3 2 2 2" xfId="29234"/>
    <cellStyle name="Normal 2 4 3 3 3 2 3" xfId="23665"/>
    <cellStyle name="Normal 2 4 3 3 3 2 4" xfId="9629"/>
    <cellStyle name="Normal 2 4 3 3 3 3" xfId="16022"/>
    <cellStyle name="Normal 2 4 3 3 3 3 2" xfId="27165"/>
    <cellStyle name="Normal 2 4 3 3 3 4" xfId="21596"/>
    <cellStyle name="Normal 2 4 3 3 3 5" xfId="7560"/>
    <cellStyle name="Normal 2 4 3 3 4" xfId="4048"/>
    <cellStyle name="Normal 2 4 3 3 4 2" xfId="16661"/>
    <cellStyle name="Normal 2 4 3 3 4 2 2" xfId="27804"/>
    <cellStyle name="Normal 2 4 3 3 4 3" xfId="22235"/>
    <cellStyle name="Normal 2 4 3 3 4 4" xfId="8199"/>
    <cellStyle name="Normal 2 4 3 3 5" xfId="10690"/>
    <cellStyle name="Normal 2 4 3 3 5 2" xfId="14745"/>
    <cellStyle name="Normal 2 4 3 3 5 2 2" xfId="25888"/>
    <cellStyle name="Normal 2 4 3 3 5 3" xfId="20319"/>
    <cellStyle name="Normal 2 4 3 3 6" xfId="13315"/>
    <cellStyle name="Normal 2 4 3 3 6 2" xfId="24458"/>
    <cellStyle name="Normal 2 4 3 3 7" xfId="18889"/>
    <cellStyle name="Normal 2 4 3 3 8" xfId="6283"/>
    <cellStyle name="Normal 2 4 3 4" xfId="2423"/>
    <cellStyle name="Normal 2 4 3 4 2" xfId="3064"/>
    <cellStyle name="Normal 2 4 3 4 2 2" xfId="5173"/>
    <cellStyle name="Normal 2 4 3 4 2 2 2" xfId="17786"/>
    <cellStyle name="Normal 2 4 3 4 2 2 2 2" xfId="28929"/>
    <cellStyle name="Normal 2 4 3 4 2 2 3" xfId="23360"/>
    <cellStyle name="Normal 2 4 3 4 2 2 4" xfId="9324"/>
    <cellStyle name="Normal 2 4 3 4 2 3" xfId="11275"/>
    <cellStyle name="Normal 2 4 3 4 2 3 2" xfId="15717"/>
    <cellStyle name="Normal 2 4 3 4 2 3 2 2" xfId="26860"/>
    <cellStyle name="Normal 2 4 3 4 2 3 3" xfId="21291"/>
    <cellStyle name="Normal 2 4 3 4 2 4" xfId="14287"/>
    <cellStyle name="Normal 2 4 3 4 2 4 2" xfId="25430"/>
    <cellStyle name="Normal 2 4 3 4 2 5" xfId="19861"/>
    <cellStyle name="Normal 2 4 3 4 2 6" xfId="7255"/>
    <cellStyle name="Normal 2 4 3 4 3" xfId="3702"/>
    <cellStyle name="Normal 2 4 3 4 3 2" xfId="5811"/>
    <cellStyle name="Normal 2 4 3 4 3 2 2" xfId="18424"/>
    <cellStyle name="Normal 2 4 3 4 3 2 2 2" xfId="29567"/>
    <cellStyle name="Normal 2 4 3 4 3 2 3" xfId="23998"/>
    <cellStyle name="Normal 2 4 3 4 3 2 4" xfId="9962"/>
    <cellStyle name="Normal 2 4 3 4 3 3" xfId="16355"/>
    <cellStyle name="Normal 2 4 3 4 3 3 2" xfId="27498"/>
    <cellStyle name="Normal 2 4 3 4 3 4" xfId="21929"/>
    <cellStyle name="Normal 2 4 3 4 3 5" xfId="7893"/>
    <cellStyle name="Normal 2 4 3 4 4" xfId="4381"/>
    <cellStyle name="Normal 2 4 3 4 4 2" xfId="16994"/>
    <cellStyle name="Normal 2 4 3 4 4 2 2" xfId="28137"/>
    <cellStyle name="Normal 2 4 3 4 4 3" xfId="22568"/>
    <cellStyle name="Normal 2 4 3 4 4 4" xfId="8532"/>
    <cellStyle name="Normal 2 4 3 4 5" xfId="11086"/>
    <cellStyle name="Normal 2 4 3 4 5 2" xfId="15078"/>
    <cellStyle name="Normal 2 4 3 4 5 2 2" xfId="26221"/>
    <cellStyle name="Normal 2 4 3 4 5 3" xfId="20652"/>
    <cellStyle name="Normal 2 4 3 4 6" xfId="13648"/>
    <cellStyle name="Normal 2 4 3 4 6 2" xfId="24791"/>
    <cellStyle name="Normal 2 4 3 4 7" xfId="19222"/>
    <cellStyle name="Normal 2 4 3 4 8" xfId="6616"/>
    <cellStyle name="Normal 2 4 3 5" xfId="1886"/>
    <cellStyle name="Normal 2 4 3 5 2" xfId="4534"/>
    <cellStyle name="Normal 2 4 3 5 2 2" xfId="17147"/>
    <cellStyle name="Normal 2 4 3 5 2 2 2" xfId="28290"/>
    <cellStyle name="Normal 2 4 3 5 2 3" xfId="22721"/>
    <cellStyle name="Normal 2 4 3 5 2 4" xfId="8685"/>
    <cellStyle name="Normal 2 4 3 5 3" xfId="10933"/>
    <cellStyle name="Normal 2 4 3 5 3 2" xfId="14593"/>
    <cellStyle name="Normal 2 4 3 5 3 2 2" xfId="25736"/>
    <cellStyle name="Normal 2 4 3 5 3 3" xfId="20167"/>
    <cellStyle name="Normal 2 4 3 5 4" xfId="13163"/>
    <cellStyle name="Normal 2 4 3 5 4 2" xfId="24306"/>
    <cellStyle name="Normal 2 4 3 5 5" xfId="18737"/>
    <cellStyle name="Normal 2 4 3 5 6" xfId="6131"/>
    <cellStyle name="Normal 2 4 3 6" xfId="2579"/>
    <cellStyle name="Normal 2 4 3 6 2" xfId="4688"/>
    <cellStyle name="Normal 2 4 3 6 2 2" xfId="17301"/>
    <cellStyle name="Normal 2 4 3 6 2 2 2" xfId="28444"/>
    <cellStyle name="Normal 2 4 3 6 2 3" xfId="22875"/>
    <cellStyle name="Normal 2 4 3 6 2 4" xfId="8839"/>
    <cellStyle name="Normal 2 4 3 6 3" xfId="10730"/>
    <cellStyle name="Normal 2 4 3 6 3 2" xfId="15232"/>
    <cellStyle name="Normal 2 4 3 6 3 2 2" xfId="26375"/>
    <cellStyle name="Normal 2 4 3 6 3 3" xfId="20806"/>
    <cellStyle name="Normal 2 4 3 6 4" xfId="13802"/>
    <cellStyle name="Normal 2 4 3 6 4 2" xfId="24945"/>
    <cellStyle name="Normal 2 4 3 6 5" xfId="19376"/>
    <cellStyle name="Normal 2 4 3 6 6" xfId="6770"/>
    <cellStyle name="Normal 2 4 3 7" xfId="3217"/>
    <cellStyle name="Normal 2 4 3 7 2" xfId="5326"/>
    <cellStyle name="Normal 2 4 3 7 2 2" xfId="17939"/>
    <cellStyle name="Normal 2 4 3 7 2 2 2" xfId="29082"/>
    <cellStyle name="Normal 2 4 3 7 2 3" xfId="23513"/>
    <cellStyle name="Normal 2 4 3 7 2 4" xfId="9477"/>
    <cellStyle name="Normal 2 4 3 7 3" xfId="15870"/>
    <cellStyle name="Normal 2 4 3 7 3 2" xfId="27013"/>
    <cellStyle name="Normal 2 4 3 7 4" xfId="21444"/>
    <cellStyle name="Normal 2 4 3 7 5" xfId="7408"/>
    <cellStyle name="Normal 2 4 3 8" xfId="3896"/>
    <cellStyle name="Normal 2 4 3 8 2" xfId="16509"/>
    <cellStyle name="Normal 2 4 3 8 2 2" xfId="27652"/>
    <cellStyle name="Normal 2 4 3 8 3" xfId="22083"/>
    <cellStyle name="Normal 2 4 3 8 4" xfId="8047"/>
    <cellStyle name="Normal 2 4 3 9" xfId="11372"/>
    <cellStyle name="Normal 2 4 3 9 2" xfId="14440"/>
    <cellStyle name="Normal 2 4 3 9 2 2" xfId="25583"/>
    <cellStyle name="Normal 2 4 3 9 3" xfId="20014"/>
    <cellStyle name="Normal 2 4 4" xfId="2192"/>
    <cellStyle name="Normal 2 4 4 2" xfId="2836"/>
    <cellStyle name="Normal 2 4 4 2 2" xfId="4945"/>
    <cellStyle name="Normal 2 4 4 2 2 2" xfId="17558"/>
    <cellStyle name="Normal 2 4 4 2 2 2 2" xfId="28701"/>
    <cellStyle name="Normal 2 4 4 2 2 3" xfId="23132"/>
    <cellStyle name="Normal 2 4 4 2 2 4" xfId="9096"/>
    <cellStyle name="Normal 2 4 4 2 3" xfId="10329"/>
    <cellStyle name="Normal 2 4 4 2 3 2" xfId="15489"/>
    <cellStyle name="Normal 2 4 4 2 3 2 2" xfId="26632"/>
    <cellStyle name="Normal 2 4 4 2 3 3" xfId="21063"/>
    <cellStyle name="Normal 2 4 4 2 4" xfId="14059"/>
    <cellStyle name="Normal 2 4 4 2 4 2" xfId="25202"/>
    <cellStyle name="Normal 2 4 4 2 5" xfId="19633"/>
    <cellStyle name="Normal 2 4 4 2 6" xfId="7027"/>
    <cellStyle name="Normal 2 4 4 3" xfId="3474"/>
    <cellStyle name="Normal 2 4 4 3 2" xfId="5583"/>
    <cellStyle name="Normal 2 4 4 3 2 2" xfId="18196"/>
    <cellStyle name="Normal 2 4 4 3 2 2 2" xfId="29339"/>
    <cellStyle name="Normal 2 4 4 3 2 3" xfId="23770"/>
    <cellStyle name="Normal 2 4 4 3 2 4" xfId="9734"/>
    <cellStyle name="Normal 2 4 4 3 3" xfId="16127"/>
    <cellStyle name="Normal 2 4 4 3 3 2" xfId="27270"/>
    <cellStyle name="Normal 2 4 4 3 4" xfId="21701"/>
    <cellStyle name="Normal 2 4 4 3 5" xfId="7665"/>
    <cellStyle name="Normal 2 4 4 4" xfId="4153"/>
    <cellStyle name="Normal 2 4 4 4 2" xfId="16766"/>
    <cellStyle name="Normal 2 4 4 4 2 2" xfId="27909"/>
    <cellStyle name="Normal 2 4 4 4 3" xfId="22340"/>
    <cellStyle name="Normal 2 4 4 4 4" xfId="8304"/>
    <cellStyle name="Normal 2 4 4 5" xfId="10488"/>
    <cellStyle name="Normal 2 4 4 5 2" xfId="14850"/>
    <cellStyle name="Normal 2 4 4 5 2 2" xfId="25993"/>
    <cellStyle name="Normal 2 4 4 5 3" xfId="20424"/>
    <cellStyle name="Normal 2 4 4 6" xfId="13420"/>
    <cellStyle name="Normal 2 4 4 6 2" xfId="24563"/>
    <cellStyle name="Normal 2 4 4 7" xfId="18994"/>
    <cellStyle name="Normal 2 4 4 8" xfId="6388"/>
    <cellStyle name="Normal 2 4 5" xfId="2000"/>
    <cellStyle name="Normal 2 4 5 2" xfId="2655"/>
    <cellStyle name="Normal 2 4 5 2 2" xfId="4764"/>
    <cellStyle name="Normal 2 4 5 2 2 2" xfId="17377"/>
    <cellStyle name="Normal 2 4 5 2 2 2 2" xfId="28520"/>
    <cellStyle name="Normal 2 4 5 2 2 3" xfId="22951"/>
    <cellStyle name="Normal 2 4 5 2 2 4" xfId="8915"/>
    <cellStyle name="Normal 2 4 5 2 3" xfId="10034"/>
    <cellStyle name="Normal 2 4 5 2 3 2" xfId="15308"/>
    <cellStyle name="Normal 2 4 5 2 3 2 2" xfId="26451"/>
    <cellStyle name="Normal 2 4 5 2 3 3" xfId="20882"/>
    <cellStyle name="Normal 2 4 5 2 4" xfId="13878"/>
    <cellStyle name="Normal 2 4 5 2 4 2" xfId="25021"/>
    <cellStyle name="Normal 2 4 5 2 5" xfId="19452"/>
    <cellStyle name="Normal 2 4 5 2 6" xfId="6846"/>
    <cellStyle name="Normal 2 4 5 3" xfId="3293"/>
    <cellStyle name="Normal 2 4 5 3 2" xfId="5402"/>
    <cellStyle name="Normal 2 4 5 3 2 2" xfId="18015"/>
    <cellStyle name="Normal 2 4 5 3 2 2 2" xfId="29158"/>
    <cellStyle name="Normal 2 4 5 3 2 3" xfId="23589"/>
    <cellStyle name="Normal 2 4 5 3 2 4" xfId="9553"/>
    <cellStyle name="Normal 2 4 5 3 3" xfId="15946"/>
    <cellStyle name="Normal 2 4 5 3 3 2" xfId="27089"/>
    <cellStyle name="Normal 2 4 5 3 4" xfId="21520"/>
    <cellStyle name="Normal 2 4 5 3 5" xfId="7484"/>
    <cellStyle name="Normal 2 4 5 4" xfId="3972"/>
    <cellStyle name="Normal 2 4 5 4 2" xfId="16585"/>
    <cellStyle name="Normal 2 4 5 4 2 2" xfId="27728"/>
    <cellStyle name="Normal 2 4 5 4 3" xfId="22159"/>
    <cellStyle name="Normal 2 4 5 4 4" xfId="8123"/>
    <cellStyle name="Normal 2 4 5 5" xfId="10642"/>
    <cellStyle name="Normal 2 4 5 5 2" xfId="14669"/>
    <cellStyle name="Normal 2 4 5 5 2 2" xfId="25812"/>
    <cellStyle name="Normal 2 4 5 5 3" xfId="20243"/>
    <cellStyle name="Normal 2 4 5 6" xfId="13239"/>
    <cellStyle name="Normal 2 4 5 6 2" xfId="24382"/>
    <cellStyle name="Normal 2 4 5 7" xfId="18813"/>
    <cellStyle name="Normal 2 4 5 8" xfId="6207"/>
    <cellStyle name="Normal 2 4 6" xfId="2347"/>
    <cellStyle name="Normal 2 4 6 2" xfId="2988"/>
    <cellStyle name="Normal 2 4 6 2 2" xfId="5097"/>
    <cellStyle name="Normal 2 4 6 2 2 2" xfId="17710"/>
    <cellStyle name="Normal 2 4 6 2 2 2 2" xfId="28853"/>
    <cellStyle name="Normal 2 4 6 2 2 3" xfId="23284"/>
    <cellStyle name="Normal 2 4 6 2 2 4" xfId="9248"/>
    <cellStyle name="Normal 2 4 6 2 3" xfId="11179"/>
    <cellStyle name="Normal 2 4 6 2 3 2" xfId="15641"/>
    <cellStyle name="Normal 2 4 6 2 3 2 2" xfId="26784"/>
    <cellStyle name="Normal 2 4 6 2 3 3" xfId="21215"/>
    <cellStyle name="Normal 2 4 6 2 4" xfId="14211"/>
    <cellStyle name="Normal 2 4 6 2 4 2" xfId="25354"/>
    <cellStyle name="Normal 2 4 6 2 5" xfId="19785"/>
    <cellStyle name="Normal 2 4 6 2 6" xfId="7179"/>
    <cellStyle name="Normal 2 4 6 3" xfId="3626"/>
    <cellStyle name="Normal 2 4 6 3 2" xfId="5735"/>
    <cellStyle name="Normal 2 4 6 3 2 2" xfId="18348"/>
    <cellStyle name="Normal 2 4 6 3 2 2 2" xfId="29491"/>
    <cellStyle name="Normal 2 4 6 3 2 3" xfId="23922"/>
    <cellStyle name="Normal 2 4 6 3 2 4" xfId="9886"/>
    <cellStyle name="Normal 2 4 6 3 3" xfId="16279"/>
    <cellStyle name="Normal 2 4 6 3 3 2" xfId="27422"/>
    <cellStyle name="Normal 2 4 6 3 4" xfId="21853"/>
    <cellStyle name="Normal 2 4 6 3 5" xfId="7817"/>
    <cellStyle name="Normal 2 4 6 4" xfId="4305"/>
    <cellStyle name="Normal 2 4 6 4 2" xfId="16918"/>
    <cellStyle name="Normal 2 4 6 4 2 2" xfId="28061"/>
    <cellStyle name="Normal 2 4 6 4 3" xfId="22492"/>
    <cellStyle name="Normal 2 4 6 4 4" xfId="8456"/>
    <cellStyle name="Normal 2 4 6 5" xfId="10269"/>
    <cellStyle name="Normal 2 4 6 5 2" xfId="15002"/>
    <cellStyle name="Normal 2 4 6 5 2 2" xfId="26145"/>
    <cellStyle name="Normal 2 4 6 5 3" xfId="20576"/>
    <cellStyle name="Normal 2 4 6 6" xfId="13572"/>
    <cellStyle name="Normal 2 4 6 6 2" xfId="24715"/>
    <cellStyle name="Normal 2 4 6 7" xfId="19146"/>
    <cellStyle name="Normal 2 4 6 8" xfId="6540"/>
    <cellStyle name="Normal 2 4 7" xfId="1810"/>
    <cellStyle name="Normal 2 4 7 2" xfId="4458"/>
    <cellStyle name="Normal 2 4 7 2 2" xfId="17071"/>
    <cellStyle name="Normal 2 4 7 2 2 2" xfId="28214"/>
    <cellStyle name="Normal 2 4 7 2 3" xfId="22645"/>
    <cellStyle name="Normal 2 4 7 2 4" xfId="8609"/>
    <cellStyle name="Normal 2 4 7 3" xfId="10585"/>
    <cellStyle name="Normal 2 4 7 3 2" xfId="14517"/>
    <cellStyle name="Normal 2 4 7 3 2 2" xfId="25660"/>
    <cellStyle name="Normal 2 4 7 3 3" xfId="20091"/>
    <cellStyle name="Normal 2 4 7 4" xfId="13087"/>
    <cellStyle name="Normal 2 4 7 4 2" xfId="24230"/>
    <cellStyle name="Normal 2 4 7 5" xfId="18661"/>
    <cellStyle name="Normal 2 4 7 6" xfId="6055"/>
    <cellStyle name="Normal 2 4 8" xfId="2503"/>
    <cellStyle name="Normal 2 4 8 2" xfId="4612"/>
    <cellStyle name="Normal 2 4 8 2 2" xfId="17225"/>
    <cellStyle name="Normal 2 4 8 2 2 2" xfId="28368"/>
    <cellStyle name="Normal 2 4 8 2 3" xfId="22799"/>
    <cellStyle name="Normal 2 4 8 2 4" xfId="8763"/>
    <cellStyle name="Normal 2 4 8 3" xfId="11287"/>
    <cellStyle name="Normal 2 4 8 3 2" xfId="15156"/>
    <cellStyle name="Normal 2 4 8 3 2 2" xfId="26299"/>
    <cellStyle name="Normal 2 4 8 3 3" xfId="20730"/>
    <cellStyle name="Normal 2 4 8 4" xfId="13726"/>
    <cellStyle name="Normal 2 4 8 4 2" xfId="24869"/>
    <cellStyle name="Normal 2 4 8 5" xfId="19300"/>
    <cellStyle name="Normal 2 4 8 6" xfId="6694"/>
    <cellStyle name="Normal 2 4 9" xfId="3141"/>
    <cellStyle name="Normal 2 4 9 2" xfId="5250"/>
    <cellStyle name="Normal 2 4 9 2 2" xfId="17863"/>
    <cellStyle name="Normal 2 4 9 2 2 2" xfId="29006"/>
    <cellStyle name="Normal 2 4 9 2 3" xfId="23437"/>
    <cellStyle name="Normal 2 4 9 2 4" xfId="9401"/>
    <cellStyle name="Normal 2 4 9 3" xfId="15794"/>
    <cellStyle name="Normal 2 4 9 3 2" xfId="26937"/>
    <cellStyle name="Normal 2 4 9 4" xfId="21368"/>
    <cellStyle name="Normal 2 4 9 5" xfId="7332"/>
    <cellStyle name="Normal 2 5" xfId="253"/>
    <cellStyle name="Normal 2 5 10" xfId="10545"/>
    <cellStyle name="Normal 2 5 10 2" xfId="14383"/>
    <cellStyle name="Normal 2 5 10 2 2" xfId="25526"/>
    <cellStyle name="Normal 2 5 10 3" xfId="19957"/>
    <cellStyle name="Normal 2 5 11" xfId="12952"/>
    <cellStyle name="Normal 2 5 11 2" xfId="24096"/>
    <cellStyle name="Normal 2 5 12" xfId="18527"/>
    <cellStyle name="Normal 2 5 13" xfId="5920"/>
    <cellStyle name="Normal 2 5 2" xfId="329"/>
    <cellStyle name="Normal 2 5 2 10" xfId="13028"/>
    <cellStyle name="Normal 2 5 2 10 2" xfId="24172"/>
    <cellStyle name="Normal 2 5 2 11" xfId="18603"/>
    <cellStyle name="Normal 2 5 2 12" xfId="5996"/>
    <cellStyle name="Normal 2 5 2 2" xfId="2287"/>
    <cellStyle name="Normal 2 5 2 2 2" xfId="2931"/>
    <cellStyle name="Normal 2 5 2 2 2 2" xfId="5040"/>
    <cellStyle name="Normal 2 5 2 2 2 2 2" xfId="17653"/>
    <cellStyle name="Normal 2 5 2 2 2 2 2 2" xfId="28796"/>
    <cellStyle name="Normal 2 5 2 2 2 2 3" xfId="23227"/>
    <cellStyle name="Normal 2 5 2 2 2 2 4" xfId="9191"/>
    <cellStyle name="Normal 2 5 2 2 2 3" xfId="10861"/>
    <cellStyle name="Normal 2 5 2 2 2 3 2" xfId="15584"/>
    <cellStyle name="Normal 2 5 2 2 2 3 2 2" xfId="26727"/>
    <cellStyle name="Normal 2 5 2 2 2 3 3" xfId="21158"/>
    <cellStyle name="Normal 2 5 2 2 2 4" xfId="14154"/>
    <cellStyle name="Normal 2 5 2 2 2 4 2" xfId="25297"/>
    <cellStyle name="Normal 2 5 2 2 2 5" xfId="19728"/>
    <cellStyle name="Normal 2 5 2 2 2 6" xfId="7122"/>
    <cellStyle name="Normal 2 5 2 2 3" xfId="3569"/>
    <cellStyle name="Normal 2 5 2 2 3 2" xfId="5678"/>
    <cellStyle name="Normal 2 5 2 2 3 2 2" xfId="18291"/>
    <cellStyle name="Normal 2 5 2 2 3 2 2 2" xfId="29434"/>
    <cellStyle name="Normal 2 5 2 2 3 2 3" xfId="23865"/>
    <cellStyle name="Normal 2 5 2 2 3 2 4" xfId="9829"/>
    <cellStyle name="Normal 2 5 2 2 3 3" xfId="16222"/>
    <cellStyle name="Normal 2 5 2 2 3 3 2" xfId="27365"/>
    <cellStyle name="Normal 2 5 2 2 3 4" xfId="21796"/>
    <cellStyle name="Normal 2 5 2 2 3 5" xfId="7760"/>
    <cellStyle name="Normal 2 5 2 2 4" xfId="4248"/>
    <cellStyle name="Normal 2 5 2 2 4 2" xfId="16861"/>
    <cellStyle name="Normal 2 5 2 2 4 2 2" xfId="28004"/>
    <cellStyle name="Normal 2 5 2 2 4 3" xfId="22435"/>
    <cellStyle name="Normal 2 5 2 2 4 4" xfId="8399"/>
    <cellStyle name="Normal 2 5 2 2 5" xfId="10402"/>
    <cellStyle name="Normal 2 5 2 2 5 2" xfId="14945"/>
    <cellStyle name="Normal 2 5 2 2 5 2 2" xfId="26088"/>
    <cellStyle name="Normal 2 5 2 2 5 3" xfId="20519"/>
    <cellStyle name="Normal 2 5 2 2 6" xfId="13515"/>
    <cellStyle name="Normal 2 5 2 2 6 2" xfId="24658"/>
    <cellStyle name="Normal 2 5 2 2 7" xfId="19089"/>
    <cellStyle name="Normal 2 5 2 2 8" xfId="6483"/>
    <cellStyle name="Normal 2 5 2 3" xfId="2095"/>
    <cellStyle name="Normal 2 5 2 3 2" xfId="2750"/>
    <cellStyle name="Normal 2 5 2 3 2 2" xfId="4859"/>
    <cellStyle name="Normal 2 5 2 3 2 2 2" xfId="17472"/>
    <cellStyle name="Normal 2 5 2 3 2 2 2 2" xfId="28615"/>
    <cellStyle name="Normal 2 5 2 3 2 2 3" xfId="23046"/>
    <cellStyle name="Normal 2 5 2 3 2 2 4" xfId="9010"/>
    <cellStyle name="Normal 2 5 2 3 2 3" xfId="10207"/>
    <cellStyle name="Normal 2 5 2 3 2 3 2" xfId="15403"/>
    <cellStyle name="Normal 2 5 2 3 2 3 2 2" xfId="26546"/>
    <cellStyle name="Normal 2 5 2 3 2 3 3" xfId="20977"/>
    <cellStyle name="Normal 2 5 2 3 2 4" xfId="13973"/>
    <cellStyle name="Normal 2 5 2 3 2 4 2" xfId="25116"/>
    <cellStyle name="Normal 2 5 2 3 2 5" xfId="19547"/>
    <cellStyle name="Normal 2 5 2 3 2 6" xfId="6941"/>
    <cellStyle name="Normal 2 5 2 3 3" xfId="3388"/>
    <cellStyle name="Normal 2 5 2 3 3 2" xfId="5497"/>
    <cellStyle name="Normal 2 5 2 3 3 2 2" xfId="18110"/>
    <cellStyle name="Normal 2 5 2 3 3 2 2 2" xfId="29253"/>
    <cellStyle name="Normal 2 5 2 3 3 2 3" xfId="23684"/>
    <cellStyle name="Normal 2 5 2 3 3 2 4" xfId="9648"/>
    <cellStyle name="Normal 2 5 2 3 3 3" xfId="16041"/>
    <cellStyle name="Normal 2 5 2 3 3 3 2" xfId="27184"/>
    <cellStyle name="Normal 2 5 2 3 3 4" xfId="21615"/>
    <cellStyle name="Normal 2 5 2 3 3 5" xfId="7579"/>
    <cellStyle name="Normal 2 5 2 3 4" xfId="4067"/>
    <cellStyle name="Normal 2 5 2 3 4 2" xfId="16680"/>
    <cellStyle name="Normal 2 5 2 3 4 2 2" xfId="27823"/>
    <cellStyle name="Normal 2 5 2 3 4 3" xfId="22254"/>
    <cellStyle name="Normal 2 5 2 3 4 4" xfId="8218"/>
    <cellStyle name="Normal 2 5 2 3 5" xfId="11332"/>
    <cellStyle name="Normal 2 5 2 3 5 2" xfId="14764"/>
    <cellStyle name="Normal 2 5 2 3 5 2 2" xfId="25907"/>
    <cellStyle name="Normal 2 5 2 3 5 3" xfId="20338"/>
    <cellStyle name="Normal 2 5 2 3 6" xfId="13334"/>
    <cellStyle name="Normal 2 5 2 3 6 2" xfId="24477"/>
    <cellStyle name="Normal 2 5 2 3 7" xfId="18908"/>
    <cellStyle name="Normal 2 5 2 3 8" xfId="6302"/>
    <cellStyle name="Normal 2 5 2 4" xfId="2442"/>
    <cellStyle name="Normal 2 5 2 4 2" xfId="3083"/>
    <cellStyle name="Normal 2 5 2 4 2 2" xfId="5192"/>
    <cellStyle name="Normal 2 5 2 4 2 2 2" xfId="17805"/>
    <cellStyle name="Normal 2 5 2 4 2 2 2 2" xfId="28948"/>
    <cellStyle name="Normal 2 5 2 4 2 2 3" xfId="23379"/>
    <cellStyle name="Normal 2 5 2 4 2 2 4" xfId="9343"/>
    <cellStyle name="Normal 2 5 2 4 2 3" xfId="10637"/>
    <cellStyle name="Normal 2 5 2 4 2 3 2" xfId="15736"/>
    <cellStyle name="Normal 2 5 2 4 2 3 2 2" xfId="26879"/>
    <cellStyle name="Normal 2 5 2 4 2 3 3" xfId="21310"/>
    <cellStyle name="Normal 2 5 2 4 2 4" xfId="14306"/>
    <cellStyle name="Normal 2 5 2 4 2 4 2" xfId="25449"/>
    <cellStyle name="Normal 2 5 2 4 2 5" xfId="19880"/>
    <cellStyle name="Normal 2 5 2 4 2 6" xfId="7274"/>
    <cellStyle name="Normal 2 5 2 4 3" xfId="3721"/>
    <cellStyle name="Normal 2 5 2 4 3 2" xfId="5830"/>
    <cellStyle name="Normal 2 5 2 4 3 2 2" xfId="18443"/>
    <cellStyle name="Normal 2 5 2 4 3 2 2 2" xfId="29586"/>
    <cellStyle name="Normal 2 5 2 4 3 2 3" xfId="24017"/>
    <cellStyle name="Normal 2 5 2 4 3 2 4" xfId="9981"/>
    <cellStyle name="Normal 2 5 2 4 3 3" xfId="16374"/>
    <cellStyle name="Normal 2 5 2 4 3 3 2" xfId="27517"/>
    <cellStyle name="Normal 2 5 2 4 3 4" xfId="21948"/>
    <cellStyle name="Normal 2 5 2 4 3 5" xfId="7912"/>
    <cellStyle name="Normal 2 5 2 4 4" xfId="4400"/>
    <cellStyle name="Normal 2 5 2 4 4 2" xfId="17013"/>
    <cellStyle name="Normal 2 5 2 4 4 2 2" xfId="28156"/>
    <cellStyle name="Normal 2 5 2 4 4 3" xfId="22587"/>
    <cellStyle name="Normal 2 5 2 4 4 4" xfId="8551"/>
    <cellStyle name="Normal 2 5 2 4 5" xfId="11015"/>
    <cellStyle name="Normal 2 5 2 4 5 2" xfId="15097"/>
    <cellStyle name="Normal 2 5 2 4 5 2 2" xfId="26240"/>
    <cellStyle name="Normal 2 5 2 4 5 3" xfId="20671"/>
    <cellStyle name="Normal 2 5 2 4 6" xfId="13667"/>
    <cellStyle name="Normal 2 5 2 4 6 2" xfId="24810"/>
    <cellStyle name="Normal 2 5 2 4 7" xfId="19241"/>
    <cellStyle name="Normal 2 5 2 4 8" xfId="6635"/>
    <cellStyle name="Normal 2 5 2 5" xfId="1905"/>
    <cellStyle name="Normal 2 5 2 5 2" xfId="4553"/>
    <cellStyle name="Normal 2 5 2 5 2 2" xfId="17166"/>
    <cellStyle name="Normal 2 5 2 5 2 2 2" xfId="28309"/>
    <cellStyle name="Normal 2 5 2 5 2 3" xfId="22740"/>
    <cellStyle name="Normal 2 5 2 5 2 4" xfId="8704"/>
    <cellStyle name="Normal 2 5 2 5 3" xfId="11077"/>
    <cellStyle name="Normal 2 5 2 5 3 2" xfId="14612"/>
    <cellStyle name="Normal 2 5 2 5 3 2 2" xfId="25755"/>
    <cellStyle name="Normal 2 5 2 5 3 3" xfId="20186"/>
    <cellStyle name="Normal 2 5 2 5 4" xfId="13182"/>
    <cellStyle name="Normal 2 5 2 5 4 2" xfId="24325"/>
    <cellStyle name="Normal 2 5 2 5 5" xfId="18756"/>
    <cellStyle name="Normal 2 5 2 5 6" xfId="6150"/>
    <cellStyle name="Normal 2 5 2 6" xfId="2598"/>
    <cellStyle name="Normal 2 5 2 6 2" xfId="4707"/>
    <cellStyle name="Normal 2 5 2 6 2 2" xfId="17320"/>
    <cellStyle name="Normal 2 5 2 6 2 2 2" xfId="28463"/>
    <cellStyle name="Normal 2 5 2 6 2 3" xfId="22894"/>
    <cellStyle name="Normal 2 5 2 6 2 4" xfId="8858"/>
    <cellStyle name="Normal 2 5 2 6 3" xfId="11008"/>
    <cellStyle name="Normal 2 5 2 6 3 2" xfId="15251"/>
    <cellStyle name="Normal 2 5 2 6 3 2 2" xfId="26394"/>
    <cellStyle name="Normal 2 5 2 6 3 3" xfId="20825"/>
    <cellStyle name="Normal 2 5 2 6 4" xfId="13821"/>
    <cellStyle name="Normal 2 5 2 6 4 2" xfId="24964"/>
    <cellStyle name="Normal 2 5 2 6 5" xfId="19395"/>
    <cellStyle name="Normal 2 5 2 6 6" xfId="6789"/>
    <cellStyle name="Normal 2 5 2 7" xfId="3236"/>
    <cellStyle name="Normal 2 5 2 7 2" xfId="5345"/>
    <cellStyle name="Normal 2 5 2 7 2 2" xfId="17958"/>
    <cellStyle name="Normal 2 5 2 7 2 2 2" xfId="29101"/>
    <cellStyle name="Normal 2 5 2 7 2 3" xfId="23532"/>
    <cellStyle name="Normal 2 5 2 7 2 4" xfId="9496"/>
    <cellStyle name="Normal 2 5 2 7 3" xfId="15889"/>
    <cellStyle name="Normal 2 5 2 7 3 2" xfId="27032"/>
    <cellStyle name="Normal 2 5 2 7 4" xfId="21463"/>
    <cellStyle name="Normal 2 5 2 7 5" xfId="7427"/>
    <cellStyle name="Normal 2 5 2 8" xfId="3915"/>
    <cellStyle name="Normal 2 5 2 8 2" xfId="16528"/>
    <cellStyle name="Normal 2 5 2 8 2 2" xfId="27671"/>
    <cellStyle name="Normal 2 5 2 8 3" xfId="22102"/>
    <cellStyle name="Normal 2 5 2 8 4" xfId="8066"/>
    <cellStyle name="Normal 2 5 2 9" xfId="10411"/>
    <cellStyle name="Normal 2 5 2 9 2" xfId="14459"/>
    <cellStyle name="Normal 2 5 2 9 2 2" xfId="25602"/>
    <cellStyle name="Normal 2 5 2 9 3" xfId="20033"/>
    <cellStyle name="Normal 2 5 3" xfId="2211"/>
    <cellStyle name="Normal 2 5 3 2" xfId="2855"/>
    <cellStyle name="Normal 2 5 3 2 2" xfId="4964"/>
    <cellStyle name="Normal 2 5 3 2 2 2" xfId="17577"/>
    <cellStyle name="Normal 2 5 3 2 2 2 2" xfId="28720"/>
    <cellStyle name="Normal 2 5 3 2 2 3" xfId="23151"/>
    <cellStyle name="Normal 2 5 3 2 2 4" xfId="9115"/>
    <cellStyle name="Normal 2 5 3 2 3" xfId="10280"/>
    <cellStyle name="Normal 2 5 3 2 3 2" xfId="15508"/>
    <cellStyle name="Normal 2 5 3 2 3 2 2" xfId="26651"/>
    <cellStyle name="Normal 2 5 3 2 3 3" xfId="21082"/>
    <cellStyle name="Normal 2 5 3 2 4" xfId="14078"/>
    <cellStyle name="Normal 2 5 3 2 4 2" xfId="25221"/>
    <cellStyle name="Normal 2 5 3 2 5" xfId="19652"/>
    <cellStyle name="Normal 2 5 3 2 6" xfId="7046"/>
    <cellStyle name="Normal 2 5 3 3" xfId="3493"/>
    <cellStyle name="Normal 2 5 3 3 2" xfId="5602"/>
    <cellStyle name="Normal 2 5 3 3 2 2" xfId="18215"/>
    <cellStyle name="Normal 2 5 3 3 2 2 2" xfId="29358"/>
    <cellStyle name="Normal 2 5 3 3 2 3" xfId="23789"/>
    <cellStyle name="Normal 2 5 3 3 2 4" xfId="9753"/>
    <cellStyle name="Normal 2 5 3 3 3" xfId="16146"/>
    <cellStyle name="Normal 2 5 3 3 3 2" xfId="27289"/>
    <cellStyle name="Normal 2 5 3 3 4" xfId="21720"/>
    <cellStyle name="Normal 2 5 3 3 5" xfId="7684"/>
    <cellStyle name="Normal 2 5 3 4" xfId="4172"/>
    <cellStyle name="Normal 2 5 3 4 2" xfId="16785"/>
    <cellStyle name="Normal 2 5 3 4 2 2" xfId="27928"/>
    <cellStyle name="Normal 2 5 3 4 3" xfId="22359"/>
    <cellStyle name="Normal 2 5 3 4 4" xfId="8323"/>
    <cellStyle name="Normal 2 5 3 5" xfId="11025"/>
    <cellStyle name="Normal 2 5 3 5 2" xfId="14869"/>
    <cellStyle name="Normal 2 5 3 5 2 2" xfId="26012"/>
    <cellStyle name="Normal 2 5 3 5 3" xfId="20443"/>
    <cellStyle name="Normal 2 5 3 6" xfId="13439"/>
    <cellStyle name="Normal 2 5 3 6 2" xfId="24582"/>
    <cellStyle name="Normal 2 5 3 7" xfId="19013"/>
    <cellStyle name="Normal 2 5 3 8" xfId="6407"/>
    <cellStyle name="Normal 2 5 4" xfId="2019"/>
    <cellStyle name="Normal 2 5 4 2" xfId="2674"/>
    <cellStyle name="Normal 2 5 4 2 2" xfId="4783"/>
    <cellStyle name="Normal 2 5 4 2 2 2" xfId="17396"/>
    <cellStyle name="Normal 2 5 4 2 2 2 2" xfId="28539"/>
    <cellStyle name="Normal 2 5 4 2 2 3" xfId="22970"/>
    <cellStyle name="Normal 2 5 4 2 2 4" xfId="8934"/>
    <cellStyle name="Normal 2 5 4 2 3" xfId="10862"/>
    <cellStyle name="Normal 2 5 4 2 3 2" xfId="15327"/>
    <cellStyle name="Normal 2 5 4 2 3 2 2" xfId="26470"/>
    <cellStyle name="Normal 2 5 4 2 3 3" xfId="20901"/>
    <cellStyle name="Normal 2 5 4 2 4" xfId="13897"/>
    <cellStyle name="Normal 2 5 4 2 4 2" xfId="25040"/>
    <cellStyle name="Normal 2 5 4 2 5" xfId="19471"/>
    <cellStyle name="Normal 2 5 4 2 6" xfId="6865"/>
    <cellStyle name="Normal 2 5 4 3" xfId="3312"/>
    <cellStyle name="Normal 2 5 4 3 2" xfId="5421"/>
    <cellStyle name="Normal 2 5 4 3 2 2" xfId="18034"/>
    <cellStyle name="Normal 2 5 4 3 2 2 2" xfId="29177"/>
    <cellStyle name="Normal 2 5 4 3 2 3" xfId="23608"/>
    <cellStyle name="Normal 2 5 4 3 2 4" xfId="9572"/>
    <cellStyle name="Normal 2 5 4 3 3" xfId="15965"/>
    <cellStyle name="Normal 2 5 4 3 3 2" xfId="27108"/>
    <cellStyle name="Normal 2 5 4 3 4" xfId="21539"/>
    <cellStyle name="Normal 2 5 4 3 5" xfId="7503"/>
    <cellStyle name="Normal 2 5 4 4" xfId="3991"/>
    <cellStyle name="Normal 2 5 4 4 2" xfId="16604"/>
    <cellStyle name="Normal 2 5 4 4 2 2" xfId="27747"/>
    <cellStyle name="Normal 2 5 4 4 3" xfId="22178"/>
    <cellStyle name="Normal 2 5 4 4 4" xfId="8142"/>
    <cellStyle name="Normal 2 5 4 5" xfId="10963"/>
    <cellStyle name="Normal 2 5 4 5 2" xfId="14688"/>
    <cellStyle name="Normal 2 5 4 5 2 2" xfId="25831"/>
    <cellStyle name="Normal 2 5 4 5 3" xfId="20262"/>
    <cellStyle name="Normal 2 5 4 6" xfId="13258"/>
    <cellStyle name="Normal 2 5 4 6 2" xfId="24401"/>
    <cellStyle name="Normal 2 5 4 7" xfId="18832"/>
    <cellStyle name="Normal 2 5 4 8" xfId="6226"/>
    <cellStyle name="Normal 2 5 5" xfId="2366"/>
    <cellStyle name="Normal 2 5 5 2" xfId="3007"/>
    <cellStyle name="Normal 2 5 5 2 2" xfId="5116"/>
    <cellStyle name="Normal 2 5 5 2 2 2" xfId="17729"/>
    <cellStyle name="Normal 2 5 5 2 2 2 2" xfId="28872"/>
    <cellStyle name="Normal 2 5 5 2 2 3" xfId="23303"/>
    <cellStyle name="Normal 2 5 5 2 2 4" xfId="9267"/>
    <cellStyle name="Normal 2 5 5 2 3" xfId="10031"/>
    <cellStyle name="Normal 2 5 5 2 3 2" xfId="15660"/>
    <cellStyle name="Normal 2 5 5 2 3 2 2" xfId="26803"/>
    <cellStyle name="Normal 2 5 5 2 3 3" xfId="21234"/>
    <cellStyle name="Normal 2 5 5 2 4" xfId="14230"/>
    <cellStyle name="Normal 2 5 5 2 4 2" xfId="25373"/>
    <cellStyle name="Normal 2 5 5 2 5" xfId="19804"/>
    <cellStyle name="Normal 2 5 5 2 6" xfId="7198"/>
    <cellStyle name="Normal 2 5 5 3" xfId="3645"/>
    <cellStyle name="Normal 2 5 5 3 2" xfId="5754"/>
    <cellStyle name="Normal 2 5 5 3 2 2" xfId="18367"/>
    <cellStyle name="Normal 2 5 5 3 2 2 2" xfId="29510"/>
    <cellStyle name="Normal 2 5 5 3 2 3" xfId="23941"/>
    <cellStyle name="Normal 2 5 5 3 2 4" xfId="9905"/>
    <cellStyle name="Normal 2 5 5 3 3" xfId="16298"/>
    <cellStyle name="Normal 2 5 5 3 3 2" xfId="27441"/>
    <cellStyle name="Normal 2 5 5 3 4" xfId="21872"/>
    <cellStyle name="Normal 2 5 5 3 5" xfId="7836"/>
    <cellStyle name="Normal 2 5 5 4" xfId="4324"/>
    <cellStyle name="Normal 2 5 5 4 2" xfId="16937"/>
    <cellStyle name="Normal 2 5 5 4 2 2" xfId="28080"/>
    <cellStyle name="Normal 2 5 5 4 3" xfId="22511"/>
    <cellStyle name="Normal 2 5 5 4 4" xfId="8475"/>
    <cellStyle name="Normal 2 5 5 5" xfId="10640"/>
    <cellStyle name="Normal 2 5 5 5 2" xfId="15021"/>
    <cellStyle name="Normal 2 5 5 5 2 2" xfId="26164"/>
    <cellStyle name="Normal 2 5 5 5 3" xfId="20595"/>
    <cellStyle name="Normal 2 5 5 6" xfId="13591"/>
    <cellStyle name="Normal 2 5 5 6 2" xfId="24734"/>
    <cellStyle name="Normal 2 5 5 7" xfId="19165"/>
    <cellStyle name="Normal 2 5 5 8" xfId="6559"/>
    <cellStyle name="Normal 2 5 6" xfId="1829"/>
    <cellStyle name="Normal 2 5 6 2" xfId="4477"/>
    <cellStyle name="Normal 2 5 6 2 2" xfId="17090"/>
    <cellStyle name="Normal 2 5 6 2 2 2" xfId="28233"/>
    <cellStyle name="Normal 2 5 6 2 3" xfId="22664"/>
    <cellStyle name="Normal 2 5 6 2 4" xfId="8628"/>
    <cellStyle name="Normal 2 5 6 3" xfId="11141"/>
    <cellStyle name="Normal 2 5 6 3 2" xfId="14536"/>
    <cellStyle name="Normal 2 5 6 3 2 2" xfId="25679"/>
    <cellStyle name="Normal 2 5 6 3 3" xfId="20110"/>
    <cellStyle name="Normal 2 5 6 4" xfId="13106"/>
    <cellStyle name="Normal 2 5 6 4 2" xfId="24249"/>
    <cellStyle name="Normal 2 5 6 5" xfId="18680"/>
    <cellStyle name="Normal 2 5 6 6" xfId="6074"/>
    <cellStyle name="Normal 2 5 7" xfId="2522"/>
    <cellStyle name="Normal 2 5 7 2" xfId="4631"/>
    <cellStyle name="Normal 2 5 7 2 2" xfId="17244"/>
    <cellStyle name="Normal 2 5 7 2 2 2" xfId="28387"/>
    <cellStyle name="Normal 2 5 7 2 3" xfId="22818"/>
    <cellStyle name="Normal 2 5 7 2 4" xfId="8782"/>
    <cellStyle name="Normal 2 5 7 3" xfId="11066"/>
    <cellStyle name="Normal 2 5 7 3 2" xfId="15175"/>
    <cellStyle name="Normal 2 5 7 3 2 2" xfId="26318"/>
    <cellStyle name="Normal 2 5 7 3 3" xfId="20749"/>
    <cellStyle name="Normal 2 5 7 4" xfId="13745"/>
    <cellStyle name="Normal 2 5 7 4 2" xfId="24888"/>
    <cellStyle name="Normal 2 5 7 5" xfId="19319"/>
    <cellStyle name="Normal 2 5 7 6" xfId="6713"/>
    <cellStyle name="Normal 2 5 8" xfId="3160"/>
    <cellStyle name="Normal 2 5 8 2" xfId="5269"/>
    <cellStyle name="Normal 2 5 8 2 2" xfId="17882"/>
    <cellStyle name="Normal 2 5 8 2 2 2" xfId="29025"/>
    <cellStyle name="Normal 2 5 8 2 3" xfId="23456"/>
    <cellStyle name="Normal 2 5 8 2 4" xfId="9420"/>
    <cellStyle name="Normal 2 5 8 3" xfId="15813"/>
    <cellStyle name="Normal 2 5 8 3 2" xfId="26956"/>
    <cellStyle name="Normal 2 5 8 4" xfId="21387"/>
    <cellStyle name="Normal 2 5 8 5" xfId="7351"/>
    <cellStyle name="Normal 2 5 9" xfId="3839"/>
    <cellStyle name="Normal 2 5 9 2" xfId="16452"/>
    <cellStyle name="Normal 2 5 9 2 2" xfId="27595"/>
    <cellStyle name="Normal 2 5 9 3" xfId="22026"/>
    <cellStyle name="Normal 2 5 9 4" xfId="7990"/>
    <cellStyle name="Normal 2 6" xfId="291"/>
    <cellStyle name="Normal 2 6 10" xfId="12990"/>
    <cellStyle name="Normal 2 6 10 2" xfId="24134"/>
    <cellStyle name="Normal 2 6 11" xfId="18565"/>
    <cellStyle name="Normal 2 6 12" xfId="5958"/>
    <cellStyle name="Normal 2 6 2" xfId="2249"/>
    <cellStyle name="Normal 2 6 2 2" xfId="2893"/>
    <cellStyle name="Normal 2 6 2 2 2" xfId="5002"/>
    <cellStyle name="Normal 2 6 2 2 2 2" xfId="17615"/>
    <cellStyle name="Normal 2 6 2 2 2 2 2" xfId="28758"/>
    <cellStyle name="Normal 2 6 2 2 2 3" xfId="23189"/>
    <cellStyle name="Normal 2 6 2 2 2 4" xfId="9153"/>
    <cellStyle name="Normal 2 6 2 2 3" xfId="10112"/>
    <cellStyle name="Normal 2 6 2 2 3 2" xfId="15546"/>
    <cellStyle name="Normal 2 6 2 2 3 2 2" xfId="26689"/>
    <cellStyle name="Normal 2 6 2 2 3 3" xfId="21120"/>
    <cellStyle name="Normal 2 6 2 2 4" xfId="14116"/>
    <cellStyle name="Normal 2 6 2 2 4 2" xfId="25259"/>
    <cellStyle name="Normal 2 6 2 2 5" xfId="19690"/>
    <cellStyle name="Normal 2 6 2 2 6" xfId="7084"/>
    <cellStyle name="Normal 2 6 2 3" xfId="3531"/>
    <cellStyle name="Normal 2 6 2 3 2" xfId="5640"/>
    <cellStyle name="Normal 2 6 2 3 2 2" xfId="18253"/>
    <cellStyle name="Normal 2 6 2 3 2 2 2" xfId="29396"/>
    <cellStyle name="Normal 2 6 2 3 2 3" xfId="23827"/>
    <cellStyle name="Normal 2 6 2 3 2 4" xfId="9791"/>
    <cellStyle name="Normal 2 6 2 3 3" xfId="16184"/>
    <cellStyle name="Normal 2 6 2 3 3 2" xfId="27327"/>
    <cellStyle name="Normal 2 6 2 3 4" xfId="21758"/>
    <cellStyle name="Normal 2 6 2 3 5" xfId="7722"/>
    <cellStyle name="Normal 2 6 2 4" xfId="4210"/>
    <cellStyle name="Normal 2 6 2 4 2" xfId="16823"/>
    <cellStyle name="Normal 2 6 2 4 2 2" xfId="27966"/>
    <cellStyle name="Normal 2 6 2 4 3" xfId="22397"/>
    <cellStyle name="Normal 2 6 2 4 4" xfId="8361"/>
    <cellStyle name="Normal 2 6 2 5" xfId="11063"/>
    <cellStyle name="Normal 2 6 2 5 2" xfId="14907"/>
    <cellStyle name="Normal 2 6 2 5 2 2" xfId="26050"/>
    <cellStyle name="Normal 2 6 2 5 3" xfId="20481"/>
    <cellStyle name="Normal 2 6 2 6" xfId="13477"/>
    <cellStyle name="Normal 2 6 2 6 2" xfId="24620"/>
    <cellStyle name="Normal 2 6 2 7" xfId="19051"/>
    <cellStyle name="Normal 2 6 2 8" xfId="6445"/>
    <cellStyle name="Normal 2 6 3" xfId="2057"/>
    <cellStyle name="Normal 2 6 3 2" xfId="2712"/>
    <cellStyle name="Normal 2 6 3 2 2" xfId="4821"/>
    <cellStyle name="Normal 2 6 3 2 2 2" xfId="17434"/>
    <cellStyle name="Normal 2 6 3 2 2 2 2" xfId="28577"/>
    <cellStyle name="Normal 2 6 3 2 2 3" xfId="23008"/>
    <cellStyle name="Normal 2 6 3 2 2 4" xfId="8972"/>
    <cellStyle name="Normal 2 6 3 2 3" xfId="10813"/>
    <cellStyle name="Normal 2 6 3 2 3 2" xfId="15365"/>
    <cellStyle name="Normal 2 6 3 2 3 2 2" xfId="26508"/>
    <cellStyle name="Normal 2 6 3 2 3 3" xfId="20939"/>
    <cellStyle name="Normal 2 6 3 2 4" xfId="13935"/>
    <cellStyle name="Normal 2 6 3 2 4 2" xfId="25078"/>
    <cellStyle name="Normal 2 6 3 2 5" xfId="19509"/>
    <cellStyle name="Normal 2 6 3 2 6" xfId="6903"/>
    <cellStyle name="Normal 2 6 3 3" xfId="3350"/>
    <cellStyle name="Normal 2 6 3 3 2" xfId="5459"/>
    <cellStyle name="Normal 2 6 3 3 2 2" xfId="18072"/>
    <cellStyle name="Normal 2 6 3 3 2 2 2" xfId="29215"/>
    <cellStyle name="Normal 2 6 3 3 2 3" xfId="23646"/>
    <cellStyle name="Normal 2 6 3 3 2 4" xfId="9610"/>
    <cellStyle name="Normal 2 6 3 3 3" xfId="16003"/>
    <cellStyle name="Normal 2 6 3 3 3 2" xfId="27146"/>
    <cellStyle name="Normal 2 6 3 3 4" xfId="21577"/>
    <cellStyle name="Normal 2 6 3 3 5" xfId="7541"/>
    <cellStyle name="Normal 2 6 3 4" xfId="4029"/>
    <cellStyle name="Normal 2 6 3 4 2" xfId="16642"/>
    <cellStyle name="Normal 2 6 3 4 2 2" xfId="27785"/>
    <cellStyle name="Normal 2 6 3 4 3" xfId="22216"/>
    <cellStyle name="Normal 2 6 3 4 4" xfId="8180"/>
    <cellStyle name="Normal 2 6 3 5" xfId="10820"/>
    <cellStyle name="Normal 2 6 3 5 2" xfId="14726"/>
    <cellStyle name="Normal 2 6 3 5 2 2" xfId="25869"/>
    <cellStyle name="Normal 2 6 3 5 3" xfId="20300"/>
    <cellStyle name="Normal 2 6 3 6" xfId="13296"/>
    <cellStyle name="Normal 2 6 3 6 2" xfId="24439"/>
    <cellStyle name="Normal 2 6 3 7" xfId="18870"/>
    <cellStyle name="Normal 2 6 3 8" xfId="6264"/>
    <cellStyle name="Normal 2 6 4" xfId="2404"/>
    <cellStyle name="Normal 2 6 4 2" xfId="3045"/>
    <cellStyle name="Normal 2 6 4 2 2" xfId="5154"/>
    <cellStyle name="Normal 2 6 4 2 2 2" xfId="17767"/>
    <cellStyle name="Normal 2 6 4 2 2 2 2" xfId="28910"/>
    <cellStyle name="Normal 2 6 4 2 2 3" xfId="23341"/>
    <cellStyle name="Normal 2 6 4 2 2 4" xfId="9305"/>
    <cellStyle name="Normal 2 6 4 2 3" xfId="10134"/>
    <cellStyle name="Normal 2 6 4 2 3 2" xfId="15698"/>
    <cellStyle name="Normal 2 6 4 2 3 2 2" xfId="26841"/>
    <cellStyle name="Normal 2 6 4 2 3 3" xfId="21272"/>
    <cellStyle name="Normal 2 6 4 2 4" xfId="14268"/>
    <cellStyle name="Normal 2 6 4 2 4 2" xfId="25411"/>
    <cellStyle name="Normal 2 6 4 2 5" xfId="19842"/>
    <cellStyle name="Normal 2 6 4 2 6" xfId="7236"/>
    <cellStyle name="Normal 2 6 4 3" xfId="3683"/>
    <cellStyle name="Normal 2 6 4 3 2" xfId="5792"/>
    <cellStyle name="Normal 2 6 4 3 2 2" xfId="18405"/>
    <cellStyle name="Normal 2 6 4 3 2 2 2" xfId="29548"/>
    <cellStyle name="Normal 2 6 4 3 2 3" xfId="23979"/>
    <cellStyle name="Normal 2 6 4 3 2 4" xfId="9943"/>
    <cellStyle name="Normal 2 6 4 3 3" xfId="16336"/>
    <cellStyle name="Normal 2 6 4 3 3 2" xfId="27479"/>
    <cellStyle name="Normal 2 6 4 3 4" xfId="21910"/>
    <cellStyle name="Normal 2 6 4 3 5" xfId="7874"/>
    <cellStyle name="Normal 2 6 4 4" xfId="4362"/>
    <cellStyle name="Normal 2 6 4 4 2" xfId="16975"/>
    <cellStyle name="Normal 2 6 4 4 2 2" xfId="28118"/>
    <cellStyle name="Normal 2 6 4 4 3" xfId="22549"/>
    <cellStyle name="Normal 2 6 4 4 4" xfId="8513"/>
    <cellStyle name="Normal 2 6 4 5" xfId="10103"/>
    <cellStyle name="Normal 2 6 4 5 2" xfId="15059"/>
    <cellStyle name="Normal 2 6 4 5 2 2" xfId="26202"/>
    <cellStyle name="Normal 2 6 4 5 3" xfId="20633"/>
    <cellStyle name="Normal 2 6 4 6" xfId="13629"/>
    <cellStyle name="Normal 2 6 4 6 2" xfId="24772"/>
    <cellStyle name="Normal 2 6 4 7" xfId="19203"/>
    <cellStyle name="Normal 2 6 4 8" xfId="6597"/>
    <cellStyle name="Normal 2 6 5" xfId="1867"/>
    <cellStyle name="Normal 2 6 5 2" xfId="4515"/>
    <cellStyle name="Normal 2 6 5 2 2" xfId="17128"/>
    <cellStyle name="Normal 2 6 5 2 2 2" xfId="28271"/>
    <cellStyle name="Normal 2 6 5 2 3" xfId="22702"/>
    <cellStyle name="Normal 2 6 5 2 4" xfId="8666"/>
    <cellStyle name="Normal 2 6 5 3" xfId="10947"/>
    <cellStyle name="Normal 2 6 5 3 2" xfId="14574"/>
    <cellStyle name="Normal 2 6 5 3 2 2" xfId="25717"/>
    <cellStyle name="Normal 2 6 5 3 3" xfId="20148"/>
    <cellStyle name="Normal 2 6 5 4" xfId="13144"/>
    <cellStyle name="Normal 2 6 5 4 2" xfId="24287"/>
    <cellStyle name="Normal 2 6 5 5" xfId="18718"/>
    <cellStyle name="Normal 2 6 5 6" xfId="6112"/>
    <cellStyle name="Normal 2 6 6" xfId="2560"/>
    <cellStyle name="Normal 2 6 6 2" xfId="4669"/>
    <cellStyle name="Normal 2 6 6 2 2" xfId="17282"/>
    <cellStyle name="Normal 2 6 6 2 2 2" xfId="28425"/>
    <cellStyle name="Normal 2 6 6 2 3" xfId="22856"/>
    <cellStyle name="Normal 2 6 6 2 4" xfId="8820"/>
    <cellStyle name="Normal 2 6 6 3" xfId="10919"/>
    <cellStyle name="Normal 2 6 6 3 2" xfId="15213"/>
    <cellStyle name="Normal 2 6 6 3 2 2" xfId="26356"/>
    <cellStyle name="Normal 2 6 6 3 3" xfId="20787"/>
    <cellStyle name="Normal 2 6 6 4" xfId="13783"/>
    <cellStyle name="Normal 2 6 6 4 2" xfId="24926"/>
    <cellStyle name="Normal 2 6 6 5" xfId="19357"/>
    <cellStyle name="Normal 2 6 6 6" xfId="6751"/>
    <cellStyle name="Normal 2 6 7" xfId="3198"/>
    <cellStyle name="Normal 2 6 7 2" xfId="5307"/>
    <cellStyle name="Normal 2 6 7 2 2" xfId="17920"/>
    <cellStyle name="Normal 2 6 7 2 2 2" xfId="29063"/>
    <cellStyle name="Normal 2 6 7 2 3" xfId="23494"/>
    <cellStyle name="Normal 2 6 7 2 4" xfId="9458"/>
    <cellStyle name="Normal 2 6 7 3" xfId="15851"/>
    <cellStyle name="Normal 2 6 7 3 2" xfId="26994"/>
    <cellStyle name="Normal 2 6 7 4" xfId="21425"/>
    <cellStyle name="Normal 2 6 7 5" xfId="7389"/>
    <cellStyle name="Normal 2 6 8" xfId="3877"/>
    <cellStyle name="Normal 2 6 8 2" xfId="16490"/>
    <cellStyle name="Normal 2 6 8 2 2" xfId="27633"/>
    <cellStyle name="Normal 2 6 8 3" xfId="22064"/>
    <cellStyle name="Normal 2 6 8 4" xfId="8028"/>
    <cellStyle name="Normal 2 6 9" xfId="10264"/>
    <cellStyle name="Normal 2 6 9 2" xfId="14421"/>
    <cellStyle name="Normal 2 6 9 2 2" xfId="25564"/>
    <cellStyle name="Normal 2 6 9 3" xfId="19995"/>
    <cellStyle name="Normal 2 7" xfId="130"/>
    <cellStyle name="Normal 2 7 10" xfId="18489"/>
    <cellStyle name="Normal 2 7 11" xfId="5882"/>
    <cellStyle name="Normal 2 7 2" xfId="2133"/>
    <cellStyle name="Normal 2 7 2 2" xfId="2782"/>
    <cellStyle name="Normal 2 7 2 2 2" xfId="4891"/>
    <cellStyle name="Normal 2 7 2 2 2 2" xfId="17504"/>
    <cellStyle name="Normal 2 7 2 2 2 2 2" xfId="28647"/>
    <cellStyle name="Normal 2 7 2 2 2 3" xfId="23078"/>
    <cellStyle name="Normal 2 7 2 2 2 4" xfId="9042"/>
    <cellStyle name="Normal 2 7 2 2 3" xfId="10858"/>
    <cellStyle name="Normal 2 7 2 2 3 2" xfId="15435"/>
    <cellStyle name="Normal 2 7 2 2 3 2 2" xfId="26578"/>
    <cellStyle name="Normal 2 7 2 2 3 3" xfId="21009"/>
    <cellStyle name="Normal 2 7 2 2 4" xfId="14005"/>
    <cellStyle name="Normal 2 7 2 2 4 2" xfId="25148"/>
    <cellStyle name="Normal 2 7 2 2 5" xfId="19579"/>
    <cellStyle name="Normal 2 7 2 2 6" xfId="6973"/>
    <cellStyle name="Normal 2 7 2 3" xfId="3420"/>
    <cellStyle name="Normal 2 7 2 3 2" xfId="5529"/>
    <cellStyle name="Normal 2 7 2 3 2 2" xfId="18142"/>
    <cellStyle name="Normal 2 7 2 3 2 2 2" xfId="29285"/>
    <cellStyle name="Normal 2 7 2 3 2 3" xfId="23716"/>
    <cellStyle name="Normal 2 7 2 3 2 4" xfId="9680"/>
    <cellStyle name="Normal 2 7 2 3 3" xfId="16073"/>
    <cellStyle name="Normal 2 7 2 3 3 2" xfId="27216"/>
    <cellStyle name="Normal 2 7 2 3 4" xfId="21647"/>
    <cellStyle name="Normal 2 7 2 3 5" xfId="7611"/>
    <cellStyle name="Normal 2 7 2 4" xfId="4099"/>
    <cellStyle name="Normal 2 7 2 4 2" xfId="16712"/>
    <cellStyle name="Normal 2 7 2 4 2 2" xfId="27855"/>
    <cellStyle name="Normal 2 7 2 4 3" xfId="22286"/>
    <cellStyle name="Normal 2 7 2 4 4" xfId="8250"/>
    <cellStyle name="Normal 2 7 2 5" xfId="10744"/>
    <cellStyle name="Normal 2 7 2 5 2" xfId="14796"/>
    <cellStyle name="Normal 2 7 2 5 2 2" xfId="25939"/>
    <cellStyle name="Normal 2 7 2 5 3" xfId="20370"/>
    <cellStyle name="Normal 2 7 2 6" xfId="13366"/>
    <cellStyle name="Normal 2 7 2 6 2" xfId="24509"/>
    <cellStyle name="Normal 2 7 2 7" xfId="18940"/>
    <cellStyle name="Normal 2 7 2 8" xfId="6334"/>
    <cellStyle name="Normal 2 7 3" xfId="2327"/>
    <cellStyle name="Normal 2 7 3 2" xfId="2969"/>
    <cellStyle name="Normal 2 7 3 2 2" xfId="5078"/>
    <cellStyle name="Normal 2 7 3 2 2 2" xfId="17691"/>
    <cellStyle name="Normal 2 7 3 2 2 2 2" xfId="28834"/>
    <cellStyle name="Normal 2 7 3 2 2 3" xfId="23265"/>
    <cellStyle name="Normal 2 7 3 2 2 4" xfId="9229"/>
    <cellStyle name="Normal 2 7 3 2 3" xfId="10091"/>
    <cellStyle name="Normal 2 7 3 2 3 2" xfId="15622"/>
    <cellStyle name="Normal 2 7 3 2 3 2 2" xfId="26765"/>
    <cellStyle name="Normal 2 7 3 2 3 3" xfId="21196"/>
    <cellStyle name="Normal 2 7 3 2 4" xfId="14192"/>
    <cellStyle name="Normal 2 7 3 2 4 2" xfId="25335"/>
    <cellStyle name="Normal 2 7 3 2 5" xfId="19766"/>
    <cellStyle name="Normal 2 7 3 2 6" xfId="7160"/>
    <cellStyle name="Normal 2 7 3 3" xfId="3607"/>
    <cellStyle name="Normal 2 7 3 3 2" xfId="5716"/>
    <cellStyle name="Normal 2 7 3 3 2 2" xfId="18329"/>
    <cellStyle name="Normal 2 7 3 3 2 2 2" xfId="29472"/>
    <cellStyle name="Normal 2 7 3 3 2 3" xfId="23903"/>
    <cellStyle name="Normal 2 7 3 3 2 4" xfId="9867"/>
    <cellStyle name="Normal 2 7 3 3 3" xfId="16260"/>
    <cellStyle name="Normal 2 7 3 3 3 2" xfId="27403"/>
    <cellStyle name="Normal 2 7 3 3 4" xfId="21834"/>
    <cellStyle name="Normal 2 7 3 3 5" xfId="7798"/>
    <cellStyle name="Normal 2 7 3 4" xfId="4286"/>
    <cellStyle name="Normal 2 7 3 4 2" xfId="16899"/>
    <cellStyle name="Normal 2 7 3 4 2 2" xfId="28042"/>
    <cellStyle name="Normal 2 7 3 4 3" xfId="22473"/>
    <cellStyle name="Normal 2 7 3 4 4" xfId="8437"/>
    <cellStyle name="Normal 2 7 3 5" xfId="10054"/>
    <cellStyle name="Normal 2 7 3 5 2" xfId="14983"/>
    <cellStyle name="Normal 2 7 3 5 2 2" xfId="26126"/>
    <cellStyle name="Normal 2 7 3 5 3" xfId="20557"/>
    <cellStyle name="Normal 2 7 3 6" xfId="13553"/>
    <cellStyle name="Normal 2 7 3 6 2" xfId="24696"/>
    <cellStyle name="Normal 2 7 3 7" xfId="19127"/>
    <cellStyle name="Normal 2 7 3 8" xfId="6521"/>
    <cellStyle name="Normal 2 7 4" xfId="1791"/>
    <cellStyle name="Normal 2 7 4 2" xfId="4439"/>
    <cellStyle name="Normal 2 7 4 2 2" xfId="17052"/>
    <cellStyle name="Normal 2 7 4 2 2 2" xfId="28195"/>
    <cellStyle name="Normal 2 7 4 2 3" xfId="22626"/>
    <cellStyle name="Normal 2 7 4 2 4" xfId="8590"/>
    <cellStyle name="Normal 2 7 4 3" xfId="11371"/>
    <cellStyle name="Normal 2 7 4 3 2" xfId="14498"/>
    <cellStyle name="Normal 2 7 4 3 2 2" xfId="25641"/>
    <cellStyle name="Normal 2 7 4 3 3" xfId="20072"/>
    <cellStyle name="Normal 2 7 4 4" xfId="13068"/>
    <cellStyle name="Normal 2 7 4 4 2" xfId="24211"/>
    <cellStyle name="Normal 2 7 4 5" xfId="18642"/>
    <cellStyle name="Normal 2 7 4 6" xfId="6036"/>
    <cellStyle name="Normal 2 7 5" xfId="2484"/>
    <cellStyle name="Normal 2 7 5 2" xfId="4593"/>
    <cellStyle name="Normal 2 7 5 2 2" xfId="17206"/>
    <cellStyle name="Normal 2 7 5 2 2 2" xfId="28349"/>
    <cellStyle name="Normal 2 7 5 2 3" xfId="22780"/>
    <cellStyle name="Normal 2 7 5 2 4" xfId="8744"/>
    <cellStyle name="Normal 2 7 5 3" xfId="10398"/>
    <cellStyle name="Normal 2 7 5 3 2" xfId="15137"/>
    <cellStyle name="Normal 2 7 5 3 2 2" xfId="26280"/>
    <cellStyle name="Normal 2 7 5 3 3" xfId="20711"/>
    <cellStyle name="Normal 2 7 5 4" xfId="13707"/>
    <cellStyle name="Normal 2 7 5 4 2" xfId="24850"/>
    <cellStyle name="Normal 2 7 5 5" xfId="19281"/>
    <cellStyle name="Normal 2 7 5 6" xfId="6675"/>
    <cellStyle name="Normal 2 7 6" xfId="3122"/>
    <cellStyle name="Normal 2 7 6 2" xfId="5231"/>
    <cellStyle name="Normal 2 7 6 2 2" xfId="17844"/>
    <cellStyle name="Normal 2 7 6 2 2 2" xfId="28987"/>
    <cellStyle name="Normal 2 7 6 2 3" xfId="23418"/>
    <cellStyle name="Normal 2 7 6 2 4" xfId="9382"/>
    <cellStyle name="Normal 2 7 6 3" xfId="15775"/>
    <cellStyle name="Normal 2 7 6 3 2" xfId="26918"/>
    <cellStyle name="Normal 2 7 6 4" xfId="21349"/>
    <cellStyle name="Normal 2 7 6 5" xfId="7313"/>
    <cellStyle name="Normal 2 7 7" xfId="3801"/>
    <cellStyle name="Normal 2 7 7 2" xfId="16414"/>
    <cellStyle name="Normal 2 7 7 2 2" xfId="27557"/>
    <cellStyle name="Normal 2 7 7 3" xfId="21988"/>
    <cellStyle name="Normal 2 7 7 4" xfId="7952"/>
    <cellStyle name="Normal 2 7 8" xfId="10328"/>
    <cellStyle name="Normal 2 7 8 2" xfId="14345"/>
    <cellStyle name="Normal 2 7 8 2 2" xfId="25488"/>
    <cellStyle name="Normal 2 7 8 3" xfId="19919"/>
    <cellStyle name="Normal 2 7 9" xfId="12914"/>
    <cellStyle name="Normal 2 7 9 2" xfId="24058"/>
    <cellStyle name="Normal 2 8" xfId="2173"/>
    <cellStyle name="Normal 2 8 2" xfId="2817"/>
    <cellStyle name="Normal 2 8 2 2" xfId="4926"/>
    <cellStyle name="Normal 2 8 2 2 2" xfId="17539"/>
    <cellStyle name="Normal 2 8 2 2 2 2" xfId="28682"/>
    <cellStyle name="Normal 2 8 2 2 3" xfId="23113"/>
    <cellStyle name="Normal 2 8 2 2 4" xfId="9077"/>
    <cellStyle name="Normal 2 8 2 3" xfId="10978"/>
    <cellStyle name="Normal 2 8 2 3 2" xfId="15470"/>
    <cellStyle name="Normal 2 8 2 3 2 2" xfId="26613"/>
    <cellStyle name="Normal 2 8 2 3 3" xfId="21044"/>
    <cellStyle name="Normal 2 8 2 4" xfId="14040"/>
    <cellStyle name="Normal 2 8 2 4 2" xfId="25183"/>
    <cellStyle name="Normal 2 8 2 5" xfId="19614"/>
    <cellStyle name="Normal 2 8 2 6" xfId="7008"/>
    <cellStyle name="Normal 2 8 3" xfId="3455"/>
    <cellStyle name="Normal 2 8 3 2" xfId="5564"/>
    <cellStyle name="Normal 2 8 3 2 2" xfId="18177"/>
    <cellStyle name="Normal 2 8 3 2 2 2" xfId="29320"/>
    <cellStyle name="Normal 2 8 3 2 3" xfId="23751"/>
    <cellStyle name="Normal 2 8 3 2 4" xfId="9715"/>
    <cellStyle name="Normal 2 8 3 3" xfId="16108"/>
    <cellStyle name="Normal 2 8 3 3 2" xfId="27251"/>
    <cellStyle name="Normal 2 8 3 4" xfId="21682"/>
    <cellStyle name="Normal 2 8 3 5" xfId="7646"/>
    <cellStyle name="Normal 2 8 4" xfId="4134"/>
    <cellStyle name="Normal 2 8 4 2" xfId="16747"/>
    <cellStyle name="Normal 2 8 4 2 2" xfId="27890"/>
    <cellStyle name="Normal 2 8 4 3" xfId="22321"/>
    <cellStyle name="Normal 2 8 4 4" xfId="8285"/>
    <cellStyle name="Normal 2 8 5" xfId="10571"/>
    <cellStyle name="Normal 2 8 5 2" xfId="14831"/>
    <cellStyle name="Normal 2 8 5 2 2" xfId="25974"/>
    <cellStyle name="Normal 2 8 5 3" xfId="20405"/>
    <cellStyle name="Normal 2 8 6" xfId="13401"/>
    <cellStyle name="Normal 2 8 6 2" xfId="24544"/>
    <cellStyle name="Normal 2 8 7" xfId="18975"/>
    <cellStyle name="Normal 2 8 8" xfId="6369"/>
    <cellStyle name="Normal 2 9" xfId="1966"/>
    <cellStyle name="Normal 2 9 2" xfId="2636"/>
    <cellStyle name="Normal 2 9 2 2" xfId="4745"/>
    <cellStyle name="Normal 2 9 2 2 2" xfId="17358"/>
    <cellStyle name="Normal 2 9 2 2 2 2" xfId="28501"/>
    <cellStyle name="Normal 2 9 2 2 3" xfId="22932"/>
    <cellStyle name="Normal 2 9 2 2 4" xfId="8896"/>
    <cellStyle name="Normal 2 9 2 3" xfId="10383"/>
    <cellStyle name="Normal 2 9 2 3 2" xfId="15289"/>
    <cellStyle name="Normal 2 9 2 3 2 2" xfId="26432"/>
    <cellStyle name="Normal 2 9 2 3 3" xfId="20863"/>
    <cellStyle name="Normal 2 9 2 4" xfId="13859"/>
    <cellStyle name="Normal 2 9 2 4 2" xfId="25002"/>
    <cellStyle name="Normal 2 9 2 5" xfId="19433"/>
    <cellStyle name="Normal 2 9 2 6" xfId="6827"/>
    <cellStyle name="Normal 2 9 3" xfId="3274"/>
    <cellStyle name="Normal 2 9 3 2" xfId="5383"/>
    <cellStyle name="Normal 2 9 3 2 2" xfId="17996"/>
    <cellStyle name="Normal 2 9 3 2 2 2" xfId="29139"/>
    <cellStyle name="Normal 2 9 3 2 3" xfId="23570"/>
    <cellStyle name="Normal 2 9 3 2 4" xfId="9534"/>
    <cellStyle name="Normal 2 9 3 3" xfId="15927"/>
    <cellStyle name="Normal 2 9 3 3 2" xfId="27070"/>
    <cellStyle name="Normal 2 9 3 4" xfId="21501"/>
    <cellStyle name="Normal 2 9 3 5" xfId="7465"/>
    <cellStyle name="Normal 2 9 4" xfId="3953"/>
    <cellStyle name="Normal 2 9 4 2" xfId="16566"/>
    <cellStyle name="Normal 2 9 4 2 2" xfId="27709"/>
    <cellStyle name="Normal 2 9 4 3" xfId="22140"/>
    <cellStyle name="Normal 2 9 4 4" xfId="8104"/>
    <cellStyle name="Normal 2 9 5" xfId="11431"/>
    <cellStyle name="Normal 2 9 5 2" xfId="14650"/>
    <cellStyle name="Normal 2 9 5 2 2" xfId="25793"/>
    <cellStyle name="Normal 2 9 5 3" xfId="20224"/>
    <cellStyle name="Normal 2 9 6" xfId="13220"/>
    <cellStyle name="Normal 2 9 6 2" xfId="24363"/>
    <cellStyle name="Normal 2 9 7" xfId="18794"/>
    <cellStyle name="Normal 2 9 8" xfId="6188"/>
    <cellStyle name="Normal 20" xfId="10271"/>
    <cellStyle name="Normal 21" xfId="11447"/>
    <cellStyle name="Normal 22" xfId="10062"/>
    <cellStyle name="Normal 23" xfId="11449"/>
    <cellStyle name="Normal 23 2" xfId="12895"/>
    <cellStyle name="Normal 24" xfId="11448"/>
    <cellStyle name="Normal 25" xfId="12890"/>
    <cellStyle name="Normal 26" xfId="12892"/>
    <cellStyle name="Normal 27" xfId="12893"/>
    <cellStyle name="Normal 28" xfId="12896"/>
    <cellStyle name="Normal 29" xfId="12894"/>
    <cellStyle name="Normal 3" xfId="42"/>
    <cellStyle name="Normal 3 10" xfId="2470"/>
    <cellStyle name="Normal 3 10 2" xfId="4579"/>
    <cellStyle name="Normal 3 10 2 2" xfId="17192"/>
    <cellStyle name="Normal 3 10 2 2 2" xfId="28335"/>
    <cellStyle name="Normal 3 10 2 3" xfId="22766"/>
    <cellStyle name="Normal 3 10 2 4" xfId="8730"/>
    <cellStyle name="Normal 3 10 3" xfId="11313"/>
    <cellStyle name="Normal 3 10 3 2" xfId="15123"/>
    <cellStyle name="Normal 3 10 3 2 2" xfId="26266"/>
    <cellStyle name="Normal 3 10 3 3" xfId="20697"/>
    <cellStyle name="Normal 3 10 4" xfId="13693"/>
    <cellStyle name="Normal 3 10 4 2" xfId="24836"/>
    <cellStyle name="Normal 3 10 5" xfId="19267"/>
    <cellStyle name="Normal 3 10 6" xfId="6661"/>
    <cellStyle name="Normal 3 11" xfId="3108"/>
    <cellStyle name="Normal 3 11 2" xfId="5217"/>
    <cellStyle name="Normal 3 11 2 2" xfId="17830"/>
    <cellStyle name="Normal 3 11 2 2 2" xfId="28973"/>
    <cellStyle name="Normal 3 11 2 3" xfId="23404"/>
    <cellStyle name="Normal 3 11 2 4" xfId="9368"/>
    <cellStyle name="Normal 3 11 3" xfId="11046"/>
    <cellStyle name="Normal 3 11 3 2" xfId="15761"/>
    <cellStyle name="Normal 3 11 3 2 2" xfId="26904"/>
    <cellStyle name="Normal 3 11 3 3" xfId="21335"/>
    <cellStyle name="Normal 3 11 4" xfId="12899"/>
    <cellStyle name="Normal 3 11 4 2" xfId="24043"/>
    <cellStyle name="Normal 3 11 5" xfId="18474"/>
    <cellStyle name="Normal 3 11 6" xfId="7299"/>
    <cellStyle name="Normal 3 12" xfId="3787"/>
    <cellStyle name="Normal 3 12 2" xfId="16400"/>
    <cellStyle name="Normal 3 12 2 2" xfId="27543"/>
    <cellStyle name="Normal 3 12 3" xfId="21974"/>
    <cellStyle name="Normal 3 12 4" xfId="7938"/>
    <cellStyle name="Normal 3 13" xfId="11031"/>
    <cellStyle name="Normal 3 13 2" xfId="14331"/>
    <cellStyle name="Normal 3 13 2 2" xfId="25474"/>
    <cellStyle name="Normal 3 13 3" xfId="19905"/>
    <cellStyle name="Normal 3 14" xfId="11002"/>
    <cellStyle name="Normal 3 15" xfId="5868"/>
    <cellStyle name="Normal 3 2" xfId="149"/>
    <cellStyle name="Normal 3 2 2" xfId="397"/>
    <cellStyle name="Normal 3 2 2 2" xfId="576"/>
    <cellStyle name="Normal 3 2 2 2 2" xfId="959"/>
    <cellStyle name="Normal 3 2 2 2 2 2" xfId="1698"/>
    <cellStyle name="Normal 3 2 2 2 2 2 2" xfId="12794"/>
    <cellStyle name="Normal 3 2 2 2 2 3" xfId="12084"/>
    <cellStyle name="Normal 3 2 2 2 3" xfId="1343"/>
    <cellStyle name="Normal 3 2 2 2 3 2" xfId="12439"/>
    <cellStyle name="Normal 3 2 2 2 4" xfId="2155"/>
    <cellStyle name="Normal 3 2 2 2 4 2" xfId="2799"/>
    <cellStyle name="Normal 3 2 2 2 4 2 2" xfId="4908"/>
    <cellStyle name="Normal 3 2 2 2 4 2 2 2" xfId="17521"/>
    <cellStyle name="Normal 3 2 2 2 4 2 2 2 2" xfId="28664"/>
    <cellStyle name="Normal 3 2 2 2 4 2 2 3" xfId="23095"/>
    <cellStyle name="Normal 3 2 2 2 4 2 2 4" xfId="9059"/>
    <cellStyle name="Normal 3 2 2 2 4 2 3" xfId="10120"/>
    <cellStyle name="Normal 3 2 2 2 4 2 3 2" xfId="15452"/>
    <cellStyle name="Normal 3 2 2 2 4 2 3 2 2" xfId="26595"/>
    <cellStyle name="Normal 3 2 2 2 4 2 3 3" xfId="21026"/>
    <cellStyle name="Normal 3 2 2 2 4 2 4" xfId="14022"/>
    <cellStyle name="Normal 3 2 2 2 4 2 4 2" xfId="25165"/>
    <cellStyle name="Normal 3 2 2 2 4 2 5" xfId="19596"/>
    <cellStyle name="Normal 3 2 2 2 4 2 6" xfId="6990"/>
    <cellStyle name="Normal 3 2 2 2 4 3" xfId="3437"/>
    <cellStyle name="Normal 3 2 2 2 4 3 2" xfId="5546"/>
    <cellStyle name="Normal 3 2 2 2 4 3 2 2" xfId="18159"/>
    <cellStyle name="Normal 3 2 2 2 4 3 2 2 2" xfId="29302"/>
    <cellStyle name="Normal 3 2 2 2 4 3 2 3" xfId="23733"/>
    <cellStyle name="Normal 3 2 2 2 4 3 2 4" xfId="9697"/>
    <cellStyle name="Normal 3 2 2 2 4 3 3" xfId="16090"/>
    <cellStyle name="Normal 3 2 2 2 4 3 3 2" xfId="27233"/>
    <cellStyle name="Normal 3 2 2 2 4 3 4" xfId="21664"/>
    <cellStyle name="Normal 3 2 2 2 4 3 5" xfId="7628"/>
    <cellStyle name="Normal 3 2 2 2 4 4" xfId="4116"/>
    <cellStyle name="Normal 3 2 2 2 4 4 2" xfId="16729"/>
    <cellStyle name="Normal 3 2 2 2 4 4 2 2" xfId="27872"/>
    <cellStyle name="Normal 3 2 2 2 4 4 3" xfId="22303"/>
    <cellStyle name="Normal 3 2 2 2 4 4 4" xfId="8267"/>
    <cellStyle name="Normal 3 2 2 2 4 5" xfId="10321"/>
    <cellStyle name="Normal 3 2 2 2 4 5 2" xfId="14813"/>
    <cellStyle name="Normal 3 2 2 2 4 5 2 2" xfId="25956"/>
    <cellStyle name="Normal 3 2 2 2 4 5 3" xfId="20387"/>
    <cellStyle name="Normal 3 2 2 2 4 6" xfId="13383"/>
    <cellStyle name="Normal 3 2 2 2 4 6 2" xfId="24526"/>
    <cellStyle name="Normal 3 2 2 2 4 7" xfId="18957"/>
    <cellStyle name="Normal 3 2 2 2 4 8" xfId="6351"/>
    <cellStyle name="Normal 3 2 2 2 5" xfId="11729"/>
    <cellStyle name="Normal 3 2 2 3" xfId="781"/>
    <cellStyle name="Normal 3 2 2 3 2" xfId="1520"/>
    <cellStyle name="Normal 3 2 2 3 2 2" xfId="12616"/>
    <cellStyle name="Normal 3 2 2 3 3" xfId="2147"/>
    <cellStyle name="Normal 3 2 2 3 3 2" xfId="2791"/>
    <cellStyle name="Normal 3 2 2 3 3 2 2" xfId="4900"/>
    <cellStyle name="Normal 3 2 2 3 3 2 2 2" xfId="17513"/>
    <cellStyle name="Normal 3 2 2 3 3 2 2 2 2" xfId="28656"/>
    <cellStyle name="Normal 3 2 2 3 3 2 2 3" xfId="23087"/>
    <cellStyle name="Normal 3 2 2 3 3 2 2 4" xfId="9051"/>
    <cellStyle name="Normal 3 2 2 3 3 2 3" xfId="10381"/>
    <cellStyle name="Normal 3 2 2 3 3 2 3 2" xfId="15444"/>
    <cellStyle name="Normal 3 2 2 3 3 2 3 2 2" xfId="26587"/>
    <cellStyle name="Normal 3 2 2 3 3 2 3 3" xfId="21018"/>
    <cellStyle name="Normal 3 2 2 3 3 2 4" xfId="14014"/>
    <cellStyle name="Normal 3 2 2 3 3 2 4 2" xfId="25157"/>
    <cellStyle name="Normal 3 2 2 3 3 2 5" xfId="19588"/>
    <cellStyle name="Normal 3 2 2 3 3 2 6" xfId="6982"/>
    <cellStyle name="Normal 3 2 2 3 3 3" xfId="3429"/>
    <cellStyle name="Normal 3 2 2 3 3 3 2" xfId="5538"/>
    <cellStyle name="Normal 3 2 2 3 3 3 2 2" xfId="18151"/>
    <cellStyle name="Normal 3 2 2 3 3 3 2 2 2" xfId="29294"/>
    <cellStyle name="Normal 3 2 2 3 3 3 2 3" xfId="23725"/>
    <cellStyle name="Normal 3 2 2 3 3 3 2 4" xfId="9689"/>
    <cellStyle name="Normal 3 2 2 3 3 3 3" xfId="16082"/>
    <cellStyle name="Normal 3 2 2 3 3 3 3 2" xfId="27225"/>
    <cellStyle name="Normal 3 2 2 3 3 3 4" xfId="21656"/>
    <cellStyle name="Normal 3 2 2 3 3 3 5" xfId="7620"/>
    <cellStyle name="Normal 3 2 2 3 3 4" xfId="4108"/>
    <cellStyle name="Normal 3 2 2 3 3 4 2" xfId="16721"/>
    <cellStyle name="Normal 3 2 2 3 3 4 2 2" xfId="27864"/>
    <cellStyle name="Normal 3 2 2 3 3 4 3" xfId="22295"/>
    <cellStyle name="Normal 3 2 2 3 3 4 4" xfId="8259"/>
    <cellStyle name="Normal 3 2 2 3 3 5" xfId="10918"/>
    <cellStyle name="Normal 3 2 2 3 3 5 2" xfId="14805"/>
    <cellStyle name="Normal 3 2 2 3 3 5 2 2" xfId="25948"/>
    <cellStyle name="Normal 3 2 2 3 3 5 3" xfId="20379"/>
    <cellStyle name="Normal 3 2 2 3 3 6" xfId="13375"/>
    <cellStyle name="Normal 3 2 2 3 3 6 2" xfId="24518"/>
    <cellStyle name="Normal 3 2 2 3 3 7" xfId="18949"/>
    <cellStyle name="Normal 3 2 2 3 3 8" xfId="6343"/>
    <cellStyle name="Normal 3 2 2 3 4" xfId="11906"/>
    <cellStyle name="Normal 3 2 2 4" xfId="1165"/>
    <cellStyle name="Normal 3 2 2 4 2" xfId="12261"/>
    <cellStyle name="Normal 3 2 2 5" xfId="2127"/>
    <cellStyle name="Normal 3 2 2 5 2" xfId="2778"/>
    <cellStyle name="Normal 3 2 2 5 2 2" xfId="4887"/>
    <cellStyle name="Normal 3 2 2 5 2 2 2" xfId="17500"/>
    <cellStyle name="Normal 3 2 2 5 2 2 2 2" xfId="28643"/>
    <cellStyle name="Normal 3 2 2 5 2 2 3" xfId="23074"/>
    <cellStyle name="Normal 3 2 2 5 2 2 4" xfId="9038"/>
    <cellStyle name="Normal 3 2 2 5 2 3" xfId="10331"/>
    <cellStyle name="Normal 3 2 2 5 2 3 2" xfId="15431"/>
    <cellStyle name="Normal 3 2 2 5 2 3 2 2" xfId="26574"/>
    <cellStyle name="Normal 3 2 2 5 2 3 3" xfId="21005"/>
    <cellStyle name="Normal 3 2 2 5 2 4" xfId="14001"/>
    <cellStyle name="Normal 3 2 2 5 2 4 2" xfId="25144"/>
    <cellStyle name="Normal 3 2 2 5 2 5" xfId="19575"/>
    <cellStyle name="Normal 3 2 2 5 2 6" xfId="6969"/>
    <cellStyle name="Normal 3 2 2 5 3" xfId="3416"/>
    <cellStyle name="Normal 3 2 2 5 3 2" xfId="5525"/>
    <cellStyle name="Normal 3 2 2 5 3 2 2" xfId="18138"/>
    <cellStyle name="Normal 3 2 2 5 3 2 2 2" xfId="29281"/>
    <cellStyle name="Normal 3 2 2 5 3 2 3" xfId="23712"/>
    <cellStyle name="Normal 3 2 2 5 3 2 4" xfId="9676"/>
    <cellStyle name="Normal 3 2 2 5 3 3" xfId="16069"/>
    <cellStyle name="Normal 3 2 2 5 3 3 2" xfId="27212"/>
    <cellStyle name="Normal 3 2 2 5 3 4" xfId="21643"/>
    <cellStyle name="Normal 3 2 2 5 3 5" xfId="7607"/>
    <cellStyle name="Normal 3 2 2 5 4" xfId="4095"/>
    <cellStyle name="Normal 3 2 2 5 4 2" xfId="16708"/>
    <cellStyle name="Normal 3 2 2 5 4 2 2" xfId="27851"/>
    <cellStyle name="Normal 3 2 2 5 4 3" xfId="22282"/>
    <cellStyle name="Normal 3 2 2 5 4 4" xfId="8246"/>
    <cellStyle name="Normal 3 2 2 5 5" xfId="10110"/>
    <cellStyle name="Normal 3 2 2 5 5 2" xfId="14792"/>
    <cellStyle name="Normal 3 2 2 5 5 2 2" xfId="25935"/>
    <cellStyle name="Normal 3 2 2 5 5 3" xfId="20366"/>
    <cellStyle name="Normal 3 2 2 5 6" xfId="13362"/>
    <cellStyle name="Normal 3 2 2 5 6 2" xfId="24505"/>
    <cellStyle name="Normal 3 2 2 5 7" xfId="18936"/>
    <cellStyle name="Normal 3 2 2 5 8" xfId="6330"/>
    <cellStyle name="Normal 3 2 2 6" xfId="11551"/>
    <cellStyle name="Normal 3 2 3" xfId="452"/>
    <cellStyle name="Normal 3 2 3 2" xfId="631"/>
    <cellStyle name="Normal 3 2 3 2 2" xfId="1014"/>
    <cellStyle name="Normal 3 2 3 2 2 2" xfId="1753"/>
    <cellStyle name="Normal 3 2 3 2 2 2 2" xfId="12849"/>
    <cellStyle name="Normal 3 2 3 2 2 3" xfId="12139"/>
    <cellStyle name="Normal 3 2 3 2 3" xfId="1398"/>
    <cellStyle name="Normal 3 2 3 2 3 2" xfId="12494"/>
    <cellStyle name="Normal 3 2 3 2 4" xfId="2159"/>
    <cellStyle name="Normal 3 2 3 2 4 2" xfId="2803"/>
    <cellStyle name="Normal 3 2 3 2 4 2 2" xfId="4912"/>
    <cellStyle name="Normal 3 2 3 2 4 2 2 2" xfId="17525"/>
    <cellStyle name="Normal 3 2 3 2 4 2 2 2 2" xfId="28668"/>
    <cellStyle name="Normal 3 2 3 2 4 2 2 3" xfId="23099"/>
    <cellStyle name="Normal 3 2 3 2 4 2 2 4" xfId="9063"/>
    <cellStyle name="Normal 3 2 3 2 4 2 3" xfId="10688"/>
    <cellStyle name="Normal 3 2 3 2 4 2 3 2" xfId="15456"/>
    <cellStyle name="Normal 3 2 3 2 4 2 3 2 2" xfId="26599"/>
    <cellStyle name="Normal 3 2 3 2 4 2 3 3" xfId="21030"/>
    <cellStyle name="Normal 3 2 3 2 4 2 4" xfId="14026"/>
    <cellStyle name="Normal 3 2 3 2 4 2 4 2" xfId="25169"/>
    <cellStyle name="Normal 3 2 3 2 4 2 5" xfId="19600"/>
    <cellStyle name="Normal 3 2 3 2 4 2 6" xfId="6994"/>
    <cellStyle name="Normal 3 2 3 2 4 3" xfId="3441"/>
    <cellStyle name="Normal 3 2 3 2 4 3 2" xfId="5550"/>
    <cellStyle name="Normal 3 2 3 2 4 3 2 2" xfId="18163"/>
    <cellStyle name="Normal 3 2 3 2 4 3 2 2 2" xfId="29306"/>
    <cellStyle name="Normal 3 2 3 2 4 3 2 3" xfId="23737"/>
    <cellStyle name="Normal 3 2 3 2 4 3 2 4" xfId="9701"/>
    <cellStyle name="Normal 3 2 3 2 4 3 3" xfId="16094"/>
    <cellStyle name="Normal 3 2 3 2 4 3 3 2" xfId="27237"/>
    <cellStyle name="Normal 3 2 3 2 4 3 4" xfId="21668"/>
    <cellStyle name="Normal 3 2 3 2 4 3 5" xfId="7632"/>
    <cellStyle name="Normal 3 2 3 2 4 4" xfId="4120"/>
    <cellStyle name="Normal 3 2 3 2 4 4 2" xfId="16733"/>
    <cellStyle name="Normal 3 2 3 2 4 4 2 2" xfId="27876"/>
    <cellStyle name="Normal 3 2 3 2 4 4 3" xfId="22307"/>
    <cellStyle name="Normal 3 2 3 2 4 4 4" xfId="8271"/>
    <cellStyle name="Normal 3 2 3 2 4 5" xfId="10847"/>
    <cellStyle name="Normal 3 2 3 2 4 5 2" xfId="14817"/>
    <cellStyle name="Normal 3 2 3 2 4 5 2 2" xfId="25960"/>
    <cellStyle name="Normal 3 2 3 2 4 5 3" xfId="20391"/>
    <cellStyle name="Normal 3 2 3 2 4 6" xfId="13387"/>
    <cellStyle name="Normal 3 2 3 2 4 6 2" xfId="24530"/>
    <cellStyle name="Normal 3 2 3 2 4 7" xfId="18961"/>
    <cellStyle name="Normal 3 2 3 2 4 8" xfId="6355"/>
    <cellStyle name="Normal 3 2 3 2 5" xfId="11784"/>
    <cellStyle name="Normal 3 2 3 3" xfId="836"/>
    <cellStyle name="Normal 3 2 3 3 2" xfId="1575"/>
    <cellStyle name="Normal 3 2 3 3 2 2" xfId="12671"/>
    <cellStyle name="Normal 3 2 3 3 3" xfId="11961"/>
    <cellStyle name="Normal 3 2 3 4" xfId="1220"/>
    <cellStyle name="Normal 3 2 3 4 2" xfId="12316"/>
    <cellStyle name="Normal 3 2 3 5" xfId="2132"/>
    <cellStyle name="Normal 3 2 3 5 2" xfId="2781"/>
    <cellStyle name="Normal 3 2 3 5 2 2" xfId="4890"/>
    <cellStyle name="Normal 3 2 3 5 2 2 2" xfId="17503"/>
    <cellStyle name="Normal 3 2 3 5 2 2 2 2" xfId="28646"/>
    <cellStyle name="Normal 3 2 3 5 2 2 3" xfId="23077"/>
    <cellStyle name="Normal 3 2 3 5 2 2 4" xfId="9041"/>
    <cellStyle name="Normal 3 2 3 5 2 3" xfId="11321"/>
    <cellStyle name="Normal 3 2 3 5 2 3 2" xfId="15434"/>
    <cellStyle name="Normal 3 2 3 5 2 3 2 2" xfId="26577"/>
    <cellStyle name="Normal 3 2 3 5 2 3 3" xfId="21008"/>
    <cellStyle name="Normal 3 2 3 5 2 4" xfId="14004"/>
    <cellStyle name="Normal 3 2 3 5 2 4 2" xfId="25147"/>
    <cellStyle name="Normal 3 2 3 5 2 5" xfId="19578"/>
    <cellStyle name="Normal 3 2 3 5 2 6" xfId="6972"/>
    <cellStyle name="Normal 3 2 3 5 3" xfId="3419"/>
    <cellStyle name="Normal 3 2 3 5 3 2" xfId="5528"/>
    <cellStyle name="Normal 3 2 3 5 3 2 2" xfId="18141"/>
    <cellStyle name="Normal 3 2 3 5 3 2 2 2" xfId="29284"/>
    <cellStyle name="Normal 3 2 3 5 3 2 3" xfId="23715"/>
    <cellStyle name="Normal 3 2 3 5 3 2 4" xfId="9679"/>
    <cellStyle name="Normal 3 2 3 5 3 3" xfId="16072"/>
    <cellStyle name="Normal 3 2 3 5 3 3 2" xfId="27215"/>
    <cellStyle name="Normal 3 2 3 5 3 4" xfId="21646"/>
    <cellStyle name="Normal 3 2 3 5 3 5" xfId="7610"/>
    <cellStyle name="Normal 3 2 3 5 4" xfId="4098"/>
    <cellStyle name="Normal 3 2 3 5 4 2" xfId="16711"/>
    <cellStyle name="Normal 3 2 3 5 4 2 2" xfId="27854"/>
    <cellStyle name="Normal 3 2 3 5 4 3" xfId="22285"/>
    <cellStyle name="Normal 3 2 3 5 4 4" xfId="8249"/>
    <cellStyle name="Normal 3 2 3 5 5" xfId="10059"/>
    <cellStyle name="Normal 3 2 3 5 5 2" xfId="14795"/>
    <cellStyle name="Normal 3 2 3 5 5 2 2" xfId="25938"/>
    <cellStyle name="Normal 3 2 3 5 5 3" xfId="20369"/>
    <cellStyle name="Normal 3 2 3 5 6" xfId="13365"/>
    <cellStyle name="Normal 3 2 3 5 6 2" xfId="24508"/>
    <cellStyle name="Normal 3 2 3 5 7" xfId="18939"/>
    <cellStyle name="Normal 3 2 3 5 8" xfId="6333"/>
    <cellStyle name="Normal 3 2 3 6" xfId="11606"/>
    <cellStyle name="Normal 3 2 4" xfId="515"/>
    <cellStyle name="Normal 3 2 4 2" xfId="898"/>
    <cellStyle name="Normal 3 2 4 2 2" xfId="1637"/>
    <cellStyle name="Normal 3 2 4 2 2 2" xfId="12733"/>
    <cellStyle name="Normal 3 2 4 2 3" xfId="2151"/>
    <cellStyle name="Normal 3 2 4 2 3 2" xfId="2795"/>
    <cellStyle name="Normal 3 2 4 2 3 2 2" xfId="4904"/>
    <cellStyle name="Normal 3 2 4 2 3 2 2 2" xfId="17517"/>
    <cellStyle name="Normal 3 2 4 2 3 2 2 2 2" xfId="28660"/>
    <cellStyle name="Normal 3 2 4 2 3 2 2 3" xfId="23091"/>
    <cellStyle name="Normal 3 2 4 2 3 2 2 4" xfId="9055"/>
    <cellStyle name="Normal 3 2 4 2 3 2 3" xfId="10121"/>
    <cellStyle name="Normal 3 2 4 2 3 2 3 2" xfId="15448"/>
    <cellStyle name="Normal 3 2 4 2 3 2 3 2 2" xfId="26591"/>
    <cellStyle name="Normal 3 2 4 2 3 2 3 3" xfId="21022"/>
    <cellStyle name="Normal 3 2 4 2 3 2 4" xfId="14018"/>
    <cellStyle name="Normal 3 2 4 2 3 2 4 2" xfId="25161"/>
    <cellStyle name="Normal 3 2 4 2 3 2 5" xfId="19592"/>
    <cellStyle name="Normal 3 2 4 2 3 2 6" xfId="6986"/>
    <cellStyle name="Normal 3 2 4 2 3 3" xfId="3433"/>
    <cellStyle name="Normal 3 2 4 2 3 3 2" xfId="5542"/>
    <cellStyle name="Normal 3 2 4 2 3 3 2 2" xfId="18155"/>
    <cellStyle name="Normal 3 2 4 2 3 3 2 2 2" xfId="29298"/>
    <cellStyle name="Normal 3 2 4 2 3 3 2 3" xfId="23729"/>
    <cellStyle name="Normal 3 2 4 2 3 3 2 4" xfId="9693"/>
    <cellStyle name="Normal 3 2 4 2 3 3 3" xfId="16086"/>
    <cellStyle name="Normal 3 2 4 2 3 3 3 2" xfId="27229"/>
    <cellStyle name="Normal 3 2 4 2 3 3 4" xfId="21660"/>
    <cellStyle name="Normal 3 2 4 2 3 3 5" xfId="7624"/>
    <cellStyle name="Normal 3 2 4 2 3 4" xfId="4112"/>
    <cellStyle name="Normal 3 2 4 2 3 4 2" xfId="16725"/>
    <cellStyle name="Normal 3 2 4 2 3 4 2 2" xfId="27868"/>
    <cellStyle name="Normal 3 2 4 2 3 4 3" xfId="22299"/>
    <cellStyle name="Normal 3 2 4 2 3 4 4" xfId="8263"/>
    <cellStyle name="Normal 3 2 4 2 3 5" xfId="10069"/>
    <cellStyle name="Normal 3 2 4 2 3 5 2" xfId="14809"/>
    <cellStyle name="Normal 3 2 4 2 3 5 2 2" xfId="25952"/>
    <cellStyle name="Normal 3 2 4 2 3 5 3" xfId="20383"/>
    <cellStyle name="Normal 3 2 4 2 3 6" xfId="13379"/>
    <cellStyle name="Normal 3 2 4 2 3 6 2" xfId="24522"/>
    <cellStyle name="Normal 3 2 4 2 3 7" xfId="18953"/>
    <cellStyle name="Normal 3 2 4 2 3 8" xfId="6347"/>
    <cellStyle name="Normal 3 2 4 2 4" xfId="12023"/>
    <cellStyle name="Normal 3 2 4 3" xfId="1282"/>
    <cellStyle name="Normal 3 2 4 3 2" xfId="12378"/>
    <cellStyle name="Normal 3 2 4 4" xfId="11668"/>
    <cellStyle name="Normal 3 2 5" xfId="720"/>
    <cellStyle name="Normal 3 2 5 2" xfId="1459"/>
    <cellStyle name="Normal 3 2 5 2 2" xfId="12555"/>
    <cellStyle name="Normal 3 2 5 3" xfId="2124"/>
    <cellStyle name="Normal 3 2 5 3 2" xfId="2775"/>
    <cellStyle name="Normal 3 2 5 3 2 2" xfId="4884"/>
    <cellStyle name="Normal 3 2 5 3 2 2 2" xfId="17497"/>
    <cellStyle name="Normal 3 2 5 3 2 2 2 2" xfId="28640"/>
    <cellStyle name="Normal 3 2 5 3 2 2 3" xfId="23071"/>
    <cellStyle name="Normal 3 2 5 3 2 2 4" xfId="9035"/>
    <cellStyle name="Normal 3 2 5 3 2 3" xfId="11407"/>
    <cellStyle name="Normal 3 2 5 3 2 3 2" xfId="15428"/>
    <cellStyle name="Normal 3 2 5 3 2 3 2 2" xfId="26571"/>
    <cellStyle name="Normal 3 2 5 3 2 3 3" xfId="21002"/>
    <cellStyle name="Normal 3 2 5 3 2 4" xfId="13998"/>
    <cellStyle name="Normal 3 2 5 3 2 4 2" xfId="25141"/>
    <cellStyle name="Normal 3 2 5 3 2 5" xfId="19572"/>
    <cellStyle name="Normal 3 2 5 3 2 6" xfId="6966"/>
    <cellStyle name="Normal 3 2 5 3 3" xfId="3413"/>
    <cellStyle name="Normal 3 2 5 3 3 2" xfId="5522"/>
    <cellStyle name="Normal 3 2 5 3 3 2 2" xfId="18135"/>
    <cellStyle name="Normal 3 2 5 3 3 2 2 2" xfId="29278"/>
    <cellStyle name="Normal 3 2 5 3 3 2 3" xfId="23709"/>
    <cellStyle name="Normal 3 2 5 3 3 2 4" xfId="9673"/>
    <cellStyle name="Normal 3 2 5 3 3 3" xfId="16066"/>
    <cellStyle name="Normal 3 2 5 3 3 3 2" xfId="27209"/>
    <cellStyle name="Normal 3 2 5 3 3 4" xfId="21640"/>
    <cellStyle name="Normal 3 2 5 3 3 5" xfId="7604"/>
    <cellStyle name="Normal 3 2 5 3 4" xfId="4092"/>
    <cellStyle name="Normal 3 2 5 3 4 2" xfId="16705"/>
    <cellStyle name="Normal 3 2 5 3 4 2 2" xfId="27848"/>
    <cellStyle name="Normal 3 2 5 3 4 3" xfId="22279"/>
    <cellStyle name="Normal 3 2 5 3 4 4" xfId="8243"/>
    <cellStyle name="Normal 3 2 5 3 5" xfId="10846"/>
    <cellStyle name="Normal 3 2 5 3 5 2" xfId="14789"/>
    <cellStyle name="Normal 3 2 5 3 5 2 2" xfId="25932"/>
    <cellStyle name="Normal 3 2 5 3 5 3" xfId="20363"/>
    <cellStyle name="Normal 3 2 5 3 6" xfId="13359"/>
    <cellStyle name="Normal 3 2 5 3 6 2" xfId="24502"/>
    <cellStyle name="Normal 3 2 5 3 7" xfId="18933"/>
    <cellStyle name="Normal 3 2 5 3 8" xfId="6327"/>
    <cellStyle name="Normal 3 2 5 4" xfId="11845"/>
    <cellStyle name="Normal 3 2 6" xfId="1104"/>
    <cellStyle name="Normal 3 2 6 2" xfId="2143"/>
    <cellStyle name="Normal 3 2 6 2 2" xfId="2787"/>
    <cellStyle name="Normal 3 2 6 2 2 2" xfId="4896"/>
    <cellStyle name="Normal 3 2 6 2 2 2 2" xfId="17509"/>
    <cellStyle name="Normal 3 2 6 2 2 2 2 2" xfId="28652"/>
    <cellStyle name="Normal 3 2 6 2 2 2 3" xfId="23083"/>
    <cellStyle name="Normal 3 2 6 2 2 2 4" xfId="9047"/>
    <cellStyle name="Normal 3 2 6 2 2 3" xfId="5860"/>
    <cellStyle name="Normal 3 2 6 2 2 3 2" xfId="15440"/>
    <cellStyle name="Normal 3 2 6 2 2 3 2 2" xfId="26583"/>
    <cellStyle name="Normal 3 2 6 2 2 3 3" xfId="21014"/>
    <cellStyle name="Normal 3 2 6 2 2 4" xfId="14010"/>
    <cellStyle name="Normal 3 2 6 2 2 4 2" xfId="25153"/>
    <cellStyle name="Normal 3 2 6 2 2 5" xfId="19584"/>
    <cellStyle name="Normal 3 2 6 2 2 6" xfId="6978"/>
    <cellStyle name="Normal 3 2 6 2 3" xfId="3425"/>
    <cellStyle name="Normal 3 2 6 2 3 2" xfId="5534"/>
    <cellStyle name="Normal 3 2 6 2 3 2 2" xfId="18147"/>
    <cellStyle name="Normal 3 2 6 2 3 2 2 2" xfId="29290"/>
    <cellStyle name="Normal 3 2 6 2 3 2 3" xfId="23721"/>
    <cellStyle name="Normal 3 2 6 2 3 2 4" xfId="9685"/>
    <cellStyle name="Normal 3 2 6 2 3 3" xfId="16078"/>
    <cellStyle name="Normal 3 2 6 2 3 3 2" xfId="27221"/>
    <cellStyle name="Normal 3 2 6 2 3 4" xfId="21652"/>
    <cellStyle name="Normal 3 2 6 2 3 5" xfId="7616"/>
    <cellStyle name="Normal 3 2 6 2 4" xfId="4104"/>
    <cellStyle name="Normal 3 2 6 2 4 2" xfId="16717"/>
    <cellStyle name="Normal 3 2 6 2 4 2 2" xfId="27860"/>
    <cellStyle name="Normal 3 2 6 2 4 3" xfId="22291"/>
    <cellStyle name="Normal 3 2 6 2 4 4" xfId="8255"/>
    <cellStyle name="Normal 3 2 6 2 5" xfId="11162"/>
    <cellStyle name="Normal 3 2 6 2 5 2" xfId="14801"/>
    <cellStyle name="Normal 3 2 6 2 5 2 2" xfId="25944"/>
    <cellStyle name="Normal 3 2 6 2 5 3" xfId="20375"/>
    <cellStyle name="Normal 3 2 6 2 6" xfId="13371"/>
    <cellStyle name="Normal 3 2 6 2 6 2" xfId="24514"/>
    <cellStyle name="Normal 3 2 6 2 7" xfId="18945"/>
    <cellStyle name="Normal 3 2 6 2 8" xfId="6339"/>
    <cellStyle name="Normal 3 2 6 3" xfId="12200"/>
    <cellStyle name="Normal 3 2 7" xfId="11490"/>
    <cellStyle name="Normal 3 3" xfId="152"/>
    <cellStyle name="Normal 3 3 10" xfId="2488"/>
    <cellStyle name="Normal 3 3 10 2" xfId="4597"/>
    <cellStyle name="Normal 3 3 10 2 2" xfId="17210"/>
    <cellStyle name="Normal 3 3 10 2 2 2" xfId="28353"/>
    <cellStyle name="Normal 3 3 10 2 3" xfId="22784"/>
    <cellStyle name="Normal 3 3 10 2 4" xfId="8748"/>
    <cellStyle name="Normal 3 3 10 3" xfId="10848"/>
    <cellStyle name="Normal 3 3 10 3 2" xfId="15141"/>
    <cellStyle name="Normal 3 3 10 3 2 2" xfId="26284"/>
    <cellStyle name="Normal 3 3 10 3 3" xfId="20715"/>
    <cellStyle name="Normal 3 3 10 4" xfId="13711"/>
    <cellStyle name="Normal 3 3 10 4 2" xfId="24854"/>
    <cellStyle name="Normal 3 3 10 5" xfId="19285"/>
    <cellStyle name="Normal 3 3 10 6" xfId="6679"/>
    <cellStyle name="Normal 3 3 11" xfId="3126"/>
    <cellStyle name="Normal 3 3 11 2" xfId="5235"/>
    <cellStyle name="Normal 3 3 11 2 2" xfId="17848"/>
    <cellStyle name="Normal 3 3 11 2 2 2" xfId="28991"/>
    <cellStyle name="Normal 3 3 11 2 3" xfId="23422"/>
    <cellStyle name="Normal 3 3 11 2 4" xfId="9386"/>
    <cellStyle name="Normal 3 3 11 3" xfId="15779"/>
    <cellStyle name="Normal 3 3 11 3 2" xfId="26922"/>
    <cellStyle name="Normal 3 3 11 4" xfId="21353"/>
    <cellStyle name="Normal 3 3 11 5" xfId="7317"/>
    <cellStyle name="Normal 3 3 12" xfId="3805"/>
    <cellStyle name="Normal 3 3 12 2" xfId="16418"/>
    <cellStyle name="Normal 3 3 12 2 2" xfId="27561"/>
    <cellStyle name="Normal 3 3 12 3" xfId="21992"/>
    <cellStyle name="Normal 3 3 12 4" xfId="7956"/>
    <cellStyle name="Normal 3 3 13" xfId="10977"/>
    <cellStyle name="Normal 3 3 13 2" xfId="14349"/>
    <cellStyle name="Normal 3 3 13 2 2" xfId="25492"/>
    <cellStyle name="Normal 3 3 13 3" xfId="19923"/>
    <cellStyle name="Normal 3 3 14" xfId="12918"/>
    <cellStyle name="Normal 3 3 14 2" xfId="24062"/>
    <cellStyle name="Normal 3 3 15" xfId="18493"/>
    <cellStyle name="Normal 3 3 16" xfId="5886"/>
    <cellStyle name="Normal 3 3 2" xfId="238"/>
    <cellStyle name="Normal 3 3 2 10" xfId="3145"/>
    <cellStyle name="Normal 3 3 2 10 2" xfId="5254"/>
    <cellStyle name="Normal 3 3 2 10 2 2" xfId="17867"/>
    <cellStyle name="Normal 3 3 2 10 2 2 2" xfId="29010"/>
    <cellStyle name="Normal 3 3 2 10 2 3" xfId="23441"/>
    <cellStyle name="Normal 3 3 2 10 2 4" xfId="9405"/>
    <cellStyle name="Normal 3 3 2 10 3" xfId="15798"/>
    <cellStyle name="Normal 3 3 2 10 3 2" xfId="26941"/>
    <cellStyle name="Normal 3 3 2 10 4" xfId="21372"/>
    <cellStyle name="Normal 3 3 2 10 5" xfId="7336"/>
    <cellStyle name="Normal 3 3 2 11" xfId="3824"/>
    <cellStyle name="Normal 3 3 2 11 2" xfId="16437"/>
    <cellStyle name="Normal 3 3 2 11 2 2" xfId="27580"/>
    <cellStyle name="Normal 3 3 2 11 3" xfId="22011"/>
    <cellStyle name="Normal 3 3 2 11 4" xfId="7975"/>
    <cellStyle name="Normal 3 3 2 12" xfId="10117"/>
    <cellStyle name="Normal 3 3 2 12 2" xfId="14368"/>
    <cellStyle name="Normal 3 3 2 12 2 2" xfId="25511"/>
    <cellStyle name="Normal 3 3 2 12 3" xfId="19942"/>
    <cellStyle name="Normal 3 3 2 13" xfId="12937"/>
    <cellStyle name="Normal 3 3 2 13 2" xfId="24081"/>
    <cellStyle name="Normal 3 3 2 14" xfId="18512"/>
    <cellStyle name="Normal 3 3 2 15" xfId="5905"/>
    <cellStyle name="Normal 3 3 2 2" xfId="276"/>
    <cellStyle name="Normal 3 3 2 2 10" xfId="3862"/>
    <cellStyle name="Normal 3 3 2 2 10 2" xfId="16475"/>
    <cellStyle name="Normal 3 3 2 2 10 2 2" xfId="27618"/>
    <cellStyle name="Normal 3 3 2 2 10 3" xfId="22049"/>
    <cellStyle name="Normal 3 3 2 2 10 4" xfId="8013"/>
    <cellStyle name="Normal 3 3 2 2 11" xfId="10748"/>
    <cellStyle name="Normal 3 3 2 2 11 2" xfId="14406"/>
    <cellStyle name="Normal 3 3 2 2 11 2 2" xfId="25549"/>
    <cellStyle name="Normal 3 3 2 2 11 3" xfId="19980"/>
    <cellStyle name="Normal 3 3 2 2 12" xfId="12975"/>
    <cellStyle name="Normal 3 3 2 2 12 2" xfId="24119"/>
    <cellStyle name="Normal 3 3 2 2 13" xfId="18550"/>
    <cellStyle name="Normal 3 3 2 2 14" xfId="5943"/>
    <cellStyle name="Normal 3 3 2 2 2" xfId="352"/>
    <cellStyle name="Normal 3 3 2 2 2 10" xfId="13051"/>
    <cellStyle name="Normal 3 3 2 2 2 10 2" xfId="24195"/>
    <cellStyle name="Normal 3 3 2 2 2 11" xfId="18626"/>
    <cellStyle name="Normal 3 3 2 2 2 12" xfId="6019"/>
    <cellStyle name="Normal 3 3 2 2 2 2" xfId="2310"/>
    <cellStyle name="Normal 3 3 2 2 2 2 2" xfId="2954"/>
    <cellStyle name="Normal 3 3 2 2 2 2 2 2" xfId="5063"/>
    <cellStyle name="Normal 3 3 2 2 2 2 2 2 2" xfId="17676"/>
    <cellStyle name="Normal 3 3 2 2 2 2 2 2 2 2" xfId="28819"/>
    <cellStyle name="Normal 3 3 2 2 2 2 2 2 3" xfId="23250"/>
    <cellStyle name="Normal 3 3 2 2 2 2 2 2 4" xfId="9214"/>
    <cellStyle name="Normal 3 3 2 2 2 2 2 3" xfId="11237"/>
    <cellStyle name="Normal 3 3 2 2 2 2 2 3 2" xfId="15607"/>
    <cellStyle name="Normal 3 3 2 2 2 2 2 3 2 2" xfId="26750"/>
    <cellStyle name="Normal 3 3 2 2 2 2 2 3 3" xfId="21181"/>
    <cellStyle name="Normal 3 3 2 2 2 2 2 4" xfId="14177"/>
    <cellStyle name="Normal 3 3 2 2 2 2 2 4 2" xfId="25320"/>
    <cellStyle name="Normal 3 3 2 2 2 2 2 5" xfId="19751"/>
    <cellStyle name="Normal 3 3 2 2 2 2 2 6" xfId="7145"/>
    <cellStyle name="Normal 3 3 2 2 2 2 3" xfId="3592"/>
    <cellStyle name="Normal 3 3 2 2 2 2 3 2" xfId="5701"/>
    <cellStyle name="Normal 3 3 2 2 2 2 3 2 2" xfId="18314"/>
    <cellStyle name="Normal 3 3 2 2 2 2 3 2 2 2" xfId="29457"/>
    <cellStyle name="Normal 3 3 2 2 2 2 3 2 3" xfId="23888"/>
    <cellStyle name="Normal 3 3 2 2 2 2 3 2 4" xfId="9852"/>
    <cellStyle name="Normal 3 3 2 2 2 2 3 3" xfId="16245"/>
    <cellStyle name="Normal 3 3 2 2 2 2 3 3 2" xfId="27388"/>
    <cellStyle name="Normal 3 3 2 2 2 2 3 4" xfId="21819"/>
    <cellStyle name="Normal 3 3 2 2 2 2 3 5" xfId="7783"/>
    <cellStyle name="Normal 3 3 2 2 2 2 4" xfId="4271"/>
    <cellStyle name="Normal 3 3 2 2 2 2 4 2" xfId="16884"/>
    <cellStyle name="Normal 3 3 2 2 2 2 4 2 2" xfId="28027"/>
    <cellStyle name="Normal 3 3 2 2 2 2 4 3" xfId="22458"/>
    <cellStyle name="Normal 3 3 2 2 2 2 4 4" xfId="8422"/>
    <cellStyle name="Normal 3 3 2 2 2 2 5" xfId="10444"/>
    <cellStyle name="Normal 3 3 2 2 2 2 5 2" xfId="14968"/>
    <cellStyle name="Normal 3 3 2 2 2 2 5 2 2" xfId="26111"/>
    <cellStyle name="Normal 3 3 2 2 2 2 5 3" xfId="20542"/>
    <cellStyle name="Normal 3 3 2 2 2 2 6" xfId="13538"/>
    <cellStyle name="Normal 3 3 2 2 2 2 6 2" xfId="24681"/>
    <cellStyle name="Normal 3 3 2 2 2 2 7" xfId="19112"/>
    <cellStyle name="Normal 3 3 2 2 2 2 8" xfId="6506"/>
    <cellStyle name="Normal 3 3 2 2 2 3" xfId="2118"/>
    <cellStyle name="Normal 3 3 2 2 2 3 2" xfId="2773"/>
    <cellStyle name="Normal 3 3 2 2 2 3 2 2" xfId="4882"/>
    <cellStyle name="Normal 3 3 2 2 2 3 2 2 2" xfId="17495"/>
    <cellStyle name="Normal 3 3 2 2 2 3 2 2 2 2" xfId="28638"/>
    <cellStyle name="Normal 3 3 2 2 2 3 2 2 3" xfId="23069"/>
    <cellStyle name="Normal 3 3 2 2 2 3 2 2 4" xfId="9033"/>
    <cellStyle name="Normal 3 3 2 2 2 3 2 3" xfId="11319"/>
    <cellStyle name="Normal 3 3 2 2 2 3 2 3 2" xfId="15426"/>
    <cellStyle name="Normal 3 3 2 2 2 3 2 3 2 2" xfId="26569"/>
    <cellStyle name="Normal 3 3 2 2 2 3 2 3 3" xfId="21000"/>
    <cellStyle name="Normal 3 3 2 2 2 3 2 4" xfId="13996"/>
    <cellStyle name="Normal 3 3 2 2 2 3 2 4 2" xfId="25139"/>
    <cellStyle name="Normal 3 3 2 2 2 3 2 5" xfId="19570"/>
    <cellStyle name="Normal 3 3 2 2 2 3 2 6" xfId="6964"/>
    <cellStyle name="Normal 3 3 2 2 2 3 3" xfId="3411"/>
    <cellStyle name="Normal 3 3 2 2 2 3 3 2" xfId="5520"/>
    <cellStyle name="Normal 3 3 2 2 2 3 3 2 2" xfId="18133"/>
    <cellStyle name="Normal 3 3 2 2 2 3 3 2 2 2" xfId="29276"/>
    <cellStyle name="Normal 3 3 2 2 2 3 3 2 3" xfId="23707"/>
    <cellStyle name="Normal 3 3 2 2 2 3 3 2 4" xfId="9671"/>
    <cellStyle name="Normal 3 3 2 2 2 3 3 3" xfId="16064"/>
    <cellStyle name="Normal 3 3 2 2 2 3 3 3 2" xfId="27207"/>
    <cellStyle name="Normal 3 3 2 2 2 3 3 4" xfId="21638"/>
    <cellStyle name="Normal 3 3 2 2 2 3 3 5" xfId="7602"/>
    <cellStyle name="Normal 3 3 2 2 2 3 4" xfId="4090"/>
    <cellStyle name="Normal 3 3 2 2 2 3 4 2" xfId="16703"/>
    <cellStyle name="Normal 3 3 2 2 2 3 4 2 2" xfId="27846"/>
    <cellStyle name="Normal 3 3 2 2 2 3 4 3" xfId="22277"/>
    <cellStyle name="Normal 3 3 2 2 2 3 4 4" xfId="8241"/>
    <cellStyle name="Normal 3 3 2 2 2 3 5" xfId="10900"/>
    <cellStyle name="Normal 3 3 2 2 2 3 5 2" xfId="14787"/>
    <cellStyle name="Normal 3 3 2 2 2 3 5 2 2" xfId="25930"/>
    <cellStyle name="Normal 3 3 2 2 2 3 5 3" xfId="20361"/>
    <cellStyle name="Normal 3 3 2 2 2 3 6" xfId="13357"/>
    <cellStyle name="Normal 3 3 2 2 2 3 6 2" xfId="24500"/>
    <cellStyle name="Normal 3 3 2 2 2 3 7" xfId="18931"/>
    <cellStyle name="Normal 3 3 2 2 2 3 8" xfId="6325"/>
    <cellStyle name="Normal 3 3 2 2 2 4" xfId="2465"/>
    <cellStyle name="Normal 3 3 2 2 2 4 2" xfId="3106"/>
    <cellStyle name="Normal 3 3 2 2 2 4 2 2" xfId="5215"/>
    <cellStyle name="Normal 3 3 2 2 2 4 2 2 2" xfId="17828"/>
    <cellStyle name="Normal 3 3 2 2 2 4 2 2 2 2" xfId="28971"/>
    <cellStyle name="Normal 3 3 2 2 2 4 2 2 3" xfId="23402"/>
    <cellStyle name="Normal 3 3 2 2 2 4 2 2 4" xfId="9366"/>
    <cellStyle name="Normal 3 3 2 2 2 4 2 3" xfId="10932"/>
    <cellStyle name="Normal 3 3 2 2 2 4 2 3 2" xfId="15759"/>
    <cellStyle name="Normal 3 3 2 2 2 4 2 3 2 2" xfId="26902"/>
    <cellStyle name="Normal 3 3 2 2 2 4 2 3 3" xfId="21333"/>
    <cellStyle name="Normal 3 3 2 2 2 4 2 4" xfId="14329"/>
    <cellStyle name="Normal 3 3 2 2 2 4 2 4 2" xfId="25472"/>
    <cellStyle name="Normal 3 3 2 2 2 4 2 5" xfId="19903"/>
    <cellStyle name="Normal 3 3 2 2 2 4 2 6" xfId="7297"/>
    <cellStyle name="Normal 3 3 2 2 2 4 3" xfId="3744"/>
    <cellStyle name="Normal 3 3 2 2 2 4 3 2" xfId="5853"/>
    <cellStyle name="Normal 3 3 2 2 2 4 3 2 2" xfId="18466"/>
    <cellStyle name="Normal 3 3 2 2 2 4 3 2 2 2" xfId="29609"/>
    <cellStyle name="Normal 3 3 2 2 2 4 3 2 3" xfId="24040"/>
    <cellStyle name="Normal 3 3 2 2 2 4 3 2 4" xfId="10004"/>
    <cellStyle name="Normal 3 3 2 2 2 4 3 3" xfId="16397"/>
    <cellStyle name="Normal 3 3 2 2 2 4 3 3 2" xfId="27540"/>
    <cellStyle name="Normal 3 3 2 2 2 4 3 4" xfId="21971"/>
    <cellStyle name="Normal 3 3 2 2 2 4 3 5" xfId="7935"/>
    <cellStyle name="Normal 3 3 2 2 2 4 4" xfId="4423"/>
    <cellStyle name="Normal 3 3 2 2 2 4 4 2" xfId="17036"/>
    <cellStyle name="Normal 3 3 2 2 2 4 4 2 2" xfId="28179"/>
    <cellStyle name="Normal 3 3 2 2 2 4 4 3" xfId="22610"/>
    <cellStyle name="Normal 3 3 2 2 2 4 4 4" xfId="8574"/>
    <cellStyle name="Normal 3 3 2 2 2 4 5" xfId="10224"/>
    <cellStyle name="Normal 3 3 2 2 2 4 5 2" xfId="15120"/>
    <cellStyle name="Normal 3 3 2 2 2 4 5 2 2" xfId="26263"/>
    <cellStyle name="Normal 3 3 2 2 2 4 5 3" xfId="20694"/>
    <cellStyle name="Normal 3 3 2 2 2 4 6" xfId="13690"/>
    <cellStyle name="Normal 3 3 2 2 2 4 6 2" xfId="24833"/>
    <cellStyle name="Normal 3 3 2 2 2 4 7" xfId="19264"/>
    <cellStyle name="Normal 3 3 2 2 2 4 8" xfId="6658"/>
    <cellStyle name="Normal 3 3 2 2 2 5" xfId="1928"/>
    <cellStyle name="Normal 3 3 2 2 2 5 2" xfId="4576"/>
    <cellStyle name="Normal 3 3 2 2 2 5 2 2" xfId="17189"/>
    <cellStyle name="Normal 3 3 2 2 2 5 2 2 2" xfId="28332"/>
    <cellStyle name="Normal 3 3 2 2 2 5 2 3" xfId="22763"/>
    <cellStyle name="Normal 3 3 2 2 2 5 2 4" xfId="8727"/>
    <cellStyle name="Normal 3 3 2 2 2 5 3" xfId="10297"/>
    <cellStyle name="Normal 3 3 2 2 2 5 3 2" xfId="14635"/>
    <cellStyle name="Normal 3 3 2 2 2 5 3 2 2" xfId="25778"/>
    <cellStyle name="Normal 3 3 2 2 2 5 3 3" xfId="20209"/>
    <cellStyle name="Normal 3 3 2 2 2 5 4" xfId="13205"/>
    <cellStyle name="Normal 3 3 2 2 2 5 4 2" xfId="24348"/>
    <cellStyle name="Normal 3 3 2 2 2 5 5" xfId="18779"/>
    <cellStyle name="Normal 3 3 2 2 2 5 6" xfId="6173"/>
    <cellStyle name="Normal 3 3 2 2 2 6" xfId="2621"/>
    <cellStyle name="Normal 3 3 2 2 2 6 2" xfId="4730"/>
    <cellStyle name="Normal 3 3 2 2 2 6 2 2" xfId="17343"/>
    <cellStyle name="Normal 3 3 2 2 2 6 2 2 2" xfId="28486"/>
    <cellStyle name="Normal 3 3 2 2 2 6 2 3" xfId="22917"/>
    <cellStyle name="Normal 3 3 2 2 2 6 2 4" xfId="8881"/>
    <cellStyle name="Normal 3 3 2 2 2 6 3" xfId="10025"/>
    <cellStyle name="Normal 3 3 2 2 2 6 3 2" xfId="15274"/>
    <cellStyle name="Normal 3 3 2 2 2 6 3 2 2" xfId="26417"/>
    <cellStyle name="Normal 3 3 2 2 2 6 3 3" xfId="20848"/>
    <cellStyle name="Normal 3 3 2 2 2 6 4" xfId="13844"/>
    <cellStyle name="Normal 3 3 2 2 2 6 4 2" xfId="24987"/>
    <cellStyle name="Normal 3 3 2 2 2 6 5" xfId="19418"/>
    <cellStyle name="Normal 3 3 2 2 2 6 6" xfId="6812"/>
    <cellStyle name="Normal 3 3 2 2 2 7" xfId="3259"/>
    <cellStyle name="Normal 3 3 2 2 2 7 2" xfId="5368"/>
    <cellStyle name="Normal 3 3 2 2 2 7 2 2" xfId="17981"/>
    <cellStyle name="Normal 3 3 2 2 2 7 2 2 2" xfId="29124"/>
    <cellStyle name="Normal 3 3 2 2 2 7 2 3" xfId="23555"/>
    <cellStyle name="Normal 3 3 2 2 2 7 2 4" xfId="9519"/>
    <cellStyle name="Normal 3 3 2 2 2 7 3" xfId="15912"/>
    <cellStyle name="Normal 3 3 2 2 2 7 3 2" xfId="27055"/>
    <cellStyle name="Normal 3 3 2 2 2 7 4" xfId="21486"/>
    <cellStyle name="Normal 3 3 2 2 2 7 5" xfId="7450"/>
    <cellStyle name="Normal 3 3 2 2 2 8" xfId="3938"/>
    <cellStyle name="Normal 3 3 2 2 2 8 2" xfId="16551"/>
    <cellStyle name="Normal 3 3 2 2 2 8 2 2" xfId="27694"/>
    <cellStyle name="Normal 3 3 2 2 2 8 3" xfId="22125"/>
    <cellStyle name="Normal 3 3 2 2 2 8 4" xfId="8089"/>
    <cellStyle name="Normal 3 3 2 2 2 9" xfId="10199"/>
    <cellStyle name="Normal 3 3 2 2 2 9 2" xfId="14482"/>
    <cellStyle name="Normal 3 3 2 2 2 9 2 2" xfId="25625"/>
    <cellStyle name="Normal 3 3 2 2 2 9 3" xfId="20056"/>
    <cellStyle name="Normal 3 3 2 2 3" xfId="2153"/>
    <cellStyle name="Normal 3 3 2 2 3 2" xfId="2797"/>
    <cellStyle name="Normal 3 3 2 2 3 2 2" xfId="4906"/>
    <cellStyle name="Normal 3 3 2 2 3 2 2 2" xfId="17519"/>
    <cellStyle name="Normal 3 3 2 2 3 2 2 2 2" xfId="28662"/>
    <cellStyle name="Normal 3 3 2 2 3 2 2 3" xfId="23093"/>
    <cellStyle name="Normal 3 3 2 2 3 2 2 4" xfId="9057"/>
    <cellStyle name="Normal 3 3 2 2 3 2 3" xfId="10678"/>
    <cellStyle name="Normal 3 3 2 2 3 2 3 2" xfId="15450"/>
    <cellStyle name="Normal 3 3 2 2 3 2 3 2 2" xfId="26593"/>
    <cellStyle name="Normal 3 3 2 2 3 2 3 3" xfId="21024"/>
    <cellStyle name="Normal 3 3 2 2 3 2 4" xfId="14020"/>
    <cellStyle name="Normal 3 3 2 2 3 2 4 2" xfId="25163"/>
    <cellStyle name="Normal 3 3 2 2 3 2 5" xfId="19594"/>
    <cellStyle name="Normal 3 3 2 2 3 2 6" xfId="6988"/>
    <cellStyle name="Normal 3 3 2 2 3 3" xfId="3435"/>
    <cellStyle name="Normal 3 3 2 2 3 3 2" xfId="5544"/>
    <cellStyle name="Normal 3 3 2 2 3 3 2 2" xfId="18157"/>
    <cellStyle name="Normal 3 3 2 2 3 3 2 2 2" xfId="29300"/>
    <cellStyle name="Normal 3 3 2 2 3 3 2 3" xfId="23731"/>
    <cellStyle name="Normal 3 3 2 2 3 3 2 4" xfId="9695"/>
    <cellStyle name="Normal 3 3 2 2 3 3 3" xfId="16088"/>
    <cellStyle name="Normal 3 3 2 2 3 3 3 2" xfId="27231"/>
    <cellStyle name="Normal 3 3 2 2 3 3 4" xfId="21662"/>
    <cellStyle name="Normal 3 3 2 2 3 3 5" xfId="7626"/>
    <cellStyle name="Normal 3 3 2 2 3 4" xfId="4114"/>
    <cellStyle name="Normal 3 3 2 2 3 4 2" xfId="16727"/>
    <cellStyle name="Normal 3 3 2 2 3 4 2 2" xfId="27870"/>
    <cellStyle name="Normal 3 3 2 2 3 4 3" xfId="22301"/>
    <cellStyle name="Normal 3 3 2 2 3 4 4" xfId="8265"/>
    <cellStyle name="Normal 3 3 2 2 3 5" xfId="10287"/>
    <cellStyle name="Normal 3 3 2 2 3 5 2" xfId="14811"/>
    <cellStyle name="Normal 3 3 2 2 3 5 2 2" xfId="25954"/>
    <cellStyle name="Normal 3 3 2 2 3 5 3" xfId="20385"/>
    <cellStyle name="Normal 3 3 2 2 3 6" xfId="13381"/>
    <cellStyle name="Normal 3 3 2 2 3 6 2" xfId="24524"/>
    <cellStyle name="Normal 3 3 2 2 3 7" xfId="18955"/>
    <cellStyle name="Normal 3 3 2 2 3 8" xfId="6349"/>
    <cellStyle name="Normal 3 3 2 2 4" xfId="2234"/>
    <cellStyle name="Normal 3 3 2 2 4 2" xfId="2878"/>
    <cellStyle name="Normal 3 3 2 2 4 2 2" xfId="4987"/>
    <cellStyle name="Normal 3 3 2 2 4 2 2 2" xfId="17600"/>
    <cellStyle name="Normal 3 3 2 2 4 2 2 2 2" xfId="28743"/>
    <cellStyle name="Normal 3 3 2 2 4 2 2 3" xfId="23174"/>
    <cellStyle name="Normal 3 3 2 2 4 2 2 4" xfId="9138"/>
    <cellStyle name="Normal 3 3 2 2 4 2 3" xfId="10774"/>
    <cellStyle name="Normal 3 3 2 2 4 2 3 2" xfId="15531"/>
    <cellStyle name="Normal 3 3 2 2 4 2 3 2 2" xfId="26674"/>
    <cellStyle name="Normal 3 3 2 2 4 2 3 3" xfId="21105"/>
    <cellStyle name="Normal 3 3 2 2 4 2 4" xfId="14101"/>
    <cellStyle name="Normal 3 3 2 2 4 2 4 2" xfId="25244"/>
    <cellStyle name="Normal 3 3 2 2 4 2 5" xfId="19675"/>
    <cellStyle name="Normal 3 3 2 2 4 2 6" xfId="7069"/>
    <cellStyle name="Normal 3 3 2 2 4 3" xfId="3516"/>
    <cellStyle name="Normal 3 3 2 2 4 3 2" xfId="5625"/>
    <cellStyle name="Normal 3 3 2 2 4 3 2 2" xfId="18238"/>
    <cellStyle name="Normal 3 3 2 2 4 3 2 2 2" xfId="29381"/>
    <cellStyle name="Normal 3 3 2 2 4 3 2 3" xfId="23812"/>
    <cellStyle name="Normal 3 3 2 2 4 3 2 4" xfId="9776"/>
    <cellStyle name="Normal 3 3 2 2 4 3 3" xfId="16169"/>
    <cellStyle name="Normal 3 3 2 2 4 3 3 2" xfId="27312"/>
    <cellStyle name="Normal 3 3 2 2 4 3 4" xfId="21743"/>
    <cellStyle name="Normal 3 3 2 2 4 3 5" xfId="7707"/>
    <cellStyle name="Normal 3 3 2 2 4 4" xfId="4195"/>
    <cellStyle name="Normal 3 3 2 2 4 4 2" xfId="16808"/>
    <cellStyle name="Normal 3 3 2 2 4 4 2 2" xfId="27951"/>
    <cellStyle name="Normal 3 3 2 2 4 4 3" xfId="22382"/>
    <cellStyle name="Normal 3 3 2 2 4 4 4" xfId="8346"/>
    <cellStyle name="Normal 3 3 2 2 4 5" xfId="10754"/>
    <cellStyle name="Normal 3 3 2 2 4 5 2" xfId="14892"/>
    <cellStyle name="Normal 3 3 2 2 4 5 2 2" xfId="26035"/>
    <cellStyle name="Normal 3 3 2 2 4 5 3" xfId="20466"/>
    <cellStyle name="Normal 3 3 2 2 4 6" xfId="13462"/>
    <cellStyle name="Normal 3 3 2 2 4 6 2" xfId="24605"/>
    <cellStyle name="Normal 3 3 2 2 4 7" xfId="19036"/>
    <cellStyle name="Normal 3 3 2 2 4 8" xfId="6430"/>
    <cellStyle name="Normal 3 3 2 2 5" xfId="2042"/>
    <cellStyle name="Normal 3 3 2 2 5 2" xfId="2697"/>
    <cellStyle name="Normal 3 3 2 2 5 2 2" xfId="4806"/>
    <cellStyle name="Normal 3 3 2 2 5 2 2 2" xfId="17419"/>
    <cellStyle name="Normal 3 3 2 2 5 2 2 2 2" xfId="28562"/>
    <cellStyle name="Normal 3 3 2 2 5 2 2 3" xfId="22993"/>
    <cellStyle name="Normal 3 3 2 2 5 2 2 4" xfId="8957"/>
    <cellStyle name="Normal 3 3 2 2 5 2 3" xfId="10796"/>
    <cellStyle name="Normal 3 3 2 2 5 2 3 2" xfId="15350"/>
    <cellStyle name="Normal 3 3 2 2 5 2 3 2 2" xfId="26493"/>
    <cellStyle name="Normal 3 3 2 2 5 2 3 3" xfId="20924"/>
    <cellStyle name="Normal 3 3 2 2 5 2 4" xfId="13920"/>
    <cellStyle name="Normal 3 3 2 2 5 2 4 2" xfId="25063"/>
    <cellStyle name="Normal 3 3 2 2 5 2 5" xfId="19494"/>
    <cellStyle name="Normal 3 3 2 2 5 2 6" xfId="6888"/>
    <cellStyle name="Normal 3 3 2 2 5 3" xfId="3335"/>
    <cellStyle name="Normal 3 3 2 2 5 3 2" xfId="5444"/>
    <cellStyle name="Normal 3 3 2 2 5 3 2 2" xfId="18057"/>
    <cellStyle name="Normal 3 3 2 2 5 3 2 2 2" xfId="29200"/>
    <cellStyle name="Normal 3 3 2 2 5 3 2 3" xfId="23631"/>
    <cellStyle name="Normal 3 3 2 2 5 3 2 4" xfId="9595"/>
    <cellStyle name="Normal 3 3 2 2 5 3 3" xfId="15988"/>
    <cellStyle name="Normal 3 3 2 2 5 3 3 2" xfId="27131"/>
    <cellStyle name="Normal 3 3 2 2 5 3 4" xfId="21562"/>
    <cellStyle name="Normal 3 3 2 2 5 3 5" xfId="7526"/>
    <cellStyle name="Normal 3 3 2 2 5 4" xfId="4014"/>
    <cellStyle name="Normal 3 3 2 2 5 4 2" xfId="16627"/>
    <cellStyle name="Normal 3 3 2 2 5 4 2 2" xfId="27770"/>
    <cellStyle name="Normal 3 3 2 2 5 4 3" xfId="22201"/>
    <cellStyle name="Normal 3 3 2 2 5 4 4" xfId="8165"/>
    <cellStyle name="Normal 3 3 2 2 5 5" xfId="10928"/>
    <cellStyle name="Normal 3 3 2 2 5 5 2" xfId="14711"/>
    <cellStyle name="Normal 3 3 2 2 5 5 2 2" xfId="25854"/>
    <cellStyle name="Normal 3 3 2 2 5 5 3" xfId="20285"/>
    <cellStyle name="Normal 3 3 2 2 5 6" xfId="13281"/>
    <cellStyle name="Normal 3 3 2 2 5 6 2" xfId="24424"/>
    <cellStyle name="Normal 3 3 2 2 5 7" xfId="18855"/>
    <cellStyle name="Normal 3 3 2 2 5 8" xfId="6249"/>
    <cellStyle name="Normal 3 3 2 2 6" xfId="2389"/>
    <cellStyle name="Normal 3 3 2 2 6 2" xfId="3030"/>
    <cellStyle name="Normal 3 3 2 2 6 2 2" xfId="5139"/>
    <cellStyle name="Normal 3 3 2 2 6 2 2 2" xfId="17752"/>
    <cellStyle name="Normal 3 3 2 2 6 2 2 2 2" xfId="28895"/>
    <cellStyle name="Normal 3 3 2 2 6 2 2 3" xfId="23326"/>
    <cellStyle name="Normal 3 3 2 2 6 2 2 4" xfId="9290"/>
    <cellStyle name="Normal 3 3 2 2 6 2 3" xfId="10600"/>
    <cellStyle name="Normal 3 3 2 2 6 2 3 2" xfId="15683"/>
    <cellStyle name="Normal 3 3 2 2 6 2 3 2 2" xfId="26826"/>
    <cellStyle name="Normal 3 3 2 2 6 2 3 3" xfId="21257"/>
    <cellStyle name="Normal 3 3 2 2 6 2 4" xfId="14253"/>
    <cellStyle name="Normal 3 3 2 2 6 2 4 2" xfId="25396"/>
    <cellStyle name="Normal 3 3 2 2 6 2 5" xfId="19827"/>
    <cellStyle name="Normal 3 3 2 2 6 2 6" xfId="7221"/>
    <cellStyle name="Normal 3 3 2 2 6 3" xfId="3668"/>
    <cellStyle name="Normal 3 3 2 2 6 3 2" xfId="5777"/>
    <cellStyle name="Normal 3 3 2 2 6 3 2 2" xfId="18390"/>
    <cellStyle name="Normal 3 3 2 2 6 3 2 2 2" xfId="29533"/>
    <cellStyle name="Normal 3 3 2 2 6 3 2 3" xfId="23964"/>
    <cellStyle name="Normal 3 3 2 2 6 3 2 4" xfId="9928"/>
    <cellStyle name="Normal 3 3 2 2 6 3 3" xfId="16321"/>
    <cellStyle name="Normal 3 3 2 2 6 3 3 2" xfId="27464"/>
    <cellStyle name="Normal 3 3 2 2 6 3 4" xfId="21895"/>
    <cellStyle name="Normal 3 3 2 2 6 3 5" xfId="7859"/>
    <cellStyle name="Normal 3 3 2 2 6 4" xfId="4347"/>
    <cellStyle name="Normal 3 3 2 2 6 4 2" xfId="16960"/>
    <cellStyle name="Normal 3 3 2 2 6 4 2 2" xfId="28103"/>
    <cellStyle name="Normal 3 3 2 2 6 4 3" xfId="22534"/>
    <cellStyle name="Normal 3 3 2 2 6 4 4" xfId="8498"/>
    <cellStyle name="Normal 3 3 2 2 6 5" xfId="11358"/>
    <cellStyle name="Normal 3 3 2 2 6 5 2" xfId="15044"/>
    <cellStyle name="Normal 3 3 2 2 6 5 2 2" xfId="26187"/>
    <cellStyle name="Normal 3 3 2 2 6 5 3" xfId="20618"/>
    <cellStyle name="Normal 3 3 2 2 6 6" xfId="13614"/>
    <cellStyle name="Normal 3 3 2 2 6 6 2" xfId="24757"/>
    <cellStyle name="Normal 3 3 2 2 6 7" xfId="19188"/>
    <cellStyle name="Normal 3 3 2 2 6 8" xfId="6582"/>
    <cellStyle name="Normal 3 3 2 2 7" xfId="1852"/>
    <cellStyle name="Normal 3 3 2 2 7 2" xfId="4500"/>
    <cellStyle name="Normal 3 3 2 2 7 2 2" xfId="17113"/>
    <cellStyle name="Normal 3 3 2 2 7 2 2 2" xfId="28256"/>
    <cellStyle name="Normal 3 3 2 2 7 2 3" xfId="22687"/>
    <cellStyle name="Normal 3 3 2 2 7 2 4" xfId="8651"/>
    <cellStyle name="Normal 3 3 2 2 7 3" xfId="11174"/>
    <cellStyle name="Normal 3 3 2 2 7 3 2" xfId="14559"/>
    <cellStyle name="Normal 3 3 2 2 7 3 2 2" xfId="25702"/>
    <cellStyle name="Normal 3 3 2 2 7 3 3" xfId="20133"/>
    <cellStyle name="Normal 3 3 2 2 7 4" xfId="13129"/>
    <cellStyle name="Normal 3 3 2 2 7 4 2" xfId="24272"/>
    <cellStyle name="Normal 3 3 2 2 7 5" xfId="18703"/>
    <cellStyle name="Normal 3 3 2 2 7 6" xfId="6097"/>
    <cellStyle name="Normal 3 3 2 2 8" xfId="2545"/>
    <cellStyle name="Normal 3 3 2 2 8 2" xfId="4654"/>
    <cellStyle name="Normal 3 3 2 2 8 2 2" xfId="17267"/>
    <cellStyle name="Normal 3 3 2 2 8 2 2 2" xfId="28410"/>
    <cellStyle name="Normal 3 3 2 2 8 2 3" xfId="22841"/>
    <cellStyle name="Normal 3 3 2 2 8 2 4" xfId="8805"/>
    <cellStyle name="Normal 3 3 2 2 8 3" xfId="11088"/>
    <cellStyle name="Normal 3 3 2 2 8 3 2" xfId="15198"/>
    <cellStyle name="Normal 3 3 2 2 8 3 2 2" xfId="26341"/>
    <cellStyle name="Normal 3 3 2 2 8 3 3" xfId="20772"/>
    <cellStyle name="Normal 3 3 2 2 8 4" xfId="13768"/>
    <cellStyle name="Normal 3 3 2 2 8 4 2" xfId="24911"/>
    <cellStyle name="Normal 3 3 2 2 8 5" xfId="19342"/>
    <cellStyle name="Normal 3 3 2 2 8 6" xfId="6736"/>
    <cellStyle name="Normal 3 3 2 2 9" xfId="3183"/>
    <cellStyle name="Normal 3 3 2 2 9 2" xfId="5292"/>
    <cellStyle name="Normal 3 3 2 2 9 2 2" xfId="17905"/>
    <cellStyle name="Normal 3 3 2 2 9 2 2 2" xfId="29048"/>
    <cellStyle name="Normal 3 3 2 2 9 2 3" xfId="23479"/>
    <cellStyle name="Normal 3 3 2 2 9 2 4" xfId="9443"/>
    <cellStyle name="Normal 3 3 2 2 9 3" xfId="15836"/>
    <cellStyle name="Normal 3 3 2 2 9 3 2" xfId="26979"/>
    <cellStyle name="Normal 3 3 2 2 9 4" xfId="21410"/>
    <cellStyle name="Normal 3 3 2 2 9 5" xfId="7374"/>
    <cellStyle name="Normal 3 3 2 3" xfId="314"/>
    <cellStyle name="Normal 3 3 2 3 10" xfId="13013"/>
    <cellStyle name="Normal 3 3 2 3 10 2" xfId="24157"/>
    <cellStyle name="Normal 3 3 2 3 11" xfId="18588"/>
    <cellStyle name="Normal 3 3 2 3 12" xfId="5981"/>
    <cellStyle name="Normal 3 3 2 3 2" xfId="2272"/>
    <cellStyle name="Normal 3 3 2 3 2 2" xfId="2916"/>
    <cellStyle name="Normal 3 3 2 3 2 2 2" xfId="5025"/>
    <cellStyle name="Normal 3 3 2 3 2 2 2 2" xfId="17638"/>
    <cellStyle name="Normal 3 3 2 3 2 2 2 2 2" xfId="28781"/>
    <cellStyle name="Normal 3 3 2 3 2 2 2 3" xfId="23212"/>
    <cellStyle name="Normal 3 3 2 3 2 2 2 4" xfId="9176"/>
    <cellStyle name="Normal 3 3 2 3 2 2 3" xfId="10613"/>
    <cellStyle name="Normal 3 3 2 3 2 2 3 2" xfId="15569"/>
    <cellStyle name="Normal 3 3 2 3 2 2 3 2 2" xfId="26712"/>
    <cellStyle name="Normal 3 3 2 3 2 2 3 3" xfId="21143"/>
    <cellStyle name="Normal 3 3 2 3 2 2 4" xfId="14139"/>
    <cellStyle name="Normal 3 3 2 3 2 2 4 2" xfId="25282"/>
    <cellStyle name="Normal 3 3 2 3 2 2 5" xfId="19713"/>
    <cellStyle name="Normal 3 3 2 3 2 2 6" xfId="7107"/>
    <cellStyle name="Normal 3 3 2 3 2 3" xfId="3554"/>
    <cellStyle name="Normal 3 3 2 3 2 3 2" xfId="5663"/>
    <cellStyle name="Normal 3 3 2 3 2 3 2 2" xfId="18276"/>
    <cellStyle name="Normal 3 3 2 3 2 3 2 2 2" xfId="29419"/>
    <cellStyle name="Normal 3 3 2 3 2 3 2 3" xfId="23850"/>
    <cellStyle name="Normal 3 3 2 3 2 3 2 4" xfId="9814"/>
    <cellStyle name="Normal 3 3 2 3 2 3 3" xfId="16207"/>
    <cellStyle name="Normal 3 3 2 3 2 3 3 2" xfId="27350"/>
    <cellStyle name="Normal 3 3 2 3 2 3 4" xfId="21781"/>
    <cellStyle name="Normal 3 3 2 3 2 3 5" xfId="7745"/>
    <cellStyle name="Normal 3 3 2 3 2 4" xfId="4233"/>
    <cellStyle name="Normal 3 3 2 3 2 4 2" xfId="16846"/>
    <cellStyle name="Normal 3 3 2 3 2 4 2 2" xfId="27989"/>
    <cellStyle name="Normal 3 3 2 3 2 4 3" xfId="22420"/>
    <cellStyle name="Normal 3 3 2 3 2 4 4" xfId="8384"/>
    <cellStyle name="Normal 3 3 2 3 2 5" xfId="11089"/>
    <cellStyle name="Normal 3 3 2 3 2 5 2" xfId="14930"/>
    <cellStyle name="Normal 3 3 2 3 2 5 2 2" xfId="26073"/>
    <cellStyle name="Normal 3 3 2 3 2 5 3" xfId="20504"/>
    <cellStyle name="Normal 3 3 2 3 2 6" xfId="13500"/>
    <cellStyle name="Normal 3 3 2 3 2 6 2" xfId="24643"/>
    <cellStyle name="Normal 3 3 2 3 2 7" xfId="19074"/>
    <cellStyle name="Normal 3 3 2 3 2 8" xfId="6468"/>
    <cellStyle name="Normal 3 3 2 3 3" xfId="2080"/>
    <cellStyle name="Normal 3 3 2 3 3 2" xfId="2735"/>
    <cellStyle name="Normal 3 3 2 3 3 2 2" xfId="4844"/>
    <cellStyle name="Normal 3 3 2 3 3 2 2 2" xfId="17457"/>
    <cellStyle name="Normal 3 3 2 3 3 2 2 2 2" xfId="28600"/>
    <cellStyle name="Normal 3 3 2 3 3 2 2 3" xfId="23031"/>
    <cellStyle name="Normal 3 3 2 3 3 2 2 4" xfId="8995"/>
    <cellStyle name="Normal 3 3 2 3 3 2 3" xfId="11426"/>
    <cellStyle name="Normal 3 3 2 3 3 2 3 2" xfId="15388"/>
    <cellStyle name="Normal 3 3 2 3 3 2 3 2 2" xfId="26531"/>
    <cellStyle name="Normal 3 3 2 3 3 2 3 3" xfId="20962"/>
    <cellStyle name="Normal 3 3 2 3 3 2 4" xfId="13958"/>
    <cellStyle name="Normal 3 3 2 3 3 2 4 2" xfId="25101"/>
    <cellStyle name="Normal 3 3 2 3 3 2 5" xfId="19532"/>
    <cellStyle name="Normal 3 3 2 3 3 2 6" xfId="6926"/>
    <cellStyle name="Normal 3 3 2 3 3 3" xfId="3373"/>
    <cellStyle name="Normal 3 3 2 3 3 3 2" xfId="5482"/>
    <cellStyle name="Normal 3 3 2 3 3 3 2 2" xfId="18095"/>
    <cellStyle name="Normal 3 3 2 3 3 3 2 2 2" xfId="29238"/>
    <cellStyle name="Normal 3 3 2 3 3 3 2 3" xfId="23669"/>
    <cellStyle name="Normal 3 3 2 3 3 3 2 4" xfId="9633"/>
    <cellStyle name="Normal 3 3 2 3 3 3 3" xfId="16026"/>
    <cellStyle name="Normal 3 3 2 3 3 3 3 2" xfId="27169"/>
    <cellStyle name="Normal 3 3 2 3 3 3 4" xfId="21600"/>
    <cellStyle name="Normal 3 3 2 3 3 3 5" xfId="7564"/>
    <cellStyle name="Normal 3 3 2 3 3 4" xfId="4052"/>
    <cellStyle name="Normal 3 3 2 3 3 4 2" xfId="16665"/>
    <cellStyle name="Normal 3 3 2 3 3 4 2 2" xfId="27808"/>
    <cellStyle name="Normal 3 3 2 3 3 4 3" xfId="22239"/>
    <cellStyle name="Normal 3 3 2 3 3 4 4" xfId="8203"/>
    <cellStyle name="Normal 3 3 2 3 3 5" xfId="10738"/>
    <cellStyle name="Normal 3 3 2 3 3 5 2" xfId="14749"/>
    <cellStyle name="Normal 3 3 2 3 3 5 2 2" xfId="25892"/>
    <cellStyle name="Normal 3 3 2 3 3 5 3" xfId="20323"/>
    <cellStyle name="Normal 3 3 2 3 3 6" xfId="13319"/>
    <cellStyle name="Normal 3 3 2 3 3 6 2" xfId="24462"/>
    <cellStyle name="Normal 3 3 2 3 3 7" xfId="18893"/>
    <cellStyle name="Normal 3 3 2 3 3 8" xfId="6287"/>
    <cellStyle name="Normal 3 3 2 3 4" xfId="2427"/>
    <cellStyle name="Normal 3 3 2 3 4 2" xfId="3068"/>
    <cellStyle name="Normal 3 3 2 3 4 2 2" xfId="5177"/>
    <cellStyle name="Normal 3 3 2 3 4 2 2 2" xfId="17790"/>
    <cellStyle name="Normal 3 3 2 3 4 2 2 2 2" xfId="28933"/>
    <cellStyle name="Normal 3 3 2 3 4 2 2 3" xfId="23364"/>
    <cellStyle name="Normal 3 3 2 3 4 2 2 4" xfId="9328"/>
    <cellStyle name="Normal 3 3 2 3 4 2 3" xfId="10942"/>
    <cellStyle name="Normal 3 3 2 3 4 2 3 2" xfId="15721"/>
    <cellStyle name="Normal 3 3 2 3 4 2 3 2 2" xfId="26864"/>
    <cellStyle name="Normal 3 3 2 3 4 2 3 3" xfId="21295"/>
    <cellStyle name="Normal 3 3 2 3 4 2 4" xfId="14291"/>
    <cellStyle name="Normal 3 3 2 3 4 2 4 2" xfId="25434"/>
    <cellStyle name="Normal 3 3 2 3 4 2 5" xfId="19865"/>
    <cellStyle name="Normal 3 3 2 3 4 2 6" xfId="7259"/>
    <cellStyle name="Normal 3 3 2 3 4 3" xfId="3706"/>
    <cellStyle name="Normal 3 3 2 3 4 3 2" xfId="5815"/>
    <cellStyle name="Normal 3 3 2 3 4 3 2 2" xfId="18428"/>
    <cellStyle name="Normal 3 3 2 3 4 3 2 2 2" xfId="29571"/>
    <cellStyle name="Normal 3 3 2 3 4 3 2 3" xfId="24002"/>
    <cellStyle name="Normal 3 3 2 3 4 3 2 4" xfId="9966"/>
    <cellStyle name="Normal 3 3 2 3 4 3 3" xfId="16359"/>
    <cellStyle name="Normal 3 3 2 3 4 3 3 2" xfId="27502"/>
    <cellStyle name="Normal 3 3 2 3 4 3 4" xfId="21933"/>
    <cellStyle name="Normal 3 3 2 3 4 3 5" xfId="7897"/>
    <cellStyle name="Normal 3 3 2 3 4 4" xfId="4385"/>
    <cellStyle name="Normal 3 3 2 3 4 4 2" xfId="16998"/>
    <cellStyle name="Normal 3 3 2 3 4 4 2 2" xfId="28141"/>
    <cellStyle name="Normal 3 3 2 3 4 4 3" xfId="22572"/>
    <cellStyle name="Normal 3 3 2 3 4 4 4" xfId="8536"/>
    <cellStyle name="Normal 3 3 2 3 4 5" xfId="10407"/>
    <cellStyle name="Normal 3 3 2 3 4 5 2" xfId="15082"/>
    <cellStyle name="Normal 3 3 2 3 4 5 2 2" xfId="26225"/>
    <cellStyle name="Normal 3 3 2 3 4 5 3" xfId="20656"/>
    <cellStyle name="Normal 3 3 2 3 4 6" xfId="13652"/>
    <cellStyle name="Normal 3 3 2 3 4 6 2" xfId="24795"/>
    <cellStyle name="Normal 3 3 2 3 4 7" xfId="19226"/>
    <cellStyle name="Normal 3 3 2 3 4 8" xfId="6620"/>
    <cellStyle name="Normal 3 3 2 3 5" xfId="1890"/>
    <cellStyle name="Normal 3 3 2 3 5 2" xfId="4538"/>
    <cellStyle name="Normal 3 3 2 3 5 2 2" xfId="17151"/>
    <cellStyle name="Normal 3 3 2 3 5 2 2 2" xfId="28294"/>
    <cellStyle name="Normal 3 3 2 3 5 2 3" xfId="22725"/>
    <cellStyle name="Normal 3 3 2 3 5 2 4" xfId="8689"/>
    <cellStyle name="Normal 3 3 2 3 5 3" xfId="10305"/>
    <cellStyle name="Normal 3 3 2 3 5 3 2" xfId="14597"/>
    <cellStyle name="Normal 3 3 2 3 5 3 2 2" xfId="25740"/>
    <cellStyle name="Normal 3 3 2 3 5 3 3" xfId="20171"/>
    <cellStyle name="Normal 3 3 2 3 5 4" xfId="13167"/>
    <cellStyle name="Normal 3 3 2 3 5 4 2" xfId="24310"/>
    <cellStyle name="Normal 3 3 2 3 5 5" xfId="18741"/>
    <cellStyle name="Normal 3 3 2 3 5 6" xfId="6135"/>
    <cellStyle name="Normal 3 3 2 3 6" xfId="2583"/>
    <cellStyle name="Normal 3 3 2 3 6 2" xfId="4692"/>
    <cellStyle name="Normal 3 3 2 3 6 2 2" xfId="17305"/>
    <cellStyle name="Normal 3 3 2 3 6 2 2 2" xfId="28448"/>
    <cellStyle name="Normal 3 3 2 3 6 2 3" xfId="22879"/>
    <cellStyle name="Normal 3 3 2 3 6 2 4" xfId="8843"/>
    <cellStyle name="Normal 3 3 2 3 6 3" xfId="10270"/>
    <cellStyle name="Normal 3 3 2 3 6 3 2" xfId="15236"/>
    <cellStyle name="Normal 3 3 2 3 6 3 2 2" xfId="26379"/>
    <cellStyle name="Normal 3 3 2 3 6 3 3" xfId="20810"/>
    <cellStyle name="Normal 3 3 2 3 6 4" xfId="13806"/>
    <cellStyle name="Normal 3 3 2 3 6 4 2" xfId="24949"/>
    <cellStyle name="Normal 3 3 2 3 6 5" xfId="19380"/>
    <cellStyle name="Normal 3 3 2 3 6 6" xfId="6774"/>
    <cellStyle name="Normal 3 3 2 3 7" xfId="3221"/>
    <cellStyle name="Normal 3 3 2 3 7 2" xfId="5330"/>
    <cellStyle name="Normal 3 3 2 3 7 2 2" xfId="17943"/>
    <cellStyle name="Normal 3 3 2 3 7 2 2 2" xfId="29086"/>
    <cellStyle name="Normal 3 3 2 3 7 2 3" xfId="23517"/>
    <cellStyle name="Normal 3 3 2 3 7 2 4" xfId="9481"/>
    <cellStyle name="Normal 3 3 2 3 7 3" xfId="15874"/>
    <cellStyle name="Normal 3 3 2 3 7 3 2" xfId="27017"/>
    <cellStyle name="Normal 3 3 2 3 7 4" xfId="21448"/>
    <cellStyle name="Normal 3 3 2 3 7 5" xfId="7412"/>
    <cellStyle name="Normal 3 3 2 3 8" xfId="3900"/>
    <cellStyle name="Normal 3 3 2 3 8 2" xfId="16513"/>
    <cellStyle name="Normal 3 3 2 3 8 2 2" xfId="27656"/>
    <cellStyle name="Normal 3 3 2 3 8 3" xfId="22087"/>
    <cellStyle name="Normal 3 3 2 3 8 4" xfId="8051"/>
    <cellStyle name="Normal 3 3 2 3 9" xfId="10246"/>
    <cellStyle name="Normal 3 3 2 3 9 2" xfId="14444"/>
    <cellStyle name="Normal 3 3 2 3 9 2 2" xfId="25587"/>
    <cellStyle name="Normal 3 3 2 3 9 3" xfId="20018"/>
    <cellStyle name="Normal 3 3 2 4" xfId="2145"/>
    <cellStyle name="Normal 3 3 2 4 2" xfId="2789"/>
    <cellStyle name="Normal 3 3 2 4 2 2" xfId="4898"/>
    <cellStyle name="Normal 3 3 2 4 2 2 2" xfId="17511"/>
    <cellStyle name="Normal 3 3 2 4 2 2 2 2" xfId="28654"/>
    <cellStyle name="Normal 3 3 2 4 2 2 3" xfId="23085"/>
    <cellStyle name="Normal 3 3 2 4 2 2 4" xfId="9049"/>
    <cellStyle name="Normal 3 3 2 4 2 3" xfId="10491"/>
    <cellStyle name="Normal 3 3 2 4 2 3 2" xfId="15442"/>
    <cellStyle name="Normal 3 3 2 4 2 3 2 2" xfId="26585"/>
    <cellStyle name="Normal 3 3 2 4 2 3 3" xfId="21016"/>
    <cellStyle name="Normal 3 3 2 4 2 4" xfId="14012"/>
    <cellStyle name="Normal 3 3 2 4 2 4 2" xfId="25155"/>
    <cellStyle name="Normal 3 3 2 4 2 5" xfId="19586"/>
    <cellStyle name="Normal 3 3 2 4 2 6" xfId="6980"/>
    <cellStyle name="Normal 3 3 2 4 3" xfId="3427"/>
    <cellStyle name="Normal 3 3 2 4 3 2" xfId="5536"/>
    <cellStyle name="Normal 3 3 2 4 3 2 2" xfId="18149"/>
    <cellStyle name="Normal 3 3 2 4 3 2 2 2" xfId="29292"/>
    <cellStyle name="Normal 3 3 2 4 3 2 3" xfId="23723"/>
    <cellStyle name="Normal 3 3 2 4 3 2 4" xfId="9687"/>
    <cellStyle name="Normal 3 3 2 4 3 3" xfId="16080"/>
    <cellStyle name="Normal 3 3 2 4 3 3 2" xfId="27223"/>
    <cellStyle name="Normal 3 3 2 4 3 4" xfId="21654"/>
    <cellStyle name="Normal 3 3 2 4 3 5" xfId="7618"/>
    <cellStyle name="Normal 3 3 2 4 4" xfId="4106"/>
    <cellStyle name="Normal 3 3 2 4 4 2" xfId="16719"/>
    <cellStyle name="Normal 3 3 2 4 4 2 2" xfId="27862"/>
    <cellStyle name="Normal 3 3 2 4 4 3" xfId="22293"/>
    <cellStyle name="Normal 3 3 2 4 4 4" xfId="8257"/>
    <cellStyle name="Normal 3 3 2 4 5" xfId="11107"/>
    <cellStyle name="Normal 3 3 2 4 5 2" xfId="14803"/>
    <cellStyle name="Normal 3 3 2 4 5 2 2" xfId="25946"/>
    <cellStyle name="Normal 3 3 2 4 5 3" xfId="20377"/>
    <cellStyle name="Normal 3 3 2 4 6" xfId="13373"/>
    <cellStyle name="Normal 3 3 2 4 6 2" xfId="24516"/>
    <cellStyle name="Normal 3 3 2 4 7" xfId="18947"/>
    <cellStyle name="Normal 3 3 2 4 8" xfId="6341"/>
    <cellStyle name="Normal 3 3 2 5" xfId="2196"/>
    <cellStyle name="Normal 3 3 2 5 2" xfId="2840"/>
    <cellStyle name="Normal 3 3 2 5 2 2" xfId="4949"/>
    <cellStyle name="Normal 3 3 2 5 2 2 2" xfId="17562"/>
    <cellStyle name="Normal 3 3 2 5 2 2 2 2" xfId="28705"/>
    <cellStyle name="Normal 3 3 2 5 2 2 3" xfId="23136"/>
    <cellStyle name="Normal 3 3 2 5 2 2 4" xfId="9100"/>
    <cellStyle name="Normal 3 3 2 5 2 3" xfId="10950"/>
    <cellStyle name="Normal 3 3 2 5 2 3 2" xfId="15493"/>
    <cellStyle name="Normal 3 3 2 5 2 3 2 2" xfId="26636"/>
    <cellStyle name="Normal 3 3 2 5 2 3 3" xfId="21067"/>
    <cellStyle name="Normal 3 3 2 5 2 4" xfId="14063"/>
    <cellStyle name="Normal 3 3 2 5 2 4 2" xfId="25206"/>
    <cellStyle name="Normal 3 3 2 5 2 5" xfId="19637"/>
    <cellStyle name="Normal 3 3 2 5 2 6" xfId="7031"/>
    <cellStyle name="Normal 3 3 2 5 3" xfId="3478"/>
    <cellStyle name="Normal 3 3 2 5 3 2" xfId="5587"/>
    <cellStyle name="Normal 3 3 2 5 3 2 2" xfId="18200"/>
    <cellStyle name="Normal 3 3 2 5 3 2 2 2" xfId="29343"/>
    <cellStyle name="Normal 3 3 2 5 3 2 3" xfId="23774"/>
    <cellStyle name="Normal 3 3 2 5 3 2 4" xfId="9738"/>
    <cellStyle name="Normal 3 3 2 5 3 3" xfId="16131"/>
    <cellStyle name="Normal 3 3 2 5 3 3 2" xfId="27274"/>
    <cellStyle name="Normal 3 3 2 5 3 4" xfId="21705"/>
    <cellStyle name="Normal 3 3 2 5 3 5" xfId="7669"/>
    <cellStyle name="Normal 3 3 2 5 4" xfId="4157"/>
    <cellStyle name="Normal 3 3 2 5 4 2" xfId="16770"/>
    <cellStyle name="Normal 3 3 2 5 4 2 2" xfId="27913"/>
    <cellStyle name="Normal 3 3 2 5 4 3" xfId="22344"/>
    <cellStyle name="Normal 3 3 2 5 4 4" xfId="8308"/>
    <cellStyle name="Normal 3 3 2 5 5" xfId="11301"/>
    <cellStyle name="Normal 3 3 2 5 5 2" xfId="14854"/>
    <cellStyle name="Normal 3 3 2 5 5 2 2" xfId="25997"/>
    <cellStyle name="Normal 3 3 2 5 5 3" xfId="20428"/>
    <cellStyle name="Normal 3 3 2 5 6" xfId="13424"/>
    <cellStyle name="Normal 3 3 2 5 6 2" xfId="24567"/>
    <cellStyle name="Normal 3 3 2 5 7" xfId="18998"/>
    <cellStyle name="Normal 3 3 2 5 8" xfId="6392"/>
    <cellStyle name="Normal 3 3 2 6" xfId="2004"/>
    <cellStyle name="Normal 3 3 2 6 2" xfId="2659"/>
    <cellStyle name="Normal 3 3 2 6 2 2" xfId="4768"/>
    <cellStyle name="Normal 3 3 2 6 2 2 2" xfId="17381"/>
    <cellStyle name="Normal 3 3 2 6 2 2 2 2" xfId="28524"/>
    <cellStyle name="Normal 3 3 2 6 2 2 3" xfId="22955"/>
    <cellStyle name="Normal 3 3 2 6 2 2 4" xfId="8919"/>
    <cellStyle name="Normal 3 3 2 6 2 3" xfId="11160"/>
    <cellStyle name="Normal 3 3 2 6 2 3 2" xfId="15312"/>
    <cellStyle name="Normal 3 3 2 6 2 3 2 2" xfId="26455"/>
    <cellStyle name="Normal 3 3 2 6 2 3 3" xfId="20886"/>
    <cellStyle name="Normal 3 3 2 6 2 4" xfId="13882"/>
    <cellStyle name="Normal 3 3 2 6 2 4 2" xfId="25025"/>
    <cellStyle name="Normal 3 3 2 6 2 5" xfId="19456"/>
    <cellStyle name="Normal 3 3 2 6 2 6" xfId="6850"/>
    <cellStyle name="Normal 3 3 2 6 3" xfId="3297"/>
    <cellStyle name="Normal 3 3 2 6 3 2" xfId="5406"/>
    <cellStyle name="Normal 3 3 2 6 3 2 2" xfId="18019"/>
    <cellStyle name="Normal 3 3 2 6 3 2 2 2" xfId="29162"/>
    <cellStyle name="Normal 3 3 2 6 3 2 3" xfId="23593"/>
    <cellStyle name="Normal 3 3 2 6 3 2 4" xfId="9557"/>
    <cellStyle name="Normal 3 3 2 6 3 3" xfId="15950"/>
    <cellStyle name="Normal 3 3 2 6 3 3 2" xfId="27093"/>
    <cellStyle name="Normal 3 3 2 6 3 4" xfId="21524"/>
    <cellStyle name="Normal 3 3 2 6 3 5" xfId="7488"/>
    <cellStyle name="Normal 3 3 2 6 4" xfId="3976"/>
    <cellStyle name="Normal 3 3 2 6 4 2" xfId="16589"/>
    <cellStyle name="Normal 3 3 2 6 4 2 2" xfId="27732"/>
    <cellStyle name="Normal 3 3 2 6 4 3" xfId="22163"/>
    <cellStyle name="Normal 3 3 2 6 4 4" xfId="8127"/>
    <cellStyle name="Normal 3 3 2 6 5" xfId="11110"/>
    <cellStyle name="Normal 3 3 2 6 5 2" xfId="14673"/>
    <cellStyle name="Normal 3 3 2 6 5 2 2" xfId="25816"/>
    <cellStyle name="Normal 3 3 2 6 5 3" xfId="20247"/>
    <cellStyle name="Normal 3 3 2 6 6" xfId="13243"/>
    <cellStyle name="Normal 3 3 2 6 6 2" xfId="24386"/>
    <cellStyle name="Normal 3 3 2 6 7" xfId="18817"/>
    <cellStyle name="Normal 3 3 2 6 8" xfId="6211"/>
    <cellStyle name="Normal 3 3 2 7" xfId="2351"/>
    <cellStyle name="Normal 3 3 2 7 2" xfId="2992"/>
    <cellStyle name="Normal 3 3 2 7 2 2" xfId="5101"/>
    <cellStyle name="Normal 3 3 2 7 2 2 2" xfId="17714"/>
    <cellStyle name="Normal 3 3 2 7 2 2 2 2" xfId="28857"/>
    <cellStyle name="Normal 3 3 2 7 2 2 3" xfId="23288"/>
    <cellStyle name="Normal 3 3 2 7 2 2 4" xfId="9252"/>
    <cellStyle name="Normal 3 3 2 7 2 3" xfId="10484"/>
    <cellStyle name="Normal 3 3 2 7 2 3 2" xfId="15645"/>
    <cellStyle name="Normal 3 3 2 7 2 3 2 2" xfId="26788"/>
    <cellStyle name="Normal 3 3 2 7 2 3 3" xfId="21219"/>
    <cellStyle name="Normal 3 3 2 7 2 4" xfId="14215"/>
    <cellStyle name="Normal 3 3 2 7 2 4 2" xfId="25358"/>
    <cellStyle name="Normal 3 3 2 7 2 5" xfId="19789"/>
    <cellStyle name="Normal 3 3 2 7 2 6" xfId="7183"/>
    <cellStyle name="Normal 3 3 2 7 3" xfId="3630"/>
    <cellStyle name="Normal 3 3 2 7 3 2" xfId="5739"/>
    <cellStyle name="Normal 3 3 2 7 3 2 2" xfId="18352"/>
    <cellStyle name="Normal 3 3 2 7 3 2 2 2" xfId="29495"/>
    <cellStyle name="Normal 3 3 2 7 3 2 3" xfId="23926"/>
    <cellStyle name="Normal 3 3 2 7 3 2 4" xfId="9890"/>
    <cellStyle name="Normal 3 3 2 7 3 3" xfId="16283"/>
    <cellStyle name="Normal 3 3 2 7 3 3 2" xfId="27426"/>
    <cellStyle name="Normal 3 3 2 7 3 4" xfId="21857"/>
    <cellStyle name="Normal 3 3 2 7 3 5" xfId="7821"/>
    <cellStyle name="Normal 3 3 2 7 4" xfId="4309"/>
    <cellStyle name="Normal 3 3 2 7 4 2" xfId="16922"/>
    <cellStyle name="Normal 3 3 2 7 4 2 2" xfId="28065"/>
    <cellStyle name="Normal 3 3 2 7 4 3" xfId="22496"/>
    <cellStyle name="Normal 3 3 2 7 4 4" xfId="8460"/>
    <cellStyle name="Normal 3 3 2 7 5" xfId="11421"/>
    <cellStyle name="Normal 3 3 2 7 5 2" xfId="15006"/>
    <cellStyle name="Normal 3 3 2 7 5 2 2" xfId="26149"/>
    <cellStyle name="Normal 3 3 2 7 5 3" xfId="20580"/>
    <cellStyle name="Normal 3 3 2 7 6" xfId="13576"/>
    <cellStyle name="Normal 3 3 2 7 6 2" xfId="24719"/>
    <cellStyle name="Normal 3 3 2 7 7" xfId="19150"/>
    <cellStyle name="Normal 3 3 2 7 8" xfId="6544"/>
    <cellStyle name="Normal 3 3 2 8" xfId="1814"/>
    <cellStyle name="Normal 3 3 2 8 2" xfId="4462"/>
    <cellStyle name="Normal 3 3 2 8 2 2" xfId="17075"/>
    <cellStyle name="Normal 3 3 2 8 2 2 2" xfId="28218"/>
    <cellStyle name="Normal 3 3 2 8 2 3" xfId="22649"/>
    <cellStyle name="Normal 3 3 2 8 2 4" xfId="8613"/>
    <cellStyle name="Normal 3 3 2 8 3" xfId="10397"/>
    <cellStyle name="Normal 3 3 2 8 3 2" xfId="14521"/>
    <cellStyle name="Normal 3 3 2 8 3 2 2" xfId="25664"/>
    <cellStyle name="Normal 3 3 2 8 3 3" xfId="20095"/>
    <cellStyle name="Normal 3 3 2 8 4" xfId="13091"/>
    <cellStyle name="Normal 3 3 2 8 4 2" xfId="24234"/>
    <cellStyle name="Normal 3 3 2 8 5" xfId="18665"/>
    <cellStyle name="Normal 3 3 2 8 6" xfId="6059"/>
    <cellStyle name="Normal 3 3 2 9" xfId="2507"/>
    <cellStyle name="Normal 3 3 2 9 2" xfId="4616"/>
    <cellStyle name="Normal 3 3 2 9 2 2" xfId="17229"/>
    <cellStyle name="Normal 3 3 2 9 2 2 2" xfId="28372"/>
    <cellStyle name="Normal 3 3 2 9 2 3" xfId="22803"/>
    <cellStyle name="Normal 3 3 2 9 2 4" xfId="8767"/>
    <cellStyle name="Normal 3 3 2 9 3" xfId="10924"/>
    <cellStyle name="Normal 3 3 2 9 3 2" xfId="15160"/>
    <cellStyle name="Normal 3 3 2 9 3 2 2" xfId="26303"/>
    <cellStyle name="Normal 3 3 2 9 3 3" xfId="20734"/>
    <cellStyle name="Normal 3 3 2 9 4" xfId="13730"/>
    <cellStyle name="Normal 3 3 2 9 4 2" xfId="24873"/>
    <cellStyle name="Normal 3 3 2 9 5" xfId="19304"/>
    <cellStyle name="Normal 3 3 2 9 6" xfId="6698"/>
    <cellStyle name="Normal 3 3 3" xfId="257"/>
    <cellStyle name="Normal 3 3 3 10" xfId="3843"/>
    <cellStyle name="Normal 3 3 3 10 2" xfId="16456"/>
    <cellStyle name="Normal 3 3 3 10 2 2" xfId="27599"/>
    <cellStyle name="Normal 3 3 3 10 3" xfId="22030"/>
    <cellStyle name="Normal 3 3 3 10 4" xfId="7994"/>
    <cellStyle name="Normal 3 3 3 11" xfId="11342"/>
    <cellStyle name="Normal 3 3 3 11 2" xfId="14387"/>
    <cellStyle name="Normal 3 3 3 11 2 2" xfId="25530"/>
    <cellStyle name="Normal 3 3 3 11 3" xfId="19961"/>
    <cellStyle name="Normal 3 3 3 12" xfId="12956"/>
    <cellStyle name="Normal 3 3 3 12 2" xfId="24100"/>
    <cellStyle name="Normal 3 3 3 13" xfId="18531"/>
    <cellStyle name="Normal 3 3 3 14" xfId="5924"/>
    <cellStyle name="Normal 3 3 3 2" xfId="333"/>
    <cellStyle name="Normal 3 3 3 2 10" xfId="13032"/>
    <cellStyle name="Normal 3 3 3 2 10 2" xfId="24176"/>
    <cellStyle name="Normal 3 3 3 2 11" xfId="18607"/>
    <cellStyle name="Normal 3 3 3 2 12" xfId="6000"/>
    <cellStyle name="Normal 3 3 3 2 2" xfId="2291"/>
    <cellStyle name="Normal 3 3 3 2 2 2" xfId="2935"/>
    <cellStyle name="Normal 3 3 3 2 2 2 2" xfId="5044"/>
    <cellStyle name="Normal 3 3 3 2 2 2 2 2" xfId="17657"/>
    <cellStyle name="Normal 3 3 3 2 2 2 2 2 2" xfId="28800"/>
    <cellStyle name="Normal 3 3 3 2 2 2 2 3" xfId="23231"/>
    <cellStyle name="Normal 3 3 3 2 2 2 2 4" xfId="9195"/>
    <cellStyle name="Normal 3 3 3 2 2 2 3" xfId="10522"/>
    <cellStyle name="Normal 3 3 3 2 2 2 3 2" xfId="15588"/>
    <cellStyle name="Normal 3 3 3 2 2 2 3 2 2" xfId="26731"/>
    <cellStyle name="Normal 3 3 3 2 2 2 3 3" xfId="21162"/>
    <cellStyle name="Normal 3 3 3 2 2 2 4" xfId="14158"/>
    <cellStyle name="Normal 3 3 3 2 2 2 4 2" xfId="25301"/>
    <cellStyle name="Normal 3 3 3 2 2 2 5" xfId="19732"/>
    <cellStyle name="Normal 3 3 3 2 2 2 6" xfId="7126"/>
    <cellStyle name="Normal 3 3 3 2 2 3" xfId="3573"/>
    <cellStyle name="Normal 3 3 3 2 2 3 2" xfId="5682"/>
    <cellStyle name="Normal 3 3 3 2 2 3 2 2" xfId="18295"/>
    <cellStyle name="Normal 3 3 3 2 2 3 2 2 2" xfId="29438"/>
    <cellStyle name="Normal 3 3 3 2 2 3 2 3" xfId="23869"/>
    <cellStyle name="Normal 3 3 3 2 2 3 2 4" xfId="9833"/>
    <cellStyle name="Normal 3 3 3 2 2 3 3" xfId="16226"/>
    <cellStyle name="Normal 3 3 3 2 2 3 3 2" xfId="27369"/>
    <cellStyle name="Normal 3 3 3 2 2 3 4" xfId="21800"/>
    <cellStyle name="Normal 3 3 3 2 2 3 5" xfId="7764"/>
    <cellStyle name="Normal 3 3 3 2 2 4" xfId="4252"/>
    <cellStyle name="Normal 3 3 3 2 2 4 2" xfId="16865"/>
    <cellStyle name="Normal 3 3 3 2 2 4 2 2" xfId="28008"/>
    <cellStyle name="Normal 3 3 3 2 2 4 3" xfId="22439"/>
    <cellStyle name="Normal 3 3 3 2 2 4 4" xfId="8403"/>
    <cellStyle name="Normal 3 3 3 2 2 5" xfId="11093"/>
    <cellStyle name="Normal 3 3 3 2 2 5 2" xfId="14949"/>
    <cellStyle name="Normal 3 3 3 2 2 5 2 2" xfId="26092"/>
    <cellStyle name="Normal 3 3 3 2 2 5 3" xfId="20523"/>
    <cellStyle name="Normal 3 3 3 2 2 6" xfId="13519"/>
    <cellStyle name="Normal 3 3 3 2 2 6 2" xfId="24662"/>
    <cellStyle name="Normal 3 3 3 2 2 7" xfId="19093"/>
    <cellStyle name="Normal 3 3 3 2 2 8" xfId="6487"/>
    <cellStyle name="Normal 3 3 3 2 3" xfId="2099"/>
    <cellStyle name="Normal 3 3 3 2 3 2" xfId="2754"/>
    <cellStyle name="Normal 3 3 3 2 3 2 2" xfId="4863"/>
    <cellStyle name="Normal 3 3 3 2 3 2 2 2" xfId="17476"/>
    <cellStyle name="Normal 3 3 3 2 3 2 2 2 2" xfId="28619"/>
    <cellStyle name="Normal 3 3 3 2 3 2 2 3" xfId="23050"/>
    <cellStyle name="Normal 3 3 3 2 3 2 2 4" xfId="9014"/>
    <cellStyle name="Normal 3 3 3 2 3 2 3" xfId="10119"/>
    <cellStyle name="Normal 3 3 3 2 3 2 3 2" xfId="15407"/>
    <cellStyle name="Normal 3 3 3 2 3 2 3 2 2" xfId="26550"/>
    <cellStyle name="Normal 3 3 3 2 3 2 3 3" xfId="20981"/>
    <cellStyle name="Normal 3 3 3 2 3 2 4" xfId="13977"/>
    <cellStyle name="Normal 3 3 3 2 3 2 4 2" xfId="25120"/>
    <cellStyle name="Normal 3 3 3 2 3 2 5" xfId="19551"/>
    <cellStyle name="Normal 3 3 3 2 3 2 6" xfId="6945"/>
    <cellStyle name="Normal 3 3 3 2 3 3" xfId="3392"/>
    <cellStyle name="Normal 3 3 3 2 3 3 2" xfId="5501"/>
    <cellStyle name="Normal 3 3 3 2 3 3 2 2" xfId="18114"/>
    <cellStyle name="Normal 3 3 3 2 3 3 2 2 2" xfId="29257"/>
    <cellStyle name="Normal 3 3 3 2 3 3 2 3" xfId="23688"/>
    <cellStyle name="Normal 3 3 3 2 3 3 2 4" xfId="9652"/>
    <cellStyle name="Normal 3 3 3 2 3 3 3" xfId="16045"/>
    <cellStyle name="Normal 3 3 3 2 3 3 3 2" xfId="27188"/>
    <cellStyle name="Normal 3 3 3 2 3 3 4" xfId="21619"/>
    <cellStyle name="Normal 3 3 3 2 3 3 5" xfId="7583"/>
    <cellStyle name="Normal 3 3 3 2 3 4" xfId="4071"/>
    <cellStyle name="Normal 3 3 3 2 3 4 2" xfId="16684"/>
    <cellStyle name="Normal 3 3 3 2 3 4 2 2" xfId="27827"/>
    <cellStyle name="Normal 3 3 3 2 3 4 3" xfId="22258"/>
    <cellStyle name="Normal 3 3 3 2 3 4 4" xfId="8222"/>
    <cellStyle name="Normal 3 3 3 2 3 5" xfId="11380"/>
    <cellStyle name="Normal 3 3 3 2 3 5 2" xfId="14768"/>
    <cellStyle name="Normal 3 3 3 2 3 5 2 2" xfId="25911"/>
    <cellStyle name="Normal 3 3 3 2 3 5 3" xfId="20342"/>
    <cellStyle name="Normal 3 3 3 2 3 6" xfId="13338"/>
    <cellStyle name="Normal 3 3 3 2 3 6 2" xfId="24481"/>
    <cellStyle name="Normal 3 3 3 2 3 7" xfId="18912"/>
    <cellStyle name="Normal 3 3 3 2 3 8" xfId="6306"/>
    <cellStyle name="Normal 3 3 3 2 4" xfId="2446"/>
    <cellStyle name="Normal 3 3 3 2 4 2" xfId="3087"/>
    <cellStyle name="Normal 3 3 3 2 4 2 2" xfId="5196"/>
    <cellStyle name="Normal 3 3 3 2 4 2 2 2" xfId="17809"/>
    <cellStyle name="Normal 3 3 3 2 4 2 2 2 2" xfId="28952"/>
    <cellStyle name="Normal 3 3 3 2 4 2 2 3" xfId="23383"/>
    <cellStyle name="Normal 3 3 3 2 4 2 2 4" xfId="9347"/>
    <cellStyle name="Normal 3 3 3 2 4 2 3" xfId="10255"/>
    <cellStyle name="Normal 3 3 3 2 4 2 3 2" xfId="15740"/>
    <cellStyle name="Normal 3 3 3 2 4 2 3 2 2" xfId="26883"/>
    <cellStyle name="Normal 3 3 3 2 4 2 3 3" xfId="21314"/>
    <cellStyle name="Normal 3 3 3 2 4 2 4" xfId="14310"/>
    <cellStyle name="Normal 3 3 3 2 4 2 4 2" xfId="25453"/>
    <cellStyle name="Normal 3 3 3 2 4 2 5" xfId="19884"/>
    <cellStyle name="Normal 3 3 3 2 4 2 6" xfId="7278"/>
    <cellStyle name="Normal 3 3 3 2 4 3" xfId="3725"/>
    <cellStyle name="Normal 3 3 3 2 4 3 2" xfId="5834"/>
    <cellStyle name="Normal 3 3 3 2 4 3 2 2" xfId="18447"/>
    <cellStyle name="Normal 3 3 3 2 4 3 2 2 2" xfId="29590"/>
    <cellStyle name="Normal 3 3 3 2 4 3 2 3" xfId="24021"/>
    <cellStyle name="Normal 3 3 3 2 4 3 2 4" xfId="9985"/>
    <cellStyle name="Normal 3 3 3 2 4 3 3" xfId="16378"/>
    <cellStyle name="Normal 3 3 3 2 4 3 3 2" xfId="27521"/>
    <cellStyle name="Normal 3 3 3 2 4 3 4" xfId="21952"/>
    <cellStyle name="Normal 3 3 3 2 4 3 5" xfId="7916"/>
    <cellStyle name="Normal 3 3 3 2 4 4" xfId="4404"/>
    <cellStyle name="Normal 3 3 3 2 4 4 2" xfId="17017"/>
    <cellStyle name="Normal 3 3 3 2 4 4 2 2" xfId="28160"/>
    <cellStyle name="Normal 3 3 3 2 4 4 3" xfId="22591"/>
    <cellStyle name="Normal 3 3 3 2 4 4 4" xfId="8555"/>
    <cellStyle name="Normal 3 3 3 2 4 5" xfId="10733"/>
    <cellStyle name="Normal 3 3 3 2 4 5 2" xfId="15101"/>
    <cellStyle name="Normal 3 3 3 2 4 5 2 2" xfId="26244"/>
    <cellStyle name="Normal 3 3 3 2 4 5 3" xfId="20675"/>
    <cellStyle name="Normal 3 3 3 2 4 6" xfId="13671"/>
    <cellStyle name="Normal 3 3 3 2 4 6 2" xfId="24814"/>
    <cellStyle name="Normal 3 3 3 2 4 7" xfId="19245"/>
    <cellStyle name="Normal 3 3 3 2 4 8" xfId="6639"/>
    <cellStyle name="Normal 3 3 3 2 5" xfId="1909"/>
    <cellStyle name="Normal 3 3 3 2 5 2" xfId="4557"/>
    <cellStyle name="Normal 3 3 3 2 5 2 2" xfId="17170"/>
    <cellStyle name="Normal 3 3 3 2 5 2 2 2" xfId="28313"/>
    <cellStyle name="Normal 3 3 3 2 5 2 3" xfId="22744"/>
    <cellStyle name="Normal 3 3 3 2 5 2 4" xfId="8708"/>
    <cellStyle name="Normal 3 3 3 2 5 3" xfId="11344"/>
    <cellStyle name="Normal 3 3 3 2 5 3 2" xfId="14616"/>
    <cellStyle name="Normal 3 3 3 2 5 3 2 2" xfId="25759"/>
    <cellStyle name="Normal 3 3 3 2 5 3 3" xfId="20190"/>
    <cellStyle name="Normal 3 3 3 2 5 4" xfId="13186"/>
    <cellStyle name="Normal 3 3 3 2 5 4 2" xfId="24329"/>
    <cellStyle name="Normal 3 3 3 2 5 5" xfId="18760"/>
    <cellStyle name="Normal 3 3 3 2 5 6" xfId="6154"/>
    <cellStyle name="Normal 3 3 3 2 6" xfId="2602"/>
    <cellStyle name="Normal 3 3 3 2 6 2" xfId="4711"/>
    <cellStyle name="Normal 3 3 3 2 6 2 2" xfId="17324"/>
    <cellStyle name="Normal 3 3 3 2 6 2 2 2" xfId="28467"/>
    <cellStyle name="Normal 3 3 3 2 6 2 3" xfId="22898"/>
    <cellStyle name="Normal 3 3 3 2 6 2 4" xfId="8862"/>
    <cellStyle name="Normal 3 3 3 2 6 3" xfId="10704"/>
    <cellStyle name="Normal 3 3 3 2 6 3 2" xfId="15255"/>
    <cellStyle name="Normal 3 3 3 2 6 3 2 2" xfId="26398"/>
    <cellStyle name="Normal 3 3 3 2 6 3 3" xfId="20829"/>
    <cellStyle name="Normal 3 3 3 2 6 4" xfId="13825"/>
    <cellStyle name="Normal 3 3 3 2 6 4 2" xfId="24968"/>
    <cellStyle name="Normal 3 3 3 2 6 5" xfId="19399"/>
    <cellStyle name="Normal 3 3 3 2 6 6" xfId="6793"/>
    <cellStyle name="Normal 3 3 3 2 7" xfId="3240"/>
    <cellStyle name="Normal 3 3 3 2 7 2" xfId="5349"/>
    <cellStyle name="Normal 3 3 3 2 7 2 2" xfId="17962"/>
    <cellStyle name="Normal 3 3 3 2 7 2 2 2" xfId="29105"/>
    <cellStyle name="Normal 3 3 3 2 7 2 3" xfId="23536"/>
    <cellStyle name="Normal 3 3 3 2 7 2 4" xfId="9500"/>
    <cellStyle name="Normal 3 3 3 2 7 3" xfId="15893"/>
    <cellStyle name="Normal 3 3 3 2 7 3 2" xfId="27036"/>
    <cellStyle name="Normal 3 3 3 2 7 4" xfId="21467"/>
    <cellStyle name="Normal 3 3 3 2 7 5" xfId="7431"/>
    <cellStyle name="Normal 3 3 3 2 8" xfId="3919"/>
    <cellStyle name="Normal 3 3 3 2 8 2" xfId="16532"/>
    <cellStyle name="Normal 3 3 3 2 8 2 2" xfId="27675"/>
    <cellStyle name="Normal 3 3 3 2 8 3" xfId="22106"/>
    <cellStyle name="Normal 3 3 3 2 8 4" xfId="8070"/>
    <cellStyle name="Normal 3 3 3 2 9" xfId="10470"/>
    <cellStyle name="Normal 3 3 3 2 9 2" xfId="14463"/>
    <cellStyle name="Normal 3 3 3 2 9 2 2" xfId="25606"/>
    <cellStyle name="Normal 3 3 3 2 9 3" xfId="20037"/>
    <cellStyle name="Normal 3 3 3 3" xfId="2157"/>
    <cellStyle name="Normal 3 3 3 3 2" xfId="2801"/>
    <cellStyle name="Normal 3 3 3 3 2 2" xfId="4910"/>
    <cellStyle name="Normal 3 3 3 3 2 2 2" xfId="17523"/>
    <cellStyle name="Normal 3 3 3 3 2 2 2 2" xfId="28666"/>
    <cellStyle name="Normal 3 3 3 3 2 2 3" xfId="23097"/>
    <cellStyle name="Normal 3 3 3 3 2 2 4" xfId="9061"/>
    <cellStyle name="Normal 3 3 3 3 2 3" xfId="10625"/>
    <cellStyle name="Normal 3 3 3 3 2 3 2" xfId="15454"/>
    <cellStyle name="Normal 3 3 3 3 2 3 2 2" xfId="26597"/>
    <cellStyle name="Normal 3 3 3 3 2 3 3" xfId="21028"/>
    <cellStyle name="Normal 3 3 3 3 2 4" xfId="14024"/>
    <cellStyle name="Normal 3 3 3 3 2 4 2" xfId="25167"/>
    <cellStyle name="Normal 3 3 3 3 2 5" xfId="19598"/>
    <cellStyle name="Normal 3 3 3 3 2 6" xfId="6992"/>
    <cellStyle name="Normal 3 3 3 3 3" xfId="3439"/>
    <cellStyle name="Normal 3 3 3 3 3 2" xfId="5548"/>
    <cellStyle name="Normal 3 3 3 3 3 2 2" xfId="18161"/>
    <cellStyle name="Normal 3 3 3 3 3 2 2 2" xfId="29304"/>
    <cellStyle name="Normal 3 3 3 3 3 2 3" xfId="23735"/>
    <cellStyle name="Normal 3 3 3 3 3 2 4" xfId="9699"/>
    <cellStyle name="Normal 3 3 3 3 3 3" xfId="16092"/>
    <cellStyle name="Normal 3 3 3 3 3 3 2" xfId="27235"/>
    <cellStyle name="Normal 3 3 3 3 3 4" xfId="21666"/>
    <cellStyle name="Normal 3 3 3 3 3 5" xfId="7630"/>
    <cellStyle name="Normal 3 3 3 3 4" xfId="4118"/>
    <cellStyle name="Normal 3 3 3 3 4 2" xfId="16731"/>
    <cellStyle name="Normal 3 3 3 3 4 2 2" xfId="27874"/>
    <cellStyle name="Normal 3 3 3 3 4 3" xfId="22305"/>
    <cellStyle name="Normal 3 3 3 3 4 4" xfId="8269"/>
    <cellStyle name="Normal 3 3 3 3 5" xfId="10852"/>
    <cellStyle name="Normal 3 3 3 3 5 2" xfId="14815"/>
    <cellStyle name="Normal 3 3 3 3 5 2 2" xfId="25958"/>
    <cellStyle name="Normal 3 3 3 3 5 3" xfId="20389"/>
    <cellStyle name="Normal 3 3 3 3 6" xfId="13385"/>
    <cellStyle name="Normal 3 3 3 3 6 2" xfId="24528"/>
    <cellStyle name="Normal 3 3 3 3 7" xfId="18959"/>
    <cellStyle name="Normal 3 3 3 3 8" xfId="6353"/>
    <cellStyle name="Normal 3 3 3 4" xfId="2215"/>
    <cellStyle name="Normal 3 3 3 4 2" xfId="2859"/>
    <cellStyle name="Normal 3 3 3 4 2 2" xfId="4968"/>
    <cellStyle name="Normal 3 3 3 4 2 2 2" xfId="17581"/>
    <cellStyle name="Normal 3 3 3 4 2 2 2 2" xfId="28724"/>
    <cellStyle name="Normal 3 3 3 4 2 2 3" xfId="23155"/>
    <cellStyle name="Normal 3 3 3 4 2 2 4" xfId="9119"/>
    <cellStyle name="Normal 3 3 3 4 2 3" xfId="10405"/>
    <cellStyle name="Normal 3 3 3 4 2 3 2" xfId="15512"/>
    <cellStyle name="Normal 3 3 3 4 2 3 2 2" xfId="26655"/>
    <cellStyle name="Normal 3 3 3 4 2 3 3" xfId="21086"/>
    <cellStyle name="Normal 3 3 3 4 2 4" xfId="14082"/>
    <cellStyle name="Normal 3 3 3 4 2 4 2" xfId="25225"/>
    <cellStyle name="Normal 3 3 3 4 2 5" xfId="19656"/>
    <cellStyle name="Normal 3 3 3 4 2 6" xfId="7050"/>
    <cellStyle name="Normal 3 3 3 4 3" xfId="3497"/>
    <cellStyle name="Normal 3 3 3 4 3 2" xfId="5606"/>
    <cellStyle name="Normal 3 3 3 4 3 2 2" xfId="18219"/>
    <cellStyle name="Normal 3 3 3 4 3 2 2 2" xfId="29362"/>
    <cellStyle name="Normal 3 3 3 4 3 2 3" xfId="23793"/>
    <cellStyle name="Normal 3 3 3 4 3 2 4" xfId="9757"/>
    <cellStyle name="Normal 3 3 3 4 3 3" xfId="16150"/>
    <cellStyle name="Normal 3 3 3 4 3 3 2" xfId="27293"/>
    <cellStyle name="Normal 3 3 3 4 3 4" xfId="21724"/>
    <cellStyle name="Normal 3 3 3 4 3 5" xfId="7688"/>
    <cellStyle name="Normal 3 3 3 4 4" xfId="4176"/>
    <cellStyle name="Normal 3 3 3 4 4 2" xfId="16789"/>
    <cellStyle name="Normal 3 3 3 4 4 2 2" xfId="27932"/>
    <cellStyle name="Normal 3 3 3 4 4 3" xfId="22363"/>
    <cellStyle name="Normal 3 3 3 4 4 4" xfId="8327"/>
    <cellStyle name="Normal 3 3 3 4 5" xfId="10391"/>
    <cellStyle name="Normal 3 3 3 4 5 2" xfId="14873"/>
    <cellStyle name="Normal 3 3 3 4 5 2 2" xfId="26016"/>
    <cellStyle name="Normal 3 3 3 4 5 3" xfId="20447"/>
    <cellStyle name="Normal 3 3 3 4 6" xfId="13443"/>
    <cellStyle name="Normal 3 3 3 4 6 2" xfId="24586"/>
    <cellStyle name="Normal 3 3 3 4 7" xfId="19017"/>
    <cellStyle name="Normal 3 3 3 4 8" xfId="6411"/>
    <cellStyle name="Normal 3 3 3 5" xfId="2023"/>
    <cellStyle name="Normal 3 3 3 5 2" xfId="2678"/>
    <cellStyle name="Normal 3 3 3 5 2 2" xfId="4787"/>
    <cellStyle name="Normal 3 3 3 5 2 2 2" xfId="17400"/>
    <cellStyle name="Normal 3 3 3 5 2 2 2 2" xfId="28543"/>
    <cellStyle name="Normal 3 3 3 5 2 2 3" xfId="22974"/>
    <cellStyle name="Normal 3 3 3 5 2 2 4" xfId="8938"/>
    <cellStyle name="Normal 3 3 3 5 2 3" xfId="10672"/>
    <cellStyle name="Normal 3 3 3 5 2 3 2" xfId="15331"/>
    <cellStyle name="Normal 3 3 3 5 2 3 2 2" xfId="26474"/>
    <cellStyle name="Normal 3 3 3 5 2 3 3" xfId="20905"/>
    <cellStyle name="Normal 3 3 3 5 2 4" xfId="13901"/>
    <cellStyle name="Normal 3 3 3 5 2 4 2" xfId="25044"/>
    <cellStyle name="Normal 3 3 3 5 2 5" xfId="19475"/>
    <cellStyle name="Normal 3 3 3 5 2 6" xfId="6869"/>
    <cellStyle name="Normal 3 3 3 5 3" xfId="3316"/>
    <cellStyle name="Normal 3 3 3 5 3 2" xfId="5425"/>
    <cellStyle name="Normal 3 3 3 5 3 2 2" xfId="18038"/>
    <cellStyle name="Normal 3 3 3 5 3 2 2 2" xfId="29181"/>
    <cellStyle name="Normal 3 3 3 5 3 2 3" xfId="23612"/>
    <cellStyle name="Normal 3 3 3 5 3 2 4" xfId="9576"/>
    <cellStyle name="Normal 3 3 3 5 3 3" xfId="15969"/>
    <cellStyle name="Normal 3 3 3 5 3 3 2" xfId="27112"/>
    <cellStyle name="Normal 3 3 3 5 3 4" xfId="21543"/>
    <cellStyle name="Normal 3 3 3 5 3 5" xfId="7507"/>
    <cellStyle name="Normal 3 3 3 5 4" xfId="3995"/>
    <cellStyle name="Normal 3 3 3 5 4 2" xfId="16608"/>
    <cellStyle name="Normal 3 3 3 5 4 2 2" xfId="27751"/>
    <cellStyle name="Normal 3 3 3 5 4 3" xfId="22182"/>
    <cellStyle name="Normal 3 3 3 5 4 4" xfId="8146"/>
    <cellStyle name="Normal 3 3 3 5 5" xfId="10666"/>
    <cellStyle name="Normal 3 3 3 5 5 2" xfId="14692"/>
    <cellStyle name="Normal 3 3 3 5 5 2 2" xfId="25835"/>
    <cellStyle name="Normal 3 3 3 5 5 3" xfId="20266"/>
    <cellStyle name="Normal 3 3 3 5 6" xfId="13262"/>
    <cellStyle name="Normal 3 3 3 5 6 2" xfId="24405"/>
    <cellStyle name="Normal 3 3 3 5 7" xfId="18836"/>
    <cellStyle name="Normal 3 3 3 5 8" xfId="6230"/>
    <cellStyle name="Normal 3 3 3 6" xfId="2370"/>
    <cellStyle name="Normal 3 3 3 6 2" xfId="3011"/>
    <cellStyle name="Normal 3 3 3 6 2 2" xfId="5120"/>
    <cellStyle name="Normal 3 3 3 6 2 2 2" xfId="17733"/>
    <cellStyle name="Normal 3 3 3 6 2 2 2 2" xfId="28876"/>
    <cellStyle name="Normal 3 3 3 6 2 2 3" xfId="23307"/>
    <cellStyle name="Normal 3 3 3 6 2 2 4" xfId="9271"/>
    <cellStyle name="Normal 3 3 3 6 2 3" xfId="10806"/>
    <cellStyle name="Normal 3 3 3 6 2 3 2" xfId="15664"/>
    <cellStyle name="Normal 3 3 3 6 2 3 2 2" xfId="26807"/>
    <cellStyle name="Normal 3 3 3 6 2 3 3" xfId="21238"/>
    <cellStyle name="Normal 3 3 3 6 2 4" xfId="14234"/>
    <cellStyle name="Normal 3 3 3 6 2 4 2" xfId="25377"/>
    <cellStyle name="Normal 3 3 3 6 2 5" xfId="19808"/>
    <cellStyle name="Normal 3 3 3 6 2 6" xfId="7202"/>
    <cellStyle name="Normal 3 3 3 6 3" xfId="3649"/>
    <cellStyle name="Normal 3 3 3 6 3 2" xfId="5758"/>
    <cellStyle name="Normal 3 3 3 6 3 2 2" xfId="18371"/>
    <cellStyle name="Normal 3 3 3 6 3 2 2 2" xfId="29514"/>
    <cellStyle name="Normal 3 3 3 6 3 2 3" xfId="23945"/>
    <cellStyle name="Normal 3 3 3 6 3 2 4" xfId="9909"/>
    <cellStyle name="Normal 3 3 3 6 3 3" xfId="16302"/>
    <cellStyle name="Normal 3 3 3 6 3 3 2" xfId="27445"/>
    <cellStyle name="Normal 3 3 3 6 3 4" xfId="21876"/>
    <cellStyle name="Normal 3 3 3 6 3 5" xfId="7840"/>
    <cellStyle name="Normal 3 3 3 6 4" xfId="4328"/>
    <cellStyle name="Normal 3 3 3 6 4 2" xfId="16941"/>
    <cellStyle name="Normal 3 3 3 6 4 2 2" xfId="28084"/>
    <cellStyle name="Normal 3 3 3 6 4 3" xfId="22515"/>
    <cellStyle name="Normal 3 3 3 6 4 4" xfId="8479"/>
    <cellStyle name="Normal 3 3 3 6 5" xfId="10583"/>
    <cellStyle name="Normal 3 3 3 6 5 2" xfId="15025"/>
    <cellStyle name="Normal 3 3 3 6 5 2 2" xfId="26168"/>
    <cellStyle name="Normal 3 3 3 6 5 3" xfId="20599"/>
    <cellStyle name="Normal 3 3 3 6 6" xfId="13595"/>
    <cellStyle name="Normal 3 3 3 6 6 2" xfId="24738"/>
    <cellStyle name="Normal 3 3 3 6 7" xfId="19169"/>
    <cellStyle name="Normal 3 3 3 6 8" xfId="6563"/>
    <cellStyle name="Normal 3 3 3 7" xfId="1833"/>
    <cellStyle name="Normal 3 3 3 7 2" xfId="4481"/>
    <cellStyle name="Normal 3 3 3 7 2 2" xfId="17094"/>
    <cellStyle name="Normal 3 3 3 7 2 2 2" xfId="28237"/>
    <cellStyle name="Normal 3 3 3 7 2 3" xfId="22668"/>
    <cellStyle name="Normal 3 3 3 7 2 4" xfId="8632"/>
    <cellStyle name="Normal 3 3 3 7 3" xfId="10506"/>
    <cellStyle name="Normal 3 3 3 7 3 2" xfId="14540"/>
    <cellStyle name="Normal 3 3 3 7 3 2 2" xfId="25683"/>
    <cellStyle name="Normal 3 3 3 7 3 3" xfId="20114"/>
    <cellStyle name="Normal 3 3 3 7 4" xfId="13110"/>
    <cellStyle name="Normal 3 3 3 7 4 2" xfId="24253"/>
    <cellStyle name="Normal 3 3 3 7 5" xfId="18684"/>
    <cellStyle name="Normal 3 3 3 7 6" xfId="6078"/>
    <cellStyle name="Normal 3 3 3 8" xfId="2526"/>
    <cellStyle name="Normal 3 3 3 8 2" xfId="4635"/>
    <cellStyle name="Normal 3 3 3 8 2 2" xfId="17248"/>
    <cellStyle name="Normal 3 3 3 8 2 2 2" xfId="28391"/>
    <cellStyle name="Normal 3 3 3 8 2 3" xfId="22822"/>
    <cellStyle name="Normal 3 3 3 8 2 4" xfId="8786"/>
    <cellStyle name="Normal 3 3 3 8 3" xfId="10674"/>
    <cellStyle name="Normal 3 3 3 8 3 2" xfId="15179"/>
    <cellStyle name="Normal 3 3 3 8 3 2 2" xfId="26322"/>
    <cellStyle name="Normal 3 3 3 8 3 3" xfId="20753"/>
    <cellStyle name="Normal 3 3 3 8 4" xfId="13749"/>
    <cellStyle name="Normal 3 3 3 8 4 2" xfId="24892"/>
    <cellStyle name="Normal 3 3 3 8 5" xfId="19323"/>
    <cellStyle name="Normal 3 3 3 8 6" xfId="6717"/>
    <cellStyle name="Normal 3 3 3 9" xfId="3164"/>
    <cellStyle name="Normal 3 3 3 9 2" xfId="5273"/>
    <cellStyle name="Normal 3 3 3 9 2 2" xfId="17886"/>
    <cellStyle name="Normal 3 3 3 9 2 2 2" xfId="29029"/>
    <cellStyle name="Normal 3 3 3 9 2 3" xfId="23460"/>
    <cellStyle name="Normal 3 3 3 9 2 4" xfId="9424"/>
    <cellStyle name="Normal 3 3 3 9 3" xfId="15817"/>
    <cellStyle name="Normal 3 3 3 9 3 2" xfId="26960"/>
    <cellStyle name="Normal 3 3 3 9 4" xfId="21391"/>
    <cellStyle name="Normal 3 3 3 9 5" xfId="7355"/>
    <cellStyle name="Normal 3 3 4" xfId="295"/>
    <cellStyle name="Normal 3 3 4 10" xfId="11260"/>
    <cellStyle name="Normal 3 3 4 10 2" xfId="14425"/>
    <cellStyle name="Normal 3 3 4 10 2 2" xfId="25568"/>
    <cellStyle name="Normal 3 3 4 10 3" xfId="19999"/>
    <cellStyle name="Normal 3 3 4 11" xfId="12994"/>
    <cellStyle name="Normal 3 3 4 11 2" xfId="24138"/>
    <cellStyle name="Normal 3 3 4 12" xfId="18569"/>
    <cellStyle name="Normal 3 3 4 13" xfId="5962"/>
    <cellStyle name="Normal 3 3 4 2" xfId="2149"/>
    <cellStyle name="Normal 3 3 4 2 2" xfId="2793"/>
    <cellStyle name="Normal 3 3 4 2 2 2" xfId="4902"/>
    <cellStyle name="Normal 3 3 4 2 2 2 2" xfId="17515"/>
    <cellStyle name="Normal 3 3 4 2 2 2 2 2" xfId="28658"/>
    <cellStyle name="Normal 3 3 4 2 2 2 3" xfId="23089"/>
    <cellStyle name="Normal 3 3 4 2 2 2 4" xfId="9053"/>
    <cellStyle name="Normal 3 3 4 2 2 3" xfId="11281"/>
    <cellStyle name="Normal 3 3 4 2 2 3 2" xfId="15446"/>
    <cellStyle name="Normal 3 3 4 2 2 3 2 2" xfId="26589"/>
    <cellStyle name="Normal 3 3 4 2 2 3 3" xfId="21020"/>
    <cellStyle name="Normal 3 3 4 2 2 4" xfId="14016"/>
    <cellStyle name="Normal 3 3 4 2 2 4 2" xfId="25159"/>
    <cellStyle name="Normal 3 3 4 2 2 5" xfId="19590"/>
    <cellStyle name="Normal 3 3 4 2 2 6" xfId="6984"/>
    <cellStyle name="Normal 3 3 4 2 3" xfId="3431"/>
    <cellStyle name="Normal 3 3 4 2 3 2" xfId="5540"/>
    <cellStyle name="Normal 3 3 4 2 3 2 2" xfId="18153"/>
    <cellStyle name="Normal 3 3 4 2 3 2 2 2" xfId="29296"/>
    <cellStyle name="Normal 3 3 4 2 3 2 3" xfId="23727"/>
    <cellStyle name="Normal 3 3 4 2 3 2 4" xfId="9691"/>
    <cellStyle name="Normal 3 3 4 2 3 3" xfId="16084"/>
    <cellStyle name="Normal 3 3 4 2 3 3 2" xfId="27227"/>
    <cellStyle name="Normal 3 3 4 2 3 4" xfId="21658"/>
    <cellStyle name="Normal 3 3 4 2 3 5" xfId="7622"/>
    <cellStyle name="Normal 3 3 4 2 4" xfId="4110"/>
    <cellStyle name="Normal 3 3 4 2 4 2" xfId="16723"/>
    <cellStyle name="Normal 3 3 4 2 4 2 2" xfId="27866"/>
    <cellStyle name="Normal 3 3 4 2 4 3" xfId="22297"/>
    <cellStyle name="Normal 3 3 4 2 4 4" xfId="8261"/>
    <cellStyle name="Normal 3 3 4 2 5" xfId="10337"/>
    <cellStyle name="Normal 3 3 4 2 5 2" xfId="14807"/>
    <cellStyle name="Normal 3 3 4 2 5 2 2" xfId="25950"/>
    <cellStyle name="Normal 3 3 4 2 5 3" xfId="20381"/>
    <cellStyle name="Normal 3 3 4 2 6" xfId="13377"/>
    <cellStyle name="Normal 3 3 4 2 6 2" xfId="24520"/>
    <cellStyle name="Normal 3 3 4 2 7" xfId="18951"/>
    <cellStyle name="Normal 3 3 4 2 8" xfId="6345"/>
    <cellStyle name="Normal 3 3 4 3" xfId="2253"/>
    <cellStyle name="Normal 3 3 4 3 2" xfId="2897"/>
    <cellStyle name="Normal 3 3 4 3 2 2" xfId="5006"/>
    <cellStyle name="Normal 3 3 4 3 2 2 2" xfId="17619"/>
    <cellStyle name="Normal 3 3 4 3 2 2 2 2" xfId="28762"/>
    <cellStyle name="Normal 3 3 4 3 2 2 3" xfId="23193"/>
    <cellStyle name="Normal 3 3 4 3 2 2 4" xfId="9157"/>
    <cellStyle name="Normal 3 3 4 3 2 3" xfId="11180"/>
    <cellStyle name="Normal 3 3 4 3 2 3 2" xfId="15550"/>
    <cellStyle name="Normal 3 3 4 3 2 3 2 2" xfId="26693"/>
    <cellStyle name="Normal 3 3 4 3 2 3 3" xfId="21124"/>
    <cellStyle name="Normal 3 3 4 3 2 4" xfId="14120"/>
    <cellStyle name="Normal 3 3 4 3 2 4 2" xfId="25263"/>
    <cellStyle name="Normal 3 3 4 3 2 5" xfId="19694"/>
    <cellStyle name="Normal 3 3 4 3 2 6" xfId="7088"/>
    <cellStyle name="Normal 3 3 4 3 3" xfId="3535"/>
    <cellStyle name="Normal 3 3 4 3 3 2" xfId="5644"/>
    <cellStyle name="Normal 3 3 4 3 3 2 2" xfId="18257"/>
    <cellStyle name="Normal 3 3 4 3 3 2 2 2" xfId="29400"/>
    <cellStyle name="Normal 3 3 4 3 3 2 3" xfId="23831"/>
    <cellStyle name="Normal 3 3 4 3 3 2 4" xfId="9795"/>
    <cellStyle name="Normal 3 3 4 3 3 3" xfId="16188"/>
    <cellStyle name="Normal 3 3 4 3 3 3 2" xfId="27331"/>
    <cellStyle name="Normal 3 3 4 3 3 4" xfId="21762"/>
    <cellStyle name="Normal 3 3 4 3 3 5" xfId="7726"/>
    <cellStyle name="Normal 3 3 4 3 4" xfId="4214"/>
    <cellStyle name="Normal 3 3 4 3 4 2" xfId="16827"/>
    <cellStyle name="Normal 3 3 4 3 4 2 2" xfId="27970"/>
    <cellStyle name="Normal 3 3 4 3 4 3" xfId="22401"/>
    <cellStyle name="Normal 3 3 4 3 4 4" xfId="8365"/>
    <cellStyle name="Normal 3 3 4 3 5" xfId="10610"/>
    <cellStyle name="Normal 3 3 4 3 5 2" xfId="14911"/>
    <cellStyle name="Normal 3 3 4 3 5 2 2" xfId="26054"/>
    <cellStyle name="Normal 3 3 4 3 5 3" xfId="20485"/>
    <cellStyle name="Normal 3 3 4 3 6" xfId="13481"/>
    <cellStyle name="Normal 3 3 4 3 6 2" xfId="24624"/>
    <cellStyle name="Normal 3 3 4 3 7" xfId="19055"/>
    <cellStyle name="Normal 3 3 4 3 8" xfId="6449"/>
    <cellStyle name="Normal 3 3 4 4" xfId="2061"/>
    <cellStyle name="Normal 3 3 4 4 2" xfId="2716"/>
    <cellStyle name="Normal 3 3 4 4 2 2" xfId="4825"/>
    <cellStyle name="Normal 3 3 4 4 2 2 2" xfId="17438"/>
    <cellStyle name="Normal 3 3 4 4 2 2 2 2" xfId="28581"/>
    <cellStyle name="Normal 3 3 4 4 2 2 3" xfId="23012"/>
    <cellStyle name="Normal 3 3 4 4 2 2 4" xfId="8976"/>
    <cellStyle name="Normal 3 3 4 4 2 3" xfId="10996"/>
    <cellStyle name="Normal 3 3 4 4 2 3 2" xfId="15369"/>
    <cellStyle name="Normal 3 3 4 4 2 3 2 2" xfId="26512"/>
    <cellStyle name="Normal 3 3 4 4 2 3 3" xfId="20943"/>
    <cellStyle name="Normal 3 3 4 4 2 4" xfId="13939"/>
    <cellStyle name="Normal 3 3 4 4 2 4 2" xfId="25082"/>
    <cellStyle name="Normal 3 3 4 4 2 5" xfId="19513"/>
    <cellStyle name="Normal 3 3 4 4 2 6" xfId="6907"/>
    <cellStyle name="Normal 3 3 4 4 3" xfId="3354"/>
    <cellStyle name="Normal 3 3 4 4 3 2" xfId="5463"/>
    <cellStyle name="Normal 3 3 4 4 3 2 2" xfId="18076"/>
    <cellStyle name="Normal 3 3 4 4 3 2 2 2" xfId="29219"/>
    <cellStyle name="Normal 3 3 4 4 3 2 3" xfId="23650"/>
    <cellStyle name="Normal 3 3 4 4 3 2 4" xfId="9614"/>
    <cellStyle name="Normal 3 3 4 4 3 3" xfId="16007"/>
    <cellStyle name="Normal 3 3 4 4 3 3 2" xfId="27150"/>
    <cellStyle name="Normal 3 3 4 4 3 4" xfId="21581"/>
    <cellStyle name="Normal 3 3 4 4 3 5" xfId="7545"/>
    <cellStyle name="Normal 3 3 4 4 4" xfId="4033"/>
    <cellStyle name="Normal 3 3 4 4 4 2" xfId="16646"/>
    <cellStyle name="Normal 3 3 4 4 4 2 2" xfId="27789"/>
    <cellStyle name="Normal 3 3 4 4 4 3" xfId="22220"/>
    <cellStyle name="Normal 3 3 4 4 4 4" xfId="8184"/>
    <cellStyle name="Normal 3 3 4 4 5" xfId="10187"/>
    <cellStyle name="Normal 3 3 4 4 5 2" xfId="14730"/>
    <cellStyle name="Normal 3 3 4 4 5 2 2" xfId="25873"/>
    <cellStyle name="Normal 3 3 4 4 5 3" xfId="20304"/>
    <cellStyle name="Normal 3 3 4 4 6" xfId="13300"/>
    <cellStyle name="Normal 3 3 4 4 6 2" xfId="24443"/>
    <cellStyle name="Normal 3 3 4 4 7" xfId="18874"/>
    <cellStyle name="Normal 3 3 4 4 8" xfId="6268"/>
    <cellStyle name="Normal 3 3 4 5" xfId="2408"/>
    <cellStyle name="Normal 3 3 4 5 2" xfId="3049"/>
    <cellStyle name="Normal 3 3 4 5 2 2" xfId="5158"/>
    <cellStyle name="Normal 3 3 4 5 2 2 2" xfId="17771"/>
    <cellStyle name="Normal 3 3 4 5 2 2 2 2" xfId="28914"/>
    <cellStyle name="Normal 3 3 4 5 2 2 3" xfId="23345"/>
    <cellStyle name="Normal 3 3 4 5 2 2 4" xfId="9309"/>
    <cellStyle name="Normal 3 3 4 5 2 3" xfId="10066"/>
    <cellStyle name="Normal 3 3 4 5 2 3 2" xfId="15702"/>
    <cellStyle name="Normal 3 3 4 5 2 3 2 2" xfId="26845"/>
    <cellStyle name="Normal 3 3 4 5 2 3 3" xfId="21276"/>
    <cellStyle name="Normal 3 3 4 5 2 4" xfId="14272"/>
    <cellStyle name="Normal 3 3 4 5 2 4 2" xfId="25415"/>
    <cellStyle name="Normal 3 3 4 5 2 5" xfId="19846"/>
    <cellStyle name="Normal 3 3 4 5 2 6" xfId="7240"/>
    <cellStyle name="Normal 3 3 4 5 3" xfId="3687"/>
    <cellStyle name="Normal 3 3 4 5 3 2" xfId="5796"/>
    <cellStyle name="Normal 3 3 4 5 3 2 2" xfId="18409"/>
    <cellStyle name="Normal 3 3 4 5 3 2 2 2" xfId="29552"/>
    <cellStyle name="Normal 3 3 4 5 3 2 3" xfId="23983"/>
    <cellStyle name="Normal 3 3 4 5 3 2 4" xfId="9947"/>
    <cellStyle name="Normal 3 3 4 5 3 3" xfId="16340"/>
    <cellStyle name="Normal 3 3 4 5 3 3 2" xfId="27483"/>
    <cellStyle name="Normal 3 3 4 5 3 4" xfId="21914"/>
    <cellStyle name="Normal 3 3 4 5 3 5" xfId="7878"/>
    <cellStyle name="Normal 3 3 4 5 4" xfId="4366"/>
    <cellStyle name="Normal 3 3 4 5 4 2" xfId="16979"/>
    <cellStyle name="Normal 3 3 4 5 4 2 2" xfId="28122"/>
    <cellStyle name="Normal 3 3 4 5 4 3" xfId="22553"/>
    <cellStyle name="Normal 3 3 4 5 4 4" xfId="8517"/>
    <cellStyle name="Normal 3 3 4 5 5" xfId="10201"/>
    <cellStyle name="Normal 3 3 4 5 5 2" xfId="15063"/>
    <cellStyle name="Normal 3 3 4 5 5 2 2" xfId="26206"/>
    <cellStyle name="Normal 3 3 4 5 5 3" xfId="20637"/>
    <cellStyle name="Normal 3 3 4 5 6" xfId="13633"/>
    <cellStyle name="Normal 3 3 4 5 6 2" xfId="24776"/>
    <cellStyle name="Normal 3 3 4 5 7" xfId="19207"/>
    <cellStyle name="Normal 3 3 4 5 8" xfId="6601"/>
    <cellStyle name="Normal 3 3 4 6" xfId="1871"/>
    <cellStyle name="Normal 3 3 4 6 2" xfId="4519"/>
    <cellStyle name="Normal 3 3 4 6 2 2" xfId="17132"/>
    <cellStyle name="Normal 3 3 4 6 2 2 2" xfId="28275"/>
    <cellStyle name="Normal 3 3 4 6 2 3" xfId="22706"/>
    <cellStyle name="Normal 3 3 4 6 2 4" xfId="8670"/>
    <cellStyle name="Normal 3 3 4 6 3" xfId="10516"/>
    <cellStyle name="Normal 3 3 4 6 3 2" xfId="14578"/>
    <cellStyle name="Normal 3 3 4 6 3 2 2" xfId="25721"/>
    <cellStyle name="Normal 3 3 4 6 3 3" xfId="20152"/>
    <cellStyle name="Normal 3 3 4 6 4" xfId="13148"/>
    <cellStyle name="Normal 3 3 4 6 4 2" xfId="24291"/>
    <cellStyle name="Normal 3 3 4 6 5" xfId="18722"/>
    <cellStyle name="Normal 3 3 4 6 6" xfId="6116"/>
    <cellStyle name="Normal 3 3 4 7" xfId="2564"/>
    <cellStyle name="Normal 3 3 4 7 2" xfId="4673"/>
    <cellStyle name="Normal 3 3 4 7 2 2" xfId="17286"/>
    <cellStyle name="Normal 3 3 4 7 2 2 2" xfId="28429"/>
    <cellStyle name="Normal 3 3 4 7 2 3" xfId="22860"/>
    <cellStyle name="Normal 3 3 4 7 2 4" xfId="8824"/>
    <cellStyle name="Normal 3 3 4 7 3" xfId="11291"/>
    <cellStyle name="Normal 3 3 4 7 3 2" xfId="15217"/>
    <cellStyle name="Normal 3 3 4 7 3 2 2" xfId="26360"/>
    <cellStyle name="Normal 3 3 4 7 3 3" xfId="20791"/>
    <cellStyle name="Normal 3 3 4 7 4" xfId="13787"/>
    <cellStyle name="Normal 3 3 4 7 4 2" xfId="24930"/>
    <cellStyle name="Normal 3 3 4 7 5" xfId="19361"/>
    <cellStyle name="Normal 3 3 4 7 6" xfId="6755"/>
    <cellStyle name="Normal 3 3 4 8" xfId="3202"/>
    <cellStyle name="Normal 3 3 4 8 2" xfId="5311"/>
    <cellStyle name="Normal 3 3 4 8 2 2" xfId="17924"/>
    <cellStyle name="Normal 3 3 4 8 2 2 2" xfId="29067"/>
    <cellStyle name="Normal 3 3 4 8 2 3" xfId="23498"/>
    <cellStyle name="Normal 3 3 4 8 2 4" xfId="9462"/>
    <cellStyle name="Normal 3 3 4 8 3" xfId="15855"/>
    <cellStyle name="Normal 3 3 4 8 3 2" xfId="26998"/>
    <cellStyle name="Normal 3 3 4 8 4" xfId="21429"/>
    <cellStyle name="Normal 3 3 4 8 5" xfId="7393"/>
    <cellStyle name="Normal 3 3 4 9" xfId="3881"/>
    <cellStyle name="Normal 3 3 4 9 2" xfId="16494"/>
    <cellStyle name="Normal 3 3 4 9 2 2" xfId="27637"/>
    <cellStyle name="Normal 3 3 4 9 3" xfId="22068"/>
    <cellStyle name="Normal 3 3 4 9 4" xfId="8032"/>
    <cellStyle name="Normal 3 3 5" xfId="2141"/>
    <cellStyle name="Normal 3 3 5 2" xfId="2785"/>
    <cellStyle name="Normal 3 3 5 2 2" xfId="4894"/>
    <cellStyle name="Normal 3 3 5 2 2 2" xfId="17507"/>
    <cellStyle name="Normal 3 3 5 2 2 2 2" xfId="28650"/>
    <cellStyle name="Normal 3 3 5 2 2 3" xfId="23081"/>
    <cellStyle name="Normal 3 3 5 2 2 4" xfId="9045"/>
    <cellStyle name="Normal 3 3 5 2 3" xfId="10509"/>
    <cellStyle name="Normal 3 3 5 2 3 2" xfId="15438"/>
    <cellStyle name="Normal 3 3 5 2 3 2 2" xfId="26581"/>
    <cellStyle name="Normal 3 3 5 2 3 3" xfId="21012"/>
    <cellStyle name="Normal 3 3 5 2 4" xfId="14008"/>
    <cellStyle name="Normal 3 3 5 2 4 2" xfId="25151"/>
    <cellStyle name="Normal 3 3 5 2 5" xfId="19582"/>
    <cellStyle name="Normal 3 3 5 2 6" xfId="6976"/>
    <cellStyle name="Normal 3 3 5 3" xfId="3423"/>
    <cellStyle name="Normal 3 3 5 3 2" xfId="5532"/>
    <cellStyle name="Normal 3 3 5 3 2 2" xfId="18145"/>
    <cellStyle name="Normal 3 3 5 3 2 2 2" xfId="29288"/>
    <cellStyle name="Normal 3 3 5 3 2 3" xfId="23719"/>
    <cellStyle name="Normal 3 3 5 3 2 4" xfId="9683"/>
    <cellStyle name="Normal 3 3 5 3 3" xfId="16076"/>
    <cellStyle name="Normal 3 3 5 3 3 2" xfId="27219"/>
    <cellStyle name="Normal 3 3 5 3 4" xfId="21650"/>
    <cellStyle name="Normal 3 3 5 3 5" xfId="7614"/>
    <cellStyle name="Normal 3 3 5 4" xfId="4102"/>
    <cellStyle name="Normal 3 3 5 4 2" xfId="16715"/>
    <cellStyle name="Normal 3 3 5 4 2 2" xfId="27858"/>
    <cellStyle name="Normal 3 3 5 4 3" xfId="22289"/>
    <cellStyle name="Normal 3 3 5 4 4" xfId="8253"/>
    <cellStyle name="Normal 3 3 5 5" xfId="11405"/>
    <cellStyle name="Normal 3 3 5 5 2" xfId="14799"/>
    <cellStyle name="Normal 3 3 5 5 2 2" xfId="25942"/>
    <cellStyle name="Normal 3 3 5 5 3" xfId="20373"/>
    <cellStyle name="Normal 3 3 5 6" xfId="13369"/>
    <cellStyle name="Normal 3 3 5 6 2" xfId="24512"/>
    <cellStyle name="Normal 3 3 5 7" xfId="18943"/>
    <cellStyle name="Normal 3 3 5 8" xfId="6337"/>
    <cellStyle name="Normal 3 3 6" xfId="2177"/>
    <cellStyle name="Normal 3 3 6 2" xfId="2821"/>
    <cellStyle name="Normal 3 3 6 2 2" xfId="4930"/>
    <cellStyle name="Normal 3 3 6 2 2 2" xfId="17543"/>
    <cellStyle name="Normal 3 3 6 2 2 2 2" xfId="28686"/>
    <cellStyle name="Normal 3 3 6 2 2 3" xfId="23117"/>
    <cellStyle name="Normal 3 3 6 2 2 4" xfId="9081"/>
    <cellStyle name="Normal 3 3 6 2 3" xfId="10647"/>
    <cellStyle name="Normal 3 3 6 2 3 2" xfId="15474"/>
    <cellStyle name="Normal 3 3 6 2 3 2 2" xfId="26617"/>
    <cellStyle name="Normal 3 3 6 2 3 3" xfId="21048"/>
    <cellStyle name="Normal 3 3 6 2 4" xfId="14044"/>
    <cellStyle name="Normal 3 3 6 2 4 2" xfId="25187"/>
    <cellStyle name="Normal 3 3 6 2 5" xfId="19618"/>
    <cellStyle name="Normal 3 3 6 2 6" xfId="7012"/>
    <cellStyle name="Normal 3 3 6 3" xfId="3459"/>
    <cellStyle name="Normal 3 3 6 3 2" xfId="5568"/>
    <cellStyle name="Normal 3 3 6 3 2 2" xfId="18181"/>
    <cellStyle name="Normal 3 3 6 3 2 2 2" xfId="29324"/>
    <cellStyle name="Normal 3 3 6 3 2 3" xfId="23755"/>
    <cellStyle name="Normal 3 3 6 3 2 4" xfId="9719"/>
    <cellStyle name="Normal 3 3 6 3 3" xfId="16112"/>
    <cellStyle name="Normal 3 3 6 3 3 2" xfId="27255"/>
    <cellStyle name="Normal 3 3 6 3 4" xfId="21686"/>
    <cellStyle name="Normal 3 3 6 3 5" xfId="7650"/>
    <cellStyle name="Normal 3 3 6 4" xfId="4138"/>
    <cellStyle name="Normal 3 3 6 4 2" xfId="16751"/>
    <cellStyle name="Normal 3 3 6 4 2 2" xfId="27894"/>
    <cellStyle name="Normal 3 3 6 4 3" xfId="22325"/>
    <cellStyle name="Normal 3 3 6 4 4" xfId="8289"/>
    <cellStyle name="Normal 3 3 6 5" xfId="10009"/>
    <cellStyle name="Normal 3 3 6 5 2" xfId="14835"/>
    <cellStyle name="Normal 3 3 6 5 2 2" xfId="25978"/>
    <cellStyle name="Normal 3 3 6 5 3" xfId="20409"/>
    <cellStyle name="Normal 3 3 6 6" xfId="13405"/>
    <cellStyle name="Normal 3 3 6 6 2" xfId="24548"/>
    <cellStyle name="Normal 3 3 6 7" xfId="18979"/>
    <cellStyle name="Normal 3 3 6 8" xfId="6373"/>
    <cellStyle name="Normal 3 3 7" xfId="1973"/>
    <cellStyle name="Normal 3 3 7 2" xfId="2640"/>
    <cellStyle name="Normal 3 3 7 2 2" xfId="4749"/>
    <cellStyle name="Normal 3 3 7 2 2 2" xfId="17362"/>
    <cellStyle name="Normal 3 3 7 2 2 2 2" xfId="28505"/>
    <cellStyle name="Normal 3 3 7 2 2 3" xfId="22936"/>
    <cellStyle name="Normal 3 3 7 2 2 4" xfId="8900"/>
    <cellStyle name="Normal 3 3 7 2 3" xfId="10094"/>
    <cellStyle name="Normal 3 3 7 2 3 2" xfId="15293"/>
    <cellStyle name="Normal 3 3 7 2 3 2 2" xfId="26436"/>
    <cellStyle name="Normal 3 3 7 2 3 3" xfId="20867"/>
    <cellStyle name="Normal 3 3 7 2 4" xfId="13863"/>
    <cellStyle name="Normal 3 3 7 2 4 2" xfId="25006"/>
    <cellStyle name="Normal 3 3 7 2 5" xfId="19437"/>
    <cellStyle name="Normal 3 3 7 2 6" xfId="6831"/>
    <cellStyle name="Normal 3 3 7 3" xfId="3278"/>
    <cellStyle name="Normal 3 3 7 3 2" xfId="5387"/>
    <cellStyle name="Normal 3 3 7 3 2 2" xfId="18000"/>
    <cellStyle name="Normal 3 3 7 3 2 2 2" xfId="29143"/>
    <cellStyle name="Normal 3 3 7 3 2 3" xfId="23574"/>
    <cellStyle name="Normal 3 3 7 3 2 4" xfId="9538"/>
    <cellStyle name="Normal 3 3 7 3 3" xfId="15931"/>
    <cellStyle name="Normal 3 3 7 3 3 2" xfId="27074"/>
    <cellStyle name="Normal 3 3 7 3 4" xfId="21505"/>
    <cellStyle name="Normal 3 3 7 3 5" xfId="7469"/>
    <cellStyle name="Normal 3 3 7 4" xfId="3957"/>
    <cellStyle name="Normal 3 3 7 4 2" xfId="16570"/>
    <cellStyle name="Normal 3 3 7 4 2 2" xfId="27713"/>
    <cellStyle name="Normal 3 3 7 4 3" xfId="22144"/>
    <cellStyle name="Normal 3 3 7 4 4" xfId="8108"/>
    <cellStyle name="Normal 3 3 7 5" xfId="10527"/>
    <cellStyle name="Normal 3 3 7 5 2" xfId="14654"/>
    <cellStyle name="Normal 3 3 7 5 2 2" xfId="25797"/>
    <cellStyle name="Normal 3 3 7 5 3" xfId="20228"/>
    <cellStyle name="Normal 3 3 7 6" xfId="13224"/>
    <cellStyle name="Normal 3 3 7 6 2" xfId="24367"/>
    <cellStyle name="Normal 3 3 7 7" xfId="18798"/>
    <cellStyle name="Normal 3 3 7 8" xfId="6192"/>
    <cellStyle name="Normal 3 3 8" xfId="2331"/>
    <cellStyle name="Normal 3 3 8 2" xfId="2973"/>
    <cellStyle name="Normal 3 3 8 2 2" xfId="5082"/>
    <cellStyle name="Normal 3 3 8 2 2 2" xfId="17695"/>
    <cellStyle name="Normal 3 3 8 2 2 2 2" xfId="28838"/>
    <cellStyle name="Normal 3 3 8 2 2 3" xfId="23269"/>
    <cellStyle name="Normal 3 3 8 2 2 4" xfId="9233"/>
    <cellStyle name="Normal 3 3 8 2 3" xfId="10826"/>
    <cellStyle name="Normal 3 3 8 2 3 2" xfId="15626"/>
    <cellStyle name="Normal 3 3 8 2 3 2 2" xfId="26769"/>
    <cellStyle name="Normal 3 3 8 2 3 3" xfId="21200"/>
    <cellStyle name="Normal 3 3 8 2 4" xfId="14196"/>
    <cellStyle name="Normal 3 3 8 2 4 2" xfId="25339"/>
    <cellStyle name="Normal 3 3 8 2 5" xfId="19770"/>
    <cellStyle name="Normal 3 3 8 2 6" xfId="7164"/>
    <cellStyle name="Normal 3 3 8 3" xfId="3611"/>
    <cellStyle name="Normal 3 3 8 3 2" xfId="5720"/>
    <cellStyle name="Normal 3 3 8 3 2 2" xfId="18333"/>
    <cellStyle name="Normal 3 3 8 3 2 2 2" xfId="29476"/>
    <cellStyle name="Normal 3 3 8 3 2 3" xfId="23907"/>
    <cellStyle name="Normal 3 3 8 3 2 4" xfId="9871"/>
    <cellStyle name="Normal 3 3 8 3 3" xfId="16264"/>
    <cellStyle name="Normal 3 3 8 3 3 2" xfId="27407"/>
    <cellStyle name="Normal 3 3 8 3 4" xfId="21838"/>
    <cellStyle name="Normal 3 3 8 3 5" xfId="7802"/>
    <cellStyle name="Normal 3 3 8 4" xfId="4290"/>
    <cellStyle name="Normal 3 3 8 4 2" xfId="16903"/>
    <cellStyle name="Normal 3 3 8 4 2 2" xfId="28046"/>
    <cellStyle name="Normal 3 3 8 4 3" xfId="22477"/>
    <cellStyle name="Normal 3 3 8 4 4" xfId="8441"/>
    <cellStyle name="Normal 3 3 8 5" xfId="10923"/>
    <cellStyle name="Normal 3 3 8 5 2" xfId="14987"/>
    <cellStyle name="Normal 3 3 8 5 2 2" xfId="26130"/>
    <cellStyle name="Normal 3 3 8 5 3" xfId="20561"/>
    <cellStyle name="Normal 3 3 8 6" xfId="13557"/>
    <cellStyle name="Normal 3 3 8 6 2" xfId="24700"/>
    <cellStyle name="Normal 3 3 8 7" xfId="19131"/>
    <cellStyle name="Normal 3 3 8 8" xfId="6525"/>
    <cellStyle name="Normal 3 3 9" xfId="1795"/>
    <cellStyle name="Normal 3 3 9 2" xfId="4443"/>
    <cellStyle name="Normal 3 3 9 2 2" xfId="17056"/>
    <cellStyle name="Normal 3 3 9 2 2 2" xfId="28199"/>
    <cellStyle name="Normal 3 3 9 2 3" xfId="22630"/>
    <cellStyle name="Normal 3 3 9 2 4" xfId="8594"/>
    <cellStyle name="Normal 3 3 9 3" xfId="10526"/>
    <cellStyle name="Normal 3 3 9 3 2" xfId="14502"/>
    <cellStyle name="Normal 3 3 9 3 2 2" xfId="25645"/>
    <cellStyle name="Normal 3 3 9 3 3" xfId="20076"/>
    <cellStyle name="Normal 3 3 9 4" xfId="13072"/>
    <cellStyle name="Normal 3 3 9 4 2" xfId="24215"/>
    <cellStyle name="Normal 3 3 9 5" xfId="18646"/>
    <cellStyle name="Normal 3 3 9 6" xfId="6040"/>
    <cellStyle name="Normal 3 4" xfId="131"/>
    <cellStyle name="Normal 3 4 2" xfId="382"/>
    <cellStyle name="Normal 3 4 2 2" xfId="561"/>
    <cellStyle name="Normal 3 4 2 2 2" xfId="944"/>
    <cellStyle name="Normal 3 4 2 2 2 2" xfId="1683"/>
    <cellStyle name="Normal 3 4 2 2 2 2 2" xfId="12779"/>
    <cellStyle name="Normal 3 4 2 2 2 3" xfId="12069"/>
    <cellStyle name="Normal 3 4 2 2 3" xfId="1328"/>
    <cellStyle name="Normal 3 4 2 2 3 2" xfId="12424"/>
    <cellStyle name="Normal 3 4 2 2 4" xfId="11714"/>
    <cellStyle name="Normal 3 4 2 3" xfId="766"/>
    <cellStyle name="Normal 3 4 2 3 2" xfId="1505"/>
    <cellStyle name="Normal 3 4 2 3 2 2" xfId="12601"/>
    <cellStyle name="Normal 3 4 2 3 3" xfId="11891"/>
    <cellStyle name="Normal 3 4 2 4" xfId="1150"/>
    <cellStyle name="Normal 3 4 2 4 2" xfId="12246"/>
    <cellStyle name="Normal 3 4 2 5" xfId="2152"/>
    <cellStyle name="Normal 3 4 2 5 2" xfId="2796"/>
    <cellStyle name="Normal 3 4 2 5 2 2" xfId="4905"/>
    <cellStyle name="Normal 3 4 2 5 2 2 2" xfId="17518"/>
    <cellStyle name="Normal 3 4 2 5 2 2 2 2" xfId="28661"/>
    <cellStyle name="Normal 3 4 2 5 2 2 3" xfId="23092"/>
    <cellStyle name="Normal 3 4 2 5 2 2 4" xfId="9056"/>
    <cellStyle name="Normal 3 4 2 5 2 3" xfId="10123"/>
    <cellStyle name="Normal 3 4 2 5 2 3 2" xfId="15449"/>
    <cellStyle name="Normal 3 4 2 5 2 3 2 2" xfId="26592"/>
    <cellStyle name="Normal 3 4 2 5 2 3 3" xfId="21023"/>
    <cellStyle name="Normal 3 4 2 5 2 4" xfId="14019"/>
    <cellStyle name="Normal 3 4 2 5 2 4 2" xfId="25162"/>
    <cellStyle name="Normal 3 4 2 5 2 5" xfId="19593"/>
    <cellStyle name="Normal 3 4 2 5 2 6" xfId="6987"/>
    <cellStyle name="Normal 3 4 2 5 3" xfId="3434"/>
    <cellStyle name="Normal 3 4 2 5 3 2" xfId="5543"/>
    <cellStyle name="Normal 3 4 2 5 3 2 2" xfId="18156"/>
    <cellStyle name="Normal 3 4 2 5 3 2 2 2" xfId="29299"/>
    <cellStyle name="Normal 3 4 2 5 3 2 3" xfId="23730"/>
    <cellStyle name="Normal 3 4 2 5 3 2 4" xfId="9694"/>
    <cellStyle name="Normal 3 4 2 5 3 3" xfId="16087"/>
    <cellStyle name="Normal 3 4 2 5 3 3 2" xfId="27230"/>
    <cellStyle name="Normal 3 4 2 5 3 4" xfId="21661"/>
    <cellStyle name="Normal 3 4 2 5 3 5" xfId="7625"/>
    <cellStyle name="Normal 3 4 2 5 4" xfId="4113"/>
    <cellStyle name="Normal 3 4 2 5 4 2" xfId="16726"/>
    <cellStyle name="Normal 3 4 2 5 4 2 2" xfId="27869"/>
    <cellStyle name="Normal 3 4 2 5 4 3" xfId="22300"/>
    <cellStyle name="Normal 3 4 2 5 4 4" xfId="8264"/>
    <cellStyle name="Normal 3 4 2 5 5" xfId="10410"/>
    <cellStyle name="Normal 3 4 2 5 5 2" xfId="14810"/>
    <cellStyle name="Normal 3 4 2 5 5 2 2" xfId="25953"/>
    <cellStyle name="Normal 3 4 2 5 5 3" xfId="20384"/>
    <cellStyle name="Normal 3 4 2 5 6" xfId="13380"/>
    <cellStyle name="Normal 3 4 2 5 6 2" xfId="24523"/>
    <cellStyle name="Normal 3 4 2 5 7" xfId="18954"/>
    <cellStyle name="Normal 3 4 2 5 8" xfId="6348"/>
    <cellStyle name="Normal 3 4 2 6" xfId="11536"/>
    <cellStyle name="Normal 3 4 3" xfId="499"/>
    <cellStyle name="Normal 3 4 3 2" xfId="883"/>
    <cellStyle name="Normal 3 4 3 2 2" xfId="1622"/>
    <cellStyle name="Normal 3 4 3 2 2 2" xfId="12718"/>
    <cellStyle name="Normal 3 4 3 2 3" xfId="12008"/>
    <cellStyle name="Normal 3 4 3 3" xfId="1267"/>
    <cellStyle name="Normal 3 4 3 3 2" xfId="12363"/>
    <cellStyle name="Normal 3 4 3 4" xfId="2144"/>
    <cellStyle name="Normal 3 4 3 4 2" xfId="2788"/>
    <cellStyle name="Normal 3 4 3 4 2 2" xfId="4897"/>
    <cellStyle name="Normal 3 4 3 4 2 2 2" xfId="17510"/>
    <cellStyle name="Normal 3 4 3 4 2 2 2 2" xfId="28653"/>
    <cellStyle name="Normal 3 4 3 4 2 2 3" xfId="23084"/>
    <cellStyle name="Normal 3 4 3 4 2 2 4" xfId="9048"/>
    <cellStyle name="Normal 3 4 3 4 2 3" xfId="10958"/>
    <cellStyle name="Normal 3 4 3 4 2 3 2" xfId="15441"/>
    <cellStyle name="Normal 3 4 3 4 2 3 2 2" xfId="26584"/>
    <cellStyle name="Normal 3 4 3 4 2 3 3" xfId="21015"/>
    <cellStyle name="Normal 3 4 3 4 2 4" xfId="14011"/>
    <cellStyle name="Normal 3 4 3 4 2 4 2" xfId="25154"/>
    <cellStyle name="Normal 3 4 3 4 2 5" xfId="19585"/>
    <cellStyle name="Normal 3 4 3 4 2 6" xfId="6979"/>
    <cellStyle name="Normal 3 4 3 4 3" xfId="3426"/>
    <cellStyle name="Normal 3 4 3 4 3 2" xfId="5535"/>
    <cellStyle name="Normal 3 4 3 4 3 2 2" xfId="18148"/>
    <cellStyle name="Normal 3 4 3 4 3 2 2 2" xfId="29291"/>
    <cellStyle name="Normal 3 4 3 4 3 2 3" xfId="23722"/>
    <cellStyle name="Normal 3 4 3 4 3 2 4" xfId="9686"/>
    <cellStyle name="Normal 3 4 3 4 3 3" xfId="16079"/>
    <cellStyle name="Normal 3 4 3 4 3 3 2" xfId="27222"/>
    <cellStyle name="Normal 3 4 3 4 3 4" xfId="21653"/>
    <cellStyle name="Normal 3 4 3 4 3 5" xfId="7617"/>
    <cellStyle name="Normal 3 4 3 4 4" xfId="4105"/>
    <cellStyle name="Normal 3 4 3 4 4 2" xfId="16718"/>
    <cellStyle name="Normal 3 4 3 4 4 2 2" xfId="27861"/>
    <cellStyle name="Normal 3 4 3 4 4 3" xfId="22292"/>
    <cellStyle name="Normal 3 4 3 4 4 4" xfId="8256"/>
    <cellStyle name="Normal 3 4 3 4 5" xfId="10556"/>
    <cellStyle name="Normal 3 4 3 4 5 2" xfId="14802"/>
    <cellStyle name="Normal 3 4 3 4 5 2 2" xfId="25945"/>
    <cellStyle name="Normal 3 4 3 4 5 3" xfId="20376"/>
    <cellStyle name="Normal 3 4 3 4 6" xfId="13372"/>
    <cellStyle name="Normal 3 4 3 4 6 2" xfId="24515"/>
    <cellStyle name="Normal 3 4 3 4 7" xfId="18946"/>
    <cellStyle name="Normal 3 4 3 4 8" xfId="6340"/>
    <cellStyle name="Normal 3 4 3 5" xfId="11653"/>
    <cellStyle name="Normal 3 4 4" xfId="705"/>
    <cellStyle name="Normal 3 4 4 2" xfId="1444"/>
    <cellStyle name="Normal 3 4 4 2 2" xfId="12540"/>
    <cellStyle name="Normal 3 4 4 3" xfId="11830"/>
    <cellStyle name="Normal 3 4 5" xfId="1089"/>
    <cellStyle name="Normal 3 4 5 2" xfId="12185"/>
    <cellStyle name="Normal 3 4 6" xfId="2125"/>
    <cellStyle name="Normal 3 4 6 2" xfId="2776"/>
    <cellStyle name="Normal 3 4 6 2 2" xfId="4885"/>
    <cellStyle name="Normal 3 4 6 2 2 2" xfId="17498"/>
    <cellStyle name="Normal 3 4 6 2 2 2 2" xfId="28641"/>
    <cellStyle name="Normal 3 4 6 2 2 3" xfId="23072"/>
    <cellStyle name="Normal 3 4 6 2 2 4" xfId="9036"/>
    <cellStyle name="Normal 3 4 6 2 3" xfId="11229"/>
    <cellStyle name="Normal 3 4 6 2 3 2" xfId="15429"/>
    <cellStyle name="Normal 3 4 6 2 3 2 2" xfId="26572"/>
    <cellStyle name="Normal 3 4 6 2 3 3" xfId="21003"/>
    <cellStyle name="Normal 3 4 6 2 4" xfId="13999"/>
    <cellStyle name="Normal 3 4 6 2 4 2" xfId="25142"/>
    <cellStyle name="Normal 3 4 6 2 5" xfId="19573"/>
    <cellStyle name="Normal 3 4 6 2 6" xfId="6967"/>
    <cellStyle name="Normal 3 4 6 3" xfId="3414"/>
    <cellStyle name="Normal 3 4 6 3 2" xfId="5523"/>
    <cellStyle name="Normal 3 4 6 3 2 2" xfId="18136"/>
    <cellStyle name="Normal 3 4 6 3 2 2 2" xfId="29279"/>
    <cellStyle name="Normal 3 4 6 3 2 3" xfId="23710"/>
    <cellStyle name="Normal 3 4 6 3 2 4" xfId="9674"/>
    <cellStyle name="Normal 3 4 6 3 3" xfId="16067"/>
    <cellStyle name="Normal 3 4 6 3 3 2" xfId="27210"/>
    <cellStyle name="Normal 3 4 6 3 4" xfId="21641"/>
    <cellStyle name="Normal 3 4 6 3 5" xfId="7605"/>
    <cellStyle name="Normal 3 4 6 4" xfId="4093"/>
    <cellStyle name="Normal 3 4 6 4 2" xfId="16706"/>
    <cellStyle name="Normal 3 4 6 4 2 2" xfId="27849"/>
    <cellStyle name="Normal 3 4 6 4 3" xfId="22280"/>
    <cellStyle name="Normal 3 4 6 4 4" xfId="8244"/>
    <cellStyle name="Normal 3 4 6 5" xfId="10140"/>
    <cellStyle name="Normal 3 4 6 5 2" xfId="14790"/>
    <cellStyle name="Normal 3 4 6 5 2 2" xfId="25933"/>
    <cellStyle name="Normal 3 4 6 5 3" xfId="20364"/>
    <cellStyle name="Normal 3 4 6 6" xfId="13360"/>
    <cellStyle name="Normal 3 4 6 6 2" xfId="24503"/>
    <cellStyle name="Normal 3 4 6 7" xfId="18934"/>
    <cellStyle name="Normal 3 4 6 8" xfId="6328"/>
    <cellStyle name="Normal 3 4 7" xfId="11475"/>
    <cellStyle name="Normal 3 5" xfId="437"/>
    <cellStyle name="Normal 3 5 2" xfId="616"/>
    <cellStyle name="Normal 3 5 2 2" xfId="999"/>
    <cellStyle name="Normal 3 5 2 2 2" xfId="1738"/>
    <cellStyle name="Normal 3 5 2 2 2 2" xfId="12834"/>
    <cellStyle name="Normal 3 5 2 2 3" xfId="12124"/>
    <cellStyle name="Normal 3 5 2 3" xfId="1383"/>
    <cellStyle name="Normal 3 5 2 3 2" xfId="12479"/>
    <cellStyle name="Normal 3 5 2 4" xfId="2156"/>
    <cellStyle name="Normal 3 5 2 4 2" xfId="2800"/>
    <cellStyle name="Normal 3 5 2 4 2 2" xfId="4909"/>
    <cellStyle name="Normal 3 5 2 4 2 2 2" xfId="17522"/>
    <cellStyle name="Normal 3 5 2 4 2 2 2 2" xfId="28665"/>
    <cellStyle name="Normal 3 5 2 4 2 2 3" xfId="23096"/>
    <cellStyle name="Normal 3 5 2 4 2 2 4" xfId="9060"/>
    <cellStyle name="Normal 3 5 2 4 2 3" xfId="11253"/>
    <cellStyle name="Normal 3 5 2 4 2 3 2" xfId="15453"/>
    <cellStyle name="Normal 3 5 2 4 2 3 2 2" xfId="26596"/>
    <cellStyle name="Normal 3 5 2 4 2 3 3" xfId="21027"/>
    <cellStyle name="Normal 3 5 2 4 2 4" xfId="14023"/>
    <cellStyle name="Normal 3 5 2 4 2 4 2" xfId="25166"/>
    <cellStyle name="Normal 3 5 2 4 2 5" xfId="19597"/>
    <cellStyle name="Normal 3 5 2 4 2 6" xfId="6991"/>
    <cellStyle name="Normal 3 5 2 4 3" xfId="3438"/>
    <cellStyle name="Normal 3 5 2 4 3 2" xfId="5547"/>
    <cellStyle name="Normal 3 5 2 4 3 2 2" xfId="18160"/>
    <cellStyle name="Normal 3 5 2 4 3 2 2 2" xfId="29303"/>
    <cellStyle name="Normal 3 5 2 4 3 2 3" xfId="23734"/>
    <cellStyle name="Normal 3 5 2 4 3 2 4" xfId="9698"/>
    <cellStyle name="Normal 3 5 2 4 3 3" xfId="16091"/>
    <cellStyle name="Normal 3 5 2 4 3 3 2" xfId="27234"/>
    <cellStyle name="Normal 3 5 2 4 3 4" xfId="21665"/>
    <cellStyle name="Normal 3 5 2 4 3 5" xfId="7629"/>
    <cellStyle name="Normal 3 5 2 4 4" xfId="4117"/>
    <cellStyle name="Normal 3 5 2 4 4 2" xfId="16730"/>
    <cellStyle name="Normal 3 5 2 4 4 2 2" xfId="27873"/>
    <cellStyle name="Normal 3 5 2 4 4 3" xfId="22304"/>
    <cellStyle name="Normal 3 5 2 4 4 4" xfId="8268"/>
    <cellStyle name="Normal 3 5 2 4 5" xfId="10561"/>
    <cellStyle name="Normal 3 5 2 4 5 2" xfId="14814"/>
    <cellStyle name="Normal 3 5 2 4 5 2 2" xfId="25957"/>
    <cellStyle name="Normal 3 5 2 4 5 3" xfId="20388"/>
    <cellStyle name="Normal 3 5 2 4 6" xfId="13384"/>
    <cellStyle name="Normal 3 5 2 4 6 2" xfId="24527"/>
    <cellStyle name="Normal 3 5 2 4 7" xfId="18958"/>
    <cellStyle name="Normal 3 5 2 4 8" xfId="6352"/>
    <cellStyle name="Normal 3 5 2 5" xfId="11769"/>
    <cellStyle name="Normal 3 5 3" xfId="821"/>
    <cellStyle name="Normal 3 5 3 2" xfId="1560"/>
    <cellStyle name="Normal 3 5 3 2 2" xfId="12656"/>
    <cellStyle name="Normal 3 5 3 3" xfId="11946"/>
    <cellStyle name="Normal 3 5 4" xfId="1205"/>
    <cellStyle name="Normal 3 5 4 2" xfId="12301"/>
    <cellStyle name="Normal 3 5 5" xfId="2130"/>
    <cellStyle name="Normal 3 5 5 2" xfId="2779"/>
    <cellStyle name="Normal 3 5 5 2 2" xfId="4888"/>
    <cellStyle name="Normal 3 5 5 2 2 2" xfId="17501"/>
    <cellStyle name="Normal 3 5 5 2 2 2 2" xfId="28644"/>
    <cellStyle name="Normal 3 5 5 2 2 3" xfId="23075"/>
    <cellStyle name="Normal 3 5 5 2 2 4" xfId="9039"/>
    <cellStyle name="Normal 3 5 5 2 3" xfId="10909"/>
    <cellStyle name="Normal 3 5 5 2 3 2" xfId="15432"/>
    <cellStyle name="Normal 3 5 5 2 3 2 2" xfId="26575"/>
    <cellStyle name="Normal 3 5 5 2 3 3" xfId="21006"/>
    <cellStyle name="Normal 3 5 5 2 4" xfId="14002"/>
    <cellStyle name="Normal 3 5 5 2 4 2" xfId="25145"/>
    <cellStyle name="Normal 3 5 5 2 5" xfId="19576"/>
    <cellStyle name="Normal 3 5 5 2 6" xfId="6970"/>
    <cellStyle name="Normal 3 5 5 3" xfId="3417"/>
    <cellStyle name="Normal 3 5 5 3 2" xfId="5526"/>
    <cellStyle name="Normal 3 5 5 3 2 2" xfId="18139"/>
    <cellStyle name="Normal 3 5 5 3 2 2 2" xfId="29282"/>
    <cellStyle name="Normal 3 5 5 3 2 3" xfId="23713"/>
    <cellStyle name="Normal 3 5 5 3 2 4" xfId="9677"/>
    <cellStyle name="Normal 3 5 5 3 3" xfId="16070"/>
    <cellStyle name="Normal 3 5 5 3 3 2" xfId="27213"/>
    <cellStyle name="Normal 3 5 5 3 4" xfId="21644"/>
    <cellStyle name="Normal 3 5 5 3 5" xfId="7608"/>
    <cellStyle name="Normal 3 5 5 4" xfId="4096"/>
    <cellStyle name="Normal 3 5 5 4 2" xfId="16709"/>
    <cellStyle name="Normal 3 5 5 4 2 2" xfId="27852"/>
    <cellStyle name="Normal 3 5 5 4 3" xfId="22283"/>
    <cellStyle name="Normal 3 5 5 4 4" xfId="8247"/>
    <cellStyle name="Normal 3 5 5 5" xfId="10085"/>
    <cellStyle name="Normal 3 5 5 5 2" xfId="14793"/>
    <cellStyle name="Normal 3 5 5 5 2 2" xfId="25936"/>
    <cellStyle name="Normal 3 5 5 5 3" xfId="20367"/>
    <cellStyle name="Normal 3 5 5 6" xfId="13363"/>
    <cellStyle name="Normal 3 5 5 6 2" xfId="24506"/>
    <cellStyle name="Normal 3 5 5 7" xfId="18937"/>
    <cellStyle name="Normal 3 5 5 8" xfId="6331"/>
    <cellStyle name="Normal 3 5 6" xfId="11591"/>
    <cellStyle name="Normal 3 6" xfId="2134"/>
    <cellStyle name="Normal 3 6 2" xfId="2148"/>
    <cellStyle name="Normal 3 6 2 2" xfId="2792"/>
    <cellStyle name="Normal 3 6 2 2 2" xfId="4901"/>
    <cellStyle name="Normal 3 6 2 2 2 2" xfId="17514"/>
    <cellStyle name="Normal 3 6 2 2 2 2 2" xfId="28657"/>
    <cellStyle name="Normal 3 6 2 2 2 3" xfId="23088"/>
    <cellStyle name="Normal 3 6 2 2 2 4" xfId="9052"/>
    <cellStyle name="Normal 3 6 2 2 3" xfId="11363"/>
    <cellStyle name="Normal 3 6 2 2 3 2" xfId="15445"/>
    <cellStyle name="Normal 3 6 2 2 3 2 2" xfId="26588"/>
    <cellStyle name="Normal 3 6 2 2 3 3" xfId="21019"/>
    <cellStyle name="Normal 3 6 2 2 4" xfId="14015"/>
    <cellStyle name="Normal 3 6 2 2 4 2" xfId="25158"/>
    <cellStyle name="Normal 3 6 2 2 5" xfId="19589"/>
    <cellStyle name="Normal 3 6 2 2 6" xfId="6983"/>
    <cellStyle name="Normal 3 6 2 3" xfId="3430"/>
    <cellStyle name="Normal 3 6 2 3 2" xfId="5539"/>
    <cellStyle name="Normal 3 6 2 3 2 2" xfId="18152"/>
    <cellStyle name="Normal 3 6 2 3 2 2 2" xfId="29295"/>
    <cellStyle name="Normal 3 6 2 3 2 3" xfId="23726"/>
    <cellStyle name="Normal 3 6 2 3 2 4" xfId="9690"/>
    <cellStyle name="Normal 3 6 2 3 3" xfId="16083"/>
    <cellStyle name="Normal 3 6 2 3 3 2" xfId="27226"/>
    <cellStyle name="Normal 3 6 2 3 4" xfId="21657"/>
    <cellStyle name="Normal 3 6 2 3 5" xfId="7621"/>
    <cellStyle name="Normal 3 6 2 4" xfId="4109"/>
    <cellStyle name="Normal 3 6 2 4 2" xfId="16722"/>
    <cellStyle name="Normal 3 6 2 4 2 2" xfId="27865"/>
    <cellStyle name="Normal 3 6 2 4 3" xfId="22296"/>
    <cellStyle name="Normal 3 6 2 4 4" xfId="8260"/>
    <cellStyle name="Normal 3 6 2 5" xfId="10426"/>
    <cellStyle name="Normal 3 6 2 5 2" xfId="14806"/>
    <cellStyle name="Normal 3 6 2 5 2 2" xfId="25949"/>
    <cellStyle name="Normal 3 6 2 5 3" xfId="20380"/>
    <cellStyle name="Normal 3 6 2 6" xfId="13376"/>
    <cellStyle name="Normal 3 6 2 6 2" xfId="24519"/>
    <cellStyle name="Normal 3 6 2 7" xfId="18950"/>
    <cellStyle name="Normal 3 6 2 8" xfId="6344"/>
    <cellStyle name="Normal 3 6 3" xfId="12889"/>
    <cellStyle name="Normal 3 7" xfId="2140"/>
    <cellStyle name="Normal 3 7 2" xfId="2784"/>
    <cellStyle name="Normal 3 7 2 2" xfId="4893"/>
    <cellStyle name="Normal 3 7 2 2 2" xfId="17506"/>
    <cellStyle name="Normal 3 7 2 2 2 2" xfId="28649"/>
    <cellStyle name="Normal 3 7 2 2 3" xfId="23080"/>
    <cellStyle name="Normal 3 7 2 2 4" xfId="9044"/>
    <cellStyle name="Normal 3 7 2 3" xfId="10301"/>
    <cellStyle name="Normal 3 7 2 3 2" xfId="15437"/>
    <cellStyle name="Normal 3 7 2 3 2 2" xfId="26580"/>
    <cellStyle name="Normal 3 7 2 3 3" xfId="21011"/>
    <cellStyle name="Normal 3 7 2 4" xfId="14007"/>
    <cellStyle name="Normal 3 7 2 4 2" xfId="25150"/>
    <cellStyle name="Normal 3 7 2 5" xfId="19581"/>
    <cellStyle name="Normal 3 7 2 6" xfId="6975"/>
    <cellStyle name="Normal 3 7 3" xfId="3422"/>
    <cellStyle name="Normal 3 7 3 2" xfId="5531"/>
    <cellStyle name="Normal 3 7 3 2 2" xfId="18144"/>
    <cellStyle name="Normal 3 7 3 2 2 2" xfId="29287"/>
    <cellStyle name="Normal 3 7 3 2 3" xfId="23718"/>
    <cellStyle name="Normal 3 7 3 2 4" xfId="9682"/>
    <cellStyle name="Normal 3 7 3 3" xfId="16075"/>
    <cellStyle name="Normal 3 7 3 3 2" xfId="27218"/>
    <cellStyle name="Normal 3 7 3 4" xfId="21649"/>
    <cellStyle name="Normal 3 7 3 5" xfId="7613"/>
    <cellStyle name="Normal 3 7 4" xfId="4101"/>
    <cellStyle name="Normal 3 7 4 2" xfId="16714"/>
    <cellStyle name="Normal 3 7 4 2 2" xfId="27857"/>
    <cellStyle name="Normal 3 7 4 3" xfId="22288"/>
    <cellStyle name="Normal 3 7 4 4" xfId="8252"/>
    <cellStyle name="Normal 3 7 5" xfId="11005"/>
    <cellStyle name="Normal 3 7 5 2" xfId="14798"/>
    <cellStyle name="Normal 3 7 5 2 2" xfId="25941"/>
    <cellStyle name="Normal 3 7 5 3" xfId="20372"/>
    <cellStyle name="Normal 3 7 6" xfId="13368"/>
    <cellStyle name="Normal 3 7 6 2" xfId="24511"/>
    <cellStyle name="Normal 3 7 7" xfId="18942"/>
    <cellStyle name="Normal 3 7 8" xfId="6336"/>
    <cellStyle name="Normal 3 8" xfId="2313"/>
    <cellStyle name="Normal 3 8 2" xfId="2955"/>
    <cellStyle name="Normal 3 8 2 2" xfId="5064"/>
    <cellStyle name="Normal 3 8 2 2 2" xfId="17677"/>
    <cellStyle name="Normal 3 8 2 2 2 2" xfId="28820"/>
    <cellStyle name="Normal 3 8 2 2 3" xfId="23251"/>
    <cellStyle name="Normal 3 8 2 2 4" xfId="9215"/>
    <cellStyle name="Normal 3 8 2 3" xfId="10802"/>
    <cellStyle name="Normal 3 8 2 3 2" xfId="15608"/>
    <cellStyle name="Normal 3 8 2 3 2 2" xfId="26751"/>
    <cellStyle name="Normal 3 8 2 3 3" xfId="21182"/>
    <cellStyle name="Normal 3 8 2 4" xfId="14178"/>
    <cellStyle name="Normal 3 8 2 4 2" xfId="25321"/>
    <cellStyle name="Normal 3 8 2 5" xfId="19752"/>
    <cellStyle name="Normal 3 8 2 6" xfId="7146"/>
    <cellStyle name="Normal 3 8 3" xfId="3593"/>
    <cellStyle name="Normal 3 8 3 2" xfId="5702"/>
    <cellStyle name="Normal 3 8 3 2 2" xfId="18315"/>
    <cellStyle name="Normal 3 8 3 2 2 2" xfId="29458"/>
    <cellStyle name="Normal 3 8 3 2 3" xfId="23889"/>
    <cellStyle name="Normal 3 8 3 2 4" xfId="9853"/>
    <cellStyle name="Normal 3 8 3 3" xfId="16246"/>
    <cellStyle name="Normal 3 8 3 3 2" xfId="27389"/>
    <cellStyle name="Normal 3 8 3 4" xfId="21820"/>
    <cellStyle name="Normal 3 8 3 5" xfId="7784"/>
    <cellStyle name="Normal 3 8 4" xfId="4272"/>
    <cellStyle name="Normal 3 8 4 2" xfId="16885"/>
    <cellStyle name="Normal 3 8 4 2 2" xfId="28028"/>
    <cellStyle name="Normal 3 8 4 3" xfId="22459"/>
    <cellStyle name="Normal 3 8 4 4" xfId="8423"/>
    <cellStyle name="Normal 3 8 5" xfId="10657"/>
    <cellStyle name="Normal 3 8 5 2" xfId="14969"/>
    <cellStyle name="Normal 3 8 5 2 2" xfId="26112"/>
    <cellStyle name="Normal 3 8 5 3" xfId="20543"/>
    <cellStyle name="Normal 3 8 6" xfId="13539"/>
    <cellStyle name="Normal 3 8 6 2" xfId="24682"/>
    <cellStyle name="Normal 3 8 7" xfId="19113"/>
    <cellStyle name="Normal 3 8 8" xfId="6507"/>
    <cellStyle name="Normal 3 9" xfId="1777"/>
    <cellStyle name="Normal 3 9 2" xfId="4425"/>
    <cellStyle name="Normal 3 9 2 2" xfId="17038"/>
    <cellStyle name="Normal 3 9 2 2 2" xfId="28181"/>
    <cellStyle name="Normal 3 9 2 3" xfId="22612"/>
    <cellStyle name="Normal 3 9 2 4" xfId="8576"/>
    <cellStyle name="Normal 3 9 3" xfId="10907"/>
    <cellStyle name="Normal 3 9 3 2" xfId="14484"/>
    <cellStyle name="Normal 3 9 3 2 2" xfId="25627"/>
    <cellStyle name="Normal 3 9 3 3" xfId="20058"/>
    <cellStyle name="Normal 3 9 4" xfId="13054"/>
    <cellStyle name="Normal 3 9 4 2" xfId="24197"/>
    <cellStyle name="Normal 3 9 5" xfId="18628"/>
    <cellStyle name="Normal 3 9 6" xfId="6022"/>
    <cellStyle name="Normal 30" xfId="12891"/>
    <cellStyle name="Normal 31" xfId="12897"/>
    <cellStyle name="Normal 32" xfId="12898"/>
    <cellStyle name="Normal 33" xfId="13053"/>
    <cellStyle name="Normal 34" xfId="18469"/>
    <cellStyle name="Normal 35" xfId="18473"/>
    <cellStyle name="Normal 36" xfId="18468"/>
    <cellStyle name="Normal 37" xfId="18472"/>
    <cellStyle name="Normal 38" xfId="18471"/>
    <cellStyle name="Normal 39" xfId="18470"/>
    <cellStyle name="Normal 39 2" xfId="29611"/>
    <cellStyle name="Normal 4" xfId="147"/>
    <cellStyle name="Normal 4 10" xfId="1793"/>
    <cellStyle name="Normal 4 10 2" xfId="4441"/>
    <cellStyle name="Normal 4 10 2 2" xfId="17054"/>
    <cellStyle name="Normal 4 10 2 2 2" xfId="28197"/>
    <cellStyle name="Normal 4 10 2 3" xfId="22628"/>
    <cellStyle name="Normal 4 10 2 4" xfId="8592"/>
    <cellStyle name="Normal 4 10 3" xfId="11357"/>
    <cellStyle name="Normal 4 10 3 2" xfId="14500"/>
    <cellStyle name="Normal 4 10 3 2 2" xfId="25643"/>
    <cellStyle name="Normal 4 10 3 3" xfId="20074"/>
    <cellStyle name="Normal 4 10 4" xfId="13070"/>
    <cellStyle name="Normal 4 10 4 2" xfId="24213"/>
    <cellStyle name="Normal 4 10 5" xfId="18644"/>
    <cellStyle name="Normal 4 10 6" xfId="6038"/>
    <cellStyle name="Normal 4 11" xfId="2486"/>
    <cellStyle name="Normal 4 11 2" xfId="4595"/>
    <cellStyle name="Normal 4 11 2 2" xfId="17208"/>
    <cellStyle name="Normal 4 11 2 2 2" xfId="28351"/>
    <cellStyle name="Normal 4 11 2 3" xfId="22782"/>
    <cellStyle name="Normal 4 11 2 4" xfId="8746"/>
    <cellStyle name="Normal 4 11 3" xfId="10606"/>
    <cellStyle name="Normal 4 11 3 2" xfId="15139"/>
    <cellStyle name="Normal 4 11 3 2 2" xfId="26282"/>
    <cellStyle name="Normal 4 11 3 3" xfId="20713"/>
    <cellStyle name="Normal 4 11 4" xfId="13709"/>
    <cellStyle name="Normal 4 11 4 2" xfId="24852"/>
    <cellStyle name="Normal 4 11 5" xfId="19283"/>
    <cellStyle name="Normal 4 11 6" xfId="6677"/>
    <cellStyle name="Normal 4 12" xfId="3124"/>
    <cellStyle name="Normal 4 12 2" xfId="5233"/>
    <cellStyle name="Normal 4 12 2 2" xfId="17846"/>
    <cellStyle name="Normal 4 12 2 2 2" xfId="28989"/>
    <cellStyle name="Normal 4 12 2 3" xfId="23420"/>
    <cellStyle name="Normal 4 12 2 4" xfId="9384"/>
    <cellStyle name="Normal 4 12 3" xfId="11404"/>
    <cellStyle name="Normal 4 12 3 2" xfId="15777"/>
    <cellStyle name="Normal 4 12 3 2 2" xfId="26920"/>
    <cellStyle name="Normal 4 12 3 3" xfId="21351"/>
    <cellStyle name="Normal 4 12 4" xfId="12916"/>
    <cellStyle name="Normal 4 12 4 2" xfId="24060"/>
    <cellStyle name="Normal 4 12 5" xfId="18491"/>
    <cellStyle name="Normal 4 12 6" xfId="7315"/>
    <cellStyle name="Normal 4 13" xfId="3803"/>
    <cellStyle name="Normal 4 13 2" xfId="16416"/>
    <cellStyle name="Normal 4 13 2 2" xfId="27559"/>
    <cellStyle name="Normal 4 13 3" xfId="21990"/>
    <cellStyle name="Normal 4 13 4" xfId="7954"/>
    <cellStyle name="Normal 4 14" xfId="10139"/>
    <cellStyle name="Normal 4 14 2" xfId="14347"/>
    <cellStyle name="Normal 4 14 2 2" xfId="25490"/>
    <cellStyle name="Normal 4 14 3" xfId="19921"/>
    <cellStyle name="Normal 4 15" xfId="5884"/>
    <cellStyle name="Normal 4 2" xfId="155"/>
    <cellStyle name="Normal 4 2 2" xfId="2129"/>
    <cellStyle name="Normal 4 2 2 2" xfId="12888"/>
    <cellStyle name="Normal 4 2 3" xfId="2139"/>
    <cellStyle name="Normal 4 2 4" xfId="2123"/>
    <cellStyle name="Normal 4 2 4 2" xfId="12886"/>
    <cellStyle name="Normal 4 3" xfId="236"/>
    <cellStyle name="Normal 4 3 10" xfId="3822"/>
    <cellStyle name="Normal 4 3 10 2" xfId="16435"/>
    <cellStyle name="Normal 4 3 10 2 2" xfId="27578"/>
    <cellStyle name="Normal 4 3 10 3" xfId="22009"/>
    <cellStyle name="Normal 4 3 10 4" xfId="7973"/>
    <cellStyle name="Normal 4 3 11" xfId="11430"/>
    <cellStyle name="Normal 4 3 11 2" xfId="14366"/>
    <cellStyle name="Normal 4 3 11 2 2" xfId="25509"/>
    <cellStyle name="Normal 4 3 11 3" xfId="19940"/>
    <cellStyle name="Normal 4 3 12" xfId="12935"/>
    <cellStyle name="Normal 4 3 12 2" xfId="24079"/>
    <cellStyle name="Normal 4 3 13" xfId="18510"/>
    <cellStyle name="Normal 4 3 14" xfId="5903"/>
    <cellStyle name="Normal 4 3 2" xfId="274"/>
    <cellStyle name="Normal 4 3 2 10" xfId="10146"/>
    <cellStyle name="Normal 4 3 2 10 2" xfId="14404"/>
    <cellStyle name="Normal 4 3 2 10 2 2" xfId="25547"/>
    <cellStyle name="Normal 4 3 2 10 3" xfId="19978"/>
    <cellStyle name="Normal 4 3 2 11" xfId="12973"/>
    <cellStyle name="Normal 4 3 2 11 2" xfId="24117"/>
    <cellStyle name="Normal 4 3 2 12" xfId="18548"/>
    <cellStyle name="Normal 4 3 2 13" xfId="5941"/>
    <cellStyle name="Normal 4 3 2 2" xfId="350"/>
    <cellStyle name="Normal 4 3 2 2 10" xfId="13049"/>
    <cellStyle name="Normal 4 3 2 2 10 2" xfId="24193"/>
    <cellStyle name="Normal 4 3 2 2 11" xfId="18624"/>
    <cellStyle name="Normal 4 3 2 2 12" xfId="6017"/>
    <cellStyle name="Normal 4 3 2 2 2" xfId="2308"/>
    <cellStyle name="Normal 4 3 2 2 2 2" xfId="2952"/>
    <cellStyle name="Normal 4 3 2 2 2 2 2" xfId="5061"/>
    <cellStyle name="Normal 4 3 2 2 2 2 2 2" xfId="17674"/>
    <cellStyle name="Normal 4 3 2 2 2 2 2 2 2" xfId="28817"/>
    <cellStyle name="Normal 4 3 2 2 2 2 2 3" xfId="23248"/>
    <cellStyle name="Normal 4 3 2 2 2 2 2 4" xfId="9212"/>
    <cellStyle name="Normal 4 3 2 2 2 2 3" xfId="11035"/>
    <cellStyle name="Normal 4 3 2 2 2 2 3 2" xfId="15605"/>
    <cellStyle name="Normal 4 3 2 2 2 2 3 2 2" xfId="26748"/>
    <cellStyle name="Normal 4 3 2 2 2 2 3 3" xfId="21179"/>
    <cellStyle name="Normal 4 3 2 2 2 2 4" xfId="14175"/>
    <cellStyle name="Normal 4 3 2 2 2 2 4 2" xfId="25318"/>
    <cellStyle name="Normal 4 3 2 2 2 2 5" xfId="19749"/>
    <cellStyle name="Normal 4 3 2 2 2 2 6" xfId="7143"/>
    <cellStyle name="Normal 4 3 2 2 2 3" xfId="3590"/>
    <cellStyle name="Normal 4 3 2 2 2 3 2" xfId="5699"/>
    <cellStyle name="Normal 4 3 2 2 2 3 2 2" xfId="18312"/>
    <cellStyle name="Normal 4 3 2 2 2 3 2 2 2" xfId="29455"/>
    <cellStyle name="Normal 4 3 2 2 2 3 2 3" xfId="23886"/>
    <cellStyle name="Normal 4 3 2 2 2 3 2 4" xfId="9850"/>
    <cellStyle name="Normal 4 3 2 2 2 3 3" xfId="16243"/>
    <cellStyle name="Normal 4 3 2 2 2 3 3 2" xfId="27386"/>
    <cellStyle name="Normal 4 3 2 2 2 3 4" xfId="21817"/>
    <cellStyle name="Normal 4 3 2 2 2 3 5" xfId="7781"/>
    <cellStyle name="Normal 4 3 2 2 2 4" xfId="4269"/>
    <cellStyle name="Normal 4 3 2 2 2 4 2" xfId="16882"/>
    <cellStyle name="Normal 4 3 2 2 2 4 2 2" xfId="28025"/>
    <cellStyle name="Normal 4 3 2 2 2 4 3" xfId="22456"/>
    <cellStyle name="Normal 4 3 2 2 2 4 4" xfId="8420"/>
    <cellStyle name="Normal 4 3 2 2 2 5" xfId="11012"/>
    <cellStyle name="Normal 4 3 2 2 2 5 2" xfId="14966"/>
    <cellStyle name="Normal 4 3 2 2 2 5 2 2" xfId="26109"/>
    <cellStyle name="Normal 4 3 2 2 2 5 3" xfId="20540"/>
    <cellStyle name="Normal 4 3 2 2 2 6" xfId="13536"/>
    <cellStyle name="Normal 4 3 2 2 2 6 2" xfId="24679"/>
    <cellStyle name="Normal 4 3 2 2 2 7" xfId="19110"/>
    <cellStyle name="Normal 4 3 2 2 2 8" xfId="6504"/>
    <cellStyle name="Normal 4 3 2 2 3" xfId="2116"/>
    <cellStyle name="Normal 4 3 2 2 3 2" xfId="2771"/>
    <cellStyle name="Normal 4 3 2 2 3 2 2" xfId="4880"/>
    <cellStyle name="Normal 4 3 2 2 3 2 2 2" xfId="17493"/>
    <cellStyle name="Normal 4 3 2 2 3 2 2 2 2" xfId="28636"/>
    <cellStyle name="Normal 4 3 2 2 3 2 2 3" xfId="23067"/>
    <cellStyle name="Normal 4 3 2 2 3 2 2 4" xfId="9031"/>
    <cellStyle name="Normal 4 3 2 2 3 2 3" xfId="10396"/>
    <cellStyle name="Normal 4 3 2 2 3 2 3 2" xfId="15424"/>
    <cellStyle name="Normal 4 3 2 2 3 2 3 2 2" xfId="26567"/>
    <cellStyle name="Normal 4 3 2 2 3 2 3 3" xfId="20998"/>
    <cellStyle name="Normal 4 3 2 2 3 2 4" xfId="13994"/>
    <cellStyle name="Normal 4 3 2 2 3 2 4 2" xfId="25137"/>
    <cellStyle name="Normal 4 3 2 2 3 2 5" xfId="19568"/>
    <cellStyle name="Normal 4 3 2 2 3 2 6" xfId="6962"/>
    <cellStyle name="Normal 4 3 2 2 3 3" xfId="3409"/>
    <cellStyle name="Normal 4 3 2 2 3 3 2" xfId="5518"/>
    <cellStyle name="Normal 4 3 2 2 3 3 2 2" xfId="18131"/>
    <cellStyle name="Normal 4 3 2 2 3 3 2 2 2" xfId="29274"/>
    <cellStyle name="Normal 4 3 2 2 3 3 2 3" xfId="23705"/>
    <cellStyle name="Normal 4 3 2 2 3 3 2 4" xfId="9669"/>
    <cellStyle name="Normal 4 3 2 2 3 3 3" xfId="16062"/>
    <cellStyle name="Normal 4 3 2 2 3 3 3 2" xfId="27205"/>
    <cellStyle name="Normal 4 3 2 2 3 3 4" xfId="21636"/>
    <cellStyle name="Normal 4 3 2 2 3 3 5" xfId="7600"/>
    <cellStyle name="Normal 4 3 2 2 3 4" xfId="4088"/>
    <cellStyle name="Normal 4 3 2 2 3 4 2" xfId="16701"/>
    <cellStyle name="Normal 4 3 2 2 3 4 2 2" xfId="27844"/>
    <cellStyle name="Normal 4 3 2 2 3 4 3" xfId="22275"/>
    <cellStyle name="Normal 4 3 2 2 3 4 4" xfId="8239"/>
    <cellStyle name="Normal 4 3 2 2 3 5" xfId="10010"/>
    <cellStyle name="Normal 4 3 2 2 3 5 2" xfId="14785"/>
    <cellStyle name="Normal 4 3 2 2 3 5 2 2" xfId="25928"/>
    <cellStyle name="Normal 4 3 2 2 3 5 3" xfId="20359"/>
    <cellStyle name="Normal 4 3 2 2 3 6" xfId="13355"/>
    <cellStyle name="Normal 4 3 2 2 3 6 2" xfId="24498"/>
    <cellStyle name="Normal 4 3 2 2 3 7" xfId="18929"/>
    <cellStyle name="Normal 4 3 2 2 3 8" xfId="6323"/>
    <cellStyle name="Normal 4 3 2 2 4" xfId="2463"/>
    <cellStyle name="Normal 4 3 2 2 4 2" xfId="3104"/>
    <cellStyle name="Normal 4 3 2 2 4 2 2" xfId="5213"/>
    <cellStyle name="Normal 4 3 2 2 4 2 2 2" xfId="17826"/>
    <cellStyle name="Normal 4 3 2 2 4 2 2 2 2" xfId="28969"/>
    <cellStyle name="Normal 4 3 2 2 4 2 2 3" xfId="23400"/>
    <cellStyle name="Normal 4 3 2 2 4 2 2 4" xfId="9364"/>
    <cellStyle name="Normal 4 3 2 2 4 2 3" xfId="10895"/>
    <cellStyle name="Normal 4 3 2 2 4 2 3 2" xfId="15757"/>
    <cellStyle name="Normal 4 3 2 2 4 2 3 2 2" xfId="26900"/>
    <cellStyle name="Normal 4 3 2 2 4 2 3 3" xfId="21331"/>
    <cellStyle name="Normal 4 3 2 2 4 2 4" xfId="14327"/>
    <cellStyle name="Normal 4 3 2 2 4 2 4 2" xfId="25470"/>
    <cellStyle name="Normal 4 3 2 2 4 2 5" xfId="19901"/>
    <cellStyle name="Normal 4 3 2 2 4 2 6" xfId="7295"/>
    <cellStyle name="Normal 4 3 2 2 4 3" xfId="3742"/>
    <cellStyle name="Normal 4 3 2 2 4 3 2" xfId="5851"/>
    <cellStyle name="Normal 4 3 2 2 4 3 2 2" xfId="18464"/>
    <cellStyle name="Normal 4 3 2 2 4 3 2 2 2" xfId="29607"/>
    <cellStyle name="Normal 4 3 2 2 4 3 2 3" xfId="24038"/>
    <cellStyle name="Normal 4 3 2 2 4 3 2 4" xfId="10002"/>
    <cellStyle name="Normal 4 3 2 2 4 3 3" xfId="16395"/>
    <cellStyle name="Normal 4 3 2 2 4 3 3 2" xfId="27538"/>
    <cellStyle name="Normal 4 3 2 2 4 3 4" xfId="21969"/>
    <cellStyle name="Normal 4 3 2 2 4 3 5" xfId="7933"/>
    <cellStyle name="Normal 4 3 2 2 4 4" xfId="4421"/>
    <cellStyle name="Normal 4 3 2 2 4 4 2" xfId="17034"/>
    <cellStyle name="Normal 4 3 2 2 4 4 2 2" xfId="28177"/>
    <cellStyle name="Normal 4 3 2 2 4 4 3" xfId="22608"/>
    <cellStyle name="Normal 4 3 2 2 4 4 4" xfId="8572"/>
    <cellStyle name="Normal 4 3 2 2 4 5" xfId="10179"/>
    <cellStyle name="Normal 4 3 2 2 4 5 2" xfId="15118"/>
    <cellStyle name="Normal 4 3 2 2 4 5 2 2" xfId="26261"/>
    <cellStyle name="Normal 4 3 2 2 4 5 3" xfId="20692"/>
    <cellStyle name="Normal 4 3 2 2 4 6" xfId="13688"/>
    <cellStyle name="Normal 4 3 2 2 4 6 2" xfId="24831"/>
    <cellStyle name="Normal 4 3 2 2 4 7" xfId="19262"/>
    <cellStyle name="Normal 4 3 2 2 4 8" xfId="6656"/>
    <cellStyle name="Normal 4 3 2 2 5" xfId="1926"/>
    <cellStyle name="Normal 4 3 2 2 5 2" xfId="4574"/>
    <cellStyle name="Normal 4 3 2 2 5 2 2" xfId="17187"/>
    <cellStyle name="Normal 4 3 2 2 5 2 2 2" xfId="28330"/>
    <cellStyle name="Normal 4 3 2 2 5 2 3" xfId="22761"/>
    <cellStyle name="Normal 4 3 2 2 5 2 4" xfId="8725"/>
    <cellStyle name="Normal 4 3 2 2 5 3" xfId="10061"/>
    <cellStyle name="Normal 4 3 2 2 5 3 2" xfId="14633"/>
    <cellStyle name="Normal 4 3 2 2 5 3 2 2" xfId="25776"/>
    <cellStyle name="Normal 4 3 2 2 5 3 3" xfId="20207"/>
    <cellStyle name="Normal 4 3 2 2 5 4" xfId="13203"/>
    <cellStyle name="Normal 4 3 2 2 5 4 2" xfId="24346"/>
    <cellStyle name="Normal 4 3 2 2 5 5" xfId="18777"/>
    <cellStyle name="Normal 4 3 2 2 5 6" xfId="6171"/>
    <cellStyle name="Normal 4 3 2 2 6" xfId="2619"/>
    <cellStyle name="Normal 4 3 2 2 6 2" xfId="4728"/>
    <cellStyle name="Normal 4 3 2 2 6 2 2" xfId="17341"/>
    <cellStyle name="Normal 4 3 2 2 6 2 2 2" xfId="28484"/>
    <cellStyle name="Normal 4 3 2 2 6 2 3" xfId="22915"/>
    <cellStyle name="Normal 4 3 2 2 6 2 4" xfId="8879"/>
    <cellStyle name="Normal 4 3 2 2 6 3" xfId="10817"/>
    <cellStyle name="Normal 4 3 2 2 6 3 2" xfId="15272"/>
    <cellStyle name="Normal 4 3 2 2 6 3 2 2" xfId="26415"/>
    <cellStyle name="Normal 4 3 2 2 6 3 3" xfId="20846"/>
    <cellStyle name="Normal 4 3 2 2 6 4" xfId="13842"/>
    <cellStyle name="Normal 4 3 2 2 6 4 2" xfId="24985"/>
    <cellStyle name="Normal 4 3 2 2 6 5" xfId="19416"/>
    <cellStyle name="Normal 4 3 2 2 6 6" xfId="6810"/>
    <cellStyle name="Normal 4 3 2 2 7" xfId="3257"/>
    <cellStyle name="Normal 4 3 2 2 7 2" xfId="5366"/>
    <cellStyle name="Normal 4 3 2 2 7 2 2" xfId="17979"/>
    <cellStyle name="Normal 4 3 2 2 7 2 2 2" xfId="29122"/>
    <cellStyle name="Normal 4 3 2 2 7 2 3" xfId="23553"/>
    <cellStyle name="Normal 4 3 2 2 7 2 4" xfId="9517"/>
    <cellStyle name="Normal 4 3 2 2 7 3" xfId="15910"/>
    <cellStyle name="Normal 4 3 2 2 7 3 2" xfId="27053"/>
    <cellStyle name="Normal 4 3 2 2 7 4" xfId="21484"/>
    <cellStyle name="Normal 4 3 2 2 7 5" xfId="7448"/>
    <cellStyle name="Normal 4 3 2 2 8" xfId="3936"/>
    <cellStyle name="Normal 4 3 2 2 8 2" xfId="16549"/>
    <cellStyle name="Normal 4 3 2 2 8 2 2" xfId="27692"/>
    <cellStyle name="Normal 4 3 2 2 8 3" xfId="22123"/>
    <cellStyle name="Normal 4 3 2 2 8 4" xfId="8087"/>
    <cellStyle name="Normal 4 3 2 2 9" xfId="10975"/>
    <cellStyle name="Normal 4 3 2 2 9 2" xfId="14480"/>
    <cellStyle name="Normal 4 3 2 2 9 2 2" xfId="25623"/>
    <cellStyle name="Normal 4 3 2 2 9 3" xfId="20054"/>
    <cellStyle name="Normal 4 3 2 3" xfId="2232"/>
    <cellStyle name="Normal 4 3 2 3 2" xfId="2876"/>
    <cellStyle name="Normal 4 3 2 3 2 2" xfId="4985"/>
    <cellStyle name="Normal 4 3 2 3 2 2 2" xfId="17598"/>
    <cellStyle name="Normal 4 3 2 3 2 2 2 2" xfId="28741"/>
    <cellStyle name="Normal 4 3 2 3 2 2 3" xfId="23172"/>
    <cellStyle name="Normal 4 3 2 3 2 2 4" xfId="9136"/>
    <cellStyle name="Normal 4 3 2 3 2 3" xfId="10779"/>
    <cellStyle name="Normal 4 3 2 3 2 3 2" xfId="15529"/>
    <cellStyle name="Normal 4 3 2 3 2 3 2 2" xfId="26672"/>
    <cellStyle name="Normal 4 3 2 3 2 3 3" xfId="21103"/>
    <cellStyle name="Normal 4 3 2 3 2 4" xfId="14099"/>
    <cellStyle name="Normal 4 3 2 3 2 4 2" xfId="25242"/>
    <cellStyle name="Normal 4 3 2 3 2 5" xfId="19673"/>
    <cellStyle name="Normal 4 3 2 3 2 6" xfId="7067"/>
    <cellStyle name="Normal 4 3 2 3 3" xfId="3514"/>
    <cellStyle name="Normal 4 3 2 3 3 2" xfId="5623"/>
    <cellStyle name="Normal 4 3 2 3 3 2 2" xfId="18236"/>
    <cellStyle name="Normal 4 3 2 3 3 2 2 2" xfId="29379"/>
    <cellStyle name="Normal 4 3 2 3 3 2 3" xfId="23810"/>
    <cellStyle name="Normal 4 3 2 3 3 2 4" xfId="9774"/>
    <cellStyle name="Normal 4 3 2 3 3 3" xfId="16167"/>
    <cellStyle name="Normal 4 3 2 3 3 3 2" xfId="27310"/>
    <cellStyle name="Normal 4 3 2 3 3 4" xfId="21741"/>
    <cellStyle name="Normal 4 3 2 3 3 5" xfId="7705"/>
    <cellStyle name="Normal 4 3 2 3 4" xfId="4193"/>
    <cellStyle name="Normal 4 3 2 3 4 2" xfId="16806"/>
    <cellStyle name="Normal 4 3 2 3 4 2 2" xfId="27949"/>
    <cellStyle name="Normal 4 3 2 3 4 3" xfId="22380"/>
    <cellStyle name="Normal 4 3 2 3 4 4" xfId="8344"/>
    <cellStyle name="Normal 4 3 2 3 5" xfId="11388"/>
    <cellStyle name="Normal 4 3 2 3 5 2" xfId="14890"/>
    <cellStyle name="Normal 4 3 2 3 5 2 2" xfId="26033"/>
    <cellStyle name="Normal 4 3 2 3 5 3" xfId="20464"/>
    <cellStyle name="Normal 4 3 2 3 6" xfId="13460"/>
    <cellStyle name="Normal 4 3 2 3 6 2" xfId="24603"/>
    <cellStyle name="Normal 4 3 2 3 7" xfId="19034"/>
    <cellStyle name="Normal 4 3 2 3 8" xfId="6428"/>
    <cellStyle name="Normal 4 3 2 4" xfId="2040"/>
    <cellStyle name="Normal 4 3 2 4 2" xfId="2695"/>
    <cellStyle name="Normal 4 3 2 4 2 2" xfId="4804"/>
    <cellStyle name="Normal 4 3 2 4 2 2 2" xfId="17417"/>
    <cellStyle name="Normal 4 3 2 4 2 2 2 2" xfId="28560"/>
    <cellStyle name="Normal 4 3 2 4 2 2 3" xfId="22991"/>
    <cellStyle name="Normal 4 3 2 4 2 2 4" xfId="8955"/>
    <cellStyle name="Normal 4 3 2 4 2 3" xfId="10692"/>
    <cellStyle name="Normal 4 3 2 4 2 3 2" xfId="15348"/>
    <cellStyle name="Normal 4 3 2 4 2 3 2 2" xfId="26491"/>
    <cellStyle name="Normal 4 3 2 4 2 3 3" xfId="20922"/>
    <cellStyle name="Normal 4 3 2 4 2 4" xfId="13918"/>
    <cellStyle name="Normal 4 3 2 4 2 4 2" xfId="25061"/>
    <cellStyle name="Normal 4 3 2 4 2 5" xfId="19492"/>
    <cellStyle name="Normal 4 3 2 4 2 6" xfId="6886"/>
    <cellStyle name="Normal 4 3 2 4 3" xfId="3333"/>
    <cellStyle name="Normal 4 3 2 4 3 2" xfId="5442"/>
    <cellStyle name="Normal 4 3 2 4 3 2 2" xfId="18055"/>
    <cellStyle name="Normal 4 3 2 4 3 2 2 2" xfId="29198"/>
    <cellStyle name="Normal 4 3 2 4 3 2 3" xfId="23629"/>
    <cellStyle name="Normal 4 3 2 4 3 2 4" xfId="9593"/>
    <cellStyle name="Normal 4 3 2 4 3 3" xfId="15986"/>
    <cellStyle name="Normal 4 3 2 4 3 3 2" xfId="27129"/>
    <cellStyle name="Normal 4 3 2 4 3 4" xfId="21560"/>
    <cellStyle name="Normal 4 3 2 4 3 5" xfId="7524"/>
    <cellStyle name="Normal 4 3 2 4 4" xfId="4012"/>
    <cellStyle name="Normal 4 3 2 4 4 2" xfId="16625"/>
    <cellStyle name="Normal 4 3 2 4 4 2 2" xfId="27768"/>
    <cellStyle name="Normal 4 3 2 4 4 3" xfId="22199"/>
    <cellStyle name="Normal 4 3 2 4 4 4" xfId="8163"/>
    <cellStyle name="Normal 4 3 2 4 5" xfId="10547"/>
    <cellStyle name="Normal 4 3 2 4 5 2" xfId="14709"/>
    <cellStyle name="Normal 4 3 2 4 5 2 2" xfId="25852"/>
    <cellStyle name="Normal 4 3 2 4 5 3" xfId="20283"/>
    <cellStyle name="Normal 4 3 2 4 6" xfId="13279"/>
    <cellStyle name="Normal 4 3 2 4 6 2" xfId="24422"/>
    <cellStyle name="Normal 4 3 2 4 7" xfId="18853"/>
    <cellStyle name="Normal 4 3 2 4 8" xfId="6247"/>
    <cellStyle name="Normal 4 3 2 5" xfId="2387"/>
    <cellStyle name="Normal 4 3 2 5 2" xfId="3028"/>
    <cellStyle name="Normal 4 3 2 5 2 2" xfId="5137"/>
    <cellStyle name="Normal 4 3 2 5 2 2 2" xfId="17750"/>
    <cellStyle name="Normal 4 3 2 5 2 2 2 2" xfId="28893"/>
    <cellStyle name="Normal 4 3 2 5 2 2 3" xfId="23324"/>
    <cellStyle name="Normal 4 3 2 5 2 2 4" xfId="9288"/>
    <cellStyle name="Normal 4 3 2 5 2 3" xfId="10150"/>
    <cellStyle name="Normal 4 3 2 5 2 3 2" xfId="15681"/>
    <cellStyle name="Normal 4 3 2 5 2 3 2 2" xfId="26824"/>
    <cellStyle name="Normal 4 3 2 5 2 3 3" xfId="21255"/>
    <cellStyle name="Normal 4 3 2 5 2 4" xfId="14251"/>
    <cellStyle name="Normal 4 3 2 5 2 4 2" xfId="25394"/>
    <cellStyle name="Normal 4 3 2 5 2 5" xfId="19825"/>
    <cellStyle name="Normal 4 3 2 5 2 6" xfId="7219"/>
    <cellStyle name="Normal 4 3 2 5 3" xfId="3666"/>
    <cellStyle name="Normal 4 3 2 5 3 2" xfId="5775"/>
    <cellStyle name="Normal 4 3 2 5 3 2 2" xfId="18388"/>
    <cellStyle name="Normal 4 3 2 5 3 2 2 2" xfId="29531"/>
    <cellStyle name="Normal 4 3 2 5 3 2 3" xfId="23962"/>
    <cellStyle name="Normal 4 3 2 5 3 2 4" xfId="9926"/>
    <cellStyle name="Normal 4 3 2 5 3 3" xfId="16319"/>
    <cellStyle name="Normal 4 3 2 5 3 3 2" xfId="27462"/>
    <cellStyle name="Normal 4 3 2 5 3 4" xfId="21893"/>
    <cellStyle name="Normal 4 3 2 5 3 5" xfId="7857"/>
    <cellStyle name="Normal 4 3 2 5 4" xfId="4345"/>
    <cellStyle name="Normal 4 3 2 5 4 2" xfId="16958"/>
    <cellStyle name="Normal 4 3 2 5 4 2 2" xfId="28101"/>
    <cellStyle name="Normal 4 3 2 5 4 3" xfId="22532"/>
    <cellStyle name="Normal 4 3 2 5 4 4" xfId="8496"/>
    <cellStyle name="Normal 4 3 2 5 5" xfId="11231"/>
    <cellStyle name="Normal 4 3 2 5 5 2" xfId="15042"/>
    <cellStyle name="Normal 4 3 2 5 5 2 2" xfId="26185"/>
    <cellStyle name="Normal 4 3 2 5 5 3" xfId="20616"/>
    <cellStyle name="Normal 4 3 2 5 6" xfId="13612"/>
    <cellStyle name="Normal 4 3 2 5 6 2" xfId="24755"/>
    <cellStyle name="Normal 4 3 2 5 7" xfId="19186"/>
    <cellStyle name="Normal 4 3 2 5 8" xfId="6580"/>
    <cellStyle name="Normal 4 3 2 6" xfId="1850"/>
    <cellStyle name="Normal 4 3 2 6 2" xfId="4498"/>
    <cellStyle name="Normal 4 3 2 6 2 2" xfId="17111"/>
    <cellStyle name="Normal 4 3 2 6 2 2 2" xfId="28254"/>
    <cellStyle name="Normal 4 3 2 6 2 3" xfId="22685"/>
    <cellStyle name="Normal 4 3 2 6 2 4" xfId="8649"/>
    <cellStyle name="Normal 4 3 2 6 3" xfId="10966"/>
    <cellStyle name="Normal 4 3 2 6 3 2" xfId="14557"/>
    <cellStyle name="Normal 4 3 2 6 3 2 2" xfId="25700"/>
    <cellStyle name="Normal 4 3 2 6 3 3" xfId="20131"/>
    <cellStyle name="Normal 4 3 2 6 4" xfId="13127"/>
    <cellStyle name="Normal 4 3 2 6 4 2" xfId="24270"/>
    <cellStyle name="Normal 4 3 2 6 5" xfId="18701"/>
    <cellStyle name="Normal 4 3 2 6 6" xfId="6095"/>
    <cellStyle name="Normal 4 3 2 7" xfId="2543"/>
    <cellStyle name="Normal 4 3 2 7 2" xfId="4652"/>
    <cellStyle name="Normal 4 3 2 7 2 2" xfId="17265"/>
    <cellStyle name="Normal 4 3 2 7 2 2 2" xfId="28408"/>
    <cellStyle name="Normal 4 3 2 7 2 3" xfId="22839"/>
    <cellStyle name="Normal 4 3 2 7 2 4" xfId="8803"/>
    <cellStyle name="Normal 4 3 2 7 3" xfId="10604"/>
    <cellStyle name="Normal 4 3 2 7 3 2" xfId="15196"/>
    <cellStyle name="Normal 4 3 2 7 3 2 2" xfId="26339"/>
    <cellStyle name="Normal 4 3 2 7 3 3" xfId="20770"/>
    <cellStyle name="Normal 4 3 2 7 4" xfId="13766"/>
    <cellStyle name="Normal 4 3 2 7 4 2" xfId="24909"/>
    <cellStyle name="Normal 4 3 2 7 5" xfId="19340"/>
    <cellStyle name="Normal 4 3 2 7 6" xfId="6734"/>
    <cellStyle name="Normal 4 3 2 8" xfId="3181"/>
    <cellStyle name="Normal 4 3 2 8 2" xfId="5290"/>
    <cellStyle name="Normal 4 3 2 8 2 2" xfId="17903"/>
    <cellStyle name="Normal 4 3 2 8 2 2 2" xfId="29046"/>
    <cellStyle name="Normal 4 3 2 8 2 3" xfId="23477"/>
    <cellStyle name="Normal 4 3 2 8 2 4" xfId="9441"/>
    <cellStyle name="Normal 4 3 2 8 3" xfId="15834"/>
    <cellStyle name="Normal 4 3 2 8 3 2" xfId="26977"/>
    <cellStyle name="Normal 4 3 2 8 4" xfId="21408"/>
    <cellStyle name="Normal 4 3 2 8 5" xfId="7372"/>
    <cellStyle name="Normal 4 3 2 9" xfId="3860"/>
    <cellStyle name="Normal 4 3 2 9 2" xfId="16473"/>
    <cellStyle name="Normal 4 3 2 9 2 2" xfId="27616"/>
    <cellStyle name="Normal 4 3 2 9 3" xfId="22047"/>
    <cellStyle name="Normal 4 3 2 9 4" xfId="8011"/>
    <cellStyle name="Normal 4 3 3" xfId="312"/>
    <cellStyle name="Normal 4 3 3 10" xfId="13011"/>
    <cellStyle name="Normal 4 3 3 10 2" xfId="24155"/>
    <cellStyle name="Normal 4 3 3 11" xfId="18586"/>
    <cellStyle name="Normal 4 3 3 12" xfId="5979"/>
    <cellStyle name="Normal 4 3 3 2" xfId="2270"/>
    <cellStyle name="Normal 4 3 3 2 2" xfId="2914"/>
    <cellStyle name="Normal 4 3 3 2 2 2" xfId="5023"/>
    <cellStyle name="Normal 4 3 3 2 2 2 2" xfId="17636"/>
    <cellStyle name="Normal 4 3 3 2 2 2 2 2" xfId="28779"/>
    <cellStyle name="Normal 4 3 3 2 2 2 3" xfId="23210"/>
    <cellStyle name="Normal 4 3 3 2 2 2 4" xfId="9174"/>
    <cellStyle name="Normal 4 3 3 2 2 3" xfId="10715"/>
    <cellStyle name="Normal 4 3 3 2 2 3 2" xfId="15567"/>
    <cellStyle name="Normal 4 3 3 2 2 3 2 2" xfId="26710"/>
    <cellStyle name="Normal 4 3 3 2 2 3 3" xfId="21141"/>
    <cellStyle name="Normal 4 3 3 2 2 4" xfId="14137"/>
    <cellStyle name="Normal 4 3 3 2 2 4 2" xfId="25280"/>
    <cellStyle name="Normal 4 3 3 2 2 5" xfId="19711"/>
    <cellStyle name="Normal 4 3 3 2 2 6" xfId="7105"/>
    <cellStyle name="Normal 4 3 3 2 3" xfId="3552"/>
    <cellStyle name="Normal 4 3 3 2 3 2" xfId="5661"/>
    <cellStyle name="Normal 4 3 3 2 3 2 2" xfId="18274"/>
    <cellStyle name="Normal 4 3 3 2 3 2 2 2" xfId="29417"/>
    <cellStyle name="Normal 4 3 3 2 3 2 3" xfId="23848"/>
    <cellStyle name="Normal 4 3 3 2 3 2 4" xfId="9812"/>
    <cellStyle name="Normal 4 3 3 2 3 3" xfId="16205"/>
    <cellStyle name="Normal 4 3 3 2 3 3 2" xfId="27348"/>
    <cellStyle name="Normal 4 3 3 2 3 4" xfId="21779"/>
    <cellStyle name="Normal 4 3 3 2 3 5" xfId="7743"/>
    <cellStyle name="Normal 4 3 3 2 4" xfId="4231"/>
    <cellStyle name="Normal 4 3 3 2 4 2" xfId="16844"/>
    <cellStyle name="Normal 4 3 3 2 4 2 2" xfId="27987"/>
    <cellStyle name="Normal 4 3 3 2 4 3" xfId="22418"/>
    <cellStyle name="Normal 4 3 3 2 4 4" xfId="8382"/>
    <cellStyle name="Normal 4 3 3 2 5" xfId="10278"/>
    <cellStyle name="Normal 4 3 3 2 5 2" xfId="14928"/>
    <cellStyle name="Normal 4 3 3 2 5 2 2" xfId="26071"/>
    <cellStyle name="Normal 4 3 3 2 5 3" xfId="20502"/>
    <cellStyle name="Normal 4 3 3 2 6" xfId="13498"/>
    <cellStyle name="Normal 4 3 3 2 6 2" xfId="24641"/>
    <cellStyle name="Normal 4 3 3 2 7" xfId="19072"/>
    <cellStyle name="Normal 4 3 3 2 8" xfId="6466"/>
    <cellStyle name="Normal 4 3 3 3" xfId="2078"/>
    <cellStyle name="Normal 4 3 3 3 2" xfId="2733"/>
    <cellStyle name="Normal 4 3 3 3 2 2" xfId="4842"/>
    <cellStyle name="Normal 4 3 3 3 2 2 2" xfId="17455"/>
    <cellStyle name="Normal 4 3 3 3 2 2 2 2" xfId="28598"/>
    <cellStyle name="Normal 4 3 3 3 2 2 3" xfId="23029"/>
    <cellStyle name="Normal 4 3 3 3 2 2 4" xfId="8993"/>
    <cellStyle name="Normal 4 3 3 3 2 3" xfId="10047"/>
    <cellStyle name="Normal 4 3 3 3 2 3 2" xfId="15386"/>
    <cellStyle name="Normal 4 3 3 3 2 3 2 2" xfId="26529"/>
    <cellStyle name="Normal 4 3 3 3 2 3 3" xfId="20960"/>
    <cellStyle name="Normal 4 3 3 3 2 4" xfId="13956"/>
    <cellStyle name="Normal 4 3 3 3 2 4 2" xfId="25099"/>
    <cellStyle name="Normal 4 3 3 3 2 5" xfId="19530"/>
    <cellStyle name="Normal 4 3 3 3 2 6" xfId="6924"/>
    <cellStyle name="Normal 4 3 3 3 3" xfId="3371"/>
    <cellStyle name="Normal 4 3 3 3 3 2" xfId="5480"/>
    <cellStyle name="Normal 4 3 3 3 3 2 2" xfId="18093"/>
    <cellStyle name="Normal 4 3 3 3 3 2 2 2" xfId="29236"/>
    <cellStyle name="Normal 4 3 3 3 3 2 3" xfId="23667"/>
    <cellStyle name="Normal 4 3 3 3 3 2 4" xfId="9631"/>
    <cellStyle name="Normal 4 3 3 3 3 3" xfId="16024"/>
    <cellStyle name="Normal 4 3 3 3 3 3 2" xfId="27167"/>
    <cellStyle name="Normal 4 3 3 3 3 4" xfId="21598"/>
    <cellStyle name="Normal 4 3 3 3 3 5" xfId="7562"/>
    <cellStyle name="Normal 4 3 3 3 4" xfId="4050"/>
    <cellStyle name="Normal 4 3 3 3 4 2" xfId="16663"/>
    <cellStyle name="Normal 4 3 3 3 4 2 2" xfId="27806"/>
    <cellStyle name="Normal 4 3 3 3 4 3" xfId="22237"/>
    <cellStyle name="Normal 4 3 3 3 4 4" xfId="8201"/>
    <cellStyle name="Normal 4 3 3 3 5" xfId="11065"/>
    <cellStyle name="Normal 4 3 3 3 5 2" xfId="14747"/>
    <cellStyle name="Normal 4 3 3 3 5 2 2" xfId="25890"/>
    <cellStyle name="Normal 4 3 3 3 5 3" xfId="20321"/>
    <cellStyle name="Normal 4 3 3 3 6" xfId="13317"/>
    <cellStyle name="Normal 4 3 3 3 6 2" xfId="24460"/>
    <cellStyle name="Normal 4 3 3 3 7" xfId="18891"/>
    <cellStyle name="Normal 4 3 3 3 8" xfId="6285"/>
    <cellStyle name="Normal 4 3 3 4" xfId="2425"/>
    <cellStyle name="Normal 4 3 3 4 2" xfId="3066"/>
    <cellStyle name="Normal 4 3 3 4 2 2" xfId="5175"/>
    <cellStyle name="Normal 4 3 3 4 2 2 2" xfId="17788"/>
    <cellStyle name="Normal 4 3 3 4 2 2 2 2" xfId="28931"/>
    <cellStyle name="Normal 4 3 3 4 2 2 3" xfId="23362"/>
    <cellStyle name="Normal 4 3 3 4 2 2 4" xfId="9326"/>
    <cellStyle name="Normal 4 3 3 4 2 3" xfId="10899"/>
    <cellStyle name="Normal 4 3 3 4 2 3 2" xfId="15719"/>
    <cellStyle name="Normal 4 3 3 4 2 3 2 2" xfId="26862"/>
    <cellStyle name="Normal 4 3 3 4 2 3 3" xfId="21293"/>
    <cellStyle name="Normal 4 3 3 4 2 4" xfId="14289"/>
    <cellStyle name="Normal 4 3 3 4 2 4 2" xfId="25432"/>
    <cellStyle name="Normal 4 3 3 4 2 5" xfId="19863"/>
    <cellStyle name="Normal 4 3 3 4 2 6" xfId="7257"/>
    <cellStyle name="Normal 4 3 3 4 3" xfId="3704"/>
    <cellStyle name="Normal 4 3 3 4 3 2" xfId="5813"/>
    <cellStyle name="Normal 4 3 3 4 3 2 2" xfId="18426"/>
    <cellStyle name="Normal 4 3 3 4 3 2 2 2" xfId="29569"/>
    <cellStyle name="Normal 4 3 3 4 3 2 3" xfId="24000"/>
    <cellStyle name="Normal 4 3 3 4 3 2 4" xfId="9964"/>
    <cellStyle name="Normal 4 3 3 4 3 3" xfId="16357"/>
    <cellStyle name="Normal 4 3 3 4 3 3 2" xfId="27500"/>
    <cellStyle name="Normal 4 3 3 4 3 4" xfId="21931"/>
    <cellStyle name="Normal 4 3 3 4 3 5" xfId="7895"/>
    <cellStyle name="Normal 4 3 3 4 4" xfId="4383"/>
    <cellStyle name="Normal 4 3 3 4 4 2" xfId="16996"/>
    <cellStyle name="Normal 4 3 3 4 4 2 2" xfId="28139"/>
    <cellStyle name="Normal 4 3 3 4 4 3" xfId="22570"/>
    <cellStyle name="Normal 4 3 3 4 4 4" xfId="8534"/>
    <cellStyle name="Normal 4 3 3 4 5" xfId="11026"/>
    <cellStyle name="Normal 4 3 3 4 5 2" xfId="15080"/>
    <cellStyle name="Normal 4 3 3 4 5 2 2" xfId="26223"/>
    <cellStyle name="Normal 4 3 3 4 5 3" xfId="20654"/>
    <cellStyle name="Normal 4 3 3 4 6" xfId="13650"/>
    <cellStyle name="Normal 4 3 3 4 6 2" xfId="24793"/>
    <cellStyle name="Normal 4 3 3 4 7" xfId="19224"/>
    <cellStyle name="Normal 4 3 3 4 8" xfId="6618"/>
    <cellStyle name="Normal 4 3 3 5" xfId="1888"/>
    <cellStyle name="Normal 4 3 3 5 2" xfId="4536"/>
    <cellStyle name="Normal 4 3 3 5 2 2" xfId="17149"/>
    <cellStyle name="Normal 4 3 3 5 2 2 2" xfId="28292"/>
    <cellStyle name="Normal 4 3 3 5 2 3" xfId="22723"/>
    <cellStyle name="Normal 4 3 3 5 2 4" xfId="8687"/>
    <cellStyle name="Normal 4 3 3 5 3" xfId="10366"/>
    <cellStyle name="Normal 4 3 3 5 3 2" xfId="14595"/>
    <cellStyle name="Normal 4 3 3 5 3 2 2" xfId="25738"/>
    <cellStyle name="Normal 4 3 3 5 3 3" xfId="20169"/>
    <cellStyle name="Normal 4 3 3 5 4" xfId="13165"/>
    <cellStyle name="Normal 4 3 3 5 4 2" xfId="24308"/>
    <cellStyle name="Normal 4 3 3 5 5" xfId="18739"/>
    <cellStyle name="Normal 4 3 3 5 6" xfId="6133"/>
    <cellStyle name="Normal 4 3 3 6" xfId="2581"/>
    <cellStyle name="Normal 4 3 3 6 2" xfId="4690"/>
    <cellStyle name="Normal 4 3 3 6 2 2" xfId="17303"/>
    <cellStyle name="Normal 4 3 3 6 2 2 2" xfId="28446"/>
    <cellStyle name="Normal 4 3 3 6 2 3" xfId="22877"/>
    <cellStyle name="Normal 4 3 3 6 2 4" xfId="8841"/>
    <cellStyle name="Normal 4 3 3 6 3" xfId="10511"/>
    <cellStyle name="Normal 4 3 3 6 3 2" xfId="15234"/>
    <cellStyle name="Normal 4 3 3 6 3 2 2" xfId="26377"/>
    <cellStyle name="Normal 4 3 3 6 3 3" xfId="20808"/>
    <cellStyle name="Normal 4 3 3 6 4" xfId="13804"/>
    <cellStyle name="Normal 4 3 3 6 4 2" xfId="24947"/>
    <cellStyle name="Normal 4 3 3 6 5" xfId="19378"/>
    <cellStyle name="Normal 4 3 3 6 6" xfId="6772"/>
    <cellStyle name="Normal 4 3 3 7" xfId="3219"/>
    <cellStyle name="Normal 4 3 3 7 2" xfId="5328"/>
    <cellStyle name="Normal 4 3 3 7 2 2" xfId="17941"/>
    <cellStyle name="Normal 4 3 3 7 2 2 2" xfId="29084"/>
    <cellStyle name="Normal 4 3 3 7 2 3" xfId="23515"/>
    <cellStyle name="Normal 4 3 3 7 2 4" xfId="9479"/>
    <cellStyle name="Normal 4 3 3 7 3" xfId="15872"/>
    <cellStyle name="Normal 4 3 3 7 3 2" xfId="27015"/>
    <cellStyle name="Normal 4 3 3 7 4" xfId="21446"/>
    <cellStyle name="Normal 4 3 3 7 5" xfId="7410"/>
    <cellStyle name="Normal 4 3 3 8" xfId="3898"/>
    <cellStyle name="Normal 4 3 3 8 2" xfId="16511"/>
    <cellStyle name="Normal 4 3 3 8 2 2" xfId="27654"/>
    <cellStyle name="Normal 4 3 3 8 3" xfId="22085"/>
    <cellStyle name="Normal 4 3 3 8 4" xfId="8049"/>
    <cellStyle name="Normal 4 3 3 9" xfId="10602"/>
    <cellStyle name="Normal 4 3 3 9 2" xfId="14442"/>
    <cellStyle name="Normal 4 3 3 9 2 2" xfId="25585"/>
    <cellStyle name="Normal 4 3 3 9 3" xfId="20016"/>
    <cellStyle name="Normal 4 3 4" xfId="2194"/>
    <cellStyle name="Normal 4 3 4 2" xfId="2838"/>
    <cellStyle name="Normal 4 3 4 2 2" xfId="4947"/>
    <cellStyle name="Normal 4 3 4 2 2 2" xfId="17560"/>
    <cellStyle name="Normal 4 3 4 2 2 2 2" xfId="28703"/>
    <cellStyle name="Normal 4 3 4 2 2 3" xfId="23134"/>
    <cellStyle name="Normal 4 3 4 2 2 4" xfId="9098"/>
    <cellStyle name="Normal 4 3 4 2 3" xfId="10599"/>
    <cellStyle name="Normal 4 3 4 2 3 2" xfId="15491"/>
    <cellStyle name="Normal 4 3 4 2 3 2 2" xfId="26634"/>
    <cellStyle name="Normal 4 3 4 2 3 3" xfId="21065"/>
    <cellStyle name="Normal 4 3 4 2 4" xfId="14061"/>
    <cellStyle name="Normal 4 3 4 2 4 2" xfId="25204"/>
    <cellStyle name="Normal 4 3 4 2 5" xfId="19635"/>
    <cellStyle name="Normal 4 3 4 2 6" xfId="7029"/>
    <cellStyle name="Normal 4 3 4 3" xfId="3476"/>
    <cellStyle name="Normal 4 3 4 3 2" xfId="5585"/>
    <cellStyle name="Normal 4 3 4 3 2 2" xfId="18198"/>
    <cellStyle name="Normal 4 3 4 3 2 2 2" xfId="29341"/>
    <cellStyle name="Normal 4 3 4 3 2 3" xfId="23772"/>
    <cellStyle name="Normal 4 3 4 3 2 4" xfId="9736"/>
    <cellStyle name="Normal 4 3 4 3 3" xfId="16129"/>
    <cellStyle name="Normal 4 3 4 3 3 2" xfId="27272"/>
    <cellStyle name="Normal 4 3 4 3 4" xfId="21703"/>
    <cellStyle name="Normal 4 3 4 3 5" xfId="7667"/>
    <cellStyle name="Normal 4 3 4 4" xfId="4155"/>
    <cellStyle name="Normal 4 3 4 4 2" xfId="16768"/>
    <cellStyle name="Normal 4 3 4 4 2 2" xfId="27911"/>
    <cellStyle name="Normal 4 3 4 4 3" xfId="22342"/>
    <cellStyle name="Normal 4 3 4 4 4" xfId="8306"/>
    <cellStyle name="Normal 4 3 4 5" xfId="10615"/>
    <cellStyle name="Normal 4 3 4 5 2" xfId="14852"/>
    <cellStyle name="Normal 4 3 4 5 2 2" xfId="25995"/>
    <cellStyle name="Normal 4 3 4 5 3" xfId="20426"/>
    <cellStyle name="Normal 4 3 4 6" xfId="13422"/>
    <cellStyle name="Normal 4 3 4 6 2" xfId="24565"/>
    <cellStyle name="Normal 4 3 4 7" xfId="18996"/>
    <cellStyle name="Normal 4 3 4 8" xfId="6390"/>
    <cellStyle name="Normal 4 3 5" xfId="2002"/>
    <cellStyle name="Normal 4 3 5 2" xfId="2657"/>
    <cellStyle name="Normal 4 3 5 2 2" xfId="4766"/>
    <cellStyle name="Normal 4 3 5 2 2 2" xfId="17379"/>
    <cellStyle name="Normal 4 3 5 2 2 2 2" xfId="28522"/>
    <cellStyle name="Normal 4 3 5 2 2 3" xfId="22953"/>
    <cellStyle name="Normal 4 3 5 2 2 4" xfId="8917"/>
    <cellStyle name="Normal 4 3 5 2 3" xfId="10064"/>
    <cellStyle name="Normal 4 3 5 2 3 2" xfId="15310"/>
    <cellStyle name="Normal 4 3 5 2 3 2 2" xfId="26453"/>
    <cellStyle name="Normal 4 3 5 2 3 3" xfId="20884"/>
    <cellStyle name="Normal 4 3 5 2 4" xfId="13880"/>
    <cellStyle name="Normal 4 3 5 2 4 2" xfId="25023"/>
    <cellStyle name="Normal 4 3 5 2 5" xfId="19454"/>
    <cellStyle name="Normal 4 3 5 2 6" xfId="6848"/>
    <cellStyle name="Normal 4 3 5 3" xfId="3295"/>
    <cellStyle name="Normal 4 3 5 3 2" xfId="5404"/>
    <cellStyle name="Normal 4 3 5 3 2 2" xfId="18017"/>
    <cellStyle name="Normal 4 3 5 3 2 2 2" xfId="29160"/>
    <cellStyle name="Normal 4 3 5 3 2 3" xfId="23591"/>
    <cellStyle name="Normal 4 3 5 3 2 4" xfId="9555"/>
    <cellStyle name="Normal 4 3 5 3 3" xfId="15948"/>
    <cellStyle name="Normal 4 3 5 3 3 2" xfId="27091"/>
    <cellStyle name="Normal 4 3 5 3 4" xfId="21522"/>
    <cellStyle name="Normal 4 3 5 3 5" xfId="7486"/>
    <cellStyle name="Normal 4 3 5 4" xfId="3974"/>
    <cellStyle name="Normal 4 3 5 4 2" xfId="16587"/>
    <cellStyle name="Normal 4 3 5 4 2 2" xfId="27730"/>
    <cellStyle name="Normal 4 3 5 4 3" xfId="22161"/>
    <cellStyle name="Normal 4 3 5 4 4" xfId="8125"/>
    <cellStyle name="Normal 4 3 5 5" xfId="10503"/>
    <cellStyle name="Normal 4 3 5 5 2" xfId="14671"/>
    <cellStyle name="Normal 4 3 5 5 2 2" xfId="25814"/>
    <cellStyle name="Normal 4 3 5 5 3" xfId="20245"/>
    <cellStyle name="Normal 4 3 5 6" xfId="13241"/>
    <cellStyle name="Normal 4 3 5 6 2" xfId="24384"/>
    <cellStyle name="Normal 4 3 5 7" xfId="18815"/>
    <cellStyle name="Normal 4 3 5 8" xfId="6209"/>
    <cellStyle name="Normal 4 3 6" xfId="2349"/>
    <cellStyle name="Normal 4 3 6 2" xfId="2990"/>
    <cellStyle name="Normal 4 3 6 2 2" xfId="5099"/>
    <cellStyle name="Normal 4 3 6 2 2 2" xfId="17712"/>
    <cellStyle name="Normal 4 3 6 2 2 2 2" xfId="28855"/>
    <cellStyle name="Normal 4 3 6 2 2 3" xfId="23286"/>
    <cellStyle name="Normal 4 3 6 2 2 4" xfId="9250"/>
    <cellStyle name="Normal 4 3 6 2 3" xfId="10283"/>
    <cellStyle name="Normal 4 3 6 2 3 2" xfId="15643"/>
    <cellStyle name="Normal 4 3 6 2 3 2 2" xfId="26786"/>
    <cellStyle name="Normal 4 3 6 2 3 3" xfId="21217"/>
    <cellStyle name="Normal 4 3 6 2 4" xfId="14213"/>
    <cellStyle name="Normal 4 3 6 2 4 2" xfId="25356"/>
    <cellStyle name="Normal 4 3 6 2 5" xfId="19787"/>
    <cellStyle name="Normal 4 3 6 2 6" xfId="7181"/>
    <cellStyle name="Normal 4 3 6 3" xfId="3628"/>
    <cellStyle name="Normal 4 3 6 3 2" xfId="5737"/>
    <cellStyle name="Normal 4 3 6 3 2 2" xfId="18350"/>
    <cellStyle name="Normal 4 3 6 3 2 2 2" xfId="29493"/>
    <cellStyle name="Normal 4 3 6 3 2 3" xfId="23924"/>
    <cellStyle name="Normal 4 3 6 3 2 4" xfId="9888"/>
    <cellStyle name="Normal 4 3 6 3 3" xfId="16281"/>
    <cellStyle name="Normal 4 3 6 3 3 2" xfId="27424"/>
    <cellStyle name="Normal 4 3 6 3 4" xfId="21855"/>
    <cellStyle name="Normal 4 3 6 3 5" xfId="7819"/>
    <cellStyle name="Normal 4 3 6 4" xfId="4307"/>
    <cellStyle name="Normal 4 3 6 4 2" xfId="16920"/>
    <cellStyle name="Normal 4 3 6 4 2 2" xfId="28063"/>
    <cellStyle name="Normal 4 3 6 4 3" xfId="22494"/>
    <cellStyle name="Normal 4 3 6 4 4" xfId="8458"/>
    <cellStyle name="Normal 4 3 6 5" xfId="11133"/>
    <cellStyle name="Normal 4 3 6 5 2" xfId="15004"/>
    <cellStyle name="Normal 4 3 6 5 2 2" xfId="26147"/>
    <cellStyle name="Normal 4 3 6 5 3" xfId="20578"/>
    <cellStyle name="Normal 4 3 6 6" xfId="13574"/>
    <cellStyle name="Normal 4 3 6 6 2" xfId="24717"/>
    <cellStyle name="Normal 4 3 6 7" xfId="19148"/>
    <cellStyle name="Normal 4 3 6 8" xfId="6542"/>
    <cellStyle name="Normal 4 3 7" xfId="1812"/>
    <cellStyle name="Normal 4 3 7 2" xfId="4460"/>
    <cellStyle name="Normal 4 3 7 2 2" xfId="17073"/>
    <cellStyle name="Normal 4 3 7 2 2 2" xfId="28216"/>
    <cellStyle name="Normal 4 3 7 2 3" xfId="22647"/>
    <cellStyle name="Normal 4 3 7 2 4" xfId="8611"/>
    <cellStyle name="Normal 4 3 7 3" xfId="10105"/>
    <cellStyle name="Normal 4 3 7 3 2" xfId="14519"/>
    <cellStyle name="Normal 4 3 7 3 2 2" xfId="25662"/>
    <cellStyle name="Normal 4 3 7 3 3" xfId="20093"/>
    <cellStyle name="Normal 4 3 7 4" xfId="13089"/>
    <cellStyle name="Normal 4 3 7 4 2" xfId="24232"/>
    <cellStyle name="Normal 4 3 7 5" xfId="18663"/>
    <cellStyle name="Normal 4 3 7 6" xfId="6057"/>
    <cellStyle name="Normal 4 3 8" xfId="2505"/>
    <cellStyle name="Normal 4 3 8 2" xfId="4614"/>
    <cellStyle name="Normal 4 3 8 2 2" xfId="17227"/>
    <cellStyle name="Normal 4 3 8 2 2 2" xfId="28370"/>
    <cellStyle name="Normal 4 3 8 2 3" xfId="22801"/>
    <cellStyle name="Normal 4 3 8 2 4" xfId="8765"/>
    <cellStyle name="Normal 4 3 8 3" xfId="11414"/>
    <cellStyle name="Normal 4 3 8 3 2" xfId="15158"/>
    <cellStyle name="Normal 4 3 8 3 2 2" xfId="26301"/>
    <cellStyle name="Normal 4 3 8 3 3" xfId="20732"/>
    <cellStyle name="Normal 4 3 8 4" xfId="13728"/>
    <cellStyle name="Normal 4 3 8 4 2" xfId="24871"/>
    <cellStyle name="Normal 4 3 8 5" xfId="19302"/>
    <cellStyle name="Normal 4 3 8 6" xfId="6696"/>
    <cellStyle name="Normal 4 3 9" xfId="3143"/>
    <cellStyle name="Normal 4 3 9 2" xfId="5252"/>
    <cellStyle name="Normal 4 3 9 2 2" xfId="17865"/>
    <cellStyle name="Normal 4 3 9 2 2 2" xfId="29008"/>
    <cellStyle name="Normal 4 3 9 2 3" xfId="23439"/>
    <cellStyle name="Normal 4 3 9 2 4" xfId="9403"/>
    <cellStyle name="Normal 4 3 9 3" xfId="15796"/>
    <cellStyle name="Normal 4 3 9 3 2" xfId="26939"/>
    <cellStyle name="Normal 4 3 9 4" xfId="21370"/>
    <cellStyle name="Normal 4 3 9 5" xfId="7334"/>
    <cellStyle name="Normal 4 4" xfId="255"/>
    <cellStyle name="Normal 4 4 10" xfId="10074"/>
    <cellStyle name="Normal 4 4 10 2" xfId="14385"/>
    <cellStyle name="Normal 4 4 10 2 2" xfId="25528"/>
    <cellStyle name="Normal 4 4 10 3" xfId="19959"/>
    <cellStyle name="Normal 4 4 11" xfId="12954"/>
    <cellStyle name="Normal 4 4 11 2" xfId="24098"/>
    <cellStyle name="Normal 4 4 12" xfId="18529"/>
    <cellStyle name="Normal 4 4 13" xfId="5922"/>
    <cellStyle name="Normal 4 4 2" xfId="331"/>
    <cellStyle name="Normal 4 4 2 10" xfId="13030"/>
    <cellStyle name="Normal 4 4 2 10 2" xfId="24174"/>
    <cellStyle name="Normal 4 4 2 11" xfId="18605"/>
    <cellStyle name="Normal 4 4 2 12" xfId="5998"/>
    <cellStyle name="Normal 4 4 2 2" xfId="2289"/>
    <cellStyle name="Normal 4 4 2 2 2" xfId="2933"/>
    <cellStyle name="Normal 4 4 2 2 2 2" xfId="5042"/>
    <cellStyle name="Normal 4 4 2 2 2 2 2" xfId="17655"/>
    <cellStyle name="Normal 4 4 2 2 2 2 2 2" xfId="28798"/>
    <cellStyle name="Normal 4 4 2 2 2 2 3" xfId="23229"/>
    <cellStyle name="Normal 4 4 2 2 2 2 4" xfId="9193"/>
    <cellStyle name="Normal 4 4 2 2 2 3" xfId="10535"/>
    <cellStyle name="Normal 4 4 2 2 2 3 2" xfId="15586"/>
    <cellStyle name="Normal 4 4 2 2 2 3 2 2" xfId="26729"/>
    <cellStyle name="Normal 4 4 2 2 2 3 3" xfId="21160"/>
    <cellStyle name="Normal 4 4 2 2 2 4" xfId="14156"/>
    <cellStyle name="Normal 4 4 2 2 2 4 2" xfId="25299"/>
    <cellStyle name="Normal 4 4 2 2 2 5" xfId="19730"/>
    <cellStyle name="Normal 4 4 2 2 2 6" xfId="7124"/>
    <cellStyle name="Normal 4 4 2 2 3" xfId="3571"/>
    <cellStyle name="Normal 4 4 2 2 3 2" xfId="5680"/>
    <cellStyle name="Normal 4 4 2 2 3 2 2" xfId="18293"/>
    <cellStyle name="Normal 4 4 2 2 3 2 2 2" xfId="29436"/>
    <cellStyle name="Normal 4 4 2 2 3 2 3" xfId="23867"/>
    <cellStyle name="Normal 4 4 2 2 3 2 4" xfId="9831"/>
    <cellStyle name="Normal 4 4 2 2 3 3" xfId="16224"/>
    <cellStyle name="Normal 4 4 2 2 3 3 2" xfId="27367"/>
    <cellStyle name="Normal 4 4 2 2 3 4" xfId="21798"/>
    <cellStyle name="Normal 4 4 2 2 3 5" xfId="7762"/>
    <cellStyle name="Normal 4 4 2 2 4" xfId="4250"/>
    <cellStyle name="Normal 4 4 2 2 4 2" xfId="16863"/>
    <cellStyle name="Normal 4 4 2 2 4 2 2" xfId="28006"/>
    <cellStyle name="Normal 4 4 2 2 4 3" xfId="22437"/>
    <cellStyle name="Normal 4 4 2 2 4 4" xfId="8401"/>
    <cellStyle name="Normal 4 4 2 2 5" xfId="10569"/>
    <cellStyle name="Normal 4 4 2 2 5 2" xfId="14947"/>
    <cellStyle name="Normal 4 4 2 2 5 2 2" xfId="26090"/>
    <cellStyle name="Normal 4 4 2 2 5 3" xfId="20521"/>
    <cellStyle name="Normal 4 4 2 2 6" xfId="13517"/>
    <cellStyle name="Normal 4 4 2 2 6 2" xfId="24660"/>
    <cellStyle name="Normal 4 4 2 2 7" xfId="19091"/>
    <cellStyle name="Normal 4 4 2 2 8" xfId="6485"/>
    <cellStyle name="Normal 4 4 2 3" xfId="2097"/>
    <cellStyle name="Normal 4 4 2 3 2" xfId="2752"/>
    <cellStyle name="Normal 4 4 2 3 2 2" xfId="4861"/>
    <cellStyle name="Normal 4 4 2 3 2 2 2" xfId="17474"/>
    <cellStyle name="Normal 4 4 2 3 2 2 2 2" xfId="28617"/>
    <cellStyle name="Normal 4 4 2 3 2 2 3" xfId="23048"/>
    <cellStyle name="Normal 4 4 2 3 2 2 4" xfId="9012"/>
    <cellStyle name="Normal 4 4 2 3 2 3" xfId="10076"/>
    <cellStyle name="Normal 4 4 2 3 2 3 2" xfId="15405"/>
    <cellStyle name="Normal 4 4 2 3 2 3 2 2" xfId="26548"/>
    <cellStyle name="Normal 4 4 2 3 2 3 3" xfId="20979"/>
    <cellStyle name="Normal 4 4 2 3 2 4" xfId="13975"/>
    <cellStyle name="Normal 4 4 2 3 2 4 2" xfId="25118"/>
    <cellStyle name="Normal 4 4 2 3 2 5" xfId="19549"/>
    <cellStyle name="Normal 4 4 2 3 2 6" xfId="6943"/>
    <cellStyle name="Normal 4 4 2 3 3" xfId="3390"/>
    <cellStyle name="Normal 4 4 2 3 3 2" xfId="5499"/>
    <cellStyle name="Normal 4 4 2 3 3 2 2" xfId="18112"/>
    <cellStyle name="Normal 4 4 2 3 3 2 2 2" xfId="29255"/>
    <cellStyle name="Normal 4 4 2 3 3 2 3" xfId="23686"/>
    <cellStyle name="Normal 4 4 2 3 3 2 4" xfId="9650"/>
    <cellStyle name="Normal 4 4 2 3 3 3" xfId="16043"/>
    <cellStyle name="Normal 4 4 2 3 3 3 2" xfId="27186"/>
    <cellStyle name="Normal 4 4 2 3 3 4" xfId="21617"/>
    <cellStyle name="Normal 4 4 2 3 3 5" xfId="7581"/>
    <cellStyle name="Normal 4 4 2 3 4" xfId="4069"/>
    <cellStyle name="Normal 4 4 2 3 4 2" xfId="16682"/>
    <cellStyle name="Normal 4 4 2 3 4 2 2" xfId="27825"/>
    <cellStyle name="Normal 4 4 2 3 4 3" xfId="22256"/>
    <cellStyle name="Normal 4 4 2 3 4 4" xfId="8220"/>
    <cellStyle name="Normal 4 4 2 3 5" xfId="10432"/>
    <cellStyle name="Normal 4 4 2 3 5 2" xfId="14766"/>
    <cellStyle name="Normal 4 4 2 3 5 2 2" xfId="25909"/>
    <cellStyle name="Normal 4 4 2 3 5 3" xfId="20340"/>
    <cellStyle name="Normal 4 4 2 3 6" xfId="13336"/>
    <cellStyle name="Normal 4 4 2 3 6 2" xfId="24479"/>
    <cellStyle name="Normal 4 4 2 3 7" xfId="18910"/>
    <cellStyle name="Normal 4 4 2 3 8" xfId="6304"/>
    <cellStyle name="Normal 4 4 2 4" xfId="2444"/>
    <cellStyle name="Normal 4 4 2 4 2" xfId="3085"/>
    <cellStyle name="Normal 4 4 2 4 2 2" xfId="5194"/>
    <cellStyle name="Normal 4 4 2 4 2 2 2" xfId="17807"/>
    <cellStyle name="Normal 4 4 2 4 2 2 2 2" xfId="28950"/>
    <cellStyle name="Normal 4 4 2 4 2 2 3" xfId="23381"/>
    <cellStyle name="Normal 4 4 2 4 2 2 4" xfId="9345"/>
    <cellStyle name="Normal 4 4 2 4 2 3" xfId="10102"/>
    <cellStyle name="Normal 4 4 2 4 2 3 2" xfId="15738"/>
    <cellStyle name="Normal 4 4 2 4 2 3 2 2" xfId="26881"/>
    <cellStyle name="Normal 4 4 2 4 2 3 3" xfId="21312"/>
    <cellStyle name="Normal 4 4 2 4 2 4" xfId="14308"/>
    <cellStyle name="Normal 4 4 2 4 2 4 2" xfId="25451"/>
    <cellStyle name="Normal 4 4 2 4 2 5" xfId="19882"/>
    <cellStyle name="Normal 4 4 2 4 2 6" xfId="7276"/>
    <cellStyle name="Normal 4 4 2 4 3" xfId="3723"/>
    <cellStyle name="Normal 4 4 2 4 3 2" xfId="5832"/>
    <cellStyle name="Normal 4 4 2 4 3 2 2" xfId="18445"/>
    <cellStyle name="Normal 4 4 2 4 3 2 2 2" xfId="29588"/>
    <cellStyle name="Normal 4 4 2 4 3 2 3" xfId="24019"/>
    <cellStyle name="Normal 4 4 2 4 3 2 4" xfId="9983"/>
    <cellStyle name="Normal 4 4 2 4 3 3" xfId="16376"/>
    <cellStyle name="Normal 4 4 2 4 3 3 2" xfId="27519"/>
    <cellStyle name="Normal 4 4 2 4 3 4" xfId="21950"/>
    <cellStyle name="Normal 4 4 2 4 3 5" xfId="7914"/>
    <cellStyle name="Normal 4 4 2 4 4" xfId="4402"/>
    <cellStyle name="Normal 4 4 2 4 4 2" xfId="17015"/>
    <cellStyle name="Normal 4 4 2 4 4 2 2" xfId="28158"/>
    <cellStyle name="Normal 4 4 2 4 4 3" xfId="22589"/>
    <cellStyle name="Normal 4 4 2 4 4 4" xfId="8553"/>
    <cellStyle name="Normal 4 4 2 4 5" xfId="10143"/>
    <cellStyle name="Normal 4 4 2 4 5 2" xfId="15099"/>
    <cellStyle name="Normal 4 4 2 4 5 2 2" xfId="26242"/>
    <cellStyle name="Normal 4 4 2 4 5 3" xfId="20673"/>
    <cellStyle name="Normal 4 4 2 4 6" xfId="13669"/>
    <cellStyle name="Normal 4 4 2 4 6 2" xfId="24812"/>
    <cellStyle name="Normal 4 4 2 4 7" xfId="19243"/>
    <cellStyle name="Normal 4 4 2 4 8" xfId="6637"/>
    <cellStyle name="Normal 4 4 2 5" xfId="1907"/>
    <cellStyle name="Normal 4 4 2 5 2" xfId="4555"/>
    <cellStyle name="Normal 4 4 2 5 2 2" xfId="17168"/>
    <cellStyle name="Normal 4 4 2 5 2 2 2" xfId="28311"/>
    <cellStyle name="Normal 4 4 2 5 2 3" xfId="22742"/>
    <cellStyle name="Normal 4 4 2 5 2 4" xfId="8706"/>
    <cellStyle name="Normal 4 4 2 5 3" xfId="11198"/>
    <cellStyle name="Normal 4 4 2 5 3 2" xfId="14614"/>
    <cellStyle name="Normal 4 4 2 5 3 2 2" xfId="25757"/>
    <cellStyle name="Normal 4 4 2 5 3 3" xfId="20188"/>
    <cellStyle name="Normal 4 4 2 5 4" xfId="13184"/>
    <cellStyle name="Normal 4 4 2 5 4 2" xfId="24327"/>
    <cellStyle name="Normal 4 4 2 5 5" xfId="18758"/>
    <cellStyle name="Normal 4 4 2 5 6" xfId="6152"/>
    <cellStyle name="Normal 4 4 2 6" xfId="2600"/>
    <cellStyle name="Normal 4 4 2 6 2" xfId="4709"/>
    <cellStyle name="Normal 4 4 2 6 2 2" xfId="17322"/>
    <cellStyle name="Normal 4 4 2 6 2 2 2" xfId="28465"/>
    <cellStyle name="Normal 4 4 2 6 2 3" xfId="22896"/>
    <cellStyle name="Normal 4 4 2 6 2 4" xfId="8860"/>
    <cellStyle name="Normal 4 4 2 6 3" xfId="10355"/>
    <cellStyle name="Normal 4 4 2 6 3 2" xfId="15253"/>
    <cellStyle name="Normal 4 4 2 6 3 2 2" xfId="26396"/>
    <cellStyle name="Normal 4 4 2 6 3 3" xfId="20827"/>
    <cellStyle name="Normal 4 4 2 6 4" xfId="13823"/>
    <cellStyle name="Normal 4 4 2 6 4 2" xfId="24966"/>
    <cellStyle name="Normal 4 4 2 6 5" xfId="19397"/>
    <cellStyle name="Normal 4 4 2 6 6" xfId="6791"/>
    <cellStyle name="Normal 4 4 2 7" xfId="3238"/>
    <cellStyle name="Normal 4 4 2 7 2" xfId="5347"/>
    <cellStyle name="Normal 4 4 2 7 2 2" xfId="17960"/>
    <cellStyle name="Normal 4 4 2 7 2 2 2" xfId="29103"/>
    <cellStyle name="Normal 4 4 2 7 2 3" xfId="23534"/>
    <cellStyle name="Normal 4 4 2 7 2 4" xfId="9498"/>
    <cellStyle name="Normal 4 4 2 7 3" xfId="15891"/>
    <cellStyle name="Normal 4 4 2 7 3 2" xfId="27034"/>
    <cellStyle name="Normal 4 4 2 7 4" xfId="21465"/>
    <cellStyle name="Normal 4 4 2 7 5" xfId="7429"/>
    <cellStyle name="Normal 4 4 2 8" xfId="3917"/>
    <cellStyle name="Normal 4 4 2 8 2" xfId="16530"/>
    <cellStyle name="Normal 4 4 2 8 2 2" xfId="27673"/>
    <cellStyle name="Normal 4 4 2 8 3" xfId="22104"/>
    <cellStyle name="Normal 4 4 2 8 4" xfId="8068"/>
    <cellStyle name="Normal 4 4 2 9" xfId="5867"/>
    <cellStyle name="Normal 4 4 2 9 2" xfId="14461"/>
    <cellStyle name="Normal 4 4 2 9 2 2" xfId="25604"/>
    <cellStyle name="Normal 4 4 2 9 3" xfId="20035"/>
    <cellStyle name="Normal 4 4 3" xfId="2213"/>
    <cellStyle name="Normal 4 4 3 2" xfId="2857"/>
    <cellStyle name="Normal 4 4 3 2 2" xfId="4966"/>
    <cellStyle name="Normal 4 4 3 2 2 2" xfId="17579"/>
    <cellStyle name="Normal 4 4 3 2 2 2 2" xfId="28722"/>
    <cellStyle name="Normal 4 4 3 2 2 3" xfId="23153"/>
    <cellStyle name="Normal 4 4 3 2 2 4" xfId="9117"/>
    <cellStyle name="Normal 4 4 3 2 3" xfId="11113"/>
    <cellStyle name="Normal 4 4 3 2 3 2" xfId="15510"/>
    <cellStyle name="Normal 4 4 3 2 3 2 2" xfId="26653"/>
    <cellStyle name="Normal 4 4 3 2 3 3" xfId="21084"/>
    <cellStyle name="Normal 4 4 3 2 4" xfId="14080"/>
    <cellStyle name="Normal 4 4 3 2 4 2" xfId="25223"/>
    <cellStyle name="Normal 4 4 3 2 5" xfId="19654"/>
    <cellStyle name="Normal 4 4 3 2 6" xfId="7048"/>
    <cellStyle name="Normal 4 4 3 3" xfId="3495"/>
    <cellStyle name="Normal 4 4 3 3 2" xfId="5604"/>
    <cellStyle name="Normal 4 4 3 3 2 2" xfId="18217"/>
    <cellStyle name="Normal 4 4 3 3 2 2 2" xfId="29360"/>
    <cellStyle name="Normal 4 4 3 3 2 3" xfId="23791"/>
    <cellStyle name="Normal 4 4 3 3 2 4" xfId="9755"/>
    <cellStyle name="Normal 4 4 3 3 3" xfId="16148"/>
    <cellStyle name="Normal 4 4 3 3 3 2" xfId="27291"/>
    <cellStyle name="Normal 4 4 3 3 4" xfId="21722"/>
    <cellStyle name="Normal 4 4 3 3 5" xfId="7686"/>
    <cellStyle name="Normal 4 4 3 4" xfId="4174"/>
    <cellStyle name="Normal 4 4 3 4 2" xfId="16787"/>
    <cellStyle name="Normal 4 4 3 4 2 2" xfId="27930"/>
    <cellStyle name="Normal 4 4 3 4 3" xfId="22361"/>
    <cellStyle name="Normal 4 4 3 4 4" xfId="8325"/>
    <cellStyle name="Normal 4 4 3 5" xfId="10204"/>
    <cellStyle name="Normal 4 4 3 5 2" xfId="14871"/>
    <cellStyle name="Normal 4 4 3 5 2 2" xfId="26014"/>
    <cellStyle name="Normal 4 4 3 5 3" xfId="20445"/>
    <cellStyle name="Normal 4 4 3 6" xfId="13441"/>
    <cellStyle name="Normal 4 4 3 6 2" xfId="24584"/>
    <cellStyle name="Normal 4 4 3 7" xfId="19015"/>
    <cellStyle name="Normal 4 4 3 8" xfId="6409"/>
    <cellStyle name="Normal 4 4 4" xfId="2021"/>
    <cellStyle name="Normal 4 4 4 2" xfId="2676"/>
    <cellStyle name="Normal 4 4 4 2 2" xfId="4785"/>
    <cellStyle name="Normal 4 4 4 2 2 2" xfId="17398"/>
    <cellStyle name="Normal 4 4 4 2 2 2 2" xfId="28541"/>
    <cellStyle name="Normal 4 4 4 2 2 3" xfId="22972"/>
    <cellStyle name="Normal 4 4 4 2 2 4" xfId="8936"/>
    <cellStyle name="Normal 4 4 4 2 3" xfId="10430"/>
    <cellStyle name="Normal 4 4 4 2 3 2" xfId="15329"/>
    <cellStyle name="Normal 4 4 4 2 3 2 2" xfId="26472"/>
    <cellStyle name="Normal 4 4 4 2 3 3" xfId="20903"/>
    <cellStyle name="Normal 4 4 4 2 4" xfId="13899"/>
    <cellStyle name="Normal 4 4 4 2 4 2" xfId="25042"/>
    <cellStyle name="Normal 4 4 4 2 5" xfId="19473"/>
    <cellStyle name="Normal 4 4 4 2 6" xfId="6867"/>
    <cellStyle name="Normal 4 4 4 3" xfId="3314"/>
    <cellStyle name="Normal 4 4 4 3 2" xfId="5423"/>
    <cellStyle name="Normal 4 4 4 3 2 2" xfId="18036"/>
    <cellStyle name="Normal 4 4 4 3 2 2 2" xfId="29179"/>
    <cellStyle name="Normal 4 4 4 3 2 3" xfId="23610"/>
    <cellStyle name="Normal 4 4 4 3 2 4" xfId="9574"/>
    <cellStyle name="Normal 4 4 4 3 3" xfId="15967"/>
    <cellStyle name="Normal 4 4 4 3 3 2" xfId="27110"/>
    <cellStyle name="Normal 4 4 4 3 4" xfId="21541"/>
    <cellStyle name="Normal 4 4 4 3 5" xfId="7505"/>
    <cellStyle name="Normal 4 4 4 4" xfId="3993"/>
    <cellStyle name="Normal 4 4 4 4 2" xfId="16606"/>
    <cellStyle name="Normal 4 4 4 4 2 2" xfId="27749"/>
    <cellStyle name="Normal 4 4 4 4 3" xfId="22180"/>
    <cellStyle name="Normal 4 4 4 4 4" xfId="8144"/>
    <cellStyle name="Normal 4 4 4 5" xfId="10830"/>
    <cellStyle name="Normal 4 4 4 5 2" xfId="14690"/>
    <cellStyle name="Normal 4 4 4 5 2 2" xfId="25833"/>
    <cellStyle name="Normal 4 4 4 5 3" xfId="20264"/>
    <cellStyle name="Normal 4 4 4 6" xfId="13260"/>
    <cellStyle name="Normal 4 4 4 6 2" xfId="24403"/>
    <cellStyle name="Normal 4 4 4 7" xfId="18834"/>
    <cellStyle name="Normal 4 4 4 8" xfId="6228"/>
    <cellStyle name="Normal 4 4 5" xfId="2368"/>
    <cellStyle name="Normal 4 4 5 2" xfId="3009"/>
    <cellStyle name="Normal 4 4 5 2 2" xfId="5118"/>
    <cellStyle name="Normal 4 4 5 2 2 2" xfId="17731"/>
    <cellStyle name="Normal 4 4 5 2 2 2 2" xfId="28874"/>
    <cellStyle name="Normal 4 4 5 2 2 3" xfId="23305"/>
    <cellStyle name="Normal 4 4 5 2 2 4" xfId="9269"/>
    <cellStyle name="Normal 4 4 5 2 3" xfId="10274"/>
    <cellStyle name="Normal 4 4 5 2 3 2" xfId="15662"/>
    <cellStyle name="Normal 4 4 5 2 3 2 2" xfId="26805"/>
    <cellStyle name="Normal 4 4 5 2 3 3" xfId="21236"/>
    <cellStyle name="Normal 4 4 5 2 4" xfId="14232"/>
    <cellStyle name="Normal 4 4 5 2 4 2" xfId="25375"/>
    <cellStyle name="Normal 4 4 5 2 5" xfId="19806"/>
    <cellStyle name="Normal 4 4 5 2 6" xfId="7200"/>
    <cellStyle name="Normal 4 4 5 3" xfId="3647"/>
    <cellStyle name="Normal 4 4 5 3 2" xfId="5756"/>
    <cellStyle name="Normal 4 4 5 3 2 2" xfId="18369"/>
    <cellStyle name="Normal 4 4 5 3 2 2 2" xfId="29512"/>
    <cellStyle name="Normal 4 4 5 3 2 3" xfId="23943"/>
    <cellStyle name="Normal 4 4 5 3 2 4" xfId="9907"/>
    <cellStyle name="Normal 4 4 5 3 3" xfId="16300"/>
    <cellStyle name="Normal 4 4 5 3 3 2" xfId="27443"/>
    <cellStyle name="Normal 4 4 5 3 4" xfId="21874"/>
    <cellStyle name="Normal 4 4 5 3 5" xfId="7838"/>
    <cellStyle name="Normal 4 4 5 4" xfId="4326"/>
    <cellStyle name="Normal 4 4 5 4 2" xfId="16939"/>
    <cellStyle name="Normal 4 4 5 4 2 2" xfId="28082"/>
    <cellStyle name="Normal 4 4 5 4 3" xfId="22513"/>
    <cellStyle name="Normal 4 4 5 4 4" xfId="8477"/>
    <cellStyle name="Normal 4 4 5 5" xfId="10989"/>
    <cellStyle name="Normal 4 4 5 5 2" xfId="15023"/>
    <cellStyle name="Normal 4 4 5 5 2 2" xfId="26166"/>
    <cellStyle name="Normal 4 4 5 5 3" xfId="20597"/>
    <cellStyle name="Normal 4 4 5 6" xfId="13593"/>
    <cellStyle name="Normal 4 4 5 6 2" xfId="24736"/>
    <cellStyle name="Normal 4 4 5 7" xfId="19167"/>
    <cellStyle name="Normal 4 4 5 8" xfId="6561"/>
    <cellStyle name="Normal 4 4 6" xfId="1831"/>
    <cellStyle name="Normal 4 4 6 2" xfId="4479"/>
    <cellStyle name="Normal 4 4 6 2 2" xfId="17092"/>
    <cellStyle name="Normal 4 4 6 2 2 2" xfId="28235"/>
    <cellStyle name="Normal 4 4 6 2 3" xfId="22666"/>
    <cellStyle name="Normal 4 4 6 2 4" xfId="8630"/>
    <cellStyle name="Normal 4 4 6 3" xfId="11249"/>
    <cellStyle name="Normal 4 4 6 3 2" xfId="14538"/>
    <cellStyle name="Normal 4 4 6 3 2 2" xfId="25681"/>
    <cellStyle name="Normal 4 4 6 3 3" xfId="20112"/>
    <cellStyle name="Normal 4 4 6 4" xfId="13108"/>
    <cellStyle name="Normal 4 4 6 4 2" xfId="24251"/>
    <cellStyle name="Normal 4 4 6 5" xfId="18682"/>
    <cellStyle name="Normal 4 4 6 6" xfId="6076"/>
    <cellStyle name="Normal 4 4 7" xfId="2524"/>
    <cellStyle name="Normal 4 4 7 2" xfId="4633"/>
    <cellStyle name="Normal 4 4 7 2 2" xfId="17246"/>
    <cellStyle name="Normal 4 4 7 2 2 2" xfId="28389"/>
    <cellStyle name="Normal 4 4 7 2 3" xfId="22820"/>
    <cellStyle name="Normal 4 4 7 2 4" xfId="8784"/>
    <cellStyle name="Normal 4 4 7 3" xfId="10791"/>
    <cellStyle name="Normal 4 4 7 3 2" xfId="15177"/>
    <cellStyle name="Normal 4 4 7 3 2 2" xfId="26320"/>
    <cellStyle name="Normal 4 4 7 3 3" xfId="20751"/>
    <cellStyle name="Normal 4 4 7 4" xfId="13747"/>
    <cellStyle name="Normal 4 4 7 4 2" xfId="24890"/>
    <cellStyle name="Normal 4 4 7 5" xfId="19321"/>
    <cellStyle name="Normal 4 4 7 6" xfId="6715"/>
    <cellStyle name="Normal 4 4 8" xfId="3162"/>
    <cellStyle name="Normal 4 4 8 2" xfId="5271"/>
    <cellStyle name="Normal 4 4 8 2 2" xfId="17884"/>
    <cellStyle name="Normal 4 4 8 2 2 2" xfId="29027"/>
    <cellStyle name="Normal 4 4 8 2 3" xfId="23458"/>
    <cellStyle name="Normal 4 4 8 2 4" xfId="9422"/>
    <cellStyle name="Normal 4 4 8 3" xfId="15815"/>
    <cellStyle name="Normal 4 4 8 3 2" xfId="26958"/>
    <cellStyle name="Normal 4 4 8 4" xfId="21389"/>
    <cellStyle name="Normal 4 4 8 5" xfId="7353"/>
    <cellStyle name="Normal 4 4 9" xfId="3841"/>
    <cellStyle name="Normal 4 4 9 2" xfId="16454"/>
    <cellStyle name="Normal 4 4 9 2 2" xfId="27597"/>
    <cellStyle name="Normal 4 4 9 3" xfId="22028"/>
    <cellStyle name="Normal 4 4 9 4" xfId="7992"/>
    <cellStyle name="Normal 4 5" xfId="293"/>
    <cellStyle name="Normal 4 5 10" xfId="12992"/>
    <cellStyle name="Normal 4 5 10 2" xfId="24136"/>
    <cellStyle name="Normal 4 5 11" xfId="18567"/>
    <cellStyle name="Normal 4 5 12" xfId="5960"/>
    <cellStyle name="Normal 4 5 2" xfId="2251"/>
    <cellStyle name="Normal 4 5 2 2" xfId="2895"/>
    <cellStyle name="Normal 4 5 2 2 2" xfId="5004"/>
    <cellStyle name="Normal 4 5 2 2 2 2" xfId="17617"/>
    <cellStyle name="Normal 4 5 2 2 2 2 2" xfId="28760"/>
    <cellStyle name="Normal 4 5 2 2 2 3" xfId="23191"/>
    <cellStyle name="Normal 4 5 2 2 2 4" xfId="9155"/>
    <cellStyle name="Normal 4 5 2 2 3" xfId="11007"/>
    <cellStyle name="Normal 4 5 2 2 3 2" xfId="15548"/>
    <cellStyle name="Normal 4 5 2 2 3 2 2" xfId="26691"/>
    <cellStyle name="Normal 4 5 2 2 3 3" xfId="21122"/>
    <cellStyle name="Normal 4 5 2 2 4" xfId="14118"/>
    <cellStyle name="Normal 4 5 2 2 4 2" xfId="25261"/>
    <cellStyle name="Normal 4 5 2 2 5" xfId="19692"/>
    <cellStyle name="Normal 4 5 2 2 6" xfId="7086"/>
    <cellStyle name="Normal 4 5 2 3" xfId="3533"/>
    <cellStyle name="Normal 4 5 2 3 2" xfId="5642"/>
    <cellStyle name="Normal 4 5 2 3 2 2" xfId="18255"/>
    <cellStyle name="Normal 4 5 2 3 2 2 2" xfId="29398"/>
    <cellStyle name="Normal 4 5 2 3 2 3" xfId="23829"/>
    <cellStyle name="Normal 4 5 2 3 2 4" xfId="9793"/>
    <cellStyle name="Normal 4 5 2 3 3" xfId="16186"/>
    <cellStyle name="Normal 4 5 2 3 3 2" xfId="27329"/>
    <cellStyle name="Normal 4 5 2 3 4" xfId="21760"/>
    <cellStyle name="Normal 4 5 2 3 5" xfId="7724"/>
    <cellStyle name="Normal 4 5 2 4" xfId="4212"/>
    <cellStyle name="Normal 4 5 2 4 2" xfId="16825"/>
    <cellStyle name="Normal 4 5 2 4 2 2" xfId="27968"/>
    <cellStyle name="Normal 4 5 2 4 3" xfId="22399"/>
    <cellStyle name="Normal 4 5 2 4 4" xfId="8363"/>
    <cellStyle name="Normal 4 5 2 5" xfId="10743"/>
    <cellStyle name="Normal 4 5 2 5 2" xfId="14909"/>
    <cellStyle name="Normal 4 5 2 5 2 2" xfId="26052"/>
    <cellStyle name="Normal 4 5 2 5 3" xfId="20483"/>
    <cellStyle name="Normal 4 5 2 6" xfId="13479"/>
    <cellStyle name="Normal 4 5 2 6 2" xfId="24622"/>
    <cellStyle name="Normal 4 5 2 7" xfId="19053"/>
    <cellStyle name="Normal 4 5 2 8" xfId="6447"/>
    <cellStyle name="Normal 4 5 3" xfId="2059"/>
    <cellStyle name="Normal 4 5 3 2" xfId="2714"/>
    <cellStyle name="Normal 4 5 3 2 2" xfId="4823"/>
    <cellStyle name="Normal 4 5 3 2 2 2" xfId="17436"/>
    <cellStyle name="Normal 4 5 3 2 2 2 2" xfId="28579"/>
    <cellStyle name="Normal 4 5 3 2 2 3" xfId="23010"/>
    <cellStyle name="Normal 4 5 3 2 2 4" xfId="8974"/>
    <cellStyle name="Normal 4 5 3 2 3" xfId="10460"/>
    <cellStyle name="Normal 4 5 3 2 3 2" xfId="15367"/>
    <cellStyle name="Normal 4 5 3 2 3 2 2" xfId="26510"/>
    <cellStyle name="Normal 4 5 3 2 3 3" xfId="20941"/>
    <cellStyle name="Normal 4 5 3 2 4" xfId="13937"/>
    <cellStyle name="Normal 4 5 3 2 4 2" xfId="25080"/>
    <cellStyle name="Normal 4 5 3 2 5" xfId="19511"/>
    <cellStyle name="Normal 4 5 3 2 6" xfId="6905"/>
    <cellStyle name="Normal 4 5 3 3" xfId="3352"/>
    <cellStyle name="Normal 4 5 3 3 2" xfId="5461"/>
    <cellStyle name="Normal 4 5 3 3 2 2" xfId="18074"/>
    <cellStyle name="Normal 4 5 3 3 2 2 2" xfId="29217"/>
    <cellStyle name="Normal 4 5 3 3 2 3" xfId="23648"/>
    <cellStyle name="Normal 4 5 3 3 2 4" xfId="9612"/>
    <cellStyle name="Normal 4 5 3 3 3" xfId="16005"/>
    <cellStyle name="Normal 4 5 3 3 3 2" xfId="27148"/>
    <cellStyle name="Normal 4 5 3 3 4" xfId="21579"/>
    <cellStyle name="Normal 4 5 3 3 5" xfId="7543"/>
    <cellStyle name="Normal 4 5 3 4" xfId="4031"/>
    <cellStyle name="Normal 4 5 3 4 2" xfId="16644"/>
    <cellStyle name="Normal 4 5 3 4 2 2" xfId="27787"/>
    <cellStyle name="Normal 4 5 3 4 3" xfId="22218"/>
    <cellStyle name="Normal 4 5 3 4 4" xfId="8182"/>
    <cellStyle name="Normal 4 5 3 5" xfId="10633"/>
    <cellStyle name="Normal 4 5 3 5 2" xfId="14728"/>
    <cellStyle name="Normal 4 5 3 5 2 2" xfId="25871"/>
    <cellStyle name="Normal 4 5 3 5 3" xfId="20302"/>
    <cellStyle name="Normal 4 5 3 6" xfId="13298"/>
    <cellStyle name="Normal 4 5 3 6 2" xfId="24441"/>
    <cellStyle name="Normal 4 5 3 7" xfId="18872"/>
    <cellStyle name="Normal 4 5 3 8" xfId="6266"/>
    <cellStyle name="Normal 4 5 4" xfId="2406"/>
    <cellStyle name="Normal 4 5 4 2" xfId="3047"/>
    <cellStyle name="Normal 4 5 4 2 2" xfId="5156"/>
    <cellStyle name="Normal 4 5 4 2 2 2" xfId="17769"/>
    <cellStyle name="Normal 4 5 4 2 2 2 2" xfId="28912"/>
    <cellStyle name="Normal 4 5 4 2 2 3" xfId="23343"/>
    <cellStyle name="Normal 4 5 4 2 2 4" xfId="9307"/>
    <cellStyle name="Normal 4 5 4 2 3" xfId="11279"/>
    <cellStyle name="Normal 4 5 4 2 3 2" xfId="15700"/>
    <cellStyle name="Normal 4 5 4 2 3 2 2" xfId="26843"/>
    <cellStyle name="Normal 4 5 4 2 3 3" xfId="21274"/>
    <cellStyle name="Normal 4 5 4 2 4" xfId="14270"/>
    <cellStyle name="Normal 4 5 4 2 4 2" xfId="25413"/>
    <cellStyle name="Normal 4 5 4 2 5" xfId="19844"/>
    <cellStyle name="Normal 4 5 4 2 6" xfId="7238"/>
    <cellStyle name="Normal 4 5 4 3" xfId="3685"/>
    <cellStyle name="Normal 4 5 4 3 2" xfId="5794"/>
    <cellStyle name="Normal 4 5 4 3 2 2" xfId="18407"/>
    <cellStyle name="Normal 4 5 4 3 2 2 2" xfId="29550"/>
    <cellStyle name="Normal 4 5 4 3 2 3" xfId="23981"/>
    <cellStyle name="Normal 4 5 4 3 2 4" xfId="9945"/>
    <cellStyle name="Normal 4 5 4 3 3" xfId="16338"/>
    <cellStyle name="Normal 4 5 4 3 3 2" xfId="27481"/>
    <cellStyle name="Normal 4 5 4 3 4" xfId="21912"/>
    <cellStyle name="Normal 4 5 4 3 5" xfId="7876"/>
    <cellStyle name="Normal 4 5 4 4" xfId="4364"/>
    <cellStyle name="Normal 4 5 4 4 2" xfId="16977"/>
    <cellStyle name="Normal 4 5 4 4 2 2" xfId="28120"/>
    <cellStyle name="Normal 4 5 4 4 3" xfId="22551"/>
    <cellStyle name="Normal 4 5 4 4 4" xfId="8515"/>
    <cellStyle name="Normal 4 5 4 5" xfId="10665"/>
    <cellStyle name="Normal 4 5 4 5 2" xfId="15061"/>
    <cellStyle name="Normal 4 5 4 5 2 2" xfId="26204"/>
    <cellStyle name="Normal 4 5 4 5 3" xfId="20635"/>
    <cellStyle name="Normal 4 5 4 6" xfId="13631"/>
    <cellStyle name="Normal 4 5 4 6 2" xfId="24774"/>
    <cellStyle name="Normal 4 5 4 7" xfId="19205"/>
    <cellStyle name="Normal 4 5 4 8" xfId="6599"/>
    <cellStyle name="Normal 4 5 5" xfId="1869"/>
    <cellStyle name="Normal 4 5 5 2" xfId="4517"/>
    <cellStyle name="Normal 4 5 5 2 2" xfId="17130"/>
    <cellStyle name="Normal 4 5 5 2 2 2" xfId="28273"/>
    <cellStyle name="Normal 4 5 5 2 3" xfId="22704"/>
    <cellStyle name="Normal 4 5 5 2 4" xfId="8668"/>
    <cellStyle name="Normal 4 5 5 3" xfId="10798"/>
    <cellStyle name="Normal 4 5 5 3 2" xfId="14576"/>
    <cellStyle name="Normal 4 5 5 3 2 2" xfId="25719"/>
    <cellStyle name="Normal 4 5 5 3 3" xfId="20150"/>
    <cellStyle name="Normal 4 5 5 4" xfId="13146"/>
    <cellStyle name="Normal 4 5 5 4 2" xfId="24289"/>
    <cellStyle name="Normal 4 5 5 5" xfId="18720"/>
    <cellStyle name="Normal 4 5 5 6" xfId="6114"/>
    <cellStyle name="Normal 4 5 6" xfId="2562"/>
    <cellStyle name="Normal 4 5 6 2" xfId="4671"/>
    <cellStyle name="Normal 4 5 6 2 2" xfId="17284"/>
    <cellStyle name="Normal 4 5 6 2 2 2" xfId="28427"/>
    <cellStyle name="Normal 4 5 6 2 3" xfId="22858"/>
    <cellStyle name="Normal 4 5 6 2 4" xfId="8822"/>
    <cellStyle name="Normal 4 5 6 3" xfId="10033"/>
    <cellStyle name="Normal 4 5 6 3 2" xfId="15215"/>
    <cellStyle name="Normal 4 5 6 3 2 2" xfId="26358"/>
    <cellStyle name="Normal 4 5 6 3 3" xfId="20789"/>
    <cellStyle name="Normal 4 5 6 4" xfId="13785"/>
    <cellStyle name="Normal 4 5 6 4 2" xfId="24928"/>
    <cellStyle name="Normal 4 5 6 5" xfId="19359"/>
    <cellStyle name="Normal 4 5 6 6" xfId="6753"/>
    <cellStyle name="Normal 4 5 7" xfId="3200"/>
    <cellStyle name="Normal 4 5 7 2" xfId="5309"/>
    <cellStyle name="Normal 4 5 7 2 2" xfId="17922"/>
    <cellStyle name="Normal 4 5 7 2 2 2" xfId="29065"/>
    <cellStyle name="Normal 4 5 7 2 3" xfId="23496"/>
    <cellStyle name="Normal 4 5 7 2 4" xfId="9460"/>
    <cellStyle name="Normal 4 5 7 3" xfId="15853"/>
    <cellStyle name="Normal 4 5 7 3 2" xfId="26996"/>
    <cellStyle name="Normal 4 5 7 4" xfId="21427"/>
    <cellStyle name="Normal 4 5 7 5" xfId="7391"/>
    <cellStyle name="Normal 4 5 8" xfId="3879"/>
    <cellStyle name="Normal 4 5 8 2" xfId="16492"/>
    <cellStyle name="Normal 4 5 8 2 2" xfId="27635"/>
    <cellStyle name="Normal 4 5 8 3" xfId="22066"/>
    <cellStyle name="Normal 4 5 8 4" xfId="8030"/>
    <cellStyle name="Normal 4 5 9" xfId="10452"/>
    <cellStyle name="Normal 4 5 9 2" xfId="14423"/>
    <cellStyle name="Normal 4 5 9 2 2" xfId="25566"/>
    <cellStyle name="Normal 4 5 9 3" xfId="19997"/>
    <cellStyle name="Normal 4 6" xfId="514"/>
    <cellStyle name="Normal 4 6 10" xfId="18627"/>
    <cellStyle name="Normal 4 6 11" xfId="6020"/>
    <cellStyle name="Normal 4 6 2" xfId="2136"/>
    <cellStyle name="Normal 4 6 2 2" xfId="2783"/>
    <cellStyle name="Normal 4 6 2 2 2" xfId="4892"/>
    <cellStyle name="Normal 4 6 2 2 2 2" xfId="17505"/>
    <cellStyle name="Normal 4 6 2 2 2 2 2" xfId="28648"/>
    <cellStyle name="Normal 4 6 2 2 2 3" xfId="23079"/>
    <cellStyle name="Normal 4 6 2 2 2 4" xfId="9043"/>
    <cellStyle name="Normal 4 6 2 2 3" xfId="10149"/>
    <cellStyle name="Normal 4 6 2 2 3 2" xfId="15436"/>
    <cellStyle name="Normal 4 6 2 2 3 2 2" xfId="26579"/>
    <cellStyle name="Normal 4 6 2 2 3 3" xfId="21010"/>
    <cellStyle name="Normal 4 6 2 2 4" xfId="14006"/>
    <cellStyle name="Normal 4 6 2 2 4 2" xfId="25149"/>
    <cellStyle name="Normal 4 6 2 2 5" xfId="19580"/>
    <cellStyle name="Normal 4 6 2 2 6" xfId="6974"/>
    <cellStyle name="Normal 4 6 2 3" xfId="3421"/>
    <cellStyle name="Normal 4 6 2 3 2" xfId="5530"/>
    <cellStyle name="Normal 4 6 2 3 2 2" xfId="18143"/>
    <cellStyle name="Normal 4 6 2 3 2 2 2" xfId="29286"/>
    <cellStyle name="Normal 4 6 2 3 2 3" xfId="23717"/>
    <cellStyle name="Normal 4 6 2 3 2 4" xfId="9681"/>
    <cellStyle name="Normal 4 6 2 3 3" xfId="16074"/>
    <cellStyle name="Normal 4 6 2 3 3 2" xfId="27217"/>
    <cellStyle name="Normal 4 6 2 3 4" xfId="21648"/>
    <cellStyle name="Normal 4 6 2 3 5" xfId="7612"/>
    <cellStyle name="Normal 4 6 2 4" xfId="4100"/>
    <cellStyle name="Normal 4 6 2 4 2" xfId="16713"/>
    <cellStyle name="Normal 4 6 2 4 2 2" xfId="27856"/>
    <cellStyle name="Normal 4 6 2 4 3" xfId="22287"/>
    <cellStyle name="Normal 4 6 2 4 4" xfId="8251"/>
    <cellStyle name="Normal 4 6 2 5" xfId="11000"/>
    <cellStyle name="Normal 4 6 2 5 2" xfId="14797"/>
    <cellStyle name="Normal 4 6 2 5 2 2" xfId="25940"/>
    <cellStyle name="Normal 4 6 2 5 3" xfId="20371"/>
    <cellStyle name="Normal 4 6 2 6" xfId="13367"/>
    <cellStyle name="Normal 4 6 2 6 2" xfId="24510"/>
    <cellStyle name="Normal 4 6 2 7" xfId="18941"/>
    <cellStyle name="Normal 4 6 2 8" xfId="6335"/>
    <cellStyle name="Normal 4 6 3" xfId="2466"/>
    <cellStyle name="Normal 4 6 3 2" xfId="3107"/>
    <cellStyle name="Normal 4 6 3 2 2" xfId="5216"/>
    <cellStyle name="Normal 4 6 3 2 2 2" xfId="17829"/>
    <cellStyle name="Normal 4 6 3 2 2 2 2" xfId="28972"/>
    <cellStyle name="Normal 4 6 3 2 2 3" xfId="23403"/>
    <cellStyle name="Normal 4 6 3 2 2 4" xfId="9367"/>
    <cellStyle name="Normal 4 6 3 2 3" xfId="10608"/>
    <cellStyle name="Normal 4 6 3 2 3 2" xfId="15760"/>
    <cellStyle name="Normal 4 6 3 2 3 2 2" xfId="26903"/>
    <cellStyle name="Normal 4 6 3 2 3 3" xfId="21334"/>
    <cellStyle name="Normal 4 6 3 2 4" xfId="14330"/>
    <cellStyle name="Normal 4 6 3 2 4 2" xfId="25473"/>
    <cellStyle name="Normal 4 6 3 2 5" xfId="19904"/>
    <cellStyle name="Normal 4 6 3 2 6" xfId="7298"/>
    <cellStyle name="Normal 4 6 3 3" xfId="3745"/>
    <cellStyle name="Normal 4 6 3 3 2" xfId="5854"/>
    <cellStyle name="Normal 4 6 3 3 2 2" xfId="18467"/>
    <cellStyle name="Normal 4 6 3 3 2 2 2" xfId="29610"/>
    <cellStyle name="Normal 4 6 3 3 2 3" xfId="24041"/>
    <cellStyle name="Normal 4 6 3 3 2 4" xfId="10005"/>
    <cellStyle name="Normal 4 6 3 3 3" xfId="16398"/>
    <cellStyle name="Normal 4 6 3 3 3 2" xfId="27541"/>
    <cellStyle name="Normal 4 6 3 3 4" xfId="21972"/>
    <cellStyle name="Normal 4 6 3 3 5" xfId="7936"/>
    <cellStyle name="Normal 4 6 3 4" xfId="4424"/>
    <cellStyle name="Normal 4 6 3 4 2" xfId="17037"/>
    <cellStyle name="Normal 4 6 3 4 2 2" xfId="28180"/>
    <cellStyle name="Normal 4 6 3 4 3" xfId="22611"/>
    <cellStyle name="Normal 4 6 3 4 4" xfId="8575"/>
    <cellStyle name="Normal 4 6 3 5" xfId="11403"/>
    <cellStyle name="Normal 4 6 3 5 2" xfId="15121"/>
    <cellStyle name="Normal 4 6 3 5 2 2" xfId="26264"/>
    <cellStyle name="Normal 4 6 3 5 3" xfId="20695"/>
    <cellStyle name="Normal 4 6 3 6" xfId="13691"/>
    <cellStyle name="Normal 4 6 3 6 2" xfId="24834"/>
    <cellStyle name="Normal 4 6 3 7" xfId="19265"/>
    <cellStyle name="Normal 4 6 3 8" xfId="6659"/>
    <cellStyle name="Normal 4 6 4" xfId="1929"/>
    <cellStyle name="Normal 4 6 4 2" xfId="4577"/>
    <cellStyle name="Normal 4 6 4 2 2" xfId="17190"/>
    <cellStyle name="Normal 4 6 4 2 2 2" xfId="28333"/>
    <cellStyle name="Normal 4 6 4 2 3" xfId="22764"/>
    <cellStyle name="Normal 4 6 4 2 4" xfId="8728"/>
    <cellStyle name="Normal 4 6 4 3" xfId="11366"/>
    <cellStyle name="Normal 4 6 4 3 2" xfId="14636"/>
    <cellStyle name="Normal 4 6 4 3 2 2" xfId="25779"/>
    <cellStyle name="Normal 4 6 4 3 3" xfId="20210"/>
    <cellStyle name="Normal 4 6 4 4" xfId="13206"/>
    <cellStyle name="Normal 4 6 4 4 2" xfId="24349"/>
    <cellStyle name="Normal 4 6 4 5" xfId="18780"/>
    <cellStyle name="Normal 4 6 4 6" xfId="6174"/>
    <cellStyle name="Normal 4 6 5" xfId="2622"/>
    <cellStyle name="Normal 4 6 5 2" xfId="4731"/>
    <cellStyle name="Normal 4 6 5 2 2" xfId="17344"/>
    <cellStyle name="Normal 4 6 5 2 2 2" xfId="28487"/>
    <cellStyle name="Normal 4 6 5 2 3" xfId="22918"/>
    <cellStyle name="Normal 4 6 5 2 4" xfId="8882"/>
    <cellStyle name="Normal 4 6 5 3" xfId="10564"/>
    <cellStyle name="Normal 4 6 5 3 2" xfId="15275"/>
    <cellStyle name="Normal 4 6 5 3 2 2" xfId="26418"/>
    <cellStyle name="Normal 4 6 5 3 3" xfId="20849"/>
    <cellStyle name="Normal 4 6 5 4" xfId="13845"/>
    <cellStyle name="Normal 4 6 5 4 2" xfId="24988"/>
    <cellStyle name="Normal 4 6 5 5" xfId="19419"/>
    <cellStyle name="Normal 4 6 5 6" xfId="6813"/>
    <cellStyle name="Normal 4 6 6" xfId="3260"/>
    <cellStyle name="Normal 4 6 6 2" xfId="5369"/>
    <cellStyle name="Normal 4 6 6 2 2" xfId="17982"/>
    <cellStyle name="Normal 4 6 6 2 2 2" xfId="29125"/>
    <cellStyle name="Normal 4 6 6 2 3" xfId="23556"/>
    <cellStyle name="Normal 4 6 6 2 4" xfId="9520"/>
    <cellStyle name="Normal 4 6 6 3" xfId="15913"/>
    <cellStyle name="Normal 4 6 6 3 2" xfId="27056"/>
    <cellStyle name="Normal 4 6 6 4" xfId="21487"/>
    <cellStyle name="Normal 4 6 6 5" xfId="7451"/>
    <cellStyle name="Normal 4 6 7" xfId="3939"/>
    <cellStyle name="Normal 4 6 7 2" xfId="16552"/>
    <cellStyle name="Normal 4 6 7 2 2" xfId="27695"/>
    <cellStyle name="Normal 4 6 7 3" xfId="22126"/>
    <cellStyle name="Normal 4 6 7 4" xfId="8090"/>
    <cellStyle name="Normal 4 6 8" xfId="11175"/>
    <cellStyle name="Normal 4 6 8 2" xfId="14483"/>
    <cellStyle name="Normal 4 6 8 2 2" xfId="25626"/>
    <cellStyle name="Normal 4 6 8 3" xfId="20057"/>
    <cellStyle name="Normal 4 6 9" xfId="13052"/>
    <cellStyle name="Normal 4 6 9 2" xfId="24196"/>
    <cellStyle name="Normal 4 7" xfId="2175"/>
    <cellStyle name="Normal 4 7 2" xfId="2819"/>
    <cellStyle name="Normal 4 7 2 2" xfId="4928"/>
    <cellStyle name="Normal 4 7 2 2 2" xfId="17541"/>
    <cellStyle name="Normal 4 7 2 2 2 2" xfId="28684"/>
    <cellStyle name="Normal 4 7 2 2 3" xfId="23115"/>
    <cellStyle name="Normal 4 7 2 2 4" xfId="9079"/>
    <cellStyle name="Normal 4 7 2 3" xfId="11195"/>
    <cellStyle name="Normal 4 7 2 3 2" xfId="15472"/>
    <cellStyle name="Normal 4 7 2 3 2 2" xfId="26615"/>
    <cellStyle name="Normal 4 7 2 3 3" xfId="21046"/>
    <cellStyle name="Normal 4 7 2 4" xfId="14042"/>
    <cellStyle name="Normal 4 7 2 4 2" xfId="25185"/>
    <cellStyle name="Normal 4 7 2 5" xfId="19616"/>
    <cellStyle name="Normal 4 7 2 6" xfId="7010"/>
    <cellStyle name="Normal 4 7 3" xfId="3457"/>
    <cellStyle name="Normal 4 7 3 2" xfId="5566"/>
    <cellStyle name="Normal 4 7 3 2 2" xfId="18179"/>
    <cellStyle name="Normal 4 7 3 2 2 2" xfId="29322"/>
    <cellStyle name="Normal 4 7 3 2 3" xfId="23753"/>
    <cellStyle name="Normal 4 7 3 2 4" xfId="9717"/>
    <cellStyle name="Normal 4 7 3 3" xfId="16110"/>
    <cellStyle name="Normal 4 7 3 3 2" xfId="27253"/>
    <cellStyle name="Normal 4 7 3 4" xfId="21684"/>
    <cellStyle name="Normal 4 7 3 5" xfId="7648"/>
    <cellStyle name="Normal 4 7 4" xfId="4136"/>
    <cellStyle name="Normal 4 7 4 2" xfId="16749"/>
    <cellStyle name="Normal 4 7 4 2 2" xfId="27892"/>
    <cellStyle name="Normal 4 7 4 3" xfId="22323"/>
    <cellStyle name="Normal 4 7 4 4" xfId="8287"/>
    <cellStyle name="Normal 4 7 5" xfId="10048"/>
    <cellStyle name="Normal 4 7 5 2" xfId="14833"/>
    <cellStyle name="Normal 4 7 5 2 2" xfId="25976"/>
    <cellStyle name="Normal 4 7 5 3" xfId="20407"/>
    <cellStyle name="Normal 4 7 6" xfId="13403"/>
    <cellStyle name="Normal 4 7 6 2" xfId="24546"/>
    <cellStyle name="Normal 4 7 7" xfId="18977"/>
    <cellStyle name="Normal 4 7 8" xfId="6371"/>
    <cellStyle name="Normal 4 8" xfId="1970"/>
    <cellStyle name="Normal 4 8 2" xfId="2638"/>
    <cellStyle name="Normal 4 8 2 2" xfId="4747"/>
    <cellStyle name="Normal 4 8 2 2 2" xfId="17360"/>
    <cellStyle name="Normal 4 8 2 2 2 2" xfId="28503"/>
    <cellStyle name="Normal 4 8 2 2 3" xfId="22934"/>
    <cellStyle name="Normal 4 8 2 2 4" xfId="8898"/>
    <cellStyle name="Normal 4 8 2 3" xfId="10052"/>
    <cellStyle name="Normal 4 8 2 3 2" xfId="15291"/>
    <cellStyle name="Normal 4 8 2 3 2 2" xfId="26434"/>
    <cellStyle name="Normal 4 8 2 3 3" xfId="20865"/>
    <cellStyle name="Normal 4 8 2 4" xfId="13861"/>
    <cellStyle name="Normal 4 8 2 4 2" xfId="25004"/>
    <cellStyle name="Normal 4 8 2 5" xfId="19435"/>
    <cellStyle name="Normal 4 8 2 6" xfId="6829"/>
    <cellStyle name="Normal 4 8 3" xfId="3276"/>
    <cellStyle name="Normal 4 8 3 2" xfId="5385"/>
    <cellStyle name="Normal 4 8 3 2 2" xfId="17998"/>
    <cellStyle name="Normal 4 8 3 2 2 2" xfId="29141"/>
    <cellStyle name="Normal 4 8 3 2 3" xfId="23572"/>
    <cellStyle name="Normal 4 8 3 2 4" xfId="9536"/>
    <cellStyle name="Normal 4 8 3 3" xfId="15929"/>
    <cellStyle name="Normal 4 8 3 3 2" xfId="27072"/>
    <cellStyle name="Normal 4 8 3 4" xfId="21503"/>
    <cellStyle name="Normal 4 8 3 5" xfId="7467"/>
    <cellStyle name="Normal 4 8 4" xfId="3955"/>
    <cellStyle name="Normal 4 8 4 2" xfId="16568"/>
    <cellStyle name="Normal 4 8 4 2 2" xfId="27711"/>
    <cellStyle name="Normal 4 8 4 3" xfId="22142"/>
    <cellStyle name="Normal 4 8 4 4" xfId="8106"/>
    <cellStyle name="Normal 4 8 5" xfId="10621"/>
    <cellStyle name="Normal 4 8 5 2" xfId="14652"/>
    <cellStyle name="Normal 4 8 5 2 2" xfId="25795"/>
    <cellStyle name="Normal 4 8 5 3" xfId="20226"/>
    <cellStyle name="Normal 4 8 6" xfId="13222"/>
    <cellStyle name="Normal 4 8 6 2" xfId="24365"/>
    <cellStyle name="Normal 4 8 7" xfId="18796"/>
    <cellStyle name="Normal 4 8 8" xfId="6190"/>
    <cellStyle name="Normal 4 9" xfId="2329"/>
    <cellStyle name="Normal 4 9 2" xfId="2971"/>
    <cellStyle name="Normal 4 9 2 2" xfId="5080"/>
    <cellStyle name="Normal 4 9 2 2 2" xfId="17693"/>
    <cellStyle name="Normal 4 9 2 2 2 2" xfId="28836"/>
    <cellStyle name="Normal 4 9 2 2 3" xfId="23267"/>
    <cellStyle name="Normal 4 9 2 2 4" xfId="9231"/>
    <cellStyle name="Normal 4 9 2 3" xfId="10160"/>
    <cellStyle name="Normal 4 9 2 3 2" xfId="15624"/>
    <cellStyle name="Normal 4 9 2 3 2 2" xfId="26767"/>
    <cellStyle name="Normal 4 9 2 3 3" xfId="21198"/>
    <cellStyle name="Normal 4 9 2 4" xfId="14194"/>
    <cellStyle name="Normal 4 9 2 4 2" xfId="25337"/>
    <cellStyle name="Normal 4 9 2 5" xfId="19768"/>
    <cellStyle name="Normal 4 9 2 6" xfId="7162"/>
    <cellStyle name="Normal 4 9 3" xfId="3609"/>
    <cellStyle name="Normal 4 9 3 2" xfId="5718"/>
    <cellStyle name="Normal 4 9 3 2 2" xfId="18331"/>
    <cellStyle name="Normal 4 9 3 2 2 2" xfId="29474"/>
    <cellStyle name="Normal 4 9 3 2 3" xfId="23905"/>
    <cellStyle name="Normal 4 9 3 2 4" xfId="9869"/>
    <cellStyle name="Normal 4 9 3 3" xfId="16262"/>
    <cellStyle name="Normal 4 9 3 3 2" xfId="27405"/>
    <cellStyle name="Normal 4 9 3 4" xfId="21836"/>
    <cellStyle name="Normal 4 9 3 5" xfId="7800"/>
    <cellStyle name="Normal 4 9 4" xfId="4288"/>
    <cellStyle name="Normal 4 9 4 2" xfId="16901"/>
    <cellStyle name="Normal 4 9 4 2 2" xfId="28044"/>
    <cellStyle name="Normal 4 9 4 3" xfId="22475"/>
    <cellStyle name="Normal 4 9 4 4" xfId="8439"/>
    <cellStyle name="Normal 4 9 5" xfId="10988"/>
    <cellStyle name="Normal 4 9 5 2" xfId="14985"/>
    <cellStyle name="Normal 4 9 5 2 2" xfId="26128"/>
    <cellStyle name="Normal 4 9 5 3" xfId="20559"/>
    <cellStyle name="Normal 4 9 6" xfId="13555"/>
    <cellStyle name="Normal 4 9 6 2" xfId="24698"/>
    <cellStyle name="Normal 4 9 7" xfId="19129"/>
    <cellStyle name="Normal 4 9 8" xfId="6523"/>
    <cellStyle name="Normal 40" xfId="12911"/>
    <cellStyle name="Normal 40 2" xfId="24055"/>
    <cellStyle name="Normal 41" xfId="18475"/>
    <cellStyle name="Normal 42" xfId="24042"/>
    <cellStyle name="Normal 43" xfId="10449"/>
    <cellStyle name="Normal 44" xfId="11402"/>
    <cellStyle name="Normal 45" xfId="29612"/>
    <cellStyle name="Normal 46" xfId="29613"/>
    <cellStyle name="Normal 47" xfId="29614"/>
    <cellStyle name="Normal 48" xfId="6021"/>
    <cellStyle name="Normal 5" xfId="134"/>
    <cellStyle name="Normal 5 2" xfId="384"/>
    <cellStyle name="Normal 5 2 2" xfId="563"/>
    <cellStyle name="Normal 5 2 2 2" xfId="946"/>
    <cellStyle name="Normal 5 2 2 2 2" xfId="1685"/>
    <cellStyle name="Normal 5 2 2 2 2 2" xfId="12781"/>
    <cellStyle name="Normal 5 2 2 2 3" xfId="12071"/>
    <cellStyle name="Normal 5 2 2 3" xfId="1330"/>
    <cellStyle name="Normal 5 2 2 3 2" xfId="12426"/>
    <cellStyle name="Normal 5 2 2 4" xfId="2154"/>
    <cellStyle name="Normal 5 2 2 4 2" xfId="2798"/>
    <cellStyle name="Normal 5 2 2 4 2 2" xfId="4907"/>
    <cellStyle name="Normal 5 2 2 4 2 2 2" xfId="17520"/>
    <cellStyle name="Normal 5 2 2 4 2 2 2 2" xfId="28663"/>
    <cellStyle name="Normal 5 2 2 4 2 2 3" xfId="23094"/>
    <cellStyle name="Normal 5 2 2 4 2 2 4" xfId="9058"/>
    <cellStyle name="Normal 5 2 2 4 2 3" xfId="10330"/>
    <cellStyle name="Normal 5 2 2 4 2 3 2" xfId="15451"/>
    <cellStyle name="Normal 5 2 2 4 2 3 2 2" xfId="26594"/>
    <cellStyle name="Normal 5 2 2 4 2 3 3" xfId="21025"/>
    <cellStyle name="Normal 5 2 2 4 2 4" xfId="14021"/>
    <cellStyle name="Normal 5 2 2 4 2 4 2" xfId="25164"/>
    <cellStyle name="Normal 5 2 2 4 2 5" xfId="19595"/>
    <cellStyle name="Normal 5 2 2 4 2 6" xfId="6989"/>
    <cellStyle name="Normal 5 2 2 4 3" xfId="3436"/>
    <cellStyle name="Normal 5 2 2 4 3 2" xfId="5545"/>
    <cellStyle name="Normal 5 2 2 4 3 2 2" xfId="18158"/>
    <cellStyle name="Normal 5 2 2 4 3 2 2 2" xfId="29301"/>
    <cellStyle name="Normal 5 2 2 4 3 2 3" xfId="23732"/>
    <cellStyle name="Normal 5 2 2 4 3 2 4" xfId="9696"/>
    <cellStyle name="Normal 5 2 2 4 3 3" xfId="16089"/>
    <cellStyle name="Normal 5 2 2 4 3 3 2" xfId="27232"/>
    <cellStyle name="Normal 5 2 2 4 3 4" xfId="21663"/>
    <cellStyle name="Normal 5 2 2 4 3 5" xfId="7627"/>
    <cellStyle name="Normal 5 2 2 4 4" xfId="4115"/>
    <cellStyle name="Normal 5 2 2 4 4 2" xfId="16728"/>
    <cellStyle name="Normal 5 2 2 4 4 2 2" xfId="27871"/>
    <cellStyle name="Normal 5 2 2 4 4 3" xfId="22302"/>
    <cellStyle name="Normal 5 2 2 4 4 4" xfId="8266"/>
    <cellStyle name="Normal 5 2 2 4 5" xfId="11320"/>
    <cellStyle name="Normal 5 2 2 4 5 2" xfId="14812"/>
    <cellStyle name="Normal 5 2 2 4 5 2 2" xfId="25955"/>
    <cellStyle name="Normal 5 2 2 4 5 3" xfId="20386"/>
    <cellStyle name="Normal 5 2 2 4 6" xfId="13382"/>
    <cellStyle name="Normal 5 2 2 4 6 2" xfId="24525"/>
    <cellStyle name="Normal 5 2 2 4 7" xfId="18956"/>
    <cellStyle name="Normal 5 2 2 4 8" xfId="6350"/>
    <cellStyle name="Normal 5 2 2 5" xfId="11716"/>
    <cellStyle name="Normal 5 2 3" xfId="768"/>
    <cellStyle name="Normal 5 2 3 2" xfId="1507"/>
    <cellStyle name="Normal 5 2 3 2 2" xfId="12603"/>
    <cellStyle name="Normal 5 2 3 3" xfId="2146"/>
    <cellStyle name="Normal 5 2 3 3 2" xfId="2790"/>
    <cellStyle name="Normal 5 2 3 3 2 2" xfId="4899"/>
    <cellStyle name="Normal 5 2 3 3 2 2 2" xfId="17512"/>
    <cellStyle name="Normal 5 2 3 3 2 2 2 2" xfId="28655"/>
    <cellStyle name="Normal 5 2 3 3 2 2 3" xfId="23086"/>
    <cellStyle name="Normal 5 2 3 3 2 2 4" xfId="9050"/>
    <cellStyle name="Normal 5 2 3 3 2 3" xfId="11312"/>
    <cellStyle name="Normal 5 2 3 3 2 3 2" xfId="15443"/>
    <cellStyle name="Normal 5 2 3 3 2 3 2 2" xfId="26586"/>
    <cellStyle name="Normal 5 2 3 3 2 3 3" xfId="21017"/>
    <cellStyle name="Normal 5 2 3 3 2 4" xfId="14013"/>
    <cellStyle name="Normal 5 2 3 3 2 4 2" xfId="25156"/>
    <cellStyle name="Normal 5 2 3 3 2 5" xfId="19587"/>
    <cellStyle name="Normal 5 2 3 3 2 6" xfId="6981"/>
    <cellStyle name="Normal 5 2 3 3 3" xfId="3428"/>
    <cellStyle name="Normal 5 2 3 3 3 2" xfId="5537"/>
    <cellStyle name="Normal 5 2 3 3 3 2 2" xfId="18150"/>
    <cellStyle name="Normal 5 2 3 3 3 2 2 2" xfId="29293"/>
    <cellStyle name="Normal 5 2 3 3 3 2 3" xfId="23724"/>
    <cellStyle name="Normal 5 2 3 3 3 2 4" xfId="9688"/>
    <cellStyle name="Normal 5 2 3 3 3 3" xfId="16081"/>
    <cellStyle name="Normal 5 2 3 3 3 3 2" xfId="27224"/>
    <cellStyle name="Normal 5 2 3 3 3 4" xfId="21655"/>
    <cellStyle name="Normal 5 2 3 3 3 5" xfId="7619"/>
    <cellStyle name="Normal 5 2 3 3 4" xfId="4107"/>
    <cellStyle name="Normal 5 2 3 3 4 2" xfId="16720"/>
    <cellStyle name="Normal 5 2 3 3 4 2 2" xfId="27863"/>
    <cellStyle name="Normal 5 2 3 3 4 3" xfId="22294"/>
    <cellStyle name="Normal 5 2 3 3 4 4" xfId="8258"/>
    <cellStyle name="Normal 5 2 3 3 5" xfId="10236"/>
    <cellStyle name="Normal 5 2 3 3 5 2" xfId="14804"/>
    <cellStyle name="Normal 5 2 3 3 5 2 2" xfId="25947"/>
    <cellStyle name="Normal 5 2 3 3 5 3" xfId="20378"/>
    <cellStyle name="Normal 5 2 3 3 6" xfId="13374"/>
    <cellStyle name="Normal 5 2 3 3 6 2" xfId="24517"/>
    <cellStyle name="Normal 5 2 3 3 7" xfId="18948"/>
    <cellStyle name="Normal 5 2 3 3 8" xfId="6342"/>
    <cellStyle name="Normal 5 2 3 4" xfId="11893"/>
    <cellStyle name="Normal 5 2 4" xfId="1152"/>
    <cellStyle name="Normal 5 2 4 2" xfId="12248"/>
    <cellStyle name="Normal 5 2 5" xfId="2126"/>
    <cellStyle name="Normal 5 2 5 2" xfId="2777"/>
    <cellStyle name="Normal 5 2 5 2 2" xfId="4886"/>
    <cellStyle name="Normal 5 2 5 2 2 2" xfId="17499"/>
    <cellStyle name="Normal 5 2 5 2 2 2 2" xfId="28642"/>
    <cellStyle name="Normal 5 2 5 2 2 3" xfId="23073"/>
    <cellStyle name="Normal 5 2 5 2 2 4" xfId="9037"/>
    <cellStyle name="Normal 5 2 5 2 3" xfId="11114"/>
    <cellStyle name="Normal 5 2 5 2 3 2" xfId="15430"/>
    <cellStyle name="Normal 5 2 5 2 3 2 2" xfId="26573"/>
    <cellStyle name="Normal 5 2 5 2 3 3" xfId="21004"/>
    <cellStyle name="Normal 5 2 5 2 4" xfId="14000"/>
    <cellStyle name="Normal 5 2 5 2 4 2" xfId="25143"/>
    <cellStyle name="Normal 5 2 5 2 5" xfId="19574"/>
    <cellStyle name="Normal 5 2 5 2 6" xfId="6968"/>
    <cellStyle name="Normal 5 2 5 3" xfId="3415"/>
    <cellStyle name="Normal 5 2 5 3 2" xfId="5524"/>
    <cellStyle name="Normal 5 2 5 3 2 2" xfId="18137"/>
    <cellStyle name="Normal 5 2 5 3 2 2 2" xfId="29280"/>
    <cellStyle name="Normal 5 2 5 3 2 3" xfId="23711"/>
    <cellStyle name="Normal 5 2 5 3 2 4" xfId="9675"/>
    <cellStyle name="Normal 5 2 5 3 3" xfId="16068"/>
    <cellStyle name="Normal 5 2 5 3 3 2" xfId="27211"/>
    <cellStyle name="Normal 5 2 5 3 4" xfId="21642"/>
    <cellStyle name="Normal 5 2 5 3 5" xfId="7606"/>
    <cellStyle name="Normal 5 2 5 4" xfId="4094"/>
    <cellStyle name="Normal 5 2 5 4 2" xfId="16707"/>
    <cellStyle name="Normal 5 2 5 4 2 2" xfId="27850"/>
    <cellStyle name="Normal 5 2 5 4 3" xfId="22281"/>
    <cellStyle name="Normal 5 2 5 4 4" xfId="8245"/>
    <cellStyle name="Normal 5 2 5 5" xfId="10100"/>
    <cellStyle name="Normal 5 2 5 5 2" xfId="14791"/>
    <cellStyle name="Normal 5 2 5 5 2 2" xfId="25934"/>
    <cellStyle name="Normal 5 2 5 5 3" xfId="20365"/>
    <cellStyle name="Normal 5 2 5 6" xfId="13361"/>
    <cellStyle name="Normal 5 2 5 6 2" xfId="24504"/>
    <cellStyle name="Normal 5 2 5 7" xfId="18935"/>
    <cellStyle name="Normal 5 2 5 8" xfId="6329"/>
    <cellStyle name="Normal 5 2 6" xfId="11538"/>
    <cellStyle name="Normal 5 3" xfId="439"/>
    <cellStyle name="Normal 5 3 2" xfId="618"/>
    <cellStyle name="Normal 5 3 2 2" xfId="1001"/>
    <cellStyle name="Normal 5 3 2 2 2" xfId="1740"/>
    <cellStyle name="Normal 5 3 2 2 2 2" xfId="12836"/>
    <cellStyle name="Normal 5 3 2 2 3" xfId="12126"/>
    <cellStyle name="Normal 5 3 2 3" xfId="1385"/>
    <cellStyle name="Normal 5 3 2 3 2" xfId="12481"/>
    <cellStyle name="Normal 5 3 2 4" xfId="2158"/>
    <cellStyle name="Normal 5 3 2 4 2" xfId="2802"/>
    <cellStyle name="Normal 5 3 2 4 2 2" xfId="4911"/>
    <cellStyle name="Normal 5 3 2 4 2 2 2" xfId="17524"/>
    <cellStyle name="Normal 5 3 2 4 2 2 2 2" xfId="28667"/>
    <cellStyle name="Normal 5 3 2 4 2 2 3" xfId="23098"/>
    <cellStyle name="Normal 5 3 2 4 2 2 4" xfId="9062"/>
    <cellStyle name="Normal 5 3 2 4 2 3" xfId="10865"/>
    <cellStyle name="Normal 5 3 2 4 2 3 2" xfId="15455"/>
    <cellStyle name="Normal 5 3 2 4 2 3 2 2" xfId="26598"/>
    <cellStyle name="Normal 5 3 2 4 2 3 3" xfId="21029"/>
    <cellStyle name="Normal 5 3 2 4 2 4" xfId="14025"/>
    <cellStyle name="Normal 5 3 2 4 2 4 2" xfId="25168"/>
    <cellStyle name="Normal 5 3 2 4 2 5" xfId="19599"/>
    <cellStyle name="Normal 5 3 2 4 2 6" xfId="6993"/>
    <cellStyle name="Normal 5 3 2 4 3" xfId="3440"/>
    <cellStyle name="Normal 5 3 2 4 3 2" xfId="5549"/>
    <cellStyle name="Normal 5 3 2 4 3 2 2" xfId="18162"/>
    <cellStyle name="Normal 5 3 2 4 3 2 2 2" xfId="29305"/>
    <cellStyle name="Normal 5 3 2 4 3 2 3" xfId="23736"/>
    <cellStyle name="Normal 5 3 2 4 3 2 4" xfId="9700"/>
    <cellStyle name="Normal 5 3 2 4 3 3" xfId="16093"/>
    <cellStyle name="Normal 5 3 2 4 3 3 2" xfId="27236"/>
    <cellStyle name="Normal 5 3 2 4 3 4" xfId="21667"/>
    <cellStyle name="Normal 5 3 2 4 3 5" xfId="7631"/>
    <cellStyle name="Normal 5 3 2 4 4" xfId="4119"/>
    <cellStyle name="Normal 5 3 2 4 4 2" xfId="16732"/>
    <cellStyle name="Normal 5 3 2 4 4 2 2" xfId="27875"/>
    <cellStyle name="Normal 5 3 2 4 4 3" xfId="22306"/>
    <cellStyle name="Normal 5 3 2 4 4 4" xfId="8270"/>
    <cellStyle name="Normal 5 3 2 4 5" xfId="10458"/>
    <cellStyle name="Normal 5 3 2 4 5 2" xfId="14816"/>
    <cellStyle name="Normal 5 3 2 4 5 2 2" xfId="25959"/>
    <cellStyle name="Normal 5 3 2 4 5 3" xfId="20390"/>
    <cellStyle name="Normal 5 3 2 4 6" xfId="13386"/>
    <cellStyle name="Normal 5 3 2 4 6 2" xfId="24529"/>
    <cellStyle name="Normal 5 3 2 4 7" xfId="18960"/>
    <cellStyle name="Normal 5 3 2 4 8" xfId="6354"/>
    <cellStyle name="Normal 5 3 2 5" xfId="11771"/>
    <cellStyle name="Normal 5 3 3" xfId="823"/>
    <cellStyle name="Normal 5 3 3 2" xfId="1562"/>
    <cellStyle name="Normal 5 3 3 2 2" xfId="12658"/>
    <cellStyle name="Normal 5 3 3 3" xfId="11948"/>
    <cellStyle name="Normal 5 3 4" xfId="1207"/>
    <cellStyle name="Normal 5 3 4 2" xfId="12303"/>
    <cellStyle name="Normal 5 3 5" xfId="2131"/>
    <cellStyle name="Normal 5 3 5 2" xfId="2780"/>
    <cellStyle name="Normal 5 3 5 2 2" xfId="4889"/>
    <cellStyle name="Normal 5 3 5 2 2 2" xfId="17502"/>
    <cellStyle name="Normal 5 3 5 2 2 2 2" xfId="28645"/>
    <cellStyle name="Normal 5 3 5 2 2 3" xfId="23076"/>
    <cellStyle name="Normal 5 3 5 2 2 4" xfId="9040"/>
    <cellStyle name="Normal 5 3 5 2 3" xfId="10948"/>
    <cellStyle name="Normal 5 3 5 2 3 2" xfId="15433"/>
    <cellStyle name="Normal 5 3 5 2 3 2 2" xfId="26576"/>
    <cellStyle name="Normal 5 3 5 2 3 3" xfId="21007"/>
    <cellStyle name="Normal 5 3 5 2 4" xfId="14003"/>
    <cellStyle name="Normal 5 3 5 2 4 2" xfId="25146"/>
    <cellStyle name="Normal 5 3 5 2 5" xfId="19577"/>
    <cellStyle name="Normal 5 3 5 2 6" xfId="6971"/>
    <cellStyle name="Normal 5 3 5 3" xfId="3418"/>
    <cellStyle name="Normal 5 3 5 3 2" xfId="5527"/>
    <cellStyle name="Normal 5 3 5 3 2 2" xfId="18140"/>
    <cellStyle name="Normal 5 3 5 3 2 2 2" xfId="29283"/>
    <cellStyle name="Normal 5 3 5 3 2 3" xfId="23714"/>
    <cellStyle name="Normal 5 3 5 3 2 4" xfId="9678"/>
    <cellStyle name="Normal 5 3 5 3 3" xfId="16071"/>
    <cellStyle name="Normal 5 3 5 3 3 2" xfId="27214"/>
    <cellStyle name="Normal 5 3 5 3 4" xfId="21645"/>
    <cellStyle name="Normal 5 3 5 3 5" xfId="7609"/>
    <cellStyle name="Normal 5 3 5 4" xfId="4097"/>
    <cellStyle name="Normal 5 3 5 4 2" xfId="16710"/>
    <cellStyle name="Normal 5 3 5 4 2 2" xfId="27853"/>
    <cellStyle name="Normal 5 3 5 4 3" xfId="22284"/>
    <cellStyle name="Normal 5 3 5 4 4" xfId="8248"/>
    <cellStyle name="Normal 5 3 5 5" xfId="11295"/>
    <cellStyle name="Normal 5 3 5 5 2" xfId="14794"/>
    <cellStyle name="Normal 5 3 5 5 2 2" xfId="25937"/>
    <cellStyle name="Normal 5 3 5 5 3" xfId="20368"/>
    <cellStyle name="Normal 5 3 5 6" xfId="13364"/>
    <cellStyle name="Normal 5 3 5 6 2" xfId="24507"/>
    <cellStyle name="Normal 5 3 5 7" xfId="18938"/>
    <cellStyle name="Normal 5 3 5 8" xfId="6332"/>
    <cellStyle name="Normal 5 3 6" xfId="11593"/>
    <cellStyle name="Normal 5 4" xfId="501"/>
    <cellStyle name="Normal 5 4 2" xfId="885"/>
    <cellStyle name="Normal 5 4 2 2" xfId="1624"/>
    <cellStyle name="Normal 5 4 2 2 2" xfId="12720"/>
    <cellStyle name="Normal 5 4 2 3" xfId="2150"/>
    <cellStyle name="Normal 5 4 2 3 2" xfId="2794"/>
    <cellStyle name="Normal 5 4 2 3 2 2" xfId="4903"/>
    <cellStyle name="Normal 5 4 2 3 2 2 2" xfId="17516"/>
    <cellStyle name="Normal 5 4 2 3 2 2 2 2" xfId="28659"/>
    <cellStyle name="Normal 5 4 2 3 2 2 3" xfId="23090"/>
    <cellStyle name="Normal 5 4 2 3 2 2 4" xfId="9054"/>
    <cellStyle name="Normal 5 4 2 3 2 3" xfId="10926"/>
    <cellStyle name="Normal 5 4 2 3 2 3 2" xfId="15447"/>
    <cellStyle name="Normal 5 4 2 3 2 3 2 2" xfId="26590"/>
    <cellStyle name="Normal 5 4 2 3 2 3 3" xfId="21021"/>
    <cellStyle name="Normal 5 4 2 3 2 4" xfId="14017"/>
    <cellStyle name="Normal 5 4 2 3 2 4 2" xfId="25160"/>
    <cellStyle name="Normal 5 4 2 3 2 5" xfId="19591"/>
    <cellStyle name="Normal 5 4 2 3 2 6" xfId="6985"/>
    <cellStyle name="Normal 5 4 2 3 3" xfId="3432"/>
    <cellStyle name="Normal 5 4 2 3 3 2" xfId="5541"/>
    <cellStyle name="Normal 5 4 2 3 3 2 2" xfId="18154"/>
    <cellStyle name="Normal 5 4 2 3 3 2 2 2" xfId="29297"/>
    <cellStyle name="Normal 5 4 2 3 3 2 3" xfId="23728"/>
    <cellStyle name="Normal 5 4 2 3 3 2 4" xfId="9692"/>
    <cellStyle name="Normal 5 4 2 3 3 3" xfId="16085"/>
    <cellStyle name="Normal 5 4 2 3 3 3 2" xfId="27228"/>
    <cellStyle name="Normal 5 4 2 3 3 4" xfId="21659"/>
    <cellStyle name="Normal 5 4 2 3 3 5" xfId="7623"/>
    <cellStyle name="Normal 5 4 2 3 4" xfId="4111"/>
    <cellStyle name="Normal 5 4 2 3 4 2" xfId="16724"/>
    <cellStyle name="Normal 5 4 2 3 4 2 2" xfId="27867"/>
    <cellStyle name="Normal 5 4 2 3 4 3" xfId="22298"/>
    <cellStyle name="Normal 5 4 2 3 4 4" xfId="8262"/>
    <cellStyle name="Normal 5 4 2 3 5" xfId="10469"/>
    <cellStyle name="Normal 5 4 2 3 5 2" xfId="14808"/>
    <cellStyle name="Normal 5 4 2 3 5 2 2" xfId="25951"/>
    <cellStyle name="Normal 5 4 2 3 5 3" xfId="20382"/>
    <cellStyle name="Normal 5 4 2 3 6" xfId="13378"/>
    <cellStyle name="Normal 5 4 2 3 6 2" xfId="24521"/>
    <cellStyle name="Normal 5 4 2 3 7" xfId="18952"/>
    <cellStyle name="Normal 5 4 2 3 8" xfId="6346"/>
    <cellStyle name="Normal 5 4 2 4" xfId="12010"/>
    <cellStyle name="Normal 5 4 3" xfId="1269"/>
    <cellStyle name="Normal 5 4 3 2" xfId="12365"/>
    <cellStyle name="Normal 5 4 4" xfId="11655"/>
    <cellStyle name="Normal 5 5" xfId="707"/>
    <cellStyle name="Normal 5 5 2" xfId="1446"/>
    <cellStyle name="Normal 5 5 2 2" xfId="12542"/>
    <cellStyle name="Normal 5 5 3" xfId="2122"/>
    <cellStyle name="Normal 5 5 3 2" xfId="2774"/>
    <cellStyle name="Normal 5 5 3 2 2" xfId="4883"/>
    <cellStyle name="Normal 5 5 3 2 2 2" xfId="17496"/>
    <cellStyle name="Normal 5 5 3 2 2 2 2" xfId="28639"/>
    <cellStyle name="Normal 5 5 3 2 2 3" xfId="23070"/>
    <cellStyle name="Normal 5 5 3 2 2 4" xfId="9034"/>
    <cellStyle name="Normal 5 5 3 2 3" xfId="11304"/>
    <cellStyle name="Normal 5 5 3 2 3 2" xfId="15427"/>
    <cellStyle name="Normal 5 5 3 2 3 2 2" xfId="26570"/>
    <cellStyle name="Normal 5 5 3 2 3 3" xfId="21001"/>
    <cellStyle name="Normal 5 5 3 2 4" xfId="13997"/>
    <cellStyle name="Normal 5 5 3 2 4 2" xfId="25140"/>
    <cellStyle name="Normal 5 5 3 2 5" xfId="19571"/>
    <cellStyle name="Normal 5 5 3 2 6" xfId="6965"/>
    <cellStyle name="Normal 5 5 3 3" xfId="3412"/>
    <cellStyle name="Normal 5 5 3 3 2" xfId="5521"/>
    <cellStyle name="Normal 5 5 3 3 2 2" xfId="18134"/>
    <cellStyle name="Normal 5 5 3 3 2 2 2" xfId="29277"/>
    <cellStyle name="Normal 5 5 3 3 2 3" xfId="23708"/>
    <cellStyle name="Normal 5 5 3 3 2 4" xfId="9672"/>
    <cellStyle name="Normal 5 5 3 3 3" xfId="16065"/>
    <cellStyle name="Normal 5 5 3 3 3 2" xfId="27208"/>
    <cellStyle name="Normal 5 5 3 3 4" xfId="21639"/>
    <cellStyle name="Normal 5 5 3 3 5" xfId="7603"/>
    <cellStyle name="Normal 5 5 3 4" xfId="4091"/>
    <cellStyle name="Normal 5 5 3 4 2" xfId="16704"/>
    <cellStyle name="Normal 5 5 3 4 2 2" xfId="27847"/>
    <cellStyle name="Normal 5 5 3 4 3" xfId="22278"/>
    <cellStyle name="Normal 5 5 3 4 4" xfId="8242"/>
    <cellStyle name="Normal 5 5 3 5" xfId="10254"/>
    <cellStyle name="Normal 5 5 3 5 2" xfId="14788"/>
    <cellStyle name="Normal 5 5 3 5 2 2" xfId="25931"/>
    <cellStyle name="Normal 5 5 3 5 3" xfId="20362"/>
    <cellStyle name="Normal 5 5 3 6" xfId="13358"/>
    <cellStyle name="Normal 5 5 3 6 2" xfId="24501"/>
    <cellStyle name="Normal 5 5 3 7" xfId="18932"/>
    <cellStyle name="Normal 5 5 3 8" xfId="6326"/>
    <cellStyle name="Normal 5 5 4" xfId="11832"/>
    <cellStyle name="Normal 5 6" xfId="1091"/>
    <cellStyle name="Normal 5 6 2" xfId="2142"/>
    <cellStyle name="Normal 5 6 2 2" xfId="2786"/>
    <cellStyle name="Normal 5 6 2 2 2" xfId="4895"/>
    <cellStyle name="Normal 5 6 2 2 2 2" xfId="17508"/>
    <cellStyle name="Normal 5 6 2 2 2 2 2" xfId="28651"/>
    <cellStyle name="Normal 5 6 2 2 2 3" xfId="23082"/>
    <cellStyle name="Normal 5 6 2 2 2 4" xfId="9046"/>
    <cellStyle name="Normal 5 6 2 2 3" xfId="10656"/>
    <cellStyle name="Normal 5 6 2 2 3 2" xfId="15439"/>
    <cellStyle name="Normal 5 6 2 2 3 2 2" xfId="26582"/>
    <cellStyle name="Normal 5 6 2 2 3 3" xfId="21013"/>
    <cellStyle name="Normal 5 6 2 2 4" xfId="14009"/>
    <cellStyle name="Normal 5 6 2 2 4 2" xfId="25152"/>
    <cellStyle name="Normal 5 6 2 2 5" xfId="19583"/>
    <cellStyle name="Normal 5 6 2 2 6" xfId="6977"/>
    <cellStyle name="Normal 5 6 2 3" xfId="3424"/>
    <cellStyle name="Normal 5 6 2 3 2" xfId="5533"/>
    <cellStyle name="Normal 5 6 2 3 2 2" xfId="18146"/>
    <cellStyle name="Normal 5 6 2 3 2 2 2" xfId="29289"/>
    <cellStyle name="Normal 5 6 2 3 2 3" xfId="23720"/>
    <cellStyle name="Normal 5 6 2 3 2 4" xfId="9684"/>
    <cellStyle name="Normal 5 6 2 3 3" xfId="16077"/>
    <cellStyle name="Normal 5 6 2 3 3 2" xfId="27220"/>
    <cellStyle name="Normal 5 6 2 3 4" xfId="21651"/>
    <cellStyle name="Normal 5 6 2 3 5" xfId="7615"/>
    <cellStyle name="Normal 5 6 2 4" xfId="4103"/>
    <cellStyle name="Normal 5 6 2 4 2" xfId="16716"/>
    <cellStyle name="Normal 5 6 2 4 2 2" xfId="27859"/>
    <cellStyle name="Normal 5 6 2 4 3" xfId="22290"/>
    <cellStyle name="Normal 5 6 2 4 4" xfId="8254"/>
    <cellStyle name="Normal 5 6 2 5" xfId="11017"/>
    <cellStyle name="Normal 5 6 2 5 2" xfId="14800"/>
    <cellStyle name="Normal 5 6 2 5 2 2" xfId="25943"/>
    <cellStyle name="Normal 5 6 2 5 3" xfId="20374"/>
    <cellStyle name="Normal 5 6 2 6" xfId="13370"/>
    <cellStyle name="Normal 5 6 2 6 2" xfId="24513"/>
    <cellStyle name="Normal 5 6 2 7" xfId="18944"/>
    <cellStyle name="Normal 5 6 2 8" xfId="6338"/>
    <cellStyle name="Normal 5 6 3" xfId="12187"/>
    <cellStyle name="Normal 5 7" xfId="10920"/>
    <cellStyle name="Normal 5 7 2" xfId="11477"/>
    <cellStyle name="Normal 5 8" xfId="10729"/>
    <cellStyle name="Normal 5 8 2" xfId="11452"/>
    <cellStyle name="Normal 5 9" xfId="11450"/>
    <cellStyle name="Normal 6" xfId="151"/>
    <cellStyle name="Normal 6 2" xfId="2128"/>
    <cellStyle name="Normal 6 2 2" xfId="12887"/>
    <cellStyle name="Normal 6 3" xfId="2138"/>
    <cellStyle name="Normal 6 4" xfId="2121"/>
    <cellStyle name="Normal 6 4 2" xfId="12885"/>
    <cellStyle name="Normal 6 5" xfId="10771"/>
    <cellStyle name="Normal 6 6" xfId="11451"/>
    <cellStyle name="Normal 7" xfId="69"/>
    <cellStyle name="Normal 7 2" xfId="378"/>
    <cellStyle name="Normal 7 2 2" xfId="557"/>
    <cellStyle name="Normal 7 2 2 2" xfId="940"/>
    <cellStyle name="Normal 7 2 2 2 2" xfId="1679"/>
    <cellStyle name="Normal 7 2 2 2 2 2" xfId="12775"/>
    <cellStyle name="Normal 7 2 2 2 3" xfId="12065"/>
    <cellStyle name="Normal 7 2 2 3" xfId="1324"/>
    <cellStyle name="Normal 7 2 2 3 2" xfId="12420"/>
    <cellStyle name="Normal 7 2 2 4" xfId="11710"/>
    <cellStyle name="Normal 7 2 3" xfId="762"/>
    <cellStyle name="Normal 7 2 3 2" xfId="1501"/>
    <cellStyle name="Normal 7 2 3 2 2" xfId="12597"/>
    <cellStyle name="Normal 7 2 3 3" xfId="11887"/>
    <cellStyle name="Normal 7 2 4" xfId="1146"/>
    <cellStyle name="Normal 7 2 4 2" xfId="12242"/>
    <cellStyle name="Normal 7 2 5" xfId="11532"/>
    <cellStyle name="Normal 7 3" xfId="433"/>
    <cellStyle name="Normal 7 3 2" xfId="612"/>
    <cellStyle name="Normal 7 3 2 2" xfId="995"/>
    <cellStyle name="Normal 7 3 2 2 2" xfId="1734"/>
    <cellStyle name="Normal 7 3 2 2 2 2" xfId="12830"/>
    <cellStyle name="Normal 7 3 2 2 3" xfId="12120"/>
    <cellStyle name="Normal 7 3 2 3" xfId="1379"/>
    <cellStyle name="Normal 7 3 2 3 2" xfId="12475"/>
    <cellStyle name="Normal 7 3 2 4" xfId="11765"/>
    <cellStyle name="Normal 7 3 3" xfId="817"/>
    <cellStyle name="Normal 7 3 3 2" xfId="1556"/>
    <cellStyle name="Normal 7 3 3 2 2" xfId="12652"/>
    <cellStyle name="Normal 7 3 3 3" xfId="11942"/>
    <cellStyle name="Normal 7 3 4" xfId="1201"/>
    <cellStyle name="Normal 7 3 4 2" xfId="12297"/>
    <cellStyle name="Normal 7 3 5" xfId="11587"/>
    <cellStyle name="Normal 7 4" xfId="495"/>
    <cellStyle name="Normal 7 4 2" xfId="879"/>
    <cellStyle name="Normal 7 4 2 2" xfId="1618"/>
    <cellStyle name="Normal 7 4 2 2 2" xfId="12714"/>
    <cellStyle name="Normal 7 4 2 3" xfId="12004"/>
    <cellStyle name="Normal 7 4 3" xfId="1263"/>
    <cellStyle name="Normal 7 4 3 2" xfId="12359"/>
    <cellStyle name="Normal 7 4 4" xfId="11649"/>
    <cellStyle name="Normal 7 5" xfId="701"/>
    <cellStyle name="Normal 7 5 2" xfId="1440"/>
    <cellStyle name="Normal 7 5 2 2" xfId="12536"/>
    <cellStyle name="Normal 7 5 3" xfId="11826"/>
    <cellStyle name="Normal 7 6" xfId="1085"/>
    <cellStyle name="Normal 7 6 2" xfId="12181"/>
    <cellStyle name="Normal 7 7" xfId="11471"/>
    <cellStyle name="Normal 8" xfId="71"/>
    <cellStyle name="Normal 8 2" xfId="178"/>
    <cellStyle name="Normal 9" xfId="180"/>
    <cellStyle name="Normal 9 2" xfId="221"/>
    <cellStyle name="Normal 9 3" xfId="2333"/>
    <cellStyle name="Note 2" xfId="133"/>
    <cellStyle name="Note 2 10" xfId="3123"/>
    <cellStyle name="Note 2 10 2" xfId="5232"/>
    <cellStyle name="Note 2 10 2 2" xfId="17845"/>
    <cellStyle name="Note 2 10 2 2 2" xfId="28988"/>
    <cellStyle name="Note 2 10 2 3" xfId="23419"/>
    <cellStyle name="Note 2 10 2 4" xfId="9383"/>
    <cellStyle name="Note 2 10 3" xfId="15776"/>
    <cellStyle name="Note 2 10 3 2" xfId="26919"/>
    <cellStyle name="Note 2 10 4" xfId="21350"/>
    <cellStyle name="Note 2 10 5" xfId="7314"/>
    <cellStyle name="Note 2 11" xfId="3802"/>
    <cellStyle name="Note 2 11 2" xfId="16415"/>
    <cellStyle name="Note 2 11 2 2" xfId="27558"/>
    <cellStyle name="Note 2 11 3" xfId="21989"/>
    <cellStyle name="Note 2 11 4" xfId="7953"/>
    <cellStyle name="Note 2 12" xfId="11413"/>
    <cellStyle name="Note 2 12 2" xfId="14346"/>
    <cellStyle name="Note 2 12 2 2" xfId="25489"/>
    <cellStyle name="Note 2 12 3" xfId="19920"/>
    <cellStyle name="Note 2 13" xfId="12915"/>
    <cellStyle name="Note 2 13 2" xfId="24059"/>
    <cellStyle name="Note 2 14" xfId="18490"/>
    <cellStyle name="Note 2 15" xfId="5883"/>
    <cellStyle name="Note 2 2" xfId="235"/>
    <cellStyle name="Note 2 2 10" xfId="3821"/>
    <cellStyle name="Note 2 2 10 2" xfId="16434"/>
    <cellStyle name="Note 2 2 10 2 2" xfId="27577"/>
    <cellStyle name="Note 2 2 10 3" xfId="22008"/>
    <cellStyle name="Note 2 2 10 4" xfId="7972"/>
    <cellStyle name="Note 2 2 11" xfId="11085"/>
    <cellStyle name="Note 2 2 11 2" xfId="14365"/>
    <cellStyle name="Note 2 2 11 2 2" xfId="25508"/>
    <cellStyle name="Note 2 2 11 3" xfId="19939"/>
    <cellStyle name="Note 2 2 12" xfId="12934"/>
    <cellStyle name="Note 2 2 12 2" xfId="24078"/>
    <cellStyle name="Note 2 2 13" xfId="18509"/>
    <cellStyle name="Note 2 2 14" xfId="5902"/>
    <cellStyle name="Note 2 2 2" xfId="273"/>
    <cellStyle name="Note 2 2 2 10" xfId="10534"/>
    <cellStyle name="Note 2 2 2 10 2" xfId="14403"/>
    <cellStyle name="Note 2 2 2 10 2 2" xfId="25546"/>
    <cellStyle name="Note 2 2 2 10 3" xfId="19977"/>
    <cellStyle name="Note 2 2 2 11" xfId="12972"/>
    <cellStyle name="Note 2 2 2 11 2" xfId="24116"/>
    <cellStyle name="Note 2 2 2 12" xfId="18547"/>
    <cellStyle name="Note 2 2 2 13" xfId="5940"/>
    <cellStyle name="Note 2 2 2 2" xfId="349"/>
    <cellStyle name="Note 2 2 2 2 10" xfId="13048"/>
    <cellStyle name="Note 2 2 2 2 10 2" xfId="24192"/>
    <cellStyle name="Note 2 2 2 2 11" xfId="18623"/>
    <cellStyle name="Note 2 2 2 2 12" xfId="6016"/>
    <cellStyle name="Note 2 2 2 2 2" xfId="2307"/>
    <cellStyle name="Note 2 2 2 2 2 2" xfId="2951"/>
    <cellStyle name="Note 2 2 2 2 2 2 2" xfId="5060"/>
    <cellStyle name="Note 2 2 2 2 2 2 2 2" xfId="17673"/>
    <cellStyle name="Note 2 2 2 2 2 2 2 2 2" xfId="28816"/>
    <cellStyle name="Note 2 2 2 2 2 2 2 3" xfId="23247"/>
    <cellStyle name="Note 2 2 2 2 2 2 2 4" xfId="9211"/>
    <cellStyle name="Note 2 2 2 2 2 2 3" xfId="11055"/>
    <cellStyle name="Note 2 2 2 2 2 2 3 2" xfId="15604"/>
    <cellStyle name="Note 2 2 2 2 2 2 3 2 2" xfId="26747"/>
    <cellStyle name="Note 2 2 2 2 2 2 3 3" xfId="21178"/>
    <cellStyle name="Note 2 2 2 2 2 2 4" xfId="14174"/>
    <cellStyle name="Note 2 2 2 2 2 2 4 2" xfId="25317"/>
    <cellStyle name="Note 2 2 2 2 2 2 5" xfId="19748"/>
    <cellStyle name="Note 2 2 2 2 2 2 6" xfId="7142"/>
    <cellStyle name="Note 2 2 2 2 2 3" xfId="3589"/>
    <cellStyle name="Note 2 2 2 2 2 3 2" xfId="5698"/>
    <cellStyle name="Note 2 2 2 2 2 3 2 2" xfId="18311"/>
    <cellStyle name="Note 2 2 2 2 2 3 2 2 2" xfId="29454"/>
    <cellStyle name="Note 2 2 2 2 2 3 2 3" xfId="23885"/>
    <cellStyle name="Note 2 2 2 2 2 3 2 4" xfId="9849"/>
    <cellStyle name="Note 2 2 2 2 2 3 3" xfId="16242"/>
    <cellStyle name="Note 2 2 2 2 2 3 3 2" xfId="27385"/>
    <cellStyle name="Note 2 2 2 2 2 3 4" xfId="21816"/>
    <cellStyle name="Note 2 2 2 2 2 3 5" xfId="7780"/>
    <cellStyle name="Note 2 2 2 2 2 4" xfId="4268"/>
    <cellStyle name="Note 2 2 2 2 2 4 2" xfId="16881"/>
    <cellStyle name="Note 2 2 2 2 2 4 2 2" xfId="28024"/>
    <cellStyle name="Note 2 2 2 2 2 4 3" xfId="22455"/>
    <cellStyle name="Note 2 2 2 2 2 4 4" xfId="8419"/>
    <cellStyle name="Note 2 2 2 2 2 5" xfId="10628"/>
    <cellStyle name="Note 2 2 2 2 2 5 2" xfId="14965"/>
    <cellStyle name="Note 2 2 2 2 2 5 2 2" xfId="26108"/>
    <cellStyle name="Note 2 2 2 2 2 5 3" xfId="20539"/>
    <cellStyle name="Note 2 2 2 2 2 6" xfId="13535"/>
    <cellStyle name="Note 2 2 2 2 2 6 2" xfId="24678"/>
    <cellStyle name="Note 2 2 2 2 2 7" xfId="19109"/>
    <cellStyle name="Note 2 2 2 2 2 8" xfId="6503"/>
    <cellStyle name="Note 2 2 2 2 3" xfId="2115"/>
    <cellStyle name="Note 2 2 2 2 3 2" xfId="2770"/>
    <cellStyle name="Note 2 2 2 2 3 2 2" xfId="4879"/>
    <cellStyle name="Note 2 2 2 2 3 2 2 2" xfId="17492"/>
    <cellStyle name="Note 2 2 2 2 3 2 2 2 2" xfId="28635"/>
    <cellStyle name="Note 2 2 2 2 3 2 2 3" xfId="23066"/>
    <cellStyle name="Note 2 2 2 2 3 2 2 4" xfId="9030"/>
    <cellStyle name="Note 2 2 2 2 3 2 3" xfId="10133"/>
    <cellStyle name="Note 2 2 2 2 3 2 3 2" xfId="15423"/>
    <cellStyle name="Note 2 2 2 2 3 2 3 2 2" xfId="26566"/>
    <cellStyle name="Note 2 2 2 2 3 2 3 3" xfId="20997"/>
    <cellStyle name="Note 2 2 2 2 3 2 4" xfId="13993"/>
    <cellStyle name="Note 2 2 2 2 3 2 4 2" xfId="25136"/>
    <cellStyle name="Note 2 2 2 2 3 2 5" xfId="19567"/>
    <cellStyle name="Note 2 2 2 2 3 2 6" xfId="6961"/>
    <cellStyle name="Note 2 2 2 2 3 3" xfId="3408"/>
    <cellStyle name="Note 2 2 2 2 3 3 2" xfId="5517"/>
    <cellStyle name="Note 2 2 2 2 3 3 2 2" xfId="18130"/>
    <cellStyle name="Note 2 2 2 2 3 3 2 2 2" xfId="29273"/>
    <cellStyle name="Note 2 2 2 2 3 3 2 3" xfId="23704"/>
    <cellStyle name="Note 2 2 2 2 3 3 2 4" xfId="9668"/>
    <cellStyle name="Note 2 2 2 2 3 3 3" xfId="16061"/>
    <cellStyle name="Note 2 2 2 2 3 3 3 2" xfId="27204"/>
    <cellStyle name="Note 2 2 2 2 3 3 4" xfId="21635"/>
    <cellStyle name="Note 2 2 2 2 3 3 5" xfId="7599"/>
    <cellStyle name="Note 2 2 2 2 3 4" xfId="4087"/>
    <cellStyle name="Note 2 2 2 2 3 4 2" xfId="16700"/>
    <cellStyle name="Note 2 2 2 2 3 4 2 2" xfId="27843"/>
    <cellStyle name="Note 2 2 2 2 3 4 3" xfId="22274"/>
    <cellStyle name="Note 2 2 2 2 3 4 4" xfId="8238"/>
    <cellStyle name="Note 2 2 2 2 3 5" xfId="10095"/>
    <cellStyle name="Note 2 2 2 2 3 5 2" xfId="14784"/>
    <cellStyle name="Note 2 2 2 2 3 5 2 2" xfId="25927"/>
    <cellStyle name="Note 2 2 2 2 3 5 3" xfId="20358"/>
    <cellStyle name="Note 2 2 2 2 3 6" xfId="13354"/>
    <cellStyle name="Note 2 2 2 2 3 6 2" xfId="24497"/>
    <cellStyle name="Note 2 2 2 2 3 7" xfId="18928"/>
    <cellStyle name="Note 2 2 2 2 3 8" xfId="6322"/>
    <cellStyle name="Note 2 2 2 2 4" xfId="2462"/>
    <cellStyle name="Note 2 2 2 2 4 2" xfId="3103"/>
    <cellStyle name="Note 2 2 2 2 4 2 2" xfId="5212"/>
    <cellStyle name="Note 2 2 2 2 4 2 2 2" xfId="17825"/>
    <cellStyle name="Note 2 2 2 2 4 2 2 2 2" xfId="28968"/>
    <cellStyle name="Note 2 2 2 2 4 2 2 3" xfId="23399"/>
    <cellStyle name="Note 2 2 2 2 4 2 2 4" xfId="9363"/>
    <cellStyle name="Note 2 2 2 2 4 2 3" xfId="11120"/>
    <cellStyle name="Note 2 2 2 2 4 2 3 2" xfId="15756"/>
    <cellStyle name="Note 2 2 2 2 4 2 3 2 2" xfId="26899"/>
    <cellStyle name="Note 2 2 2 2 4 2 3 3" xfId="21330"/>
    <cellStyle name="Note 2 2 2 2 4 2 4" xfId="14326"/>
    <cellStyle name="Note 2 2 2 2 4 2 4 2" xfId="25469"/>
    <cellStyle name="Note 2 2 2 2 4 2 5" xfId="19900"/>
    <cellStyle name="Note 2 2 2 2 4 2 6" xfId="7294"/>
    <cellStyle name="Note 2 2 2 2 4 3" xfId="3741"/>
    <cellStyle name="Note 2 2 2 2 4 3 2" xfId="5850"/>
    <cellStyle name="Note 2 2 2 2 4 3 2 2" xfId="18463"/>
    <cellStyle name="Note 2 2 2 2 4 3 2 2 2" xfId="29606"/>
    <cellStyle name="Note 2 2 2 2 4 3 2 3" xfId="24037"/>
    <cellStyle name="Note 2 2 2 2 4 3 2 4" xfId="10001"/>
    <cellStyle name="Note 2 2 2 2 4 3 3" xfId="16394"/>
    <cellStyle name="Note 2 2 2 2 4 3 3 2" xfId="27537"/>
    <cellStyle name="Note 2 2 2 2 4 3 4" xfId="21968"/>
    <cellStyle name="Note 2 2 2 2 4 3 5" xfId="7932"/>
    <cellStyle name="Note 2 2 2 2 4 4" xfId="4420"/>
    <cellStyle name="Note 2 2 2 2 4 4 2" xfId="17033"/>
    <cellStyle name="Note 2 2 2 2 4 4 2 2" xfId="28176"/>
    <cellStyle name="Note 2 2 2 2 4 4 3" xfId="22607"/>
    <cellStyle name="Note 2 2 2 2 4 4 4" xfId="8571"/>
    <cellStyle name="Note 2 2 2 2 4 5" xfId="11153"/>
    <cellStyle name="Note 2 2 2 2 4 5 2" xfId="15117"/>
    <cellStyle name="Note 2 2 2 2 4 5 2 2" xfId="26260"/>
    <cellStyle name="Note 2 2 2 2 4 5 3" xfId="20691"/>
    <cellStyle name="Note 2 2 2 2 4 6" xfId="13687"/>
    <cellStyle name="Note 2 2 2 2 4 6 2" xfId="24830"/>
    <cellStyle name="Note 2 2 2 2 4 7" xfId="19261"/>
    <cellStyle name="Note 2 2 2 2 4 8" xfId="6655"/>
    <cellStyle name="Note 2 2 2 2 5" xfId="1925"/>
    <cellStyle name="Note 2 2 2 2 5 2" xfId="4573"/>
    <cellStyle name="Note 2 2 2 2 5 2 2" xfId="17186"/>
    <cellStyle name="Note 2 2 2 2 5 2 2 2" xfId="28329"/>
    <cellStyle name="Note 2 2 2 2 5 2 3" xfId="22760"/>
    <cellStyle name="Note 2 2 2 2 5 2 4" xfId="8724"/>
    <cellStyle name="Note 2 2 2 2 5 3" xfId="10519"/>
    <cellStyle name="Note 2 2 2 2 5 3 2" xfId="14632"/>
    <cellStyle name="Note 2 2 2 2 5 3 2 2" xfId="25775"/>
    <cellStyle name="Note 2 2 2 2 5 3 3" xfId="20206"/>
    <cellStyle name="Note 2 2 2 2 5 4" xfId="13202"/>
    <cellStyle name="Note 2 2 2 2 5 4 2" xfId="24345"/>
    <cellStyle name="Note 2 2 2 2 5 5" xfId="18776"/>
    <cellStyle name="Note 2 2 2 2 5 6" xfId="6170"/>
    <cellStyle name="Note 2 2 2 2 6" xfId="2618"/>
    <cellStyle name="Note 2 2 2 2 6 2" xfId="4727"/>
    <cellStyle name="Note 2 2 2 2 6 2 2" xfId="17340"/>
    <cellStyle name="Note 2 2 2 2 6 2 2 2" xfId="28483"/>
    <cellStyle name="Note 2 2 2 2 6 2 3" xfId="22914"/>
    <cellStyle name="Note 2 2 2 2 6 2 4" xfId="8878"/>
    <cellStyle name="Note 2 2 2 2 6 3" xfId="10210"/>
    <cellStyle name="Note 2 2 2 2 6 3 2" xfId="15271"/>
    <cellStyle name="Note 2 2 2 2 6 3 2 2" xfId="26414"/>
    <cellStyle name="Note 2 2 2 2 6 3 3" xfId="20845"/>
    <cellStyle name="Note 2 2 2 2 6 4" xfId="13841"/>
    <cellStyle name="Note 2 2 2 2 6 4 2" xfId="24984"/>
    <cellStyle name="Note 2 2 2 2 6 5" xfId="19415"/>
    <cellStyle name="Note 2 2 2 2 6 6" xfId="6809"/>
    <cellStyle name="Note 2 2 2 2 7" xfId="3256"/>
    <cellStyle name="Note 2 2 2 2 7 2" xfId="5365"/>
    <cellStyle name="Note 2 2 2 2 7 2 2" xfId="17978"/>
    <cellStyle name="Note 2 2 2 2 7 2 2 2" xfId="29121"/>
    <cellStyle name="Note 2 2 2 2 7 2 3" xfId="23552"/>
    <cellStyle name="Note 2 2 2 2 7 2 4" xfId="9516"/>
    <cellStyle name="Note 2 2 2 2 7 3" xfId="15909"/>
    <cellStyle name="Note 2 2 2 2 7 3 2" xfId="27052"/>
    <cellStyle name="Note 2 2 2 2 7 4" xfId="21483"/>
    <cellStyle name="Note 2 2 2 2 7 5" xfId="7447"/>
    <cellStyle name="Note 2 2 2 2 8" xfId="3935"/>
    <cellStyle name="Note 2 2 2 2 8 2" xfId="16548"/>
    <cellStyle name="Note 2 2 2 2 8 2 2" xfId="27691"/>
    <cellStyle name="Note 2 2 2 2 8 3" xfId="22122"/>
    <cellStyle name="Note 2 2 2 2 8 4" xfId="8086"/>
    <cellStyle name="Note 2 2 2 2 9" xfId="10388"/>
    <cellStyle name="Note 2 2 2 2 9 2" xfId="14479"/>
    <cellStyle name="Note 2 2 2 2 9 2 2" xfId="25622"/>
    <cellStyle name="Note 2 2 2 2 9 3" xfId="20053"/>
    <cellStyle name="Note 2 2 2 3" xfId="2231"/>
    <cellStyle name="Note 2 2 2 3 2" xfId="2875"/>
    <cellStyle name="Note 2 2 2 3 2 2" xfId="4984"/>
    <cellStyle name="Note 2 2 2 3 2 2 2" xfId="17597"/>
    <cellStyle name="Note 2 2 2 3 2 2 2 2" xfId="28740"/>
    <cellStyle name="Note 2 2 2 3 2 2 3" xfId="23171"/>
    <cellStyle name="Note 2 2 2 3 2 2 4" xfId="9135"/>
    <cellStyle name="Note 2 2 2 3 2 3" xfId="10669"/>
    <cellStyle name="Note 2 2 2 3 2 3 2" xfId="15528"/>
    <cellStyle name="Note 2 2 2 3 2 3 2 2" xfId="26671"/>
    <cellStyle name="Note 2 2 2 3 2 3 3" xfId="21102"/>
    <cellStyle name="Note 2 2 2 3 2 4" xfId="14098"/>
    <cellStyle name="Note 2 2 2 3 2 4 2" xfId="25241"/>
    <cellStyle name="Note 2 2 2 3 2 5" xfId="19672"/>
    <cellStyle name="Note 2 2 2 3 2 6" xfId="7066"/>
    <cellStyle name="Note 2 2 2 3 3" xfId="3513"/>
    <cellStyle name="Note 2 2 2 3 3 2" xfId="5622"/>
    <cellStyle name="Note 2 2 2 3 3 2 2" xfId="18235"/>
    <cellStyle name="Note 2 2 2 3 3 2 2 2" xfId="29378"/>
    <cellStyle name="Note 2 2 2 3 3 2 3" xfId="23809"/>
    <cellStyle name="Note 2 2 2 3 3 2 4" xfId="9773"/>
    <cellStyle name="Note 2 2 2 3 3 3" xfId="16166"/>
    <cellStyle name="Note 2 2 2 3 3 3 2" xfId="27309"/>
    <cellStyle name="Note 2 2 2 3 3 4" xfId="21740"/>
    <cellStyle name="Note 2 2 2 3 3 5" xfId="7704"/>
    <cellStyle name="Note 2 2 2 3 4" xfId="4192"/>
    <cellStyle name="Note 2 2 2 3 4 2" xfId="16805"/>
    <cellStyle name="Note 2 2 2 3 4 2 2" xfId="27948"/>
    <cellStyle name="Note 2 2 2 3 4 3" xfId="22379"/>
    <cellStyle name="Note 2 2 2 3 4 4" xfId="8343"/>
    <cellStyle name="Note 2 2 2 3 5" xfId="10794"/>
    <cellStyle name="Note 2 2 2 3 5 2" xfId="14889"/>
    <cellStyle name="Note 2 2 2 3 5 2 2" xfId="26032"/>
    <cellStyle name="Note 2 2 2 3 5 3" xfId="20463"/>
    <cellStyle name="Note 2 2 2 3 6" xfId="13459"/>
    <cellStyle name="Note 2 2 2 3 6 2" xfId="24602"/>
    <cellStyle name="Note 2 2 2 3 7" xfId="19033"/>
    <cellStyle name="Note 2 2 2 3 8" xfId="6427"/>
    <cellStyle name="Note 2 2 2 4" xfId="2039"/>
    <cellStyle name="Note 2 2 2 4 2" xfId="2694"/>
    <cellStyle name="Note 2 2 2 4 2 2" xfId="4803"/>
    <cellStyle name="Note 2 2 2 4 2 2 2" xfId="17416"/>
    <cellStyle name="Note 2 2 2 4 2 2 2 2" xfId="28559"/>
    <cellStyle name="Note 2 2 2 4 2 2 3" xfId="22990"/>
    <cellStyle name="Note 2 2 2 4 2 2 4" xfId="8954"/>
    <cellStyle name="Note 2 2 2 4 2 3" xfId="10216"/>
    <cellStyle name="Note 2 2 2 4 2 3 2" xfId="15347"/>
    <cellStyle name="Note 2 2 2 4 2 3 2 2" xfId="26490"/>
    <cellStyle name="Note 2 2 2 4 2 3 3" xfId="20921"/>
    <cellStyle name="Note 2 2 2 4 2 4" xfId="13917"/>
    <cellStyle name="Note 2 2 2 4 2 4 2" xfId="25060"/>
    <cellStyle name="Note 2 2 2 4 2 5" xfId="19491"/>
    <cellStyle name="Note 2 2 2 4 2 6" xfId="6885"/>
    <cellStyle name="Note 2 2 2 4 3" xfId="3332"/>
    <cellStyle name="Note 2 2 2 4 3 2" xfId="5441"/>
    <cellStyle name="Note 2 2 2 4 3 2 2" xfId="18054"/>
    <cellStyle name="Note 2 2 2 4 3 2 2 2" xfId="29197"/>
    <cellStyle name="Note 2 2 2 4 3 2 3" xfId="23628"/>
    <cellStyle name="Note 2 2 2 4 3 2 4" xfId="9592"/>
    <cellStyle name="Note 2 2 2 4 3 3" xfId="15985"/>
    <cellStyle name="Note 2 2 2 4 3 3 2" xfId="27128"/>
    <cellStyle name="Note 2 2 2 4 3 4" xfId="21559"/>
    <cellStyle name="Note 2 2 2 4 3 5" xfId="7523"/>
    <cellStyle name="Note 2 2 2 4 4" xfId="4011"/>
    <cellStyle name="Note 2 2 2 4 4 2" xfId="16624"/>
    <cellStyle name="Note 2 2 2 4 4 2 2" xfId="27767"/>
    <cellStyle name="Note 2 2 2 4 4 3" xfId="22198"/>
    <cellStyle name="Note 2 2 2 4 4 4" xfId="8162"/>
    <cellStyle name="Note 2 2 2 4 5" xfId="11382"/>
    <cellStyle name="Note 2 2 2 4 5 2" xfId="14708"/>
    <cellStyle name="Note 2 2 2 4 5 2 2" xfId="25851"/>
    <cellStyle name="Note 2 2 2 4 5 3" xfId="20282"/>
    <cellStyle name="Note 2 2 2 4 6" xfId="13278"/>
    <cellStyle name="Note 2 2 2 4 6 2" xfId="24421"/>
    <cellStyle name="Note 2 2 2 4 7" xfId="18852"/>
    <cellStyle name="Note 2 2 2 4 8" xfId="6246"/>
    <cellStyle name="Note 2 2 2 5" xfId="2386"/>
    <cellStyle name="Note 2 2 2 5 2" xfId="3027"/>
    <cellStyle name="Note 2 2 2 5 2 2" xfId="5136"/>
    <cellStyle name="Note 2 2 2 5 2 2 2" xfId="17749"/>
    <cellStyle name="Note 2 2 2 5 2 2 2 2" xfId="28892"/>
    <cellStyle name="Note 2 2 2 5 2 2 3" xfId="23323"/>
    <cellStyle name="Note 2 2 2 5 2 2 4" xfId="9287"/>
    <cellStyle name="Note 2 2 2 5 2 3" xfId="10155"/>
    <cellStyle name="Note 2 2 2 5 2 3 2" xfId="15680"/>
    <cellStyle name="Note 2 2 2 5 2 3 2 2" xfId="26823"/>
    <cellStyle name="Note 2 2 2 5 2 3 3" xfId="21254"/>
    <cellStyle name="Note 2 2 2 5 2 4" xfId="14250"/>
    <cellStyle name="Note 2 2 2 5 2 4 2" xfId="25393"/>
    <cellStyle name="Note 2 2 2 5 2 5" xfId="19824"/>
    <cellStyle name="Note 2 2 2 5 2 6" xfId="7218"/>
    <cellStyle name="Note 2 2 2 5 3" xfId="3665"/>
    <cellStyle name="Note 2 2 2 5 3 2" xfId="5774"/>
    <cellStyle name="Note 2 2 2 5 3 2 2" xfId="18387"/>
    <cellStyle name="Note 2 2 2 5 3 2 2 2" xfId="29530"/>
    <cellStyle name="Note 2 2 2 5 3 2 3" xfId="23961"/>
    <cellStyle name="Note 2 2 2 5 3 2 4" xfId="9925"/>
    <cellStyle name="Note 2 2 2 5 3 3" xfId="16318"/>
    <cellStyle name="Note 2 2 2 5 3 3 2" xfId="27461"/>
    <cellStyle name="Note 2 2 2 5 3 4" xfId="21892"/>
    <cellStyle name="Note 2 2 2 5 3 5" xfId="7856"/>
    <cellStyle name="Note 2 2 2 5 4" xfId="4344"/>
    <cellStyle name="Note 2 2 2 5 4 2" xfId="16957"/>
    <cellStyle name="Note 2 2 2 5 4 2 2" xfId="28100"/>
    <cellStyle name="Note 2 2 2 5 4 3" xfId="22531"/>
    <cellStyle name="Note 2 2 2 5 4 4" xfId="8495"/>
    <cellStyle name="Note 2 2 2 5 5" xfId="10478"/>
    <cellStyle name="Note 2 2 2 5 5 2" xfId="15041"/>
    <cellStyle name="Note 2 2 2 5 5 2 2" xfId="26184"/>
    <cellStyle name="Note 2 2 2 5 5 3" xfId="20615"/>
    <cellStyle name="Note 2 2 2 5 6" xfId="13611"/>
    <cellStyle name="Note 2 2 2 5 6 2" xfId="24754"/>
    <cellStyle name="Note 2 2 2 5 7" xfId="19185"/>
    <cellStyle name="Note 2 2 2 5 8" xfId="6579"/>
    <cellStyle name="Note 2 2 2 6" xfId="1849"/>
    <cellStyle name="Note 2 2 2 6 2" xfId="4497"/>
    <cellStyle name="Note 2 2 2 6 2 2" xfId="17110"/>
    <cellStyle name="Note 2 2 2 6 2 2 2" xfId="28253"/>
    <cellStyle name="Note 2 2 2 6 2 3" xfId="22684"/>
    <cellStyle name="Note 2 2 2 6 2 4" xfId="8648"/>
    <cellStyle name="Note 2 2 2 6 3" xfId="10573"/>
    <cellStyle name="Note 2 2 2 6 3 2" xfId="14556"/>
    <cellStyle name="Note 2 2 2 6 3 2 2" xfId="25699"/>
    <cellStyle name="Note 2 2 2 6 3 3" xfId="20130"/>
    <cellStyle name="Note 2 2 2 6 4" xfId="13126"/>
    <cellStyle name="Note 2 2 2 6 4 2" xfId="24269"/>
    <cellStyle name="Note 2 2 2 6 5" xfId="18700"/>
    <cellStyle name="Note 2 2 2 6 6" xfId="6094"/>
    <cellStyle name="Note 2 2 2 7" xfId="2542"/>
    <cellStyle name="Note 2 2 2 7 2" xfId="4651"/>
    <cellStyle name="Note 2 2 2 7 2 2" xfId="17264"/>
    <cellStyle name="Note 2 2 2 7 2 2 2" xfId="28407"/>
    <cellStyle name="Note 2 2 2 7 2 3" xfId="22838"/>
    <cellStyle name="Note 2 2 2 7 2 4" xfId="8802"/>
    <cellStyle name="Note 2 2 2 7 3" xfId="10111"/>
    <cellStyle name="Note 2 2 2 7 3 2" xfId="15195"/>
    <cellStyle name="Note 2 2 2 7 3 2 2" xfId="26338"/>
    <cellStyle name="Note 2 2 2 7 3 3" xfId="20769"/>
    <cellStyle name="Note 2 2 2 7 4" xfId="13765"/>
    <cellStyle name="Note 2 2 2 7 4 2" xfId="24908"/>
    <cellStyle name="Note 2 2 2 7 5" xfId="19339"/>
    <cellStyle name="Note 2 2 2 7 6" xfId="6733"/>
    <cellStyle name="Note 2 2 2 8" xfId="3180"/>
    <cellStyle name="Note 2 2 2 8 2" xfId="5289"/>
    <cellStyle name="Note 2 2 2 8 2 2" xfId="17902"/>
    <cellStyle name="Note 2 2 2 8 2 2 2" xfId="29045"/>
    <cellStyle name="Note 2 2 2 8 2 3" xfId="23476"/>
    <cellStyle name="Note 2 2 2 8 2 4" xfId="9440"/>
    <cellStyle name="Note 2 2 2 8 3" xfId="15833"/>
    <cellStyle name="Note 2 2 2 8 3 2" xfId="26976"/>
    <cellStyle name="Note 2 2 2 8 4" xfId="21407"/>
    <cellStyle name="Note 2 2 2 8 5" xfId="7371"/>
    <cellStyle name="Note 2 2 2 9" xfId="3859"/>
    <cellStyle name="Note 2 2 2 9 2" xfId="16472"/>
    <cellStyle name="Note 2 2 2 9 2 2" xfId="27615"/>
    <cellStyle name="Note 2 2 2 9 3" xfId="22046"/>
    <cellStyle name="Note 2 2 2 9 4" xfId="8010"/>
    <cellStyle name="Note 2 2 3" xfId="311"/>
    <cellStyle name="Note 2 2 3 10" xfId="13010"/>
    <cellStyle name="Note 2 2 3 10 2" xfId="24154"/>
    <cellStyle name="Note 2 2 3 11" xfId="18585"/>
    <cellStyle name="Note 2 2 3 12" xfId="5978"/>
    <cellStyle name="Note 2 2 3 2" xfId="2269"/>
    <cellStyle name="Note 2 2 3 2 2" xfId="2913"/>
    <cellStyle name="Note 2 2 3 2 2 2" xfId="5022"/>
    <cellStyle name="Note 2 2 3 2 2 2 2" xfId="17635"/>
    <cellStyle name="Note 2 2 3 2 2 2 2 2" xfId="28778"/>
    <cellStyle name="Note 2 2 3 2 2 2 3" xfId="23209"/>
    <cellStyle name="Note 2 2 3 2 2 2 4" xfId="9173"/>
    <cellStyle name="Note 2 2 3 2 2 3" xfId="10435"/>
    <cellStyle name="Note 2 2 3 2 2 3 2" xfId="15566"/>
    <cellStyle name="Note 2 2 3 2 2 3 2 2" xfId="26709"/>
    <cellStyle name="Note 2 2 3 2 2 3 3" xfId="21140"/>
    <cellStyle name="Note 2 2 3 2 2 4" xfId="14136"/>
    <cellStyle name="Note 2 2 3 2 2 4 2" xfId="25279"/>
    <cellStyle name="Note 2 2 3 2 2 5" xfId="19710"/>
    <cellStyle name="Note 2 2 3 2 2 6" xfId="7104"/>
    <cellStyle name="Note 2 2 3 2 3" xfId="3551"/>
    <cellStyle name="Note 2 2 3 2 3 2" xfId="5660"/>
    <cellStyle name="Note 2 2 3 2 3 2 2" xfId="18273"/>
    <cellStyle name="Note 2 2 3 2 3 2 2 2" xfId="29416"/>
    <cellStyle name="Note 2 2 3 2 3 2 3" xfId="23847"/>
    <cellStyle name="Note 2 2 3 2 3 2 4" xfId="9811"/>
    <cellStyle name="Note 2 2 3 2 3 3" xfId="16204"/>
    <cellStyle name="Note 2 2 3 2 3 3 2" xfId="27347"/>
    <cellStyle name="Note 2 2 3 2 3 4" xfId="21778"/>
    <cellStyle name="Note 2 2 3 2 3 5" xfId="7742"/>
    <cellStyle name="Note 2 2 3 2 4" xfId="4230"/>
    <cellStyle name="Note 2 2 3 2 4 2" xfId="16843"/>
    <cellStyle name="Note 2 2 3 2 4 2 2" xfId="27986"/>
    <cellStyle name="Note 2 2 3 2 4 3" xfId="22417"/>
    <cellStyle name="Note 2 2 3 2 4 4" xfId="8381"/>
    <cellStyle name="Note 2 2 3 2 5" xfId="10673"/>
    <cellStyle name="Note 2 2 3 2 5 2" xfId="14927"/>
    <cellStyle name="Note 2 2 3 2 5 2 2" xfId="26070"/>
    <cellStyle name="Note 2 2 3 2 5 3" xfId="20501"/>
    <cellStyle name="Note 2 2 3 2 6" xfId="13497"/>
    <cellStyle name="Note 2 2 3 2 6 2" xfId="24640"/>
    <cellStyle name="Note 2 2 3 2 7" xfId="19071"/>
    <cellStyle name="Note 2 2 3 2 8" xfId="6465"/>
    <cellStyle name="Note 2 2 3 3" xfId="2077"/>
    <cellStyle name="Note 2 2 3 3 2" xfId="2732"/>
    <cellStyle name="Note 2 2 3 3 2 2" xfId="4841"/>
    <cellStyle name="Note 2 2 3 3 2 2 2" xfId="17454"/>
    <cellStyle name="Note 2 2 3 3 2 2 2 2" xfId="28597"/>
    <cellStyle name="Note 2 2 3 3 2 2 3" xfId="23028"/>
    <cellStyle name="Note 2 2 3 3 2 2 4" xfId="8992"/>
    <cellStyle name="Note 2 2 3 3 2 3" xfId="10998"/>
    <cellStyle name="Note 2 2 3 3 2 3 2" xfId="15385"/>
    <cellStyle name="Note 2 2 3 3 2 3 2 2" xfId="26528"/>
    <cellStyle name="Note 2 2 3 3 2 3 3" xfId="20959"/>
    <cellStyle name="Note 2 2 3 3 2 4" xfId="13955"/>
    <cellStyle name="Note 2 2 3 3 2 4 2" xfId="25098"/>
    <cellStyle name="Note 2 2 3 3 2 5" xfId="19529"/>
    <cellStyle name="Note 2 2 3 3 2 6" xfId="6923"/>
    <cellStyle name="Note 2 2 3 3 3" xfId="3370"/>
    <cellStyle name="Note 2 2 3 3 3 2" xfId="5479"/>
    <cellStyle name="Note 2 2 3 3 3 2 2" xfId="18092"/>
    <cellStyle name="Note 2 2 3 3 3 2 2 2" xfId="29235"/>
    <cellStyle name="Note 2 2 3 3 3 2 3" xfId="23666"/>
    <cellStyle name="Note 2 2 3 3 3 2 4" xfId="9630"/>
    <cellStyle name="Note 2 2 3 3 3 3" xfId="16023"/>
    <cellStyle name="Note 2 2 3 3 3 3 2" xfId="27166"/>
    <cellStyle name="Note 2 2 3 3 3 4" xfId="21597"/>
    <cellStyle name="Note 2 2 3 3 3 5" xfId="7561"/>
    <cellStyle name="Note 2 2 3 3 4" xfId="4049"/>
    <cellStyle name="Note 2 2 3 3 4 2" xfId="16662"/>
    <cellStyle name="Note 2 2 3 3 4 2 2" xfId="27805"/>
    <cellStyle name="Note 2 2 3 3 4 3" xfId="22236"/>
    <cellStyle name="Note 2 2 3 3 4 4" xfId="8200"/>
    <cellStyle name="Note 2 2 3 3 5" xfId="11368"/>
    <cellStyle name="Note 2 2 3 3 5 2" xfId="14746"/>
    <cellStyle name="Note 2 2 3 3 5 2 2" xfId="25889"/>
    <cellStyle name="Note 2 2 3 3 5 3" xfId="20320"/>
    <cellStyle name="Note 2 2 3 3 6" xfId="13316"/>
    <cellStyle name="Note 2 2 3 3 6 2" xfId="24459"/>
    <cellStyle name="Note 2 2 3 3 7" xfId="18890"/>
    <cellStyle name="Note 2 2 3 3 8" xfId="6284"/>
    <cellStyle name="Note 2 2 3 4" xfId="2424"/>
    <cellStyle name="Note 2 2 3 4 2" xfId="3065"/>
    <cellStyle name="Note 2 2 3 4 2 2" xfId="5174"/>
    <cellStyle name="Note 2 2 3 4 2 2 2" xfId="17787"/>
    <cellStyle name="Note 2 2 3 4 2 2 2 2" xfId="28930"/>
    <cellStyle name="Note 2 2 3 4 2 2 3" xfId="23361"/>
    <cellStyle name="Note 2 2 3 4 2 2 4" xfId="9325"/>
    <cellStyle name="Note 2 2 3 4 2 3" xfId="10859"/>
    <cellStyle name="Note 2 2 3 4 2 3 2" xfId="15718"/>
    <cellStyle name="Note 2 2 3 4 2 3 2 2" xfId="26861"/>
    <cellStyle name="Note 2 2 3 4 2 3 3" xfId="21292"/>
    <cellStyle name="Note 2 2 3 4 2 4" xfId="14288"/>
    <cellStyle name="Note 2 2 3 4 2 4 2" xfId="25431"/>
    <cellStyle name="Note 2 2 3 4 2 5" xfId="19862"/>
    <cellStyle name="Note 2 2 3 4 2 6" xfId="7256"/>
    <cellStyle name="Note 2 2 3 4 3" xfId="3703"/>
    <cellStyle name="Note 2 2 3 4 3 2" xfId="5812"/>
    <cellStyle name="Note 2 2 3 4 3 2 2" xfId="18425"/>
    <cellStyle name="Note 2 2 3 4 3 2 2 2" xfId="29568"/>
    <cellStyle name="Note 2 2 3 4 3 2 3" xfId="23999"/>
    <cellStyle name="Note 2 2 3 4 3 2 4" xfId="9963"/>
    <cellStyle name="Note 2 2 3 4 3 3" xfId="16356"/>
    <cellStyle name="Note 2 2 3 4 3 3 2" xfId="27499"/>
    <cellStyle name="Note 2 2 3 4 3 4" xfId="21930"/>
    <cellStyle name="Note 2 2 3 4 3 5" xfId="7894"/>
    <cellStyle name="Note 2 2 3 4 4" xfId="4382"/>
    <cellStyle name="Note 2 2 3 4 4 2" xfId="16995"/>
    <cellStyle name="Note 2 2 3 4 4 2 2" xfId="28138"/>
    <cellStyle name="Note 2 2 3 4 4 3" xfId="22569"/>
    <cellStyle name="Note 2 2 3 4 4 4" xfId="8533"/>
    <cellStyle name="Note 2 2 3 4 5" xfId="10019"/>
    <cellStyle name="Note 2 2 3 4 5 2" xfId="15079"/>
    <cellStyle name="Note 2 2 3 4 5 2 2" xfId="26222"/>
    <cellStyle name="Note 2 2 3 4 5 3" xfId="20653"/>
    <cellStyle name="Note 2 2 3 4 6" xfId="13649"/>
    <cellStyle name="Note 2 2 3 4 6 2" xfId="24792"/>
    <cellStyle name="Note 2 2 3 4 7" xfId="19223"/>
    <cellStyle name="Note 2 2 3 4 8" xfId="6617"/>
    <cellStyle name="Note 2 2 3 5" xfId="1887"/>
    <cellStyle name="Note 2 2 3 5 2" xfId="4535"/>
    <cellStyle name="Note 2 2 3 5 2 2" xfId="17148"/>
    <cellStyle name="Note 2 2 3 5 2 2 2" xfId="28291"/>
    <cellStyle name="Note 2 2 3 5 2 3" xfId="22722"/>
    <cellStyle name="Note 2 2 3 5 2 4" xfId="8686"/>
    <cellStyle name="Note 2 2 3 5 3" xfId="11041"/>
    <cellStyle name="Note 2 2 3 5 3 2" xfId="14594"/>
    <cellStyle name="Note 2 2 3 5 3 2 2" xfId="25737"/>
    <cellStyle name="Note 2 2 3 5 3 3" xfId="20168"/>
    <cellStyle name="Note 2 2 3 5 4" xfId="13164"/>
    <cellStyle name="Note 2 2 3 5 4 2" xfId="24307"/>
    <cellStyle name="Note 2 2 3 5 5" xfId="18738"/>
    <cellStyle name="Note 2 2 3 5 6" xfId="6132"/>
    <cellStyle name="Note 2 2 3 6" xfId="2580"/>
    <cellStyle name="Note 2 2 3 6 2" xfId="4689"/>
    <cellStyle name="Note 2 2 3 6 2 2" xfId="17302"/>
    <cellStyle name="Note 2 2 3 6 2 2 2" xfId="28445"/>
    <cellStyle name="Note 2 2 3 6 2 3" xfId="22876"/>
    <cellStyle name="Note 2 2 3 6 2 4" xfId="8840"/>
    <cellStyle name="Note 2 2 3 6 3" xfId="10570"/>
    <cellStyle name="Note 2 2 3 6 3 2" xfId="15233"/>
    <cellStyle name="Note 2 2 3 6 3 2 2" xfId="26376"/>
    <cellStyle name="Note 2 2 3 6 3 3" xfId="20807"/>
    <cellStyle name="Note 2 2 3 6 4" xfId="13803"/>
    <cellStyle name="Note 2 2 3 6 4 2" xfId="24946"/>
    <cellStyle name="Note 2 2 3 6 5" xfId="19377"/>
    <cellStyle name="Note 2 2 3 6 6" xfId="6771"/>
    <cellStyle name="Note 2 2 3 7" xfId="3218"/>
    <cellStyle name="Note 2 2 3 7 2" xfId="5327"/>
    <cellStyle name="Note 2 2 3 7 2 2" xfId="17940"/>
    <cellStyle name="Note 2 2 3 7 2 2 2" xfId="29083"/>
    <cellStyle name="Note 2 2 3 7 2 3" xfId="23514"/>
    <cellStyle name="Note 2 2 3 7 2 4" xfId="9478"/>
    <cellStyle name="Note 2 2 3 7 3" xfId="15871"/>
    <cellStyle name="Note 2 2 3 7 3 2" xfId="27014"/>
    <cellStyle name="Note 2 2 3 7 4" xfId="21445"/>
    <cellStyle name="Note 2 2 3 7 5" xfId="7409"/>
    <cellStyle name="Note 2 2 3 8" xfId="3897"/>
    <cellStyle name="Note 2 2 3 8 2" xfId="16510"/>
    <cellStyle name="Note 2 2 3 8 2 2" xfId="27653"/>
    <cellStyle name="Note 2 2 3 8 3" xfId="22084"/>
    <cellStyle name="Note 2 2 3 8 4" xfId="8048"/>
    <cellStyle name="Note 2 2 3 9" xfId="10114"/>
    <cellStyle name="Note 2 2 3 9 2" xfId="14441"/>
    <cellStyle name="Note 2 2 3 9 2 2" xfId="25584"/>
    <cellStyle name="Note 2 2 3 9 3" xfId="20015"/>
    <cellStyle name="Note 2 2 4" xfId="2193"/>
    <cellStyle name="Note 2 2 4 2" xfId="2837"/>
    <cellStyle name="Note 2 2 4 2 2" xfId="4946"/>
    <cellStyle name="Note 2 2 4 2 2 2" xfId="17559"/>
    <cellStyle name="Note 2 2 4 2 2 2 2" xfId="28702"/>
    <cellStyle name="Note 2 2 4 2 2 3" xfId="23133"/>
    <cellStyle name="Note 2 2 4 2 2 4" xfId="9097"/>
    <cellStyle name="Note 2 2 4 2 3" xfId="11383"/>
    <cellStyle name="Note 2 2 4 2 3 2" xfId="15490"/>
    <cellStyle name="Note 2 2 4 2 3 2 2" xfId="26633"/>
    <cellStyle name="Note 2 2 4 2 3 3" xfId="21064"/>
    <cellStyle name="Note 2 2 4 2 4" xfId="14060"/>
    <cellStyle name="Note 2 2 4 2 4 2" xfId="25203"/>
    <cellStyle name="Note 2 2 4 2 5" xfId="19634"/>
    <cellStyle name="Note 2 2 4 2 6" xfId="7028"/>
    <cellStyle name="Note 2 2 4 3" xfId="3475"/>
    <cellStyle name="Note 2 2 4 3 2" xfId="5584"/>
    <cellStyle name="Note 2 2 4 3 2 2" xfId="18197"/>
    <cellStyle name="Note 2 2 4 3 2 2 2" xfId="29340"/>
    <cellStyle name="Note 2 2 4 3 2 3" xfId="23771"/>
    <cellStyle name="Note 2 2 4 3 2 4" xfId="9735"/>
    <cellStyle name="Note 2 2 4 3 3" xfId="16128"/>
    <cellStyle name="Note 2 2 4 3 3 2" xfId="27271"/>
    <cellStyle name="Note 2 2 4 3 4" xfId="21702"/>
    <cellStyle name="Note 2 2 4 3 5" xfId="7666"/>
    <cellStyle name="Note 2 2 4 4" xfId="4154"/>
    <cellStyle name="Note 2 2 4 4 2" xfId="16767"/>
    <cellStyle name="Note 2 2 4 4 2 2" xfId="27910"/>
    <cellStyle name="Note 2 2 4 4 3" xfId="22341"/>
    <cellStyle name="Note 2 2 4 4 4" xfId="8305"/>
    <cellStyle name="Note 2 2 4 5" xfId="11330"/>
    <cellStyle name="Note 2 2 4 5 2" xfId="14851"/>
    <cellStyle name="Note 2 2 4 5 2 2" xfId="25994"/>
    <cellStyle name="Note 2 2 4 5 3" xfId="20425"/>
    <cellStyle name="Note 2 2 4 6" xfId="13421"/>
    <cellStyle name="Note 2 2 4 6 2" xfId="24564"/>
    <cellStyle name="Note 2 2 4 7" xfId="18995"/>
    <cellStyle name="Note 2 2 4 8" xfId="6389"/>
    <cellStyle name="Note 2 2 5" xfId="2001"/>
    <cellStyle name="Note 2 2 5 2" xfId="2656"/>
    <cellStyle name="Note 2 2 5 2 2" xfId="4765"/>
    <cellStyle name="Note 2 2 5 2 2 2" xfId="17378"/>
    <cellStyle name="Note 2 2 5 2 2 2 2" xfId="28521"/>
    <cellStyle name="Note 2 2 5 2 2 3" xfId="22952"/>
    <cellStyle name="Note 2 2 5 2 2 4" xfId="8916"/>
    <cellStyle name="Note 2 2 5 2 3" xfId="11397"/>
    <cellStyle name="Note 2 2 5 2 3 2" xfId="15309"/>
    <cellStyle name="Note 2 2 5 2 3 2 2" xfId="26452"/>
    <cellStyle name="Note 2 2 5 2 3 3" xfId="20883"/>
    <cellStyle name="Note 2 2 5 2 4" xfId="13879"/>
    <cellStyle name="Note 2 2 5 2 4 2" xfId="25022"/>
    <cellStyle name="Note 2 2 5 2 5" xfId="19453"/>
    <cellStyle name="Note 2 2 5 2 6" xfId="6847"/>
    <cellStyle name="Note 2 2 5 3" xfId="3294"/>
    <cellStyle name="Note 2 2 5 3 2" xfId="5403"/>
    <cellStyle name="Note 2 2 5 3 2 2" xfId="18016"/>
    <cellStyle name="Note 2 2 5 3 2 2 2" xfId="29159"/>
    <cellStyle name="Note 2 2 5 3 2 3" xfId="23590"/>
    <cellStyle name="Note 2 2 5 3 2 4" xfId="9554"/>
    <cellStyle name="Note 2 2 5 3 3" xfId="15947"/>
    <cellStyle name="Note 2 2 5 3 3 2" xfId="27090"/>
    <cellStyle name="Note 2 2 5 3 4" xfId="21521"/>
    <cellStyle name="Note 2 2 5 3 5" xfId="7485"/>
    <cellStyle name="Note 2 2 5 4" xfId="3973"/>
    <cellStyle name="Note 2 2 5 4 2" xfId="16586"/>
    <cellStyle name="Note 2 2 5 4 2 2" xfId="27729"/>
    <cellStyle name="Note 2 2 5 4 3" xfId="22160"/>
    <cellStyle name="Note 2 2 5 4 4" xfId="8124"/>
    <cellStyle name="Note 2 2 5 5" xfId="10063"/>
    <cellStyle name="Note 2 2 5 5 2" xfId="14670"/>
    <cellStyle name="Note 2 2 5 5 2 2" xfId="25813"/>
    <cellStyle name="Note 2 2 5 5 3" xfId="20244"/>
    <cellStyle name="Note 2 2 5 6" xfId="13240"/>
    <cellStyle name="Note 2 2 5 6 2" xfId="24383"/>
    <cellStyle name="Note 2 2 5 7" xfId="18814"/>
    <cellStyle name="Note 2 2 5 8" xfId="6208"/>
    <cellStyle name="Note 2 2 6" xfId="2348"/>
    <cellStyle name="Note 2 2 6 2" xfId="2989"/>
    <cellStyle name="Note 2 2 6 2 2" xfId="5098"/>
    <cellStyle name="Note 2 2 6 2 2 2" xfId="17711"/>
    <cellStyle name="Note 2 2 6 2 2 2 2" xfId="28854"/>
    <cellStyle name="Note 2 2 6 2 2 3" xfId="23285"/>
    <cellStyle name="Note 2 2 6 2 2 4" xfId="9249"/>
    <cellStyle name="Note 2 2 6 2 3" xfId="11427"/>
    <cellStyle name="Note 2 2 6 2 3 2" xfId="15642"/>
    <cellStyle name="Note 2 2 6 2 3 2 2" xfId="26785"/>
    <cellStyle name="Note 2 2 6 2 3 3" xfId="21216"/>
    <cellStyle name="Note 2 2 6 2 4" xfId="14212"/>
    <cellStyle name="Note 2 2 6 2 4 2" xfId="25355"/>
    <cellStyle name="Note 2 2 6 2 5" xfId="19786"/>
    <cellStyle name="Note 2 2 6 2 6" xfId="7180"/>
    <cellStyle name="Note 2 2 6 3" xfId="3627"/>
    <cellStyle name="Note 2 2 6 3 2" xfId="5736"/>
    <cellStyle name="Note 2 2 6 3 2 2" xfId="18349"/>
    <cellStyle name="Note 2 2 6 3 2 2 2" xfId="29492"/>
    <cellStyle name="Note 2 2 6 3 2 3" xfId="23923"/>
    <cellStyle name="Note 2 2 6 3 2 4" xfId="9887"/>
    <cellStyle name="Note 2 2 6 3 3" xfId="16280"/>
    <cellStyle name="Note 2 2 6 3 3 2" xfId="27423"/>
    <cellStyle name="Note 2 2 6 3 4" xfId="21854"/>
    <cellStyle name="Note 2 2 6 3 5" xfId="7818"/>
    <cellStyle name="Note 2 2 6 4" xfId="4306"/>
    <cellStyle name="Note 2 2 6 4 2" xfId="16919"/>
    <cellStyle name="Note 2 2 6 4 2 2" xfId="28062"/>
    <cellStyle name="Note 2 2 6 4 3" xfId="22493"/>
    <cellStyle name="Note 2 2 6 4 4" xfId="8457"/>
    <cellStyle name="Note 2 2 6 5" xfId="11370"/>
    <cellStyle name="Note 2 2 6 5 2" xfId="15003"/>
    <cellStyle name="Note 2 2 6 5 2 2" xfId="26146"/>
    <cellStyle name="Note 2 2 6 5 3" xfId="20577"/>
    <cellStyle name="Note 2 2 6 6" xfId="13573"/>
    <cellStyle name="Note 2 2 6 6 2" xfId="24716"/>
    <cellStyle name="Note 2 2 6 7" xfId="19147"/>
    <cellStyle name="Note 2 2 6 8" xfId="6541"/>
    <cellStyle name="Note 2 2 7" xfId="1811"/>
    <cellStyle name="Note 2 2 7 2" xfId="4459"/>
    <cellStyle name="Note 2 2 7 2 2" xfId="17072"/>
    <cellStyle name="Note 2 2 7 2 2 2" xfId="28215"/>
    <cellStyle name="Note 2 2 7 2 3" xfId="22646"/>
    <cellStyle name="Note 2 2 7 2 4" xfId="8610"/>
    <cellStyle name="Note 2 2 7 3" xfId="10580"/>
    <cellStyle name="Note 2 2 7 3 2" xfId="14518"/>
    <cellStyle name="Note 2 2 7 3 2 2" xfId="25661"/>
    <cellStyle name="Note 2 2 7 3 3" xfId="20092"/>
    <cellStyle name="Note 2 2 7 4" xfId="13088"/>
    <cellStyle name="Note 2 2 7 4 2" xfId="24231"/>
    <cellStyle name="Note 2 2 7 5" xfId="18662"/>
    <cellStyle name="Note 2 2 7 6" xfId="6056"/>
    <cellStyle name="Note 2 2 8" xfId="2504"/>
    <cellStyle name="Note 2 2 8 2" xfId="4613"/>
    <cellStyle name="Note 2 2 8 2 2" xfId="17226"/>
    <cellStyle name="Note 2 2 8 2 2 2" xfId="28369"/>
    <cellStyle name="Note 2 2 8 2 3" xfId="22800"/>
    <cellStyle name="Note 2 2 8 2 4" xfId="8764"/>
    <cellStyle name="Note 2 2 8 3" xfId="11324"/>
    <cellStyle name="Note 2 2 8 3 2" xfId="15157"/>
    <cellStyle name="Note 2 2 8 3 2 2" xfId="26300"/>
    <cellStyle name="Note 2 2 8 3 3" xfId="20731"/>
    <cellStyle name="Note 2 2 8 4" xfId="13727"/>
    <cellStyle name="Note 2 2 8 4 2" xfId="24870"/>
    <cellStyle name="Note 2 2 8 5" xfId="19301"/>
    <cellStyle name="Note 2 2 8 6" xfId="6695"/>
    <cellStyle name="Note 2 2 9" xfId="3142"/>
    <cellStyle name="Note 2 2 9 2" xfId="5251"/>
    <cellStyle name="Note 2 2 9 2 2" xfId="17864"/>
    <cellStyle name="Note 2 2 9 2 2 2" xfId="29007"/>
    <cellStyle name="Note 2 2 9 2 3" xfId="23438"/>
    <cellStyle name="Note 2 2 9 2 4" xfId="9402"/>
    <cellStyle name="Note 2 2 9 3" xfId="15795"/>
    <cellStyle name="Note 2 2 9 3 2" xfId="26938"/>
    <cellStyle name="Note 2 2 9 4" xfId="21369"/>
    <cellStyle name="Note 2 2 9 5" xfId="7333"/>
    <cellStyle name="Note 2 3" xfId="254"/>
    <cellStyle name="Note 2 3 10" xfId="10071"/>
    <cellStyle name="Note 2 3 10 2" xfId="14384"/>
    <cellStyle name="Note 2 3 10 2 2" xfId="25527"/>
    <cellStyle name="Note 2 3 10 3" xfId="19958"/>
    <cellStyle name="Note 2 3 11" xfId="12953"/>
    <cellStyle name="Note 2 3 11 2" xfId="24097"/>
    <cellStyle name="Note 2 3 12" xfId="18528"/>
    <cellStyle name="Note 2 3 13" xfId="5921"/>
    <cellStyle name="Note 2 3 2" xfId="330"/>
    <cellStyle name="Note 2 3 2 10" xfId="13029"/>
    <cellStyle name="Note 2 3 2 10 2" xfId="24173"/>
    <cellStyle name="Note 2 3 2 11" xfId="18604"/>
    <cellStyle name="Note 2 3 2 12" xfId="5997"/>
    <cellStyle name="Note 2 3 2 2" xfId="2288"/>
    <cellStyle name="Note 2 3 2 2 2" xfId="2932"/>
    <cellStyle name="Note 2 3 2 2 2 2" xfId="5041"/>
    <cellStyle name="Note 2 3 2 2 2 2 2" xfId="17654"/>
    <cellStyle name="Note 2 3 2 2 2 2 2 2" xfId="28797"/>
    <cellStyle name="Note 2 3 2 2 2 2 3" xfId="23228"/>
    <cellStyle name="Note 2 3 2 2 2 2 4" xfId="9192"/>
    <cellStyle name="Note 2 3 2 2 2 3" xfId="10638"/>
    <cellStyle name="Note 2 3 2 2 2 3 2" xfId="15585"/>
    <cellStyle name="Note 2 3 2 2 2 3 2 2" xfId="26728"/>
    <cellStyle name="Note 2 3 2 2 2 3 3" xfId="21159"/>
    <cellStyle name="Note 2 3 2 2 2 4" xfId="14155"/>
    <cellStyle name="Note 2 3 2 2 2 4 2" xfId="25298"/>
    <cellStyle name="Note 2 3 2 2 2 5" xfId="19729"/>
    <cellStyle name="Note 2 3 2 2 2 6" xfId="7123"/>
    <cellStyle name="Note 2 3 2 2 3" xfId="3570"/>
    <cellStyle name="Note 2 3 2 2 3 2" xfId="5679"/>
    <cellStyle name="Note 2 3 2 2 3 2 2" xfId="18292"/>
    <cellStyle name="Note 2 3 2 2 3 2 2 2" xfId="29435"/>
    <cellStyle name="Note 2 3 2 2 3 2 3" xfId="23866"/>
    <cellStyle name="Note 2 3 2 2 3 2 4" xfId="9830"/>
    <cellStyle name="Note 2 3 2 2 3 3" xfId="16223"/>
    <cellStyle name="Note 2 3 2 2 3 3 2" xfId="27366"/>
    <cellStyle name="Note 2 3 2 2 3 4" xfId="21797"/>
    <cellStyle name="Note 2 3 2 2 3 5" xfId="7761"/>
    <cellStyle name="Note 2 3 2 2 4" xfId="4249"/>
    <cellStyle name="Note 2 3 2 2 4 2" xfId="16862"/>
    <cellStyle name="Note 2 3 2 2 4 2 2" xfId="28005"/>
    <cellStyle name="Note 2 3 2 2 4 3" xfId="22436"/>
    <cellStyle name="Note 2 3 2 2 4 4" xfId="8400"/>
    <cellStyle name="Note 2 3 2 2 5" xfId="10566"/>
    <cellStyle name="Note 2 3 2 2 5 2" xfId="14946"/>
    <cellStyle name="Note 2 3 2 2 5 2 2" xfId="26089"/>
    <cellStyle name="Note 2 3 2 2 5 3" xfId="20520"/>
    <cellStyle name="Note 2 3 2 2 6" xfId="13516"/>
    <cellStyle name="Note 2 3 2 2 6 2" xfId="24659"/>
    <cellStyle name="Note 2 3 2 2 7" xfId="19090"/>
    <cellStyle name="Note 2 3 2 2 8" xfId="6484"/>
    <cellStyle name="Note 2 3 2 3" xfId="2096"/>
    <cellStyle name="Note 2 3 2 3 2" xfId="2751"/>
    <cellStyle name="Note 2 3 2 3 2 2" xfId="4860"/>
    <cellStyle name="Note 2 3 2 3 2 2 2" xfId="17473"/>
    <cellStyle name="Note 2 3 2 3 2 2 2 2" xfId="28616"/>
    <cellStyle name="Note 2 3 2 3 2 2 3" xfId="23047"/>
    <cellStyle name="Note 2 3 2 3 2 2 4" xfId="9011"/>
    <cellStyle name="Note 2 3 2 3 2 3" xfId="10939"/>
    <cellStyle name="Note 2 3 2 3 2 3 2" xfId="15404"/>
    <cellStyle name="Note 2 3 2 3 2 3 2 2" xfId="26547"/>
    <cellStyle name="Note 2 3 2 3 2 3 3" xfId="20978"/>
    <cellStyle name="Note 2 3 2 3 2 4" xfId="13974"/>
    <cellStyle name="Note 2 3 2 3 2 4 2" xfId="25117"/>
    <cellStyle name="Note 2 3 2 3 2 5" xfId="19548"/>
    <cellStyle name="Note 2 3 2 3 2 6" xfId="6942"/>
    <cellStyle name="Note 2 3 2 3 3" xfId="3389"/>
    <cellStyle name="Note 2 3 2 3 3 2" xfId="5498"/>
    <cellStyle name="Note 2 3 2 3 3 2 2" xfId="18111"/>
    <cellStyle name="Note 2 3 2 3 3 2 2 2" xfId="29254"/>
    <cellStyle name="Note 2 3 2 3 3 2 3" xfId="23685"/>
    <cellStyle name="Note 2 3 2 3 3 2 4" xfId="9649"/>
    <cellStyle name="Note 2 3 2 3 3 3" xfId="16042"/>
    <cellStyle name="Note 2 3 2 3 3 3 2" xfId="27185"/>
    <cellStyle name="Note 2 3 2 3 3 4" xfId="21616"/>
    <cellStyle name="Note 2 3 2 3 3 5" xfId="7580"/>
    <cellStyle name="Note 2 3 2 3 4" xfId="4068"/>
    <cellStyle name="Note 2 3 2 3 4 2" xfId="16681"/>
    <cellStyle name="Note 2 3 2 3 4 2 2" xfId="27824"/>
    <cellStyle name="Note 2 3 2 3 4 3" xfId="22255"/>
    <cellStyle name="Note 2 3 2 3 4 4" xfId="8219"/>
    <cellStyle name="Note 2 3 2 3 5" xfId="11355"/>
    <cellStyle name="Note 2 3 2 3 5 2" xfId="14765"/>
    <cellStyle name="Note 2 3 2 3 5 2 2" xfId="25908"/>
    <cellStyle name="Note 2 3 2 3 5 3" xfId="20339"/>
    <cellStyle name="Note 2 3 2 3 6" xfId="13335"/>
    <cellStyle name="Note 2 3 2 3 6 2" xfId="24478"/>
    <cellStyle name="Note 2 3 2 3 7" xfId="18909"/>
    <cellStyle name="Note 2 3 2 3 8" xfId="6303"/>
    <cellStyle name="Note 2 3 2 4" xfId="2443"/>
    <cellStyle name="Note 2 3 2 4 2" xfId="3084"/>
    <cellStyle name="Note 2 3 2 4 2 2" xfId="5193"/>
    <cellStyle name="Note 2 3 2 4 2 2 2" xfId="17806"/>
    <cellStyle name="Note 2 3 2 4 2 2 2 2" xfId="28949"/>
    <cellStyle name="Note 2 3 2 4 2 2 3" xfId="23380"/>
    <cellStyle name="Note 2 3 2 4 2 2 4" xfId="9344"/>
    <cellStyle name="Note 2 3 2 4 2 3" xfId="11045"/>
    <cellStyle name="Note 2 3 2 4 2 3 2" xfId="15737"/>
    <cellStyle name="Note 2 3 2 4 2 3 2 2" xfId="26880"/>
    <cellStyle name="Note 2 3 2 4 2 3 3" xfId="21311"/>
    <cellStyle name="Note 2 3 2 4 2 4" xfId="14307"/>
    <cellStyle name="Note 2 3 2 4 2 4 2" xfId="25450"/>
    <cellStyle name="Note 2 3 2 4 2 5" xfId="19881"/>
    <cellStyle name="Note 2 3 2 4 2 6" xfId="7275"/>
    <cellStyle name="Note 2 3 2 4 3" xfId="3722"/>
    <cellStyle name="Note 2 3 2 4 3 2" xfId="5831"/>
    <cellStyle name="Note 2 3 2 4 3 2 2" xfId="18444"/>
    <cellStyle name="Note 2 3 2 4 3 2 2 2" xfId="29587"/>
    <cellStyle name="Note 2 3 2 4 3 2 3" xfId="24018"/>
    <cellStyle name="Note 2 3 2 4 3 2 4" xfId="9982"/>
    <cellStyle name="Note 2 3 2 4 3 3" xfId="16375"/>
    <cellStyle name="Note 2 3 2 4 3 3 2" xfId="27518"/>
    <cellStyle name="Note 2 3 2 4 3 4" xfId="21949"/>
    <cellStyle name="Note 2 3 2 4 3 5" xfId="7913"/>
    <cellStyle name="Note 2 3 2 4 4" xfId="4401"/>
    <cellStyle name="Note 2 3 2 4 4 2" xfId="17014"/>
    <cellStyle name="Note 2 3 2 4 4 2 2" xfId="28157"/>
    <cellStyle name="Note 2 3 2 4 4 3" xfId="22588"/>
    <cellStyle name="Note 2 3 2 4 4 4" xfId="8552"/>
    <cellStyle name="Note 2 3 2 4 5" xfId="10616"/>
    <cellStyle name="Note 2 3 2 4 5 2" xfId="15098"/>
    <cellStyle name="Note 2 3 2 4 5 2 2" xfId="26241"/>
    <cellStyle name="Note 2 3 2 4 5 3" xfId="20672"/>
    <cellStyle name="Note 2 3 2 4 6" xfId="13668"/>
    <cellStyle name="Note 2 3 2 4 6 2" xfId="24811"/>
    <cellStyle name="Note 2 3 2 4 7" xfId="19242"/>
    <cellStyle name="Note 2 3 2 4 8" xfId="6636"/>
    <cellStyle name="Note 2 3 2 5" xfId="1906"/>
    <cellStyle name="Note 2 3 2 5 2" xfId="4554"/>
    <cellStyle name="Note 2 3 2 5 2 2" xfId="17167"/>
    <cellStyle name="Note 2 3 2 5 2 2 2" xfId="28310"/>
    <cellStyle name="Note 2 3 2 5 2 3" xfId="22741"/>
    <cellStyle name="Note 2 3 2 5 2 4" xfId="8705"/>
    <cellStyle name="Note 2 3 2 5 3" xfId="10124"/>
    <cellStyle name="Note 2 3 2 5 3 2" xfId="14613"/>
    <cellStyle name="Note 2 3 2 5 3 2 2" xfId="25756"/>
    <cellStyle name="Note 2 3 2 5 3 3" xfId="20187"/>
    <cellStyle name="Note 2 3 2 5 4" xfId="13183"/>
    <cellStyle name="Note 2 3 2 5 4 2" xfId="24326"/>
    <cellStyle name="Note 2 3 2 5 5" xfId="18757"/>
    <cellStyle name="Note 2 3 2 5 6" xfId="6151"/>
    <cellStyle name="Note 2 3 2 6" xfId="2599"/>
    <cellStyle name="Note 2 3 2 6 2" xfId="4708"/>
    <cellStyle name="Note 2 3 2 6 2 2" xfId="17321"/>
    <cellStyle name="Note 2 3 2 6 2 2 2" xfId="28464"/>
    <cellStyle name="Note 2 3 2 6 2 3" xfId="22895"/>
    <cellStyle name="Note 2 3 2 6 2 4" xfId="8859"/>
    <cellStyle name="Note 2 3 2 6 3" xfId="10343"/>
    <cellStyle name="Note 2 3 2 6 3 2" xfId="15252"/>
    <cellStyle name="Note 2 3 2 6 3 2 2" xfId="26395"/>
    <cellStyle name="Note 2 3 2 6 3 3" xfId="20826"/>
    <cellStyle name="Note 2 3 2 6 4" xfId="13822"/>
    <cellStyle name="Note 2 3 2 6 4 2" xfId="24965"/>
    <cellStyle name="Note 2 3 2 6 5" xfId="19396"/>
    <cellStyle name="Note 2 3 2 6 6" xfId="6790"/>
    <cellStyle name="Note 2 3 2 7" xfId="3237"/>
    <cellStyle name="Note 2 3 2 7 2" xfId="5346"/>
    <cellStyle name="Note 2 3 2 7 2 2" xfId="17959"/>
    <cellStyle name="Note 2 3 2 7 2 2 2" xfId="29102"/>
    <cellStyle name="Note 2 3 2 7 2 3" xfId="23533"/>
    <cellStyle name="Note 2 3 2 7 2 4" xfId="9497"/>
    <cellStyle name="Note 2 3 2 7 3" xfId="15890"/>
    <cellStyle name="Note 2 3 2 7 3 2" xfId="27033"/>
    <cellStyle name="Note 2 3 2 7 4" xfId="21464"/>
    <cellStyle name="Note 2 3 2 7 5" xfId="7428"/>
    <cellStyle name="Note 2 3 2 8" xfId="3916"/>
    <cellStyle name="Note 2 3 2 8 2" xfId="16529"/>
    <cellStyle name="Note 2 3 2 8 2 2" xfId="27672"/>
    <cellStyle name="Note 2 3 2 8 3" xfId="22103"/>
    <cellStyle name="Note 2 3 2 8 4" xfId="8067"/>
    <cellStyle name="Note 2 3 2 9" xfId="11003"/>
    <cellStyle name="Note 2 3 2 9 2" xfId="14460"/>
    <cellStyle name="Note 2 3 2 9 2 2" xfId="25603"/>
    <cellStyle name="Note 2 3 2 9 3" xfId="20034"/>
    <cellStyle name="Note 2 3 3" xfId="2212"/>
    <cellStyle name="Note 2 3 3 2" xfId="2856"/>
    <cellStyle name="Note 2 3 3 2 2" xfId="4965"/>
    <cellStyle name="Note 2 3 3 2 2 2" xfId="17578"/>
    <cellStyle name="Note 2 3 3 2 2 2 2" xfId="28721"/>
    <cellStyle name="Note 2 3 3 2 2 3" xfId="23152"/>
    <cellStyle name="Note 2 3 3 2 2 4" xfId="9116"/>
    <cellStyle name="Note 2 3 3 2 3" xfId="10166"/>
    <cellStyle name="Note 2 3 3 2 3 2" xfId="15509"/>
    <cellStyle name="Note 2 3 3 2 3 2 2" xfId="26652"/>
    <cellStyle name="Note 2 3 3 2 3 3" xfId="21083"/>
    <cellStyle name="Note 2 3 3 2 4" xfId="14079"/>
    <cellStyle name="Note 2 3 3 2 4 2" xfId="25222"/>
    <cellStyle name="Note 2 3 3 2 5" xfId="19653"/>
    <cellStyle name="Note 2 3 3 2 6" xfId="7047"/>
    <cellStyle name="Note 2 3 3 3" xfId="3494"/>
    <cellStyle name="Note 2 3 3 3 2" xfId="5603"/>
    <cellStyle name="Note 2 3 3 3 2 2" xfId="18216"/>
    <cellStyle name="Note 2 3 3 3 2 2 2" xfId="29359"/>
    <cellStyle name="Note 2 3 3 3 2 3" xfId="23790"/>
    <cellStyle name="Note 2 3 3 3 2 4" xfId="9754"/>
    <cellStyle name="Note 2 3 3 3 3" xfId="16147"/>
    <cellStyle name="Note 2 3 3 3 3 2" xfId="27290"/>
    <cellStyle name="Note 2 3 3 3 4" xfId="21721"/>
    <cellStyle name="Note 2 3 3 3 5" xfId="7685"/>
    <cellStyle name="Note 2 3 3 4" xfId="4173"/>
    <cellStyle name="Note 2 3 3 4 2" xfId="16786"/>
    <cellStyle name="Note 2 3 3 4 2 2" xfId="27929"/>
    <cellStyle name="Note 2 3 3 4 3" xfId="22360"/>
    <cellStyle name="Note 2 3 3 4 4" xfId="8324"/>
    <cellStyle name="Note 2 3 3 5" xfId="10542"/>
    <cellStyle name="Note 2 3 3 5 2" xfId="14870"/>
    <cellStyle name="Note 2 3 3 5 2 2" xfId="26013"/>
    <cellStyle name="Note 2 3 3 5 3" xfId="20444"/>
    <cellStyle name="Note 2 3 3 6" xfId="13440"/>
    <cellStyle name="Note 2 3 3 6 2" xfId="24583"/>
    <cellStyle name="Note 2 3 3 7" xfId="19014"/>
    <cellStyle name="Note 2 3 3 8" xfId="6408"/>
    <cellStyle name="Note 2 3 4" xfId="2020"/>
    <cellStyle name="Note 2 3 4 2" xfId="2675"/>
    <cellStyle name="Note 2 3 4 2 2" xfId="4784"/>
    <cellStyle name="Note 2 3 4 2 2 2" xfId="17397"/>
    <cellStyle name="Note 2 3 4 2 2 2 2" xfId="28540"/>
    <cellStyle name="Note 2 3 4 2 2 3" xfId="22971"/>
    <cellStyle name="Note 2 3 4 2 2 4" xfId="8935"/>
    <cellStyle name="Note 2 3 4 2 3" xfId="10837"/>
    <cellStyle name="Note 2 3 4 2 3 2" xfId="15328"/>
    <cellStyle name="Note 2 3 4 2 3 2 2" xfId="26471"/>
    <cellStyle name="Note 2 3 4 2 3 3" xfId="20902"/>
    <cellStyle name="Note 2 3 4 2 4" xfId="13898"/>
    <cellStyle name="Note 2 3 4 2 4 2" xfId="25041"/>
    <cellStyle name="Note 2 3 4 2 5" xfId="19472"/>
    <cellStyle name="Note 2 3 4 2 6" xfId="6866"/>
    <cellStyle name="Note 2 3 4 3" xfId="3313"/>
    <cellStyle name="Note 2 3 4 3 2" xfId="5422"/>
    <cellStyle name="Note 2 3 4 3 2 2" xfId="18035"/>
    <cellStyle name="Note 2 3 4 3 2 2 2" xfId="29178"/>
    <cellStyle name="Note 2 3 4 3 2 3" xfId="23609"/>
    <cellStyle name="Note 2 3 4 3 2 4" xfId="9573"/>
    <cellStyle name="Note 2 3 4 3 3" xfId="15966"/>
    <cellStyle name="Note 2 3 4 3 3 2" xfId="27109"/>
    <cellStyle name="Note 2 3 4 3 4" xfId="21540"/>
    <cellStyle name="Note 2 3 4 3 5" xfId="7504"/>
    <cellStyle name="Note 2 3 4 4" xfId="3992"/>
    <cellStyle name="Note 2 3 4 4 2" xfId="16605"/>
    <cellStyle name="Note 2 3 4 4 2 2" xfId="27748"/>
    <cellStyle name="Note 2 3 4 4 3" xfId="22179"/>
    <cellStyle name="Note 2 3 4 4 4" xfId="8143"/>
    <cellStyle name="Note 2 3 4 5" xfId="10697"/>
    <cellStyle name="Note 2 3 4 5 2" xfId="14689"/>
    <cellStyle name="Note 2 3 4 5 2 2" xfId="25832"/>
    <cellStyle name="Note 2 3 4 5 3" xfId="20263"/>
    <cellStyle name="Note 2 3 4 6" xfId="13259"/>
    <cellStyle name="Note 2 3 4 6 2" xfId="24402"/>
    <cellStyle name="Note 2 3 4 7" xfId="18833"/>
    <cellStyle name="Note 2 3 4 8" xfId="6227"/>
    <cellStyle name="Note 2 3 5" xfId="2367"/>
    <cellStyle name="Note 2 3 5 2" xfId="3008"/>
    <cellStyle name="Note 2 3 5 2 2" xfId="5117"/>
    <cellStyle name="Note 2 3 5 2 2 2" xfId="17730"/>
    <cellStyle name="Note 2 3 5 2 2 2 2" xfId="28873"/>
    <cellStyle name="Note 2 3 5 2 2 3" xfId="23304"/>
    <cellStyle name="Note 2 3 5 2 2 4" xfId="9268"/>
    <cellStyle name="Note 2 3 5 2 3" xfId="10173"/>
    <cellStyle name="Note 2 3 5 2 3 2" xfId="15661"/>
    <cellStyle name="Note 2 3 5 2 3 2 2" xfId="26804"/>
    <cellStyle name="Note 2 3 5 2 3 3" xfId="21235"/>
    <cellStyle name="Note 2 3 5 2 4" xfId="14231"/>
    <cellStyle name="Note 2 3 5 2 4 2" xfId="25374"/>
    <cellStyle name="Note 2 3 5 2 5" xfId="19805"/>
    <cellStyle name="Note 2 3 5 2 6" xfId="7199"/>
    <cellStyle name="Note 2 3 5 3" xfId="3646"/>
    <cellStyle name="Note 2 3 5 3 2" xfId="5755"/>
    <cellStyle name="Note 2 3 5 3 2 2" xfId="18368"/>
    <cellStyle name="Note 2 3 5 3 2 2 2" xfId="29511"/>
    <cellStyle name="Note 2 3 5 3 2 3" xfId="23942"/>
    <cellStyle name="Note 2 3 5 3 2 4" xfId="9906"/>
    <cellStyle name="Note 2 3 5 3 3" xfId="16299"/>
    <cellStyle name="Note 2 3 5 3 3 2" xfId="27442"/>
    <cellStyle name="Note 2 3 5 3 4" xfId="21873"/>
    <cellStyle name="Note 2 3 5 3 5" xfId="7837"/>
    <cellStyle name="Note 2 3 5 4" xfId="4325"/>
    <cellStyle name="Note 2 3 5 4 2" xfId="16938"/>
    <cellStyle name="Note 2 3 5 4 2 2" xfId="28081"/>
    <cellStyle name="Note 2 3 5 4 3" xfId="22512"/>
    <cellStyle name="Note 2 3 5 4 4" xfId="8476"/>
    <cellStyle name="Note 2 3 5 5" xfId="10338"/>
    <cellStyle name="Note 2 3 5 5 2" xfId="15022"/>
    <cellStyle name="Note 2 3 5 5 2 2" xfId="26165"/>
    <cellStyle name="Note 2 3 5 5 3" xfId="20596"/>
    <cellStyle name="Note 2 3 5 6" xfId="13592"/>
    <cellStyle name="Note 2 3 5 6 2" xfId="24735"/>
    <cellStyle name="Note 2 3 5 7" xfId="19166"/>
    <cellStyle name="Note 2 3 5 8" xfId="6560"/>
    <cellStyle name="Note 2 3 6" xfId="1830"/>
    <cellStyle name="Note 2 3 6 2" xfId="4478"/>
    <cellStyle name="Note 2 3 6 2 2" xfId="17091"/>
    <cellStyle name="Note 2 3 6 2 2 2" xfId="28234"/>
    <cellStyle name="Note 2 3 6 2 3" xfId="22665"/>
    <cellStyle name="Note 2 3 6 2 4" xfId="8629"/>
    <cellStyle name="Note 2 3 6 3" xfId="11119"/>
    <cellStyle name="Note 2 3 6 3 2" xfId="14537"/>
    <cellStyle name="Note 2 3 6 3 2 2" xfId="25680"/>
    <cellStyle name="Note 2 3 6 3 3" xfId="20111"/>
    <cellStyle name="Note 2 3 6 4" xfId="13107"/>
    <cellStyle name="Note 2 3 6 4 2" xfId="24250"/>
    <cellStyle name="Note 2 3 6 5" xfId="18681"/>
    <cellStyle name="Note 2 3 6 6" xfId="6075"/>
    <cellStyle name="Note 2 3 7" xfId="2523"/>
    <cellStyle name="Note 2 3 7 2" xfId="4632"/>
    <cellStyle name="Note 2 3 7 2 2" xfId="17245"/>
    <cellStyle name="Note 2 3 7 2 2 2" xfId="28388"/>
    <cellStyle name="Note 2 3 7 2 3" xfId="22819"/>
    <cellStyle name="Note 2 3 7 2 4" xfId="8783"/>
    <cellStyle name="Note 2 3 7 3" xfId="10007"/>
    <cellStyle name="Note 2 3 7 3 2" xfId="15176"/>
    <cellStyle name="Note 2 3 7 3 2 2" xfId="26319"/>
    <cellStyle name="Note 2 3 7 3 3" xfId="20750"/>
    <cellStyle name="Note 2 3 7 4" xfId="13746"/>
    <cellStyle name="Note 2 3 7 4 2" xfId="24889"/>
    <cellStyle name="Note 2 3 7 5" xfId="19320"/>
    <cellStyle name="Note 2 3 7 6" xfId="6714"/>
    <cellStyle name="Note 2 3 8" xfId="3161"/>
    <cellStyle name="Note 2 3 8 2" xfId="5270"/>
    <cellStyle name="Note 2 3 8 2 2" xfId="17883"/>
    <cellStyle name="Note 2 3 8 2 2 2" xfId="29026"/>
    <cellStyle name="Note 2 3 8 2 3" xfId="23457"/>
    <cellStyle name="Note 2 3 8 2 4" xfId="9421"/>
    <cellStyle name="Note 2 3 8 3" xfId="15814"/>
    <cellStyle name="Note 2 3 8 3 2" xfId="26957"/>
    <cellStyle name="Note 2 3 8 4" xfId="21388"/>
    <cellStyle name="Note 2 3 8 5" xfId="7352"/>
    <cellStyle name="Note 2 3 9" xfId="3840"/>
    <cellStyle name="Note 2 3 9 2" xfId="16453"/>
    <cellStyle name="Note 2 3 9 2 2" xfId="27596"/>
    <cellStyle name="Note 2 3 9 3" xfId="22027"/>
    <cellStyle name="Note 2 3 9 4" xfId="7991"/>
    <cellStyle name="Note 2 4" xfId="292"/>
    <cellStyle name="Note 2 4 10" xfId="12991"/>
    <cellStyle name="Note 2 4 10 2" xfId="24135"/>
    <cellStyle name="Note 2 4 11" xfId="18566"/>
    <cellStyle name="Note 2 4 12" xfId="5959"/>
    <cellStyle name="Note 2 4 2" xfId="2250"/>
    <cellStyle name="Note 2 4 2 2" xfId="2894"/>
    <cellStyle name="Note 2 4 2 2 2" xfId="5003"/>
    <cellStyle name="Note 2 4 2 2 2 2" xfId="17616"/>
    <cellStyle name="Note 2 4 2 2 2 2 2" xfId="28759"/>
    <cellStyle name="Note 2 4 2 2 2 3" xfId="23190"/>
    <cellStyle name="Note 2 4 2 2 2 4" xfId="9154"/>
    <cellStyle name="Note 2 4 2 2 3" xfId="10596"/>
    <cellStyle name="Note 2 4 2 2 3 2" xfId="15547"/>
    <cellStyle name="Note 2 4 2 2 3 2 2" xfId="26690"/>
    <cellStyle name="Note 2 4 2 2 3 3" xfId="21121"/>
    <cellStyle name="Note 2 4 2 2 4" xfId="14117"/>
    <cellStyle name="Note 2 4 2 2 4 2" xfId="25260"/>
    <cellStyle name="Note 2 4 2 2 5" xfId="19691"/>
    <cellStyle name="Note 2 4 2 2 6" xfId="7085"/>
    <cellStyle name="Note 2 4 2 3" xfId="3532"/>
    <cellStyle name="Note 2 4 2 3 2" xfId="5641"/>
    <cellStyle name="Note 2 4 2 3 2 2" xfId="18254"/>
    <cellStyle name="Note 2 4 2 3 2 2 2" xfId="29397"/>
    <cellStyle name="Note 2 4 2 3 2 3" xfId="23828"/>
    <cellStyle name="Note 2 4 2 3 2 4" xfId="9792"/>
    <cellStyle name="Note 2 4 2 3 3" xfId="16185"/>
    <cellStyle name="Note 2 4 2 3 3 2" xfId="27328"/>
    <cellStyle name="Note 2 4 2 3 4" xfId="21759"/>
    <cellStyle name="Note 2 4 2 3 5" xfId="7723"/>
    <cellStyle name="Note 2 4 2 4" xfId="4211"/>
    <cellStyle name="Note 2 4 2 4 2" xfId="16824"/>
    <cellStyle name="Note 2 4 2 4 2 2" xfId="27967"/>
    <cellStyle name="Note 2 4 2 4 3" xfId="22398"/>
    <cellStyle name="Note 2 4 2 4 4" xfId="8362"/>
    <cellStyle name="Note 2 4 2 5" xfId="10245"/>
    <cellStyle name="Note 2 4 2 5 2" xfId="14908"/>
    <cellStyle name="Note 2 4 2 5 2 2" xfId="26051"/>
    <cellStyle name="Note 2 4 2 5 3" xfId="20482"/>
    <cellStyle name="Note 2 4 2 6" xfId="13478"/>
    <cellStyle name="Note 2 4 2 6 2" xfId="24621"/>
    <cellStyle name="Note 2 4 2 7" xfId="19052"/>
    <cellStyle name="Note 2 4 2 8" xfId="6446"/>
    <cellStyle name="Note 2 4 3" xfId="2058"/>
    <cellStyle name="Note 2 4 3 2" xfId="2713"/>
    <cellStyle name="Note 2 4 3 2 2" xfId="4822"/>
    <cellStyle name="Note 2 4 3 2 2 2" xfId="17435"/>
    <cellStyle name="Note 2 4 3 2 2 2 2" xfId="28578"/>
    <cellStyle name="Note 2 4 3 2 2 3" xfId="23009"/>
    <cellStyle name="Note 2 4 3 2 2 4" xfId="8973"/>
    <cellStyle name="Note 2 4 3 2 3" xfId="11235"/>
    <cellStyle name="Note 2 4 3 2 3 2" xfId="15366"/>
    <cellStyle name="Note 2 4 3 2 3 2 2" xfId="26509"/>
    <cellStyle name="Note 2 4 3 2 3 3" xfId="20940"/>
    <cellStyle name="Note 2 4 3 2 4" xfId="13936"/>
    <cellStyle name="Note 2 4 3 2 4 2" xfId="25079"/>
    <cellStyle name="Note 2 4 3 2 5" xfId="19510"/>
    <cellStyle name="Note 2 4 3 2 6" xfId="6904"/>
    <cellStyle name="Note 2 4 3 3" xfId="3351"/>
    <cellStyle name="Note 2 4 3 3 2" xfId="5460"/>
    <cellStyle name="Note 2 4 3 3 2 2" xfId="18073"/>
    <cellStyle name="Note 2 4 3 3 2 2 2" xfId="29216"/>
    <cellStyle name="Note 2 4 3 3 2 3" xfId="23647"/>
    <cellStyle name="Note 2 4 3 3 2 4" xfId="9611"/>
    <cellStyle name="Note 2 4 3 3 3" xfId="16004"/>
    <cellStyle name="Note 2 4 3 3 3 2" xfId="27147"/>
    <cellStyle name="Note 2 4 3 3 4" xfId="21578"/>
    <cellStyle name="Note 2 4 3 3 5" xfId="7542"/>
    <cellStyle name="Note 2 4 3 4" xfId="4030"/>
    <cellStyle name="Note 2 4 3 4 2" xfId="16643"/>
    <cellStyle name="Note 2 4 3 4 2 2" xfId="27786"/>
    <cellStyle name="Note 2 4 3 4 3" xfId="22217"/>
    <cellStyle name="Note 2 4 3 4 4" xfId="8181"/>
    <cellStyle name="Note 2 4 3 5" xfId="10890"/>
    <cellStyle name="Note 2 4 3 5 2" xfId="14727"/>
    <cellStyle name="Note 2 4 3 5 2 2" xfId="25870"/>
    <cellStyle name="Note 2 4 3 5 3" xfId="20301"/>
    <cellStyle name="Note 2 4 3 6" xfId="13297"/>
    <cellStyle name="Note 2 4 3 6 2" xfId="24440"/>
    <cellStyle name="Note 2 4 3 7" xfId="18871"/>
    <cellStyle name="Note 2 4 3 8" xfId="6265"/>
    <cellStyle name="Note 2 4 4" xfId="2405"/>
    <cellStyle name="Note 2 4 4 2" xfId="3046"/>
    <cellStyle name="Note 2 4 4 2 2" xfId="5155"/>
    <cellStyle name="Note 2 4 4 2 2 2" xfId="17768"/>
    <cellStyle name="Note 2 4 4 2 2 2 2" xfId="28911"/>
    <cellStyle name="Note 2 4 4 2 2 3" xfId="23342"/>
    <cellStyle name="Note 2 4 4 2 2 4" xfId="9306"/>
    <cellStyle name="Note 2 4 4 2 3" xfId="10399"/>
    <cellStyle name="Note 2 4 4 2 3 2" xfId="15699"/>
    <cellStyle name="Note 2 4 4 2 3 2 2" xfId="26842"/>
    <cellStyle name="Note 2 4 4 2 3 3" xfId="21273"/>
    <cellStyle name="Note 2 4 4 2 4" xfId="14269"/>
    <cellStyle name="Note 2 4 4 2 4 2" xfId="25412"/>
    <cellStyle name="Note 2 4 4 2 5" xfId="19843"/>
    <cellStyle name="Note 2 4 4 2 6" xfId="7237"/>
    <cellStyle name="Note 2 4 4 3" xfId="3684"/>
    <cellStyle name="Note 2 4 4 3 2" xfId="5793"/>
    <cellStyle name="Note 2 4 4 3 2 2" xfId="18406"/>
    <cellStyle name="Note 2 4 4 3 2 2 2" xfId="29549"/>
    <cellStyle name="Note 2 4 4 3 2 3" xfId="23980"/>
    <cellStyle name="Note 2 4 4 3 2 4" xfId="9944"/>
    <cellStyle name="Note 2 4 4 3 3" xfId="16337"/>
    <cellStyle name="Note 2 4 4 3 3 2" xfId="27480"/>
    <cellStyle name="Note 2 4 4 3 4" xfId="21911"/>
    <cellStyle name="Note 2 4 4 3 5" xfId="7875"/>
    <cellStyle name="Note 2 4 4 4" xfId="4363"/>
    <cellStyle name="Note 2 4 4 4 2" xfId="16976"/>
    <cellStyle name="Note 2 4 4 4 2 2" xfId="28119"/>
    <cellStyle name="Note 2 4 4 4 3" xfId="22550"/>
    <cellStyle name="Note 2 4 4 4 4" xfId="8514"/>
    <cellStyle name="Note 2 4 4 5" xfId="11125"/>
    <cellStyle name="Note 2 4 4 5 2" xfId="15060"/>
    <cellStyle name="Note 2 4 4 5 2 2" xfId="26203"/>
    <cellStyle name="Note 2 4 4 5 3" xfId="20634"/>
    <cellStyle name="Note 2 4 4 6" xfId="13630"/>
    <cellStyle name="Note 2 4 4 6 2" xfId="24773"/>
    <cellStyle name="Note 2 4 4 7" xfId="19204"/>
    <cellStyle name="Note 2 4 4 8" xfId="6598"/>
    <cellStyle name="Note 2 4 5" xfId="1868"/>
    <cellStyle name="Note 2 4 5 2" xfId="4516"/>
    <cellStyle name="Note 2 4 5 2 2" xfId="17129"/>
    <cellStyle name="Note 2 4 5 2 2 2" xfId="28272"/>
    <cellStyle name="Note 2 4 5 2 3" xfId="22703"/>
    <cellStyle name="Note 2 4 5 2 4" xfId="8667"/>
    <cellStyle name="Note 2 4 5 3" xfId="11336"/>
    <cellStyle name="Note 2 4 5 3 2" xfId="14575"/>
    <cellStyle name="Note 2 4 5 3 2 2" xfId="25718"/>
    <cellStyle name="Note 2 4 5 3 3" xfId="20149"/>
    <cellStyle name="Note 2 4 5 4" xfId="13145"/>
    <cellStyle name="Note 2 4 5 4 2" xfId="24288"/>
    <cellStyle name="Note 2 4 5 5" xfId="18719"/>
    <cellStyle name="Note 2 4 5 6" xfId="6113"/>
    <cellStyle name="Note 2 4 6" xfId="2561"/>
    <cellStyle name="Note 2 4 6 2" xfId="4670"/>
    <cellStyle name="Note 2 4 6 2 2" xfId="17283"/>
    <cellStyle name="Note 2 4 6 2 2 2" xfId="28426"/>
    <cellStyle name="Note 2 4 6 2 3" xfId="22857"/>
    <cellStyle name="Note 2 4 6 2 4" xfId="8821"/>
    <cellStyle name="Note 2 4 6 3" xfId="10589"/>
    <cellStyle name="Note 2 4 6 3 2" xfId="15214"/>
    <cellStyle name="Note 2 4 6 3 2 2" xfId="26357"/>
    <cellStyle name="Note 2 4 6 3 3" xfId="20788"/>
    <cellStyle name="Note 2 4 6 4" xfId="13784"/>
    <cellStyle name="Note 2 4 6 4 2" xfId="24927"/>
    <cellStyle name="Note 2 4 6 5" xfId="19358"/>
    <cellStyle name="Note 2 4 6 6" xfId="6752"/>
    <cellStyle name="Note 2 4 7" xfId="3199"/>
    <cellStyle name="Note 2 4 7 2" xfId="5308"/>
    <cellStyle name="Note 2 4 7 2 2" xfId="17921"/>
    <cellStyle name="Note 2 4 7 2 2 2" xfId="29064"/>
    <cellStyle name="Note 2 4 7 2 3" xfId="23495"/>
    <cellStyle name="Note 2 4 7 2 4" xfId="9459"/>
    <cellStyle name="Note 2 4 7 3" xfId="15852"/>
    <cellStyle name="Note 2 4 7 3 2" xfId="26995"/>
    <cellStyle name="Note 2 4 7 4" xfId="21426"/>
    <cellStyle name="Note 2 4 7 5" xfId="7390"/>
    <cellStyle name="Note 2 4 8" xfId="3878"/>
    <cellStyle name="Note 2 4 8 2" xfId="16491"/>
    <cellStyle name="Note 2 4 8 2 2" xfId="27634"/>
    <cellStyle name="Note 2 4 8 3" xfId="22065"/>
    <cellStyle name="Note 2 4 8 4" xfId="8029"/>
    <cellStyle name="Note 2 4 9" xfId="10902"/>
    <cellStyle name="Note 2 4 9 2" xfId="14422"/>
    <cellStyle name="Note 2 4 9 2 2" xfId="25565"/>
    <cellStyle name="Note 2 4 9 3" xfId="19996"/>
    <cellStyle name="Note 2 5" xfId="2174"/>
    <cellStyle name="Note 2 5 2" xfId="2818"/>
    <cellStyle name="Note 2 5 2 2" xfId="4927"/>
    <cellStyle name="Note 2 5 2 2 2" xfId="17540"/>
    <cellStyle name="Note 2 5 2 2 2 2" xfId="28683"/>
    <cellStyle name="Note 2 5 2 2 3" xfId="23114"/>
    <cellStyle name="Note 2 5 2 2 4" xfId="9078"/>
    <cellStyle name="Note 2 5 2 3" xfId="11374"/>
    <cellStyle name="Note 2 5 2 3 2" xfId="15471"/>
    <cellStyle name="Note 2 5 2 3 2 2" xfId="26614"/>
    <cellStyle name="Note 2 5 2 3 3" xfId="21045"/>
    <cellStyle name="Note 2 5 2 4" xfId="14041"/>
    <cellStyle name="Note 2 5 2 4 2" xfId="25184"/>
    <cellStyle name="Note 2 5 2 5" xfId="19615"/>
    <cellStyle name="Note 2 5 2 6" xfId="7009"/>
    <cellStyle name="Note 2 5 3" xfId="3456"/>
    <cellStyle name="Note 2 5 3 2" xfId="5565"/>
    <cellStyle name="Note 2 5 3 2 2" xfId="18178"/>
    <cellStyle name="Note 2 5 3 2 2 2" xfId="29321"/>
    <cellStyle name="Note 2 5 3 2 3" xfId="23752"/>
    <cellStyle name="Note 2 5 3 2 4" xfId="9716"/>
    <cellStyle name="Note 2 5 3 3" xfId="16109"/>
    <cellStyle name="Note 2 5 3 3 2" xfId="27252"/>
    <cellStyle name="Note 2 5 3 4" xfId="21683"/>
    <cellStyle name="Note 2 5 3 5" xfId="7647"/>
    <cellStyle name="Note 2 5 4" xfId="4135"/>
    <cellStyle name="Note 2 5 4 2" xfId="16748"/>
    <cellStyle name="Note 2 5 4 2 2" xfId="27891"/>
    <cellStyle name="Note 2 5 4 3" xfId="22322"/>
    <cellStyle name="Note 2 5 4 4" xfId="8286"/>
    <cellStyle name="Note 2 5 5" xfId="10257"/>
    <cellStyle name="Note 2 5 5 2" xfId="14832"/>
    <cellStyle name="Note 2 5 5 2 2" xfId="25975"/>
    <cellStyle name="Note 2 5 5 3" xfId="20406"/>
    <cellStyle name="Note 2 5 6" xfId="13402"/>
    <cellStyle name="Note 2 5 6 2" xfId="24545"/>
    <cellStyle name="Note 2 5 7" xfId="18976"/>
    <cellStyle name="Note 2 5 8" xfId="6370"/>
    <cellStyle name="Note 2 6" xfId="1968"/>
    <cellStyle name="Note 2 6 2" xfId="2637"/>
    <cellStyle name="Note 2 6 2 2" xfId="4746"/>
    <cellStyle name="Note 2 6 2 2 2" xfId="17359"/>
    <cellStyle name="Note 2 6 2 2 2 2" xfId="28502"/>
    <cellStyle name="Note 2 6 2 2 3" xfId="22933"/>
    <cellStyle name="Note 2 6 2 2 4" xfId="8897"/>
    <cellStyle name="Note 2 6 2 3" xfId="11062"/>
    <cellStyle name="Note 2 6 2 3 2" xfId="15290"/>
    <cellStyle name="Note 2 6 2 3 2 2" xfId="26433"/>
    <cellStyle name="Note 2 6 2 3 3" xfId="20864"/>
    <cellStyle name="Note 2 6 2 4" xfId="13860"/>
    <cellStyle name="Note 2 6 2 4 2" xfId="25003"/>
    <cellStyle name="Note 2 6 2 5" xfId="19434"/>
    <cellStyle name="Note 2 6 2 6" xfId="6828"/>
    <cellStyle name="Note 2 6 3" xfId="3275"/>
    <cellStyle name="Note 2 6 3 2" xfId="5384"/>
    <cellStyle name="Note 2 6 3 2 2" xfId="17997"/>
    <cellStyle name="Note 2 6 3 2 2 2" xfId="29140"/>
    <cellStyle name="Note 2 6 3 2 3" xfId="23571"/>
    <cellStyle name="Note 2 6 3 2 4" xfId="9535"/>
    <cellStyle name="Note 2 6 3 3" xfId="15928"/>
    <cellStyle name="Note 2 6 3 3 2" xfId="27071"/>
    <cellStyle name="Note 2 6 3 4" xfId="21502"/>
    <cellStyle name="Note 2 6 3 5" xfId="7466"/>
    <cellStyle name="Note 2 6 4" xfId="3954"/>
    <cellStyle name="Note 2 6 4 2" xfId="16567"/>
    <cellStyle name="Note 2 6 4 2 2" xfId="27710"/>
    <cellStyle name="Note 2 6 4 3" xfId="22141"/>
    <cellStyle name="Note 2 6 4 4" xfId="8105"/>
    <cellStyle name="Note 2 6 5" xfId="10581"/>
    <cellStyle name="Note 2 6 5 2" xfId="14651"/>
    <cellStyle name="Note 2 6 5 2 2" xfId="25794"/>
    <cellStyle name="Note 2 6 5 3" xfId="20225"/>
    <cellStyle name="Note 2 6 6" xfId="13221"/>
    <cellStyle name="Note 2 6 6 2" xfId="24364"/>
    <cellStyle name="Note 2 6 7" xfId="18795"/>
    <cellStyle name="Note 2 6 8" xfId="6189"/>
    <cellStyle name="Note 2 7" xfId="2328"/>
    <cellStyle name="Note 2 7 2" xfId="2970"/>
    <cellStyle name="Note 2 7 2 2" xfId="5079"/>
    <cellStyle name="Note 2 7 2 2 2" xfId="17692"/>
    <cellStyle name="Note 2 7 2 2 2 2" xfId="28835"/>
    <cellStyle name="Note 2 7 2 2 3" xfId="23266"/>
    <cellStyle name="Note 2 7 2 2 4" xfId="9230"/>
    <cellStyle name="Note 2 7 2 3" xfId="10810"/>
    <cellStyle name="Note 2 7 2 3 2" xfId="15623"/>
    <cellStyle name="Note 2 7 2 3 2 2" xfId="26766"/>
    <cellStyle name="Note 2 7 2 3 3" xfId="21197"/>
    <cellStyle name="Note 2 7 2 4" xfId="14193"/>
    <cellStyle name="Note 2 7 2 4 2" xfId="25336"/>
    <cellStyle name="Note 2 7 2 5" xfId="19767"/>
    <cellStyle name="Note 2 7 2 6" xfId="7161"/>
    <cellStyle name="Note 2 7 3" xfId="3608"/>
    <cellStyle name="Note 2 7 3 2" xfId="5717"/>
    <cellStyle name="Note 2 7 3 2 2" xfId="18330"/>
    <cellStyle name="Note 2 7 3 2 2 2" xfId="29473"/>
    <cellStyle name="Note 2 7 3 2 3" xfId="23904"/>
    <cellStyle name="Note 2 7 3 2 4" xfId="9868"/>
    <cellStyle name="Note 2 7 3 3" xfId="16261"/>
    <cellStyle name="Note 2 7 3 3 2" xfId="27404"/>
    <cellStyle name="Note 2 7 3 4" xfId="21835"/>
    <cellStyle name="Note 2 7 3 5" xfId="7799"/>
    <cellStyle name="Note 2 7 4" xfId="4287"/>
    <cellStyle name="Note 2 7 4 2" xfId="16900"/>
    <cellStyle name="Note 2 7 4 2 2" xfId="28043"/>
    <cellStyle name="Note 2 7 4 3" xfId="22474"/>
    <cellStyle name="Note 2 7 4 4" xfId="8438"/>
    <cellStyle name="Note 2 7 5" xfId="10883"/>
    <cellStyle name="Note 2 7 5 2" xfId="14984"/>
    <cellStyle name="Note 2 7 5 2 2" xfId="26127"/>
    <cellStyle name="Note 2 7 5 3" xfId="20558"/>
    <cellStyle name="Note 2 7 6" xfId="13554"/>
    <cellStyle name="Note 2 7 6 2" xfId="24697"/>
    <cellStyle name="Note 2 7 7" xfId="19128"/>
    <cellStyle name="Note 2 7 8" xfId="6522"/>
    <cellStyle name="Note 2 8" xfId="1792"/>
    <cellStyle name="Note 2 8 2" xfId="4440"/>
    <cellStyle name="Note 2 8 2 2" xfId="17053"/>
    <cellStyle name="Note 2 8 2 2 2" xfId="28196"/>
    <cellStyle name="Note 2 8 2 3" xfId="22627"/>
    <cellStyle name="Note 2 8 2 4" xfId="8591"/>
    <cellStyle name="Note 2 8 3" xfId="10529"/>
    <cellStyle name="Note 2 8 3 2" xfId="14499"/>
    <cellStyle name="Note 2 8 3 2 2" xfId="25642"/>
    <cellStyle name="Note 2 8 3 3" xfId="20073"/>
    <cellStyle name="Note 2 8 4" xfId="13069"/>
    <cellStyle name="Note 2 8 4 2" xfId="24212"/>
    <cellStyle name="Note 2 8 5" xfId="18643"/>
    <cellStyle name="Note 2 8 6" xfId="6037"/>
    <cellStyle name="Note 2 9" xfId="2485"/>
    <cellStyle name="Note 2 9 2" xfId="4594"/>
    <cellStyle name="Note 2 9 2 2" xfId="17207"/>
    <cellStyle name="Note 2 9 2 2 2" xfId="28350"/>
    <cellStyle name="Note 2 9 2 3" xfId="22781"/>
    <cellStyle name="Note 2 9 2 4" xfId="8745"/>
    <cellStyle name="Note 2 9 3" xfId="10226"/>
    <cellStyle name="Note 2 9 3 2" xfId="15138"/>
    <cellStyle name="Note 2 9 3 2 2" xfId="26281"/>
    <cellStyle name="Note 2 9 3 3" xfId="20712"/>
    <cellStyle name="Note 2 9 4" xfId="13708"/>
    <cellStyle name="Note 2 9 4 2" xfId="24851"/>
    <cellStyle name="Note 2 9 5" xfId="19282"/>
    <cellStyle name="Note 2 9 6" xfId="6676"/>
    <cellStyle name="Note 3" xfId="132"/>
    <cellStyle name="Note 3 2" xfId="150"/>
    <cellStyle name="Note 3 2 2" xfId="398"/>
    <cellStyle name="Note 3 2 2 2" xfId="577"/>
    <cellStyle name="Note 3 2 2 2 2" xfId="960"/>
    <cellStyle name="Note 3 2 2 2 2 2" xfId="1699"/>
    <cellStyle name="Note 3 2 2 2 2 2 2" xfId="12795"/>
    <cellStyle name="Note 3 2 2 2 2 3" xfId="12085"/>
    <cellStyle name="Note 3 2 2 2 3" xfId="1344"/>
    <cellStyle name="Note 3 2 2 2 3 2" xfId="12440"/>
    <cellStyle name="Note 3 2 2 2 4" xfId="11730"/>
    <cellStyle name="Note 3 2 2 3" xfId="782"/>
    <cellStyle name="Note 3 2 2 3 2" xfId="1521"/>
    <cellStyle name="Note 3 2 2 3 2 2" xfId="12617"/>
    <cellStyle name="Note 3 2 2 3 3" xfId="11907"/>
    <cellStyle name="Note 3 2 2 4" xfId="1166"/>
    <cellStyle name="Note 3 2 2 4 2" xfId="12262"/>
    <cellStyle name="Note 3 2 2 5" xfId="11552"/>
    <cellStyle name="Note 3 2 3" xfId="453"/>
    <cellStyle name="Note 3 2 3 2" xfId="632"/>
    <cellStyle name="Note 3 2 3 2 2" xfId="1015"/>
    <cellStyle name="Note 3 2 3 2 2 2" xfId="1754"/>
    <cellStyle name="Note 3 2 3 2 2 2 2" xfId="12850"/>
    <cellStyle name="Note 3 2 3 2 2 3" xfId="12140"/>
    <cellStyle name="Note 3 2 3 2 3" xfId="1399"/>
    <cellStyle name="Note 3 2 3 2 3 2" xfId="12495"/>
    <cellStyle name="Note 3 2 3 2 4" xfId="11785"/>
    <cellStyle name="Note 3 2 3 3" xfId="837"/>
    <cellStyle name="Note 3 2 3 3 2" xfId="1576"/>
    <cellStyle name="Note 3 2 3 3 2 2" xfId="12672"/>
    <cellStyle name="Note 3 2 3 3 3" xfId="11962"/>
    <cellStyle name="Note 3 2 3 4" xfId="1221"/>
    <cellStyle name="Note 3 2 3 4 2" xfId="12317"/>
    <cellStyle name="Note 3 2 3 5" xfId="11607"/>
    <cellStyle name="Note 3 2 4" xfId="516"/>
    <cellStyle name="Note 3 2 4 2" xfId="899"/>
    <cellStyle name="Note 3 2 4 2 2" xfId="1638"/>
    <cellStyle name="Note 3 2 4 2 2 2" xfId="12734"/>
    <cellStyle name="Note 3 2 4 2 3" xfId="12024"/>
    <cellStyle name="Note 3 2 4 3" xfId="1283"/>
    <cellStyle name="Note 3 2 4 3 2" xfId="12379"/>
    <cellStyle name="Note 3 2 4 4" xfId="11669"/>
    <cellStyle name="Note 3 2 5" xfId="721"/>
    <cellStyle name="Note 3 2 5 2" xfId="1460"/>
    <cellStyle name="Note 3 2 5 2 2" xfId="12556"/>
    <cellStyle name="Note 3 2 5 3" xfId="11846"/>
    <cellStyle name="Note 3 2 6" xfId="1105"/>
    <cellStyle name="Note 3 2 6 2" xfId="12201"/>
    <cellStyle name="Note 3 2 7" xfId="11491"/>
    <cellStyle name="Note 3 3" xfId="383"/>
    <cellStyle name="Note 3 3 2" xfId="562"/>
    <cellStyle name="Note 3 3 2 2" xfId="945"/>
    <cellStyle name="Note 3 3 2 2 2" xfId="1684"/>
    <cellStyle name="Note 3 3 2 2 2 2" xfId="12780"/>
    <cellStyle name="Note 3 3 2 2 3" xfId="12070"/>
    <cellStyle name="Note 3 3 2 3" xfId="1329"/>
    <cellStyle name="Note 3 3 2 3 2" xfId="12425"/>
    <cellStyle name="Note 3 3 2 4" xfId="11715"/>
    <cellStyle name="Note 3 3 3" xfId="767"/>
    <cellStyle name="Note 3 3 3 2" xfId="1506"/>
    <cellStyle name="Note 3 3 3 2 2" xfId="12602"/>
    <cellStyle name="Note 3 3 3 3" xfId="11892"/>
    <cellStyle name="Note 3 3 4" xfId="1151"/>
    <cellStyle name="Note 3 3 4 2" xfId="12247"/>
    <cellStyle name="Note 3 3 5" xfId="11537"/>
    <cellStyle name="Note 3 4" xfId="438"/>
    <cellStyle name="Note 3 4 2" xfId="617"/>
    <cellStyle name="Note 3 4 2 2" xfId="1000"/>
    <cellStyle name="Note 3 4 2 2 2" xfId="1739"/>
    <cellStyle name="Note 3 4 2 2 2 2" xfId="12835"/>
    <cellStyle name="Note 3 4 2 2 3" xfId="12125"/>
    <cellStyle name="Note 3 4 2 3" xfId="1384"/>
    <cellStyle name="Note 3 4 2 3 2" xfId="12480"/>
    <cellStyle name="Note 3 4 2 4" xfId="11770"/>
    <cellStyle name="Note 3 4 3" xfId="822"/>
    <cellStyle name="Note 3 4 3 2" xfId="1561"/>
    <cellStyle name="Note 3 4 3 2 2" xfId="12657"/>
    <cellStyle name="Note 3 4 3 3" xfId="11947"/>
    <cellStyle name="Note 3 4 4" xfId="1206"/>
    <cellStyle name="Note 3 4 4 2" xfId="12302"/>
    <cellStyle name="Note 3 4 5" xfId="11592"/>
    <cellStyle name="Note 3 5" xfId="500"/>
    <cellStyle name="Note 3 5 2" xfId="884"/>
    <cellStyle name="Note 3 5 2 2" xfId="1623"/>
    <cellStyle name="Note 3 5 2 2 2" xfId="12719"/>
    <cellStyle name="Note 3 5 2 3" xfId="12009"/>
    <cellStyle name="Note 3 5 3" xfId="1268"/>
    <cellStyle name="Note 3 5 3 2" xfId="12364"/>
    <cellStyle name="Note 3 5 4" xfId="11654"/>
    <cellStyle name="Note 3 6" xfId="706"/>
    <cellStyle name="Note 3 6 2" xfId="1445"/>
    <cellStyle name="Note 3 6 2 2" xfId="12541"/>
    <cellStyle name="Note 3 6 3" xfId="11831"/>
    <cellStyle name="Note 3 7" xfId="1090"/>
    <cellStyle name="Note 3 7 2" xfId="12186"/>
    <cellStyle name="Note 3 8" xfId="11476"/>
    <cellStyle name="Note 4" xfId="148"/>
    <cellStyle name="Note 4 10" xfId="3125"/>
    <cellStyle name="Note 4 10 2" xfId="5234"/>
    <cellStyle name="Note 4 10 2 2" xfId="17847"/>
    <cellStyle name="Note 4 10 2 2 2" xfId="28990"/>
    <cellStyle name="Note 4 10 2 3" xfId="23421"/>
    <cellStyle name="Note 4 10 2 4" xfId="9385"/>
    <cellStyle name="Note 4 10 3" xfId="15778"/>
    <cellStyle name="Note 4 10 3 2" xfId="26921"/>
    <cellStyle name="Note 4 10 4" xfId="21352"/>
    <cellStyle name="Note 4 10 5" xfId="7316"/>
    <cellStyle name="Note 4 11" xfId="3804"/>
    <cellStyle name="Note 4 11 2" xfId="16417"/>
    <cellStyle name="Note 4 11 2 2" xfId="27560"/>
    <cellStyle name="Note 4 11 3" xfId="21991"/>
    <cellStyle name="Note 4 11 4" xfId="7955"/>
    <cellStyle name="Note 4 12" xfId="10904"/>
    <cellStyle name="Note 4 12 2" xfId="14348"/>
    <cellStyle name="Note 4 12 2 2" xfId="25491"/>
    <cellStyle name="Note 4 12 3" xfId="19922"/>
    <cellStyle name="Note 4 13" xfId="12917"/>
    <cellStyle name="Note 4 13 2" xfId="24061"/>
    <cellStyle name="Note 4 14" xfId="18492"/>
    <cellStyle name="Note 4 15" xfId="5885"/>
    <cellStyle name="Note 4 2" xfId="237"/>
    <cellStyle name="Note 4 2 10" xfId="3823"/>
    <cellStyle name="Note 4 2 10 2" xfId="16436"/>
    <cellStyle name="Note 4 2 10 2 2" xfId="27579"/>
    <cellStyle name="Note 4 2 10 3" xfId="22010"/>
    <cellStyle name="Note 4 2 10 4" xfId="7974"/>
    <cellStyle name="Note 4 2 11" xfId="11224"/>
    <cellStyle name="Note 4 2 11 2" xfId="14367"/>
    <cellStyle name="Note 4 2 11 2 2" xfId="25510"/>
    <cellStyle name="Note 4 2 11 3" xfId="19941"/>
    <cellStyle name="Note 4 2 12" xfId="12936"/>
    <cellStyle name="Note 4 2 12 2" xfId="24080"/>
    <cellStyle name="Note 4 2 13" xfId="18511"/>
    <cellStyle name="Note 4 2 14" xfId="5904"/>
    <cellStyle name="Note 4 2 2" xfId="275"/>
    <cellStyle name="Note 4 2 2 10" xfId="10369"/>
    <cellStyle name="Note 4 2 2 10 2" xfId="14405"/>
    <cellStyle name="Note 4 2 2 10 2 2" xfId="25548"/>
    <cellStyle name="Note 4 2 2 10 3" xfId="19979"/>
    <cellStyle name="Note 4 2 2 11" xfId="12974"/>
    <cellStyle name="Note 4 2 2 11 2" xfId="24118"/>
    <cellStyle name="Note 4 2 2 12" xfId="18549"/>
    <cellStyle name="Note 4 2 2 13" xfId="5942"/>
    <cellStyle name="Note 4 2 2 2" xfId="351"/>
    <cellStyle name="Note 4 2 2 2 10" xfId="13050"/>
    <cellStyle name="Note 4 2 2 2 10 2" xfId="24194"/>
    <cellStyle name="Note 4 2 2 2 11" xfId="18625"/>
    <cellStyle name="Note 4 2 2 2 12" xfId="6018"/>
    <cellStyle name="Note 4 2 2 2 2" xfId="2309"/>
    <cellStyle name="Note 4 2 2 2 2 2" xfId="2953"/>
    <cellStyle name="Note 4 2 2 2 2 2 2" xfId="5062"/>
    <cellStyle name="Note 4 2 2 2 2 2 2 2" xfId="17675"/>
    <cellStyle name="Note 4 2 2 2 2 2 2 2 2" xfId="28818"/>
    <cellStyle name="Note 4 2 2 2 2 2 2 3" xfId="23249"/>
    <cellStyle name="Note 4 2 2 2 2 2 2 4" xfId="9213"/>
    <cellStyle name="Note 4 2 2 2 2 2 3" xfId="11299"/>
    <cellStyle name="Note 4 2 2 2 2 2 3 2" xfId="15606"/>
    <cellStyle name="Note 4 2 2 2 2 2 3 2 2" xfId="26749"/>
    <cellStyle name="Note 4 2 2 2 2 2 3 3" xfId="21180"/>
    <cellStyle name="Note 4 2 2 2 2 2 4" xfId="14176"/>
    <cellStyle name="Note 4 2 2 2 2 2 4 2" xfId="25319"/>
    <cellStyle name="Note 4 2 2 2 2 2 5" xfId="19750"/>
    <cellStyle name="Note 4 2 2 2 2 2 6" xfId="7144"/>
    <cellStyle name="Note 4 2 2 2 2 3" xfId="3591"/>
    <cellStyle name="Note 4 2 2 2 2 3 2" xfId="5700"/>
    <cellStyle name="Note 4 2 2 2 2 3 2 2" xfId="18313"/>
    <cellStyle name="Note 4 2 2 2 2 3 2 2 2" xfId="29456"/>
    <cellStyle name="Note 4 2 2 2 2 3 2 3" xfId="23887"/>
    <cellStyle name="Note 4 2 2 2 2 3 2 4" xfId="9851"/>
    <cellStyle name="Note 4 2 2 2 2 3 3" xfId="16244"/>
    <cellStyle name="Note 4 2 2 2 2 3 3 2" xfId="27387"/>
    <cellStyle name="Note 4 2 2 2 2 3 4" xfId="21818"/>
    <cellStyle name="Note 4 2 2 2 2 3 5" xfId="7782"/>
    <cellStyle name="Note 4 2 2 2 2 4" xfId="4270"/>
    <cellStyle name="Note 4 2 2 2 2 4 2" xfId="16883"/>
    <cellStyle name="Note 4 2 2 2 2 4 2 2" xfId="28026"/>
    <cellStyle name="Note 4 2 2 2 2 4 3" xfId="22457"/>
    <cellStyle name="Note 4 2 2 2 2 4 4" xfId="8421"/>
    <cellStyle name="Note 4 2 2 2 2 5" xfId="11099"/>
    <cellStyle name="Note 4 2 2 2 2 5 2" xfId="14967"/>
    <cellStyle name="Note 4 2 2 2 2 5 2 2" xfId="26110"/>
    <cellStyle name="Note 4 2 2 2 2 5 3" xfId="20541"/>
    <cellStyle name="Note 4 2 2 2 2 6" xfId="13537"/>
    <cellStyle name="Note 4 2 2 2 2 6 2" xfId="24680"/>
    <cellStyle name="Note 4 2 2 2 2 7" xfId="19111"/>
    <cellStyle name="Note 4 2 2 2 2 8" xfId="6505"/>
    <cellStyle name="Note 4 2 2 2 3" xfId="2117"/>
    <cellStyle name="Note 4 2 2 2 3 2" xfId="2772"/>
    <cellStyle name="Note 4 2 2 2 3 2 2" xfId="4881"/>
    <cellStyle name="Note 4 2 2 2 3 2 2 2" xfId="17494"/>
    <cellStyle name="Note 4 2 2 2 3 2 2 2 2" xfId="28637"/>
    <cellStyle name="Note 4 2 2 2 3 2 2 3" xfId="23068"/>
    <cellStyle name="Note 4 2 2 2 3 2 2 4" xfId="9032"/>
    <cellStyle name="Note 4 2 2 2 3 2 3" xfId="11217"/>
    <cellStyle name="Note 4 2 2 2 3 2 3 2" xfId="15425"/>
    <cellStyle name="Note 4 2 2 2 3 2 3 2 2" xfId="26568"/>
    <cellStyle name="Note 4 2 2 2 3 2 3 3" xfId="20999"/>
    <cellStyle name="Note 4 2 2 2 3 2 4" xfId="13995"/>
    <cellStyle name="Note 4 2 2 2 3 2 4 2" xfId="25138"/>
    <cellStyle name="Note 4 2 2 2 3 2 5" xfId="19569"/>
    <cellStyle name="Note 4 2 2 2 3 2 6" xfId="6963"/>
    <cellStyle name="Note 4 2 2 2 3 3" xfId="3410"/>
    <cellStyle name="Note 4 2 2 2 3 3 2" xfId="5519"/>
    <cellStyle name="Note 4 2 2 2 3 3 2 2" xfId="18132"/>
    <cellStyle name="Note 4 2 2 2 3 3 2 2 2" xfId="29275"/>
    <cellStyle name="Note 4 2 2 2 3 3 2 3" xfId="23706"/>
    <cellStyle name="Note 4 2 2 2 3 3 2 4" xfId="9670"/>
    <cellStyle name="Note 4 2 2 2 3 3 3" xfId="16063"/>
    <cellStyle name="Note 4 2 2 2 3 3 3 2" xfId="27206"/>
    <cellStyle name="Note 4 2 2 2 3 3 4" xfId="21637"/>
    <cellStyle name="Note 4 2 2 2 3 3 5" xfId="7601"/>
    <cellStyle name="Note 4 2 2 2 3 4" xfId="4089"/>
    <cellStyle name="Note 4 2 2 2 3 4 2" xfId="16702"/>
    <cellStyle name="Note 4 2 2 2 3 4 2 2" xfId="27845"/>
    <cellStyle name="Note 4 2 2 2 3 4 3" xfId="22276"/>
    <cellStyle name="Note 4 2 2 2 3 4 4" xfId="8240"/>
    <cellStyle name="Note 4 2 2 2 3 5" xfId="11230"/>
    <cellStyle name="Note 4 2 2 2 3 5 2" xfId="14786"/>
    <cellStyle name="Note 4 2 2 2 3 5 2 2" xfId="25929"/>
    <cellStyle name="Note 4 2 2 2 3 5 3" xfId="20360"/>
    <cellStyle name="Note 4 2 2 2 3 6" xfId="13356"/>
    <cellStyle name="Note 4 2 2 2 3 6 2" xfId="24499"/>
    <cellStyle name="Note 4 2 2 2 3 7" xfId="18930"/>
    <cellStyle name="Note 4 2 2 2 3 8" xfId="6324"/>
    <cellStyle name="Note 4 2 2 2 4" xfId="2464"/>
    <cellStyle name="Note 4 2 2 2 4 2" xfId="3105"/>
    <cellStyle name="Note 4 2 2 2 4 2 2" xfId="5214"/>
    <cellStyle name="Note 4 2 2 2 4 2 2 2" xfId="17827"/>
    <cellStyle name="Note 4 2 2 2 4 2 2 2 2" xfId="28970"/>
    <cellStyle name="Note 4 2 2 2 4 2 2 3" xfId="23401"/>
    <cellStyle name="Note 4 2 2 2 4 2 2 4" xfId="9365"/>
    <cellStyle name="Note 4 2 2 2 4 2 3" xfId="10311"/>
    <cellStyle name="Note 4 2 2 2 4 2 3 2" xfId="15758"/>
    <cellStyle name="Note 4 2 2 2 4 2 3 2 2" xfId="26901"/>
    <cellStyle name="Note 4 2 2 2 4 2 3 3" xfId="21332"/>
    <cellStyle name="Note 4 2 2 2 4 2 4" xfId="14328"/>
    <cellStyle name="Note 4 2 2 2 4 2 4 2" xfId="25471"/>
    <cellStyle name="Note 4 2 2 2 4 2 5" xfId="19902"/>
    <cellStyle name="Note 4 2 2 2 4 2 6" xfId="7296"/>
    <cellStyle name="Note 4 2 2 2 4 3" xfId="3743"/>
    <cellStyle name="Note 4 2 2 2 4 3 2" xfId="5852"/>
    <cellStyle name="Note 4 2 2 2 4 3 2 2" xfId="18465"/>
    <cellStyle name="Note 4 2 2 2 4 3 2 2 2" xfId="29608"/>
    <cellStyle name="Note 4 2 2 2 4 3 2 3" xfId="24039"/>
    <cellStyle name="Note 4 2 2 2 4 3 2 4" xfId="10003"/>
    <cellStyle name="Note 4 2 2 2 4 3 3" xfId="16396"/>
    <cellStyle name="Note 4 2 2 2 4 3 3 2" xfId="27539"/>
    <cellStyle name="Note 4 2 2 2 4 3 4" xfId="21970"/>
    <cellStyle name="Note 4 2 2 2 4 3 5" xfId="7934"/>
    <cellStyle name="Note 4 2 2 2 4 4" xfId="4422"/>
    <cellStyle name="Note 4 2 2 2 4 4 2" xfId="17035"/>
    <cellStyle name="Note 4 2 2 2 4 4 2 2" xfId="28178"/>
    <cellStyle name="Note 4 2 2 2 4 4 3" xfId="22609"/>
    <cellStyle name="Note 4 2 2 2 4 4 4" xfId="8573"/>
    <cellStyle name="Note 4 2 2 2 4 5" xfId="10239"/>
    <cellStyle name="Note 4 2 2 2 4 5 2" xfId="15119"/>
    <cellStyle name="Note 4 2 2 2 4 5 2 2" xfId="26262"/>
    <cellStyle name="Note 4 2 2 2 4 5 3" xfId="20693"/>
    <cellStyle name="Note 4 2 2 2 4 6" xfId="13689"/>
    <cellStyle name="Note 4 2 2 2 4 6 2" xfId="24832"/>
    <cellStyle name="Note 4 2 2 2 4 7" xfId="19263"/>
    <cellStyle name="Note 4 2 2 2 4 8" xfId="6657"/>
    <cellStyle name="Note 4 2 2 2 5" xfId="1927"/>
    <cellStyle name="Note 4 2 2 2 5 2" xfId="4575"/>
    <cellStyle name="Note 4 2 2 2 5 2 2" xfId="17188"/>
    <cellStyle name="Note 4 2 2 2 5 2 2 2" xfId="28331"/>
    <cellStyle name="Note 4 2 2 2 5 2 3" xfId="22762"/>
    <cellStyle name="Note 4 2 2 2 5 2 4" xfId="8726"/>
    <cellStyle name="Note 4 2 2 2 5 3" xfId="10595"/>
    <cellStyle name="Note 4 2 2 2 5 3 2" xfId="14634"/>
    <cellStyle name="Note 4 2 2 2 5 3 2 2" xfId="25777"/>
    <cellStyle name="Note 4 2 2 2 5 3 3" xfId="20208"/>
    <cellStyle name="Note 4 2 2 2 5 4" xfId="13204"/>
    <cellStyle name="Note 4 2 2 2 5 4 2" xfId="24347"/>
    <cellStyle name="Note 4 2 2 2 5 5" xfId="18778"/>
    <cellStyle name="Note 4 2 2 2 5 6" xfId="6172"/>
    <cellStyle name="Note 4 2 2 2 6" xfId="2620"/>
    <cellStyle name="Note 4 2 2 2 6 2" xfId="4729"/>
    <cellStyle name="Note 4 2 2 2 6 2 2" xfId="17342"/>
    <cellStyle name="Note 4 2 2 2 6 2 2 2" xfId="28485"/>
    <cellStyle name="Note 4 2 2 2 6 2 3" xfId="22916"/>
    <cellStyle name="Note 4 2 2 2 6 2 4" xfId="8880"/>
    <cellStyle name="Note 4 2 2 2 6 3" xfId="11194"/>
    <cellStyle name="Note 4 2 2 2 6 3 2" xfId="15273"/>
    <cellStyle name="Note 4 2 2 2 6 3 2 2" xfId="26416"/>
    <cellStyle name="Note 4 2 2 2 6 3 3" xfId="20847"/>
    <cellStyle name="Note 4 2 2 2 6 4" xfId="13843"/>
    <cellStyle name="Note 4 2 2 2 6 4 2" xfId="24986"/>
    <cellStyle name="Note 4 2 2 2 6 5" xfId="19417"/>
    <cellStyle name="Note 4 2 2 2 6 6" xfId="6811"/>
    <cellStyle name="Note 4 2 2 2 7" xfId="3258"/>
    <cellStyle name="Note 4 2 2 2 7 2" xfId="5367"/>
    <cellStyle name="Note 4 2 2 2 7 2 2" xfId="17980"/>
    <cellStyle name="Note 4 2 2 2 7 2 2 2" xfId="29123"/>
    <cellStyle name="Note 4 2 2 2 7 2 3" xfId="23554"/>
    <cellStyle name="Note 4 2 2 2 7 2 4" xfId="9518"/>
    <cellStyle name="Note 4 2 2 2 7 3" xfId="15911"/>
    <cellStyle name="Note 4 2 2 2 7 3 2" xfId="27054"/>
    <cellStyle name="Note 4 2 2 2 7 4" xfId="21485"/>
    <cellStyle name="Note 4 2 2 2 7 5" xfId="7449"/>
    <cellStyle name="Note 4 2 2 2 8" xfId="3937"/>
    <cellStyle name="Note 4 2 2 2 8 2" xfId="16550"/>
    <cellStyle name="Note 4 2 2 2 8 2 2" xfId="27693"/>
    <cellStyle name="Note 4 2 2 2 8 3" xfId="22124"/>
    <cellStyle name="Note 4 2 2 2 8 4" xfId="8088"/>
    <cellStyle name="Note 4 2 2 2 9" xfId="11400"/>
    <cellStyle name="Note 4 2 2 2 9 2" xfId="14481"/>
    <cellStyle name="Note 4 2 2 2 9 2 2" xfId="25624"/>
    <cellStyle name="Note 4 2 2 2 9 3" xfId="20055"/>
    <cellStyle name="Note 4 2 2 3" xfId="2233"/>
    <cellStyle name="Note 4 2 2 3 2" xfId="2877"/>
    <cellStyle name="Note 4 2 2 3 2 2" xfId="4986"/>
    <cellStyle name="Note 4 2 2 3 2 2 2" xfId="17599"/>
    <cellStyle name="Note 4 2 2 3 2 2 2 2" xfId="28742"/>
    <cellStyle name="Note 4 2 2 3 2 2 3" xfId="23173"/>
    <cellStyle name="Note 4 2 2 3 2 2 4" xfId="9137"/>
    <cellStyle name="Note 4 2 2 3 2 3" xfId="10021"/>
    <cellStyle name="Note 4 2 2 3 2 3 2" xfId="15530"/>
    <cellStyle name="Note 4 2 2 3 2 3 2 2" xfId="26673"/>
    <cellStyle name="Note 4 2 2 3 2 3 3" xfId="21104"/>
    <cellStyle name="Note 4 2 2 3 2 4" xfId="14100"/>
    <cellStyle name="Note 4 2 2 3 2 4 2" xfId="25243"/>
    <cellStyle name="Note 4 2 2 3 2 5" xfId="19674"/>
    <cellStyle name="Note 4 2 2 3 2 6" xfId="7068"/>
    <cellStyle name="Note 4 2 2 3 3" xfId="3515"/>
    <cellStyle name="Note 4 2 2 3 3 2" xfId="5624"/>
    <cellStyle name="Note 4 2 2 3 3 2 2" xfId="18237"/>
    <cellStyle name="Note 4 2 2 3 3 2 2 2" xfId="29380"/>
    <cellStyle name="Note 4 2 2 3 3 2 3" xfId="23811"/>
    <cellStyle name="Note 4 2 2 3 3 2 4" xfId="9775"/>
    <cellStyle name="Note 4 2 2 3 3 3" xfId="16168"/>
    <cellStyle name="Note 4 2 2 3 3 3 2" xfId="27311"/>
    <cellStyle name="Note 4 2 2 3 3 4" xfId="21742"/>
    <cellStyle name="Note 4 2 2 3 3 5" xfId="7706"/>
    <cellStyle name="Note 4 2 2 3 4" xfId="4194"/>
    <cellStyle name="Note 4 2 2 3 4 2" xfId="16807"/>
    <cellStyle name="Note 4 2 2 3 4 2 2" xfId="27950"/>
    <cellStyle name="Note 4 2 2 3 4 3" xfId="22381"/>
    <cellStyle name="Note 4 2 2 3 4 4" xfId="8345"/>
    <cellStyle name="Note 4 2 2 3 5" xfId="10821"/>
    <cellStyle name="Note 4 2 2 3 5 2" xfId="14891"/>
    <cellStyle name="Note 4 2 2 3 5 2 2" xfId="26034"/>
    <cellStyle name="Note 4 2 2 3 5 3" xfId="20465"/>
    <cellStyle name="Note 4 2 2 3 6" xfId="13461"/>
    <cellStyle name="Note 4 2 2 3 6 2" xfId="24604"/>
    <cellStyle name="Note 4 2 2 3 7" xfId="19035"/>
    <cellStyle name="Note 4 2 2 3 8" xfId="6429"/>
    <cellStyle name="Note 4 2 2 4" xfId="2041"/>
    <cellStyle name="Note 4 2 2 4 2" xfId="2696"/>
    <cellStyle name="Note 4 2 2 4 2 2" xfId="4805"/>
    <cellStyle name="Note 4 2 2 4 2 2 2" xfId="17418"/>
    <cellStyle name="Note 4 2 2 4 2 2 2 2" xfId="28561"/>
    <cellStyle name="Note 4 2 2 4 2 2 3" xfId="22992"/>
    <cellStyle name="Note 4 2 2 4 2 2 4" xfId="8956"/>
    <cellStyle name="Note 4 2 2 4 2 3" xfId="11300"/>
    <cellStyle name="Note 4 2 2 4 2 3 2" xfId="15349"/>
    <cellStyle name="Note 4 2 2 4 2 3 2 2" xfId="26492"/>
    <cellStyle name="Note 4 2 2 4 2 3 3" xfId="20923"/>
    <cellStyle name="Note 4 2 2 4 2 4" xfId="13919"/>
    <cellStyle name="Note 4 2 2 4 2 4 2" xfId="25062"/>
    <cellStyle name="Note 4 2 2 4 2 5" xfId="19493"/>
    <cellStyle name="Note 4 2 2 4 2 6" xfId="6887"/>
    <cellStyle name="Note 4 2 2 4 3" xfId="3334"/>
    <cellStyle name="Note 4 2 2 4 3 2" xfId="5443"/>
    <cellStyle name="Note 4 2 2 4 3 2 2" xfId="18056"/>
    <cellStyle name="Note 4 2 2 4 3 2 2 2" xfId="29199"/>
    <cellStyle name="Note 4 2 2 4 3 2 3" xfId="23630"/>
    <cellStyle name="Note 4 2 2 4 3 2 4" xfId="9594"/>
    <cellStyle name="Note 4 2 2 4 3 3" xfId="15987"/>
    <cellStyle name="Note 4 2 2 4 3 3 2" xfId="27130"/>
    <cellStyle name="Note 4 2 2 4 3 4" xfId="21561"/>
    <cellStyle name="Note 4 2 2 4 3 5" xfId="7525"/>
    <cellStyle name="Note 4 2 2 4 4" xfId="4013"/>
    <cellStyle name="Note 4 2 2 4 4 2" xfId="16626"/>
    <cellStyle name="Note 4 2 2 4 4 2 2" xfId="27769"/>
    <cellStyle name="Note 4 2 2 4 4 3" xfId="22200"/>
    <cellStyle name="Note 4 2 2 4 4 4" xfId="8164"/>
    <cellStyle name="Note 4 2 2 4 5" xfId="10523"/>
    <cellStyle name="Note 4 2 2 4 5 2" xfId="14710"/>
    <cellStyle name="Note 4 2 2 4 5 2 2" xfId="25853"/>
    <cellStyle name="Note 4 2 2 4 5 3" xfId="20284"/>
    <cellStyle name="Note 4 2 2 4 6" xfId="13280"/>
    <cellStyle name="Note 4 2 2 4 6 2" xfId="24423"/>
    <cellStyle name="Note 4 2 2 4 7" xfId="18854"/>
    <cellStyle name="Note 4 2 2 4 8" xfId="6248"/>
    <cellStyle name="Note 4 2 2 5" xfId="2388"/>
    <cellStyle name="Note 4 2 2 5 2" xfId="3029"/>
    <cellStyle name="Note 4 2 2 5 2 2" xfId="5138"/>
    <cellStyle name="Note 4 2 2 5 2 2 2" xfId="17751"/>
    <cellStyle name="Note 4 2 2 5 2 2 2 2" xfId="28894"/>
    <cellStyle name="Note 4 2 2 5 2 2 3" xfId="23325"/>
    <cellStyle name="Note 4 2 2 5 2 2 4" xfId="9289"/>
    <cellStyle name="Note 4 2 2 5 2 3" xfId="11376"/>
    <cellStyle name="Note 4 2 2 5 2 3 2" xfId="15682"/>
    <cellStyle name="Note 4 2 2 5 2 3 2 2" xfId="26825"/>
    <cellStyle name="Note 4 2 2 5 2 3 3" xfId="21256"/>
    <cellStyle name="Note 4 2 2 5 2 4" xfId="14252"/>
    <cellStyle name="Note 4 2 2 5 2 4 2" xfId="25395"/>
    <cellStyle name="Note 4 2 2 5 2 5" xfId="19826"/>
    <cellStyle name="Note 4 2 2 5 2 6" xfId="7220"/>
    <cellStyle name="Note 4 2 2 5 3" xfId="3667"/>
    <cellStyle name="Note 4 2 2 5 3 2" xfId="5776"/>
    <cellStyle name="Note 4 2 2 5 3 2 2" xfId="18389"/>
    <cellStyle name="Note 4 2 2 5 3 2 2 2" xfId="29532"/>
    <cellStyle name="Note 4 2 2 5 3 2 3" xfId="23963"/>
    <cellStyle name="Note 4 2 2 5 3 2 4" xfId="9927"/>
    <cellStyle name="Note 4 2 2 5 3 3" xfId="16320"/>
    <cellStyle name="Note 4 2 2 5 3 3 2" xfId="27463"/>
    <cellStyle name="Note 4 2 2 5 3 4" xfId="21894"/>
    <cellStyle name="Note 4 2 2 5 3 5" xfId="7858"/>
    <cellStyle name="Note 4 2 2 5 4" xfId="4346"/>
    <cellStyle name="Note 4 2 2 5 4 2" xfId="16959"/>
    <cellStyle name="Note 4 2 2 5 4 2 2" xfId="28102"/>
    <cellStyle name="Note 4 2 2 5 4 3" xfId="22533"/>
    <cellStyle name="Note 4 2 2 5 4 4" xfId="8497"/>
    <cellStyle name="Note 4 2 2 5 5" xfId="10136"/>
    <cellStyle name="Note 4 2 2 5 5 2" xfId="15043"/>
    <cellStyle name="Note 4 2 2 5 5 2 2" xfId="26186"/>
    <cellStyle name="Note 4 2 2 5 5 3" xfId="20617"/>
    <cellStyle name="Note 4 2 2 5 6" xfId="13613"/>
    <cellStyle name="Note 4 2 2 5 6 2" xfId="24756"/>
    <cellStyle name="Note 4 2 2 5 7" xfId="19187"/>
    <cellStyle name="Note 4 2 2 5 8" xfId="6581"/>
    <cellStyle name="Note 4 2 2 6" xfId="1851"/>
    <cellStyle name="Note 4 2 2 6 2" xfId="4499"/>
    <cellStyle name="Note 4 2 2 6 2 2" xfId="17112"/>
    <cellStyle name="Note 4 2 2 6 2 2 2" xfId="28255"/>
    <cellStyle name="Note 4 2 2 6 2 3" xfId="22686"/>
    <cellStyle name="Note 4 2 2 6 2 4" xfId="8650"/>
    <cellStyle name="Note 4 2 2 6 3" xfId="10699"/>
    <cellStyle name="Note 4 2 2 6 3 2" xfId="14558"/>
    <cellStyle name="Note 4 2 2 6 3 2 2" xfId="25701"/>
    <cellStyle name="Note 4 2 2 6 3 3" xfId="20132"/>
    <cellStyle name="Note 4 2 2 6 4" xfId="13128"/>
    <cellStyle name="Note 4 2 2 6 4 2" xfId="24271"/>
    <cellStyle name="Note 4 2 2 6 5" xfId="18702"/>
    <cellStyle name="Note 4 2 2 6 6" xfId="6096"/>
    <cellStyle name="Note 4 2 2 7" xfId="2544"/>
    <cellStyle name="Note 4 2 2 7 2" xfId="4653"/>
    <cellStyle name="Note 4 2 2 7 2 2" xfId="17266"/>
    <cellStyle name="Note 4 2 2 7 2 2 2" xfId="28409"/>
    <cellStyle name="Note 4 2 2 7 2 3" xfId="22840"/>
    <cellStyle name="Note 4 2 2 7 2 4" xfId="8804"/>
    <cellStyle name="Note 4 2 2 7 3" xfId="10437"/>
    <cellStyle name="Note 4 2 2 7 3 2" xfId="15197"/>
    <cellStyle name="Note 4 2 2 7 3 2 2" xfId="26340"/>
    <cellStyle name="Note 4 2 2 7 3 3" xfId="20771"/>
    <cellStyle name="Note 4 2 2 7 4" xfId="13767"/>
    <cellStyle name="Note 4 2 2 7 4 2" xfId="24910"/>
    <cellStyle name="Note 4 2 2 7 5" xfId="19341"/>
    <cellStyle name="Note 4 2 2 7 6" xfId="6735"/>
    <cellStyle name="Note 4 2 2 8" xfId="3182"/>
    <cellStyle name="Note 4 2 2 8 2" xfId="5291"/>
    <cellStyle name="Note 4 2 2 8 2 2" xfId="17904"/>
    <cellStyle name="Note 4 2 2 8 2 2 2" xfId="29047"/>
    <cellStyle name="Note 4 2 2 8 2 3" xfId="23478"/>
    <cellStyle name="Note 4 2 2 8 2 4" xfId="9442"/>
    <cellStyle name="Note 4 2 2 8 3" xfId="15835"/>
    <cellStyle name="Note 4 2 2 8 3 2" xfId="26978"/>
    <cellStyle name="Note 4 2 2 8 4" xfId="21409"/>
    <cellStyle name="Note 4 2 2 8 5" xfId="7373"/>
    <cellStyle name="Note 4 2 2 9" xfId="3861"/>
    <cellStyle name="Note 4 2 2 9 2" xfId="16474"/>
    <cellStyle name="Note 4 2 2 9 2 2" xfId="27617"/>
    <cellStyle name="Note 4 2 2 9 3" xfId="22048"/>
    <cellStyle name="Note 4 2 2 9 4" xfId="8012"/>
    <cellStyle name="Note 4 2 3" xfId="313"/>
    <cellStyle name="Note 4 2 3 10" xfId="13012"/>
    <cellStyle name="Note 4 2 3 10 2" xfId="24156"/>
    <cellStyle name="Note 4 2 3 11" xfId="18587"/>
    <cellStyle name="Note 4 2 3 12" xfId="5980"/>
    <cellStyle name="Note 4 2 3 2" xfId="2271"/>
    <cellStyle name="Note 4 2 3 2 2" xfId="2915"/>
    <cellStyle name="Note 4 2 3 2 2 2" xfId="5024"/>
    <cellStyle name="Note 4 2 3 2 2 2 2" xfId="17637"/>
    <cellStyle name="Note 4 2 3 2 2 2 2 2" xfId="28780"/>
    <cellStyle name="Note 4 2 3 2 2 2 3" xfId="23211"/>
    <cellStyle name="Note 4 2 3 2 2 2 4" xfId="9175"/>
    <cellStyle name="Note 4 2 3 2 2 3" xfId="11278"/>
    <cellStyle name="Note 4 2 3 2 2 3 2" xfId="15568"/>
    <cellStyle name="Note 4 2 3 2 2 3 2 2" xfId="26711"/>
    <cellStyle name="Note 4 2 3 2 2 3 3" xfId="21142"/>
    <cellStyle name="Note 4 2 3 2 2 4" xfId="14138"/>
    <cellStyle name="Note 4 2 3 2 2 4 2" xfId="25281"/>
    <cellStyle name="Note 4 2 3 2 2 5" xfId="19712"/>
    <cellStyle name="Note 4 2 3 2 2 6" xfId="7106"/>
    <cellStyle name="Note 4 2 3 2 3" xfId="3553"/>
    <cellStyle name="Note 4 2 3 2 3 2" xfId="5662"/>
    <cellStyle name="Note 4 2 3 2 3 2 2" xfId="18275"/>
    <cellStyle name="Note 4 2 3 2 3 2 2 2" xfId="29418"/>
    <cellStyle name="Note 4 2 3 2 3 2 3" xfId="23849"/>
    <cellStyle name="Note 4 2 3 2 3 2 4" xfId="9813"/>
    <cellStyle name="Note 4 2 3 2 3 3" xfId="16206"/>
    <cellStyle name="Note 4 2 3 2 3 3 2" xfId="27349"/>
    <cellStyle name="Note 4 2 3 2 3 4" xfId="21780"/>
    <cellStyle name="Note 4 2 3 2 3 5" xfId="7744"/>
    <cellStyle name="Note 4 2 3 2 4" xfId="4232"/>
    <cellStyle name="Note 4 2 3 2 4 2" xfId="16845"/>
    <cellStyle name="Note 4 2 3 2 4 2 2" xfId="27988"/>
    <cellStyle name="Note 4 2 3 2 4 3" xfId="22419"/>
    <cellStyle name="Note 4 2 3 2 4 4" xfId="8383"/>
    <cellStyle name="Note 4 2 3 2 5" xfId="10630"/>
    <cellStyle name="Note 4 2 3 2 5 2" xfId="14929"/>
    <cellStyle name="Note 4 2 3 2 5 2 2" xfId="26072"/>
    <cellStyle name="Note 4 2 3 2 5 3" xfId="20503"/>
    <cellStyle name="Note 4 2 3 2 6" xfId="13499"/>
    <cellStyle name="Note 4 2 3 2 6 2" xfId="24642"/>
    <cellStyle name="Note 4 2 3 2 7" xfId="19073"/>
    <cellStyle name="Note 4 2 3 2 8" xfId="6467"/>
    <cellStyle name="Note 4 2 3 3" xfId="2079"/>
    <cellStyle name="Note 4 2 3 3 2" xfId="2734"/>
    <cellStyle name="Note 4 2 3 3 2 2" xfId="4843"/>
    <cellStyle name="Note 4 2 3 3 2 2 2" xfId="17456"/>
    <cellStyle name="Note 4 2 3 3 2 2 2 2" xfId="28599"/>
    <cellStyle name="Note 4 2 3 3 2 2 3" xfId="23030"/>
    <cellStyle name="Note 4 2 3 3 2 2 4" xfId="8994"/>
    <cellStyle name="Note 4 2 3 3 2 3" xfId="10936"/>
    <cellStyle name="Note 4 2 3 3 2 3 2" xfId="15387"/>
    <cellStyle name="Note 4 2 3 3 2 3 2 2" xfId="26530"/>
    <cellStyle name="Note 4 2 3 3 2 3 3" xfId="20961"/>
    <cellStyle name="Note 4 2 3 3 2 4" xfId="13957"/>
    <cellStyle name="Note 4 2 3 3 2 4 2" xfId="25100"/>
    <cellStyle name="Note 4 2 3 3 2 5" xfId="19531"/>
    <cellStyle name="Note 4 2 3 3 2 6" xfId="6925"/>
    <cellStyle name="Note 4 2 3 3 3" xfId="3372"/>
    <cellStyle name="Note 4 2 3 3 3 2" xfId="5481"/>
    <cellStyle name="Note 4 2 3 3 3 2 2" xfId="18094"/>
    <cellStyle name="Note 4 2 3 3 3 2 2 2" xfId="29237"/>
    <cellStyle name="Note 4 2 3 3 3 2 3" xfId="23668"/>
    <cellStyle name="Note 4 2 3 3 3 2 4" xfId="9632"/>
    <cellStyle name="Note 4 2 3 3 3 3" xfId="16025"/>
    <cellStyle name="Note 4 2 3 3 3 3 2" xfId="27168"/>
    <cellStyle name="Note 4 2 3 3 3 4" xfId="21599"/>
    <cellStyle name="Note 4 2 3 3 3 5" xfId="7563"/>
    <cellStyle name="Note 4 2 3 3 4" xfId="4051"/>
    <cellStyle name="Note 4 2 3 3 4 2" xfId="16664"/>
    <cellStyle name="Note 4 2 3 3 4 2 2" xfId="27807"/>
    <cellStyle name="Note 4 2 3 3 4 3" xfId="22238"/>
    <cellStyle name="Note 4 2 3 3 4 4" xfId="8202"/>
    <cellStyle name="Note 4 2 3 3 5" xfId="10609"/>
    <cellStyle name="Note 4 2 3 3 5 2" xfId="14748"/>
    <cellStyle name="Note 4 2 3 3 5 2 2" xfId="25891"/>
    <cellStyle name="Note 4 2 3 3 5 3" xfId="20322"/>
    <cellStyle name="Note 4 2 3 3 6" xfId="13318"/>
    <cellStyle name="Note 4 2 3 3 6 2" xfId="24461"/>
    <cellStyle name="Note 4 2 3 3 7" xfId="18892"/>
    <cellStyle name="Note 4 2 3 3 8" xfId="6286"/>
    <cellStyle name="Note 4 2 3 4" xfId="2426"/>
    <cellStyle name="Note 4 2 3 4 2" xfId="3067"/>
    <cellStyle name="Note 4 2 3 4 2 2" xfId="5176"/>
    <cellStyle name="Note 4 2 3 4 2 2 2" xfId="17789"/>
    <cellStyle name="Note 4 2 3 4 2 2 2 2" xfId="28932"/>
    <cellStyle name="Note 4 2 3 4 2 2 3" xfId="23363"/>
    <cellStyle name="Note 4 2 3 4 2 2 4" xfId="9327"/>
    <cellStyle name="Note 4 2 3 4 2 3" xfId="10424"/>
    <cellStyle name="Note 4 2 3 4 2 3 2" xfId="15720"/>
    <cellStyle name="Note 4 2 3 4 2 3 2 2" xfId="26863"/>
    <cellStyle name="Note 4 2 3 4 2 3 3" xfId="21294"/>
    <cellStyle name="Note 4 2 3 4 2 4" xfId="14290"/>
    <cellStyle name="Note 4 2 3 4 2 4 2" xfId="25433"/>
    <cellStyle name="Note 4 2 3 4 2 5" xfId="19864"/>
    <cellStyle name="Note 4 2 3 4 2 6" xfId="7258"/>
    <cellStyle name="Note 4 2 3 4 3" xfId="3705"/>
    <cellStyle name="Note 4 2 3 4 3 2" xfId="5814"/>
    <cellStyle name="Note 4 2 3 4 3 2 2" xfId="18427"/>
    <cellStyle name="Note 4 2 3 4 3 2 2 2" xfId="29570"/>
    <cellStyle name="Note 4 2 3 4 3 2 3" xfId="24001"/>
    <cellStyle name="Note 4 2 3 4 3 2 4" xfId="9965"/>
    <cellStyle name="Note 4 2 3 4 3 3" xfId="16358"/>
    <cellStyle name="Note 4 2 3 4 3 3 2" xfId="27501"/>
    <cellStyle name="Note 4 2 3 4 3 4" xfId="21932"/>
    <cellStyle name="Note 4 2 3 4 3 5" xfId="7896"/>
    <cellStyle name="Note 4 2 3 4 4" xfId="4384"/>
    <cellStyle name="Note 4 2 3 4 4 2" xfId="16997"/>
    <cellStyle name="Note 4 2 3 4 4 2 2" xfId="28140"/>
    <cellStyle name="Note 4 2 3 4 4 3" xfId="22571"/>
    <cellStyle name="Note 4 2 3 4 4 4" xfId="8535"/>
    <cellStyle name="Note 4 2 3 4 5" xfId="10790"/>
    <cellStyle name="Note 4 2 3 4 5 2" xfId="15081"/>
    <cellStyle name="Note 4 2 3 4 5 2 2" xfId="26224"/>
    <cellStyle name="Note 4 2 3 4 5 3" xfId="20655"/>
    <cellStyle name="Note 4 2 3 4 6" xfId="13651"/>
    <cellStyle name="Note 4 2 3 4 6 2" xfId="24794"/>
    <cellStyle name="Note 4 2 3 4 7" xfId="19225"/>
    <cellStyle name="Note 4 2 3 4 8" xfId="6619"/>
    <cellStyle name="Note 4 2 3 5" xfId="1889"/>
    <cellStyle name="Note 4 2 3 5 2" xfId="4537"/>
    <cellStyle name="Note 4 2 3 5 2 2" xfId="17150"/>
    <cellStyle name="Note 4 2 3 5 2 2 2" xfId="28293"/>
    <cellStyle name="Note 4 2 3 5 2 3" xfId="22724"/>
    <cellStyle name="Note 4 2 3 5 2 4" xfId="8688"/>
    <cellStyle name="Note 4 2 3 5 3" xfId="11310"/>
    <cellStyle name="Note 4 2 3 5 3 2" xfId="14596"/>
    <cellStyle name="Note 4 2 3 5 3 2 2" xfId="25739"/>
    <cellStyle name="Note 4 2 3 5 3 3" xfId="20170"/>
    <cellStyle name="Note 4 2 3 5 4" xfId="13166"/>
    <cellStyle name="Note 4 2 3 5 4 2" xfId="24309"/>
    <cellStyle name="Note 4 2 3 5 5" xfId="18740"/>
    <cellStyle name="Note 4 2 3 5 6" xfId="6134"/>
    <cellStyle name="Note 4 2 3 6" xfId="2582"/>
    <cellStyle name="Note 4 2 3 6 2" xfId="4691"/>
    <cellStyle name="Note 4 2 3 6 2 2" xfId="17304"/>
    <cellStyle name="Note 4 2 3 6 2 2 2" xfId="28447"/>
    <cellStyle name="Note 4 2 3 6 2 3" xfId="22878"/>
    <cellStyle name="Note 4 2 3 6 2 4" xfId="8842"/>
    <cellStyle name="Note 4 2 3 6 3" xfId="10659"/>
    <cellStyle name="Note 4 2 3 6 3 2" xfId="15235"/>
    <cellStyle name="Note 4 2 3 6 3 2 2" xfId="26378"/>
    <cellStyle name="Note 4 2 3 6 3 3" xfId="20809"/>
    <cellStyle name="Note 4 2 3 6 4" xfId="13805"/>
    <cellStyle name="Note 4 2 3 6 4 2" xfId="24948"/>
    <cellStyle name="Note 4 2 3 6 5" xfId="19379"/>
    <cellStyle name="Note 4 2 3 6 6" xfId="6773"/>
    <cellStyle name="Note 4 2 3 7" xfId="3220"/>
    <cellStyle name="Note 4 2 3 7 2" xfId="5329"/>
    <cellStyle name="Note 4 2 3 7 2 2" xfId="17942"/>
    <cellStyle name="Note 4 2 3 7 2 2 2" xfId="29085"/>
    <cellStyle name="Note 4 2 3 7 2 3" xfId="23516"/>
    <cellStyle name="Note 4 2 3 7 2 4" xfId="9480"/>
    <cellStyle name="Note 4 2 3 7 3" xfId="15873"/>
    <cellStyle name="Note 4 2 3 7 3 2" xfId="27016"/>
    <cellStyle name="Note 4 2 3 7 4" xfId="21447"/>
    <cellStyle name="Note 4 2 3 7 5" xfId="7411"/>
    <cellStyle name="Note 4 2 3 8" xfId="3899"/>
    <cellStyle name="Note 4 2 3 8 2" xfId="16512"/>
    <cellStyle name="Note 4 2 3 8 2 2" xfId="27655"/>
    <cellStyle name="Note 4 2 3 8 3" xfId="22086"/>
    <cellStyle name="Note 4 2 3 8 4" xfId="8050"/>
    <cellStyle name="Note 4 2 3 9" xfId="11094"/>
    <cellStyle name="Note 4 2 3 9 2" xfId="14443"/>
    <cellStyle name="Note 4 2 3 9 2 2" xfId="25586"/>
    <cellStyle name="Note 4 2 3 9 3" xfId="20017"/>
    <cellStyle name="Note 4 2 4" xfId="2195"/>
    <cellStyle name="Note 4 2 4 2" xfId="2839"/>
    <cellStyle name="Note 4 2 4 2 2" xfId="4948"/>
    <cellStyle name="Note 4 2 4 2 2 2" xfId="17561"/>
    <cellStyle name="Note 4 2 4 2 2 2 2" xfId="28704"/>
    <cellStyle name="Note 4 2 4 2 2 3" xfId="23135"/>
    <cellStyle name="Note 4 2 4 2 2 4" xfId="9099"/>
    <cellStyle name="Note 4 2 4 2 3" xfId="10740"/>
    <cellStyle name="Note 4 2 4 2 3 2" xfId="15492"/>
    <cellStyle name="Note 4 2 4 2 3 2 2" xfId="26635"/>
    <cellStyle name="Note 4 2 4 2 3 3" xfId="21066"/>
    <cellStyle name="Note 4 2 4 2 4" xfId="14062"/>
    <cellStyle name="Note 4 2 4 2 4 2" xfId="25205"/>
    <cellStyle name="Note 4 2 4 2 5" xfId="19636"/>
    <cellStyle name="Note 4 2 4 2 6" xfId="7030"/>
    <cellStyle name="Note 4 2 4 3" xfId="3477"/>
    <cellStyle name="Note 4 2 4 3 2" xfId="5586"/>
    <cellStyle name="Note 4 2 4 3 2 2" xfId="18199"/>
    <cellStyle name="Note 4 2 4 3 2 2 2" xfId="29342"/>
    <cellStyle name="Note 4 2 4 3 2 3" xfId="23773"/>
    <cellStyle name="Note 4 2 4 3 2 4" xfId="9737"/>
    <cellStyle name="Note 4 2 4 3 3" xfId="16130"/>
    <cellStyle name="Note 4 2 4 3 3 2" xfId="27273"/>
    <cellStyle name="Note 4 2 4 3 4" xfId="21704"/>
    <cellStyle name="Note 4 2 4 3 5" xfId="7668"/>
    <cellStyle name="Note 4 2 4 4" xfId="4156"/>
    <cellStyle name="Note 4 2 4 4 2" xfId="16769"/>
    <cellStyle name="Note 4 2 4 4 2 2" xfId="27912"/>
    <cellStyle name="Note 4 2 4 4 3" xfId="22343"/>
    <cellStyle name="Note 4 2 4 4 4" xfId="8307"/>
    <cellStyle name="Note 4 2 4 5" xfId="10954"/>
    <cellStyle name="Note 4 2 4 5 2" xfId="14853"/>
    <cellStyle name="Note 4 2 4 5 2 2" xfId="25996"/>
    <cellStyle name="Note 4 2 4 5 3" xfId="20427"/>
    <cellStyle name="Note 4 2 4 6" xfId="13423"/>
    <cellStyle name="Note 4 2 4 6 2" xfId="24566"/>
    <cellStyle name="Note 4 2 4 7" xfId="18997"/>
    <cellStyle name="Note 4 2 4 8" xfId="6391"/>
    <cellStyle name="Note 4 2 5" xfId="2003"/>
    <cellStyle name="Note 4 2 5 2" xfId="2658"/>
    <cellStyle name="Note 4 2 5 2 2" xfId="4767"/>
    <cellStyle name="Note 4 2 5 2 2 2" xfId="17380"/>
    <cellStyle name="Note 4 2 5 2 2 2 2" xfId="28523"/>
    <cellStyle name="Note 4 2 5 2 2 3" xfId="22954"/>
    <cellStyle name="Note 4 2 5 2 2 4" xfId="8918"/>
    <cellStyle name="Note 4 2 5 2 3" xfId="11145"/>
    <cellStyle name="Note 4 2 5 2 3 2" xfId="15311"/>
    <cellStyle name="Note 4 2 5 2 3 2 2" xfId="26454"/>
    <cellStyle name="Note 4 2 5 2 3 3" xfId="20885"/>
    <cellStyle name="Note 4 2 5 2 4" xfId="13881"/>
    <cellStyle name="Note 4 2 5 2 4 2" xfId="25024"/>
    <cellStyle name="Note 4 2 5 2 5" xfId="19455"/>
    <cellStyle name="Note 4 2 5 2 6" xfId="6849"/>
    <cellStyle name="Note 4 2 5 3" xfId="3296"/>
    <cellStyle name="Note 4 2 5 3 2" xfId="5405"/>
    <cellStyle name="Note 4 2 5 3 2 2" xfId="18018"/>
    <cellStyle name="Note 4 2 5 3 2 2 2" xfId="29161"/>
    <cellStyle name="Note 4 2 5 3 2 3" xfId="23592"/>
    <cellStyle name="Note 4 2 5 3 2 4" xfId="9556"/>
    <cellStyle name="Note 4 2 5 3 3" xfId="15949"/>
    <cellStyle name="Note 4 2 5 3 3 2" xfId="27092"/>
    <cellStyle name="Note 4 2 5 3 4" xfId="21523"/>
    <cellStyle name="Note 4 2 5 3 5" xfId="7487"/>
    <cellStyle name="Note 4 2 5 4" xfId="3975"/>
    <cellStyle name="Note 4 2 5 4 2" xfId="16588"/>
    <cellStyle name="Note 4 2 5 4 2 2" xfId="27731"/>
    <cellStyle name="Note 4 2 5 4 3" xfId="22162"/>
    <cellStyle name="Note 4 2 5 4 4" xfId="8126"/>
    <cellStyle name="Note 4 2 5 5" xfId="10892"/>
    <cellStyle name="Note 4 2 5 5 2" xfId="14672"/>
    <cellStyle name="Note 4 2 5 5 2 2" xfId="25815"/>
    <cellStyle name="Note 4 2 5 5 3" xfId="20246"/>
    <cellStyle name="Note 4 2 5 6" xfId="13242"/>
    <cellStyle name="Note 4 2 5 6 2" xfId="24385"/>
    <cellStyle name="Note 4 2 5 7" xfId="18816"/>
    <cellStyle name="Note 4 2 5 8" xfId="6210"/>
    <cellStyle name="Note 4 2 6" xfId="2350"/>
    <cellStyle name="Note 4 2 6 2" xfId="2991"/>
    <cellStyle name="Note 4 2 6 2 2" xfId="5100"/>
    <cellStyle name="Note 4 2 6 2 2 2" xfId="17713"/>
    <cellStyle name="Note 4 2 6 2 2 2 2" xfId="28856"/>
    <cellStyle name="Note 4 2 6 2 2 3" xfId="23287"/>
    <cellStyle name="Note 4 2 6 2 2 4" xfId="9251"/>
    <cellStyle name="Note 4 2 6 2 3" xfId="10664"/>
    <cellStyle name="Note 4 2 6 2 3 2" xfId="15644"/>
    <cellStyle name="Note 4 2 6 2 3 2 2" xfId="26787"/>
    <cellStyle name="Note 4 2 6 2 3 3" xfId="21218"/>
    <cellStyle name="Note 4 2 6 2 4" xfId="14214"/>
    <cellStyle name="Note 4 2 6 2 4 2" xfId="25357"/>
    <cellStyle name="Note 4 2 6 2 5" xfId="19788"/>
    <cellStyle name="Note 4 2 6 2 6" xfId="7182"/>
    <cellStyle name="Note 4 2 6 3" xfId="3629"/>
    <cellStyle name="Note 4 2 6 3 2" xfId="5738"/>
    <cellStyle name="Note 4 2 6 3 2 2" xfId="18351"/>
    <cellStyle name="Note 4 2 6 3 2 2 2" xfId="29494"/>
    <cellStyle name="Note 4 2 6 3 2 3" xfId="23925"/>
    <cellStyle name="Note 4 2 6 3 2 4" xfId="9889"/>
    <cellStyle name="Note 4 2 6 3 3" xfId="16282"/>
    <cellStyle name="Note 4 2 6 3 3 2" xfId="27425"/>
    <cellStyle name="Note 4 2 6 3 4" xfId="21856"/>
    <cellStyle name="Note 4 2 6 3 5" xfId="7820"/>
    <cellStyle name="Note 4 2 6 4" xfId="4308"/>
    <cellStyle name="Note 4 2 6 4 2" xfId="16921"/>
    <cellStyle name="Note 4 2 6 4 2 2" xfId="28064"/>
    <cellStyle name="Note 4 2 6 4 3" xfId="22495"/>
    <cellStyle name="Note 4 2 6 4 4" xfId="8459"/>
    <cellStyle name="Note 4 2 6 5" xfId="10525"/>
    <cellStyle name="Note 4 2 6 5 2" xfId="15005"/>
    <cellStyle name="Note 4 2 6 5 2 2" xfId="26148"/>
    <cellStyle name="Note 4 2 6 5 3" xfId="20579"/>
    <cellStyle name="Note 4 2 6 6" xfId="13575"/>
    <cellStyle name="Note 4 2 6 6 2" xfId="24718"/>
    <cellStyle name="Note 4 2 6 7" xfId="19149"/>
    <cellStyle name="Note 4 2 6 8" xfId="6543"/>
    <cellStyle name="Note 4 2 7" xfId="1813"/>
    <cellStyle name="Note 4 2 7 2" xfId="4461"/>
    <cellStyle name="Note 4 2 7 2 2" xfId="17074"/>
    <cellStyle name="Note 4 2 7 2 2 2" xfId="28217"/>
    <cellStyle name="Note 4 2 7 2 3" xfId="22648"/>
    <cellStyle name="Note 4 2 7 2 4" xfId="8612"/>
    <cellStyle name="Note 4 2 7 3" xfId="10708"/>
    <cellStyle name="Note 4 2 7 3 2" xfId="14520"/>
    <cellStyle name="Note 4 2 7 3 2 2" xfId="25663"/>
    <cellStyle name="Note 4 2 7 3 3" xfId="20094"/>
    <cellStyle name="Note 4 2 7 4" xfId="13090"/>
    <cellStyle name="Note 4 2 7 4 2" xfId="24233"/>
    <cellStyle name="Note 4 2 7 5" xfId="18664"/>
    <cellStyle name="Note 4 2 7 6" xfId="6058"/>
    <cellStyle name="Note 4 2 8" xfId="2506"/>
    <cellStyle name="Note 4 2 8 2" xfId="4615"/>
    <cellStyle name="Note 4 2 8 2 2" xfId="17228"/>
    <cellStyle name="Note 4 2 8 2 2 2" xfId="28371"/>
    <cellStyle name="Note 4 2 8 2 3" xfId="22802"/>
    <cellStyle name="Note 4 2 8 2 4" xfId="8766"/>
    <cellStyle name="Note 4 2 8 3" xfId="11337"/>
    <cellStyle name="Note 4 2 8 3 2" xfId="15159"/>
    <cellStyle name="Note 4 2 8 3 2 2" xfId="26302"/>
    <cellStyle name="Note 4 2 8 3 3" xfId="20733"/>
    <cellStyle name="Note 4 2 8 4" xfId="13729"/>
    <cellStyle name="Note 4 2 8 4 2" xfId="24872"/>
    <cellStyle name="Note 4 2 8 5" xfId="19303"/>
    <cellStyle name="Note 4 2 8 6" xfId="6697"/>
    <cellStyle name="Note 4 2 9" xfId="3144"/>
    <cellStyle name="Note 4 2 9 2" xfId="5253"/>
    <cellStyle name="Note 4 2 9 2 2" xfId="17866"/>
    <cellStyle name="Note 4 2 9 2 2 2" xfId="29009"/>
    <cellStyle name="Note 4 2 9 2 3" xfId="23440"/>
    <cellStyle name="Note 4 2 9 2 4" xfId="9404"/>
    <cellStyle name="Note 4 2 9 3" xfId="15797"/>
    <cellStyle name="Note 4 2 9 3 2" xfId="26940"/>
    <cellStyle name="Note 4 2 9 4" xfId="21371"/>
    <cellStyle name="Note 4 2 9 5" xfId="7335"/>
    <cellStyle name="Note 4 3" xfId="256"/>
    <cellStyle name="Note 4 3 10" xfId="10453"/>
    <cellStyle name="Note 4 3 10 2" xfId="14386"/>
    <cellStyle name="Note 4 3 10 2 2" xfId="25529"/>
    <cellStyle name="Note 4 3 10 3" xfId="19960"/>
    <cellStyle name="Note 4 3 11" xfId="12955"/>
    <cellStyle name="Note 4 3 11 2" xfId="24099"/>
    <cellStyle name="Note 4 3 12" xfId="18530"/>
    <cellStyle name="Note 4 3 13" xfId="5923"/>
    <cellStyle name="Note 4 3 2" xfId="332"/>
    <cellStyle name="Note 4 3 2 10" xfId="13031"/>
    <cellStyle name="Note 4 3 2 10 2" xfId="24175"/>
    <cellStyle name="Note 4 3 2 11" xfId="18606"/>
    <cellStyle name="Note 4 3 2 12" xfId="5999"/>
    <cellStyle name="Note 4 3 2 2" xfId="2290"/>
    <cellStyle name="Note 4 3 2 2 2" xfId="2934"/>
    <cellStyle name="Note 4 3 2 2 2 2" xfId="5043"/>
    <cellStyle name="Note 4 3 2 2 2 2 2" xfId="17656"/>
    <cellStyle name="Note 4 3 2 2 2 2 2 2" xfId="28799"/>
    <cellStyle name="Note 4 3 2 2 2 2 3" xfId="23230"/>
    <cellStyle name="Note 4 3 2 2 2 2 4" xfId="9194"/>
    <cellStyle name="Note 4 3 2 2 2 3" xfId="10818"/>
    <cellStyle name="Note 4 3 2 2 2 3 2" xfId="15587"/>
    <cellStyle name="Note 4 3 2 2 2 3 2 2" xfId="26730"/>
    <cellStyle name="Note 4 3 2 2 2 3 3" xfId="21161"/>
    <cellStyle name="Note 4 3 2 2 2 4" xfId="14157"/>
    <cellStyle name="Note 4 3 2 2 2 4 2" xfId="25300"/>
    <cellStyle name="Note 4 3 2 2 2 5" xfId="19731"/>
    <cellStyle name="Note 4 3 2 2 2 6" xfId="7125"/>
    <cellStyle name="Note 4 3 2 2 3" xfId="3572"/>
    <cellStyle name="Note 4 3 2 2 3 2" xfId="5681"/>
    <cellStyle name="Note 4 3 2 2 3 2 2" xfId="18294"/>
    <cellStyle name="Note 4 3 2 2 3 2 2 2" xfId="29437"/>
    <cellStyle name="Note 4 3 2 2 3 2 3" xfId="23868"/>
    <cellStyle name="Note 4 3 2 2 3 2 4" xfId="9832"/>
    <cellStyle name="Note 4 3 2 2 3 3" xfId="16225"/>
    <cellStyle name="Note 4 3 2 2 3 3 2" xfId="27368"/>
    <cellStyle name="Note 4 3 2 2 3 4" xfId="21799"/>
    <cellStyle name="Note 4 3 2 2 3 5" xfId="7763"/>
    <cellStyle name="Note 4 3 2 2 4" xfId="4251"/>
    <cellStyle name="Note 4 3 2 2 4 2" xfId="16864"/>
    <cellStyle name="Note 4 3 2 2 4 2 2" xfId="28007"/>
    <cellStyle name="Note 4 3 2 2 4 3" xfId="22438"/>
    <cellStyle name="Note 4 3 2 2 4 4" xfId="8402"/>
    <cellStyle name="Note 4 3 2 2 5" xfId="10513"/>
    <cellStyle name="Note 4 3 2 2 5 2" xfId="14948"/>
    <cellStyle name="Note 4 3 2 2 5 2 2" xfId="26091"/>
    <cellStyle name="Note 4 3 2 2 5 3" xfId="20522"/>
    <cellStyle name="Note 4 3 2 2 6" xfId="13518"/>
    <cellStyle name="Note 4 3 2 2 6 2" xfId="24661"/>
    <cellStyle name="Note 4 3 2 2 7" xfId="19092"/>
    <cellStyle name="Note 4 3 2 2 8" xfId="6486"/>
    <cellStyle name="Note 4 3 2 3" xfId="2098"/>
    <cellStyle name="Note 4 3 2 3 2" xfId="2753"/>
    <cellStyle name="Note 4 3 2 3 2 2" xfId="4862"/>
    <cellStyle name="Note 4 3 2 3 2 2 2" xfId="17475"/>
    <cellStyle name="Note 4 3 2 3 2 2 2 2" xfId="28618"/>
    <cellStyle name="Note 4 3 2 3 2 2 3" xfId="23049"/>
    <cellStyle name="Note 4 3 2 3 2 2 4" xfId="9013"/>
    <cellStyle name="Note 4 3 2 3 2 3" xfId="10828"/>
    <cellStyle name="Note 4 3 2 3 2 3 2" xfId="15406"/>
    <cellStyle name="Note 4 3 2 3 2 3 2 2" xfId="26549"/>
    <cellStyle name="Note 4 3 2 3 2 3 3" xfId="20980"/>
    <cellStyle name="Note 4 3 2 3 2 4" xfId="13976"/>
    <cellStyle name="Note 4 3 2 3 2 4 2" xfId="25119"/>
    <cellStyle name="Note 4 3 2 3 2 5" xfId="19550"/>
    <cellStyle name="Note 4 3 2 3 2 6" xfId="6944"/>
    <cellStyle name="Note 4 3 2 3 3" xfId="3391"/>
    <cellStyle name="Note 4 3 2 3 3 2" xfId="5500"/>
    <cellStyle name="Note 4 3 2 3 3 2 2" xfId="18113"/>
    <cellStyle name="Note 4 3 2 3 3 2 2 2" xfId="29256"/>
    <cellStyle name="Note 4 3 2 3 3 2 3" xfId="23687"/>
    <cellStyle name="Note 4 3 2 3 3 2 4" xfId="9651"/>
    <cellStyle name="Note 4 3 2 3 3 3" xfId="16044"/>
    <cellStyle name="Note 4 3 2 3 3 3 2" xfId="27187"/>
    <cellStyle name="Note 4 3 2 3 3 4" xfId="21618"/>
    <cellStyle name="Note 4 3 2 3 3 5" xfId="7582"/>
    <cellStyle name="Note 4 3 2 3 4" xfId="4070"/>
    <cellStyle name="Note 4 3 2 3 4 2" xfId="16683"/>
    <cellStyle name="Note 4 3 2 3 4 2 2" xfId="27826"/>
    <cellStyle name="Note 4 3 2 3 4 3" xfId="22257"/>
    <cellStyle name="Note 4 3 2 3 4 4" xfId="8221"/>
    <cellStyle name="Note 4 3 2 3 5" xfId="11436"/>
    <cellStyle name="Note 4 3 2 3 5 2" xfId="14767"/>
    <cellStyle name="Note 4 3 2 3 5 2 2" xfId="25910"/>
    <cellStyle name="Note 4 3 2 3 5 3" xfId="20341"/>
    <cellStyle name="Note 4 3 2 3 6" xfId="13337"/>
    <cellStyle name="Note 4 3 2 3 6 2" xfId="24480"/>
    <cellStyle name="Note 4 3 2 3 7" xfId="18911"/>
    <cellStyle name="Note 4 3 2 3 8" xfId="6305"/>
    <cellStyle name="Note 4 3 2 4" xfId="2445"/>
    <cellStyle name="Note 4 3 2 4 2" xfId="3086"/>
    <cellStyle name="Note 4 3 2 4 2 2" xfId="5195"/>
    <cellStyle name="Note 4 3 2 4 2 2 2" xfId="17808"/>
    <cellStyle name="Note 4 3 2 4 2 2 2 2" xfId="28951"/>
    <cellStyle name="Note 4 3 2 4 2 2 3" xfId="23382"/>
    <cellStyle name="Note 4 3 2 4 2 2 4" xfId="9346"/>
    <cellStyle name="Note 4 3 2 4 2 3" xfId="10057"/>
    <cellStyle name="Note 4 3 2 4 2 3 2" xfId="15739"/>
    <cellStyle name="Note 4 3 2 4 2 3 2 2" xfId="26882"/>
    <cellStyle name="Note 4 3 2 4 2 3 3" xfId="21313"/>
    <cellStyle name="Note 4 3 2 4 2 4" xfId="14309"/>
    <cellStyle name="Note 4 3 2 4 2 4 2" xfId="25452"/>
    <cellStyle name="Note 4 3 2 4 2 5" xfId="19883"/>
    <cellStyle name="Note 4 3 2 4 2 6" xfId="7277"/>
    <cellStyle name="Note 4 3 2 4 3" xfId="3724"/>
    <cellStyle name="Note 4 3 2 4 3 2" xfId="5833"/>
    <cellStyle name="Note 4 3 2 4 3 2 2" xfId="18446"/>
    <cellStyle name="Note 4 3 2 4 3 2 2 2" xfId="29589"/>
    <cellStyle name="Note 4 3 2 4 3 2 3" xfId="24020"/>
    <cellStyle name="Note 4 3 2 4 3 2 4" xfId="9984"/>
    <cellStyle name="Note 4 3 2 4 3 3" xfId="16377"/>
    <cellStyle name="Note 4 3 2 4 3 3 2" xfId="27520"/>
    <cellStyle name="Note 4 3 2 4 3 4" xfId="21951"/>
    <cellStyle name="Note 4 3 2 4 3 5" xfId="7915"/>
    <cellStyle name="Note 4 3 2 4 4" xfId="4403"/>
    <cellStyle name="Note 4 3 2 4 4 2" xfId="17016"/>
    <cellStyle name="Note 4 3 2 4 4 2 2" xfId="28159"/>
    <cellStyle name="Note 4 3 2 4 4 3" xfId="22590"/>
    <cellStyle name="Note 4 3 2 4 4 4" xfId="8554"/>
    <cellStyle name="Note 4 3 2 4 5" xfId="5862"/>
    <cellStyle name="Note 4 3 2 4 5 2" xfId="15100"/>
    <cellStyle name="Note 4 3 2 4 5 2 2" xfId="26243"/>
    <cellStyle name="Note 4 3 2 4 5 3" xfId="20674"/>
    <cellStyle name="Note 4 3 2 4 6" xfId="13670"/>
    <cellStyle name="Note 4 3 2 4 6 2" xfId="24813"/>
    <cellStyle name="Note 4 3 2 4 7" xfId="19244"/>
    <cellStyle name="Note 4 3 2 4 8" xfId="6638"/>
    <cellStyle name="Note 4 3 2 5" xfId="1908"/>
    <cellStyle name="Note 4 3 2 5 2" xfId="4556"/>
    <cellStyle name="Note 4 3 2 5 2 2" xfId="17169"/>
    <cellStyle name="Note 4 3 2 5 2 2 2" xfId="28312"/>
    <cellStyle name="Note 4 3 2 5 2 3" xfId="22743"/>
    <cellStyle name="Note 4 3 2 5 2 4" xfId="8707"/>
    <cellStyle name="Note 4 3 2 5 3" xfId="10450"/>
    <cellStyle name="Note 4 3 2 5 3 2" xfId="14615"/>
    <cellStyle name="Note 4 3 2 5 3 2 2" xfId="25758"/>
    <cellStyle name="Note 4 3 2 5 3 3" xfId="20189"/>
    <cellStyle name="Note 4 3 2 5 4" xfId="13185"/>
    <cellStyle name="Note 4 3 2 5 4 2" xfId="24328"/>
    <cellStyle name="Note 4 3 2 5 5" xfId="18759"/>
    <cellStyle name="Note 4 3 2 5 6" xfId="6153"/>
    <cellStyle name="Note 4 3 2 6" xfId="2601"/>
    <cellStyle name="Note 4 3 2 6 2" xfId="4710"/>
    <cellStyle name="Note 4 3 2 6 2 2" xfId="17323"/>
    <cellStyle name="Note 4 3 2 6 2 2 2" xfId="28466"/>
    <cellStyle name="Note 4 3 2 6 2 3" xfId="22897"/>
    <cellStyle name="Note 4 3 2 6 2 4" xfId="8861"/>
    <cellStyle name="Note 4 3 2 6 3" xfId="10043"/>
    <cellStyle name="Note 4 3 2 6 3 2" xfId="15254"/>
    <cellStyle name="Note 4 3 2 6 3 2 2" xfId="26397"/>
    <cellStyle name="Note 4 3 2 6 3 3" xfId="20828"/>
    <cellStyle name="Note 4 3 2 6 4" xfId="13824"/>
    <cellStyle name="Note 4 3 2 6 4 2" xfId="24967"/>
    <cellStyle name="Note 4 3 2 6 5" xfId="19398"/>
    <cellStyle name="Note 4 3 2 6 6" xfId="6792"/>
    <cellStyle name="Note 4 3 2 7" xfId="3239"/>
    <cellStyle name="Note 4 3 2 7 2" xfId="5348"/>
    <cellStyle name="Note 4 3 2 7 2 2" xfId="17961"/>
    <cellStyle name="Note 4 3 2 7 2 2 2" xfId="29104"/>
    <cellStyle name="Note 4 3 2 7 2 3" xfId="23535"/>
    <cellStyle name="Note 4 3 2 7 2 4" xfId="9499"/>
    <cellStyle name="Note 4 3 2 7 3" xfId="15892"/>
    <cellStyle name="Note 4 3 2 7 3 2" xfId="27035"/>
    <cellStyle name="Note 4 3 2 7 4" xfId="21466"/>
    <cellStyle name="Note 4 3 2 7 5" xfId="7430"/>
    <cellStyle name="Note 4 3 2 8" xfId="3918"/>
    <cellStyle name="Note 4 3 2 8 2" xfId="16531"/>
    <cellStyle name="Note 4 3 2 8 2 2" xfId="27674"/>
    <cellStyle name="Note 4 3 2 8 3" xfId="22105"/>
    <cellStyle name="Note 4 3 2 8 4" xfId="8069"/>
    <cellStyle name="Note 4 3 2 9" xfId="10372"/>
    <cellStyle name="Note 4 3 2 9 2" xfId="14462"/>
    <cellStyle name="Note 4 3 2 9 2 2" xfId="25605"/>
    <cellStyle name="Note 4 3 2 9 3" xfId="20036"/>
    <cellStyle name="Note 4 3 3" xfId="2214"/>
    <cellStyle name="Note 4 3 3 2" xfId="2858"/>
    <cellStyle name="Note 4 3 3 2 2" xfId="4967"/>
    <cellStyle name="Note 4 3 3 2 2 2" xfId="17580"/>
    <cellStyle name="Note 4 3 3 2 2 2 2" xfId="28723"/>
    <cellStyle name="Note 4 3 3 2 2 3" xfId="23154"/>
    <cellStyle name="Note 4 3 3 2 2 4" xfId="9118"/>
    <cellStyle name="Note 4 3 3 2 3" xfId="11420"/>
    <cellStyle name="Note 4 3 3 2 3 2" xfId="15511"/>
    <cellStyle name="Note 4 3 3 2 3 2 2" xfId="26654"/>
    <cellStyle name="Note 4 3 3 2 3 3" xfId="21085"/>
    <cellStyle name="Note 4 3 3 2 4" xfId="14081"/>
    <cellStyle name="Note 4 3 3 2 4 2" xfId="25224"/>
    <cellStyle name="Note 4 3 3 2 5" xfId="19655"/>
    <cellStyle name="Note 4 3 3 2 6" xfId="7049"/>
    <cellStyle name="Note 4 3 3 3" xfId="3496"/>
    <cellStyle name="Note 4 3 3 3 2" xfId="5605"/>
    <cellStyle name="Note 4 3 3 3 2 2" xfId="18218"/>
    <cellStyle name="Note 4 3 3 3 2 2 2" xfId="29361"/>
    <cellStyle name="Note 4 3 3 3 2 3" xfId="23792"/>
    <cellStyle name="Note 4 3 3 3 2 4" xfId="9756"/>
    <cellStyle name="Note 4 3 3 3 3" xfId="16149"/>
    <cellStyle name="Note 4 3 3 3 3 2" xfId="27292"/>
    <cellStyle name="Note 4 3 3 3 4" xfId="21723"/>
    <cellStyle name="Note 4 3 3 3 5" xfId="7687"/>
    <cellStyle name="Note 4 3 3 4" xfId="4175"/>
    <cellStyle name="Note 4 3 3 4 2" xfId="16788"/>
    <cellStyle name="Note 4 3 3 4 2 2" xfId="27931"/>
    <cellStyle name="Note 4 3 3 4 3" xfId="22362"/>
    <cellStyle name="Note 4 3 3 4 4" xfId="8326"/>
    <cellStyle name="Note 4 3 3 5" xfId="10627"/>
    <cellStyle name="Note 4 3 3 5 2" xfId="14872"/>
    <cellStyle name="Note 4 3 3 5 2 2" xfId="26015"/>
    <cellStyle name="Note 4 3 3 5 3" xfId="20446"/>
    <cellStyle name="Note 4 3 3 6" xfId="13442"/>
    <cellStyle name="Note 4 3 3 6 2" xfId="24585"/>
    <cellStyle name="Note 4 3 3 7" xfId="19016"/>
    <cellStyle name="Note 4 3 3 8" xfId="6410"/>
    <cellStyle name="Note 4 3 4" xfId="2022"/>
    <cellStyle name="Note 4 3 4 2" xfId="2677"/>
    <cellStyle name="Note 4 3 4 2 2" xfId="4786"/>
    <cellStyle name="Note 4 3 4 2 2 2" xfId="17399"/>
    <cellStyle name="Note 4 3 4 2 2 2 2" xfId="28542"/>
    <cellStyle name="Note 4 3 4 2 2 3" xfId="22973"/>
    <cellStyle name="Note 4 3 4 2 2 4" xfId="8937"/>
    <cellStyle name="Note 4 3 4 2 3" xfId="11196"/>
    <cellStyle name="Note 4 3 4 2 3 2" xfId="15330"/>
    <cellStyle name="Note 4 3 4 2 3 2 2" xfId="26473"/>
    <cellStyle name="Note 4 3 4 2 3 3" xfId="20904"/>
    <cellStyle name="Note 4 3 4 2 4" xfId="13900"/>
    <cellStyle name="Note 4 3 4 2 4 2" xfId="25043"/>
    <cellStyle name="Note 4 3 4 2 5" xfId="19474"/>
    <cellStyle name="Note 4 3 4 2 6" xfId="6868"/>
    <cellStyle name="Note 4 3 4 3" xfId="3315"/>
    <cellStyle name="Note 4 3 4 3 2" xfId="5424"/>
    <cellStyle name="Note 4 3 4 3 2 2" xfId="18037"/>
    <cellStyle name="Note 4 3 4 3 2 2 2" xfId="29180"/>
    <cellStyle name="Note 4 3 4 3 2 3" xfId="23611"/>
    <cellStyle name="Note 4 3 4 3 2 4" xfId="9575"/>
    <cellStyle name="Note 4 3 4 3 3" xfId="15968"/>
    <cellStyle name="Note 4 3 4 3 3 2" xfId="27111"/>
    <cellStyle name="Note 4 3 4 3 4" xfId="21542"/>
    <cellStyle name="Note 4 3 4 3 5" xfId="7506"/>
    <cellStyle name="Note 4 3 4 4" xfId="3994"/>
    <cellStyle name="Note 4 3 4 4 2" xfId="16607"/>
    <cellStyle name="Note 4 3 4 4 2 2" xfId="27750"/>
    <cellStyle name="Note 4 3 4 4 3" xfId="22181"/>
    <cellStyle name="Note 4 3 4 4 4" xfId="8145"/>
    <cellStyle name="Note 4 3 4 5" xfId="10960"/>
    <cellStyle name="Note 4 3 4 5 2" xfId="14691"/>
    <cellStyle name="Note 4 3 4 5 2 2" xfId="25834"/>
    <cellStyle name="Note 4 3 4 5 3" xfId="20265"/>
    <cellStyle name="Note 4 3 4 6" xfId="13261"/>
    <cellStyle name="Note 4 3 4 6 2" xfId="24404"/>
    <cellStyle name="Note 4 3 4 7" xfId="18835"/>
    <cellStyle name="Note 4 3 4 8" xfId="6229"/>
    <cellStyle name="Note 4 3 5" xfId="2369"/>
    <cellStyle name="Note 4 3 5 2" xfId="3010"/>
    <cellStyle name="Note 4 3 5 2 2" xfId="5119"/>
    <cellStyle name="Note 4 3 5 2 2 2" xfId="17732"/>
    <cellStyle name="Note 4 3 5 2 2 2 2" xfId="28875"/>
    <cellStyle name="Note 4 3 5 2 2 3" xfId="23306"/>
    <cellStyle name="Note 4 3 5 2 2 4" xfId="9270"/>
    <cellStyle name="Note 4 3 5 2 3" xfId="10925"/>
    <cellStyle name="Note 4 3 5 2 3 2" xfId="15663"/>
    <cellStyle name="Note 4 3 5 2 3 2 2" xfId="26806"/>
    <cellStyle name="Note 4 3 5 2 3 3" xfId="21237"/>
    <cellStyle name="Note 4 3 5 2 4" xfId="14233"/>
    <cellStyle name="Note 4 3 5 2 4 2" xfId="25376"/>
    <cellStyle name="Note 4 3 5 2 5" xfId="19807"/>
    <cellStyle name="Note 4 3 5 2 6" xfId="7201"/>
    <cellStyle name="Note 4 3 5 3" xfId="3648"/>
    <cellStyle name="Note 4 3 5 3 2" xfId="5757"/>
    <cellStyle name="Note 4 3 5 3 2 2" xfId="18370"/>
    <cellStyle name="Note 4 3 5 3 2 2 2" xfId="29513"/>
    <cellStyle name="Note 4 3 5 3 2 3" xfId="23944"/>
    <cellStyle name="Note 4 3 5 3 2 4" xfId="9908"/>
    <cellStyle name="Note 4 3 5 3 3" xfId="16301"/>
    <cellStyle name="Note 4 3 5 3 3 2" xfId="27444"/>
    <cellStyle name="Note 4 3 5 3 4" xfId="21875"/>
    <cellStyle name="Note 4 3 5 3 5" xfId="7839"/>
    <cellStyle name="Note 4 3 5 4" xfId="4327"/>
    <cellStyle name="Note 4 3 5 4 2" xfId="16940"/>
    <cellStyle name="Note 4 3 5 4 2 2" xfId="28083"/>
    <cellStyle name="Note 4 3 5 4 3" xfId="22514"/>
    <cellStyle name="Note 4 3 5 4 4" xfId="8478"/>
    <cellStyle name="Note 4 3 5 5" xfId="10808"/>
    <cellStyle name="Note 4 3 5 5 2" xfId="15024"/>
    <cellStyle name="Note 4 3 5 5 2 2" xfId="26167"/>
    <cellStyle name="Note 4 3 5 5 3" xfId="20598"/>
    <cellStyle name="Note 4 3 5 6" xfId="13594"/>
    <cellStyle name="Note 4 3 5 6 2" xfId="24737"/>
    <cellStyle name="Note 4 3 5 7" xfId="19168"/>
    <cellStyle name="Note 4 3 5 8" xfId="6562"/>
    <cellStyle name="Note 4 3 6" xfId="1832"/>
    <cellStyle name="Note 4 3 6 2" xfId="4480"/>
    <cellStyle name="Note 4 3 6 2 2" xfId="17093"/>
    <cellStyle name="Note 4 3 6 2 2 2" xfId="28236"/>
    <cellStyle name="Note 4 3 6 2 3" xfId="22667"/>
    <cellStyle name="Note 4 3 6 2 4" xfId="8631"/>
    <cellStyle name="Note 4 3 6 3" xfId="11286"/>
    <cellStyle name="Note 4 3 6 3 2" xfId="14539"/>
    <cellStyle name="Note 4 3 6 3 2 2" xfId="25682"/>
    <cellStyle name="Note 4 3 6 3 3" xfId="20113"/>
    <cellStyle name="Note 4 3 6 4" xfId="13109"/>
    <cellStyle name="Note 4 3 6 4 2" xfId="24252"/>
    <cellStyle name="Note 4 3 6 5" xfId="18683"/>
    <cellStyle name="Note 4 3 6 6" xfId="6077"/>
    <cellStyle name="Note 4 3 7" xfId="2525"/>
    <cellStyle name="Note 4 3 7 2" xfId="4634"/>
    <cellStyle name="Note 4 3 7 2 2" xfId="17247"/>
    <cellStyle name="Note 4 3 7 2 2 2" xfId="28390"/>
    <cellStyle name="Note 4 3 7 2 3" xfId="22821"/>
    <cellStyle name="Note 4 3 7 2 4" xfId="8785"/>
    <cellStyle name="Note 4 3 7 3" xfId="11187"/>
    <cellStyle name="Note 4 3 7 3 2" xfId="15178"/>
    <cellStyle name="Note 4 3 7 3 2 2" xfId="26321"/>
    <cellStyle name="Note 4 3 7 3 3" xfId="20752"/>
    <cellStyle name="Note 4 3 7 4" xfId="13748"/>
    <cellStyle name="Note 4 3 7 4 2" xfId="24891"/>
    <cellStyle name="Note 4 3 7 5" xfId="19322"/>
    <cellStyle name="Note 4 3 7 6" xfId="6716"/>
    <cellStyle name="Note 4 3 8" xfId="3163"/>
    <cellStyle name="Note 4 3 8 2" xfId="5272"/>
    <cellStyle name="Note 4 3 8 2 2" xfId="17885"/>
    <cellStyle name="Note 4 3 8 2 2 2" xfId="29028"/>
    <cellStyle name="Note 4 3 8 2 3" xfId="23459"/>
    <cellStyle name="Note 4 3 8 2 4" xfId="9423"/>
    <cellStyle name="Note 4 3 8 3" xfId="15816"/>
    <cellStyle name="Note 4 3 8 3 2" xfId="26959"/>
    <cellStyle name="Note 4 3 8 4" xfId="21390"/>
    <cellStyle name="Note 4 3 8 5" xfId="7354"/>
    <cellStyle name="Note 4 3 9" xfId="3842"/>
    <cellStyle name="Note 4 3 9 2" xfId="16455"/>
    <cellStyle name="Note 4 3 9 2 2" xfId="27598"/>
    <cellStyle name="Note 4 3 9 3" xfId="22029"/>
    <cellStyle name="Note 4 3 9 4" xfId="7993"/>
    <cellStyle name="Note 4 4" xfId="294"/>
    <cellStyle name="Note 4 4 10" xfId="12993"/>
    <cellStyle name="Note 4 4 10 2" xfId="24137"/>
    <cellStyle name="Note 4 4 11" xfId="18568"/>
    <cellStyle name="Note 4 4 12" xfId="5961"/>
    <cellStyle name="Note 4 4 2" xfId="2252"/>
    <cellStyle name="Note 4 4 2 2" xfId="2896"/>
    <cellStyle name="Note 4 4 2 2 2" xfId="5005"/>
    <cellStyle name="Note 4 4 2 2 2 2" xfId="17618"/>
    <cellStyle name="Note 4 4 2 2 2 2 2" xfId="28761"/>
    <cellStyle name="Note 4 4 2 2 2 3" xfId="23192"/>
    <cellStyle name="Note 4 4 2 2 2 4" xfId="9156"/>
    <cellStyle name="Note 4 4 2 2 3" xfId="10433"/>
    <cellStyle name="Note 4 4 2 2 3 2" xfId="15549"/>
    <cellStyle name="Note 4 4 2 2 3 2 2" xfId="26692"/>
    <cellStyle name="Note 4 4 2 2 3 3" xfId="21123"/>
    <cellStyle name="Note 4 4 2 2 4" xfId="14119"/>
    <cellStyle name="Note 4 4 2 2 4 2" xfId="25262"/>
    <cellStyle name="Note 4 4 2 2 5" xfId="19693"/>
    <cellStyle name="Note 4 4 2 2 6" xfId="7087"/>
    <cellStyle name="Note 4 4 2 3" xfId="3534"/>
    <cellStyle name="Note 4 4 2 3 2" xfId="5643"/>
    <cellStyle name="Note 4 4 2 3 2 2" xfId="18256"/>
    <cellStyle name="Note 4 4 2 3 2 2 2" xfId="29399"/>
    <cellStyle name="Note 4 4 2 3 2 3" xfId="23830"/>
    <cellStyle name="Note 4 4 2 3 2 4" xfId="9794"/>
    <cellStyle name="Note 4 4 2 3 3" xfId="16187"/>
    <cellStyle name="Note 4 4 2 3 3 2" xfId="27330"/>
    <cellStyle name="Note 4 4 2 3 4" xfId="21761"/>
    <cellStyle name="Note 4 4 2 3 5" xfId="7725"/>
    <cellStyle name="Note 4 4 2 4" xfId="4213"/>
    <cellStyle name="Note 4 4 2 4 2" xfId="16826"/>
    <cellStyle name="Note 4 4 2 4 2 2" xfId="27969"/>
    <cellStyle name="Note 4 4 2 4 3" xfId="22400"/>
    <cellStyle name="Note 4 4 2 4 4" xfId="8364"/>
    <cellStyle name="Note 4 4 2 5" xfId="10065"/>
    <cellStyle name="Note 4 4 2 5 2" xfId="14910"/>
    <cellStyle name="Note 4 4 2 5 2 2" xfId="26053"/>
    <cellStyle name="Note 4 4 2 5 3" xfId="20484"/>
    <cellStyle name="Note 4 4 2 6" xfId="13480"/>
    <cellStyle name="Note 4 4 2 6 2" xfId="24623"/>
    <cellStyle name="Note 4 4 2 7" xfId="19054"/>
    <cellStyle name="Note 4 4 2 8" xfId="6448"/>
    <cellStyle name="Note 4 4 3" xfId="2060"/>
    <cellStyle name="Note 4 4 3 2" xfId="2715"/>
    <cellStyle name="Note 4 4 3 2 2" xfId="4824"/>
    <cellStyle name="Note 4 4 3 2 2 2" xfId="17437"/>
    <cellStyle name="Note 4 4 3 2 2 2 2" xfId="28580"/>
    <cellStyle name="Note 4 4 3 2 2 3" xfId="23011"/>
    <cellStyle name="Note 4 4 3 2 2 4" xfId="8975"/>
    <cellStyle name="Note 4 4 3 2 3" xfId="10976"/>
    <cellStyle name="Note 4 4 3 2 3 2" xfId="15368"/>
    <cellStyle name="Note 4 4 3 2 3 2 2" xfId="26511"/>
    <cellStyle name="Note 4 4 3 2 3 3" xfId="20942"/>
    <cellStyle name="Note 4 4 3 2 4" xfId="13938"/>
    <cellStyle name="Note 4 4 3 2 4 2" xfId="25081"/>
    <cellStyle name="Note 4 4 3 2 5" xfId="19512"/>
    <cellStyle name="Note 4 4 3 2 6" xfId="6906"/>
    <cellStyle name="Note 4 4 3 3" xfId="3353"/>
    <cellStyle name="Note 4 4 3 3 2" xfId="5462"/>
    <cellStyle name="Note 4 4 3 3 2 2" xfId="18075"/>
    <cellStyle name="Note 4 4 3 3 2 2 2" xfId="29218"/>
    <cellStyle name="Note 4 4 3 3 2 3" xfId="23649"/>
    <cellStyle name="Note 4 4 3 3 2 4" xfId="9613"/>
    <cellStyle name="Note 4 4 3 3 3" xfId="16006"/>
    <cellStyle name="Note 4 4 3 3 3 2" xfId="27149"/>
    <cellStyle name="Note 4 4 3 3 4" xfId="21580"/>
    <cellStyle name="Note 4 4 3 3 5" xfId="7544"/>
    <cellStyle name="Note 4 4 3 4" xfId="4032"/>
    <cellStyle name="Note 4 4 3 4 2" xfId="16645"/>
    <cellStyle name="Note 4 4 3 4 2 2" xfId="27788"/>
    <cellStyle name="Note 4 4 3 4 3" xfId="22219"/>
    <cellStyle name="Note 4 4 3 4 4" xfId="8183"/>
    <cellStyle name="Note 4 4 3 5" xfId="11396"/>
    <cellStyle name="Note 4 4 3 5 2" xfId="14729"/>
    <cellStyle name="Note 4 4 3 5 2 2" xfId="25872"/>
    <cellStyle name="Note 4 4 3 5 3" xfId="20303"/>
    <cellStyle name="Note 4 4 3 6" xfId="13299"/>
    <cellStyle name="Note 4 4 3 6 2" xfId="24442"/>
    <cellStyle name="Note 4 4 3 7" xfId="18873"/>
    <cellStyle name="Note 4 4 3 8" xfId="6267"/>
    <cellStyle name="Note 4 4 4" xfId="2407"/>
    <cellStyle name="Note 4 4 4 2" xfId="3048"/>
    <cellStyle name="Note 4 4 4 2 2" xfId="5157"/>
    <cellStyle name="Note 4 4 4 2 2 2" xfId="17770"/>
    <cellStyle name="Note 4 4 4 2 2 2 2" xfId="28913"/>
    <cellStyle name="Note 4 4 4 2 2 3" xfId="23344"/>
    <cellStyle name="Note 4 4 4 2 2 4" xfId="9308"/>
    <cellStyle name="Note 4 4 4 2 3" xfId="10196"/>
    <cellStyle name="Note 4 4 4 2 3 2" xfId="15701"/>
    <cellStyle name="Note 4 4 4 2 3 2 2" xfId="26844"/>
    <cellStyle name="Note 4 4 4 2 3 3" xfId="21275"/>
    <cellStyle name="Note 4 4 4 2 4" xfId="14271"/>
    <cellStyle name="Note 4 4 4 2 4 2" xfId="25414"/>
    <cellStyle name="Note 4 4 4 2 5" xfId="19845"/>
    <cellStyle name="Note 4 4 4 2 6" xfId="7239"/>
    <cellStyle name="Note 4 4 4 3" xfId="3686"/>
    <cellStyle name="Note 4 4 4 3 2" xfId="5795"/>
    <cellStyle name="Note 4 4 4 3 2 2" xfId="18408"/>
    <cellStyle name="Note 4 4 4 3 2 2 2" xfId="29551"/>
    <cellStyle name="Note 4 4 4 3 2 3" xfId="23982"/>
    <cellStyle name="Note 4 4 4 3 2 4" xfId="9946"/>
    <cellStyle name="Note 4 4 4 3 3" xfId="16339"/>
    <cellStyle name="Note 4 4 4 3 3 2" xfId="27482"/>
    <cellStyle name="Note 4 4 4 3 4" xfId="21913"/>
    <cellStyle name="Note 4 4 4 3 5" xfId="7877"/>
    <cellStyle name="Note 4 4 4 4" xfId="4365"/>
    <cellStyle name="Note 4 4 4 4 2" xfId="16978"/>
    <cellStyle name="Note 4 4 4 4 2 2" xfId="28121"/>
    <cellStyle name="Note 4 4 4 4 3" xfId="22552"/>
    <cellStyle name="Note 4 4 4 4 4" xfId="8516"/>
    <cellStyle name="Note 4 4 4 5" xfId="11152"/>
    <cellStyle name="Note 4 4 4 5 2" xfId="15062"/>
    <cellStyle name="Note 4 4 4 5 2 2" xfId="26205"/>
    <cellStyle name="Note 4 4 4 5 3" xfId="20636"/>
    <cellStyle name="Note 4 4 4 6" xfId="13632"/>
    <cellStyle name="Note 4 4 4 6 2" xfId="24775"/>
    <cellStyle name="Note 4 4 4 7" xfId="19206"/>
    <cellStyle name="Note 4 4 4 8" xfId="6600"/>
    <cellStyle name="Note 4 4 5" xfId="1870"/>
    <cellStyle name="Note 4 4 5 2" xfId="4518"/>
    <cellStyle name="Note 4 4 5 2 2" xfId="17131"/>
    <cellStyle name="Note 4 4 5 2 2 2" xfId="28274"/>
    <cellStyle name="Note 4 4 5 2 3" xfId="22705"/>
    <cellStyle name="Note 4 4 5 2 4" xfId="8669"/>
    <cellStyle name="Note 4 4 5 3" xfId="11419"/>
    <cellStyle name="Note 4 4 5 3 2" xfId="14577"/>
    <cellStyle name="Note 4 4 5 3 2 2" xfId="25720"/>
    <cellStyle name="Note 4 4 5 3 3" xfId="20151"/>
    <cellStyle name="Note 4 4 5 4" xfId="13147"/>
    <cellStyle name="Note 4 4 5 4 2" xfId="24290"/>
    <cellStyle name="Note 4 4 5 5" xfId="18721"/>
    <cellStyle name="Note 4 4 5 6" xfId="6115"/>
    <cellStyle name="Note 4 4 6" xfId="2563"/>
    <cellStyle name="Note 4 4 6 2" xfId="4672"/>
    <cellStyle name="Note 4 4 6 2 2" xfId="17285"/>
    <cellStyle name="Note 4 4 6 2 2 2" xfId="28428"/>
    <cellStyle name="Note 4 4 6 2 3" xfId="22859"/>
    <cellStyle name="Note 4 4 6 2 4" xfId="8823"/>
    <cellStyle name="Note 4 4 6 3" xfId="11138"/>
    <cellStyle name="Note 4 4 6 3 2" xfId="15216"/>
    <cellStyle name="Note 4 4 6 3 2 2" xfId="26359"/>
    <cellStyle name="Note 4 4 6 3 3" xfId="20790"/>
    <cellStyle name="Note 4 4 6 4" xfId="13786"/>
    <cellStyle name="Note 4 4 6 4 2" xfId="24929"/>
    <cellStyle name="Note 4 4 6 5" xfId="19360"/>
    <cellStyle name="Note 4 4 6 6" xfId="6754"/>
    <cellStyle name="Note 4 4 7" xfId="3201"/>
    <cellStyle name="Note 4 4 7 2" xfId="5310"/>
    <cellStyle name="Note 4 4 7 2 2" xfId="17923"/>
    <cellStyle name="Note 4 4 7 2 2 2" xfId="29066"/>
    <cellStyle name="Note 4 4 7 2 3" xfId="23497"/>
    <cellStyle name="Note 4 4 7 2 4" xfId="9461"/>
    <cellStyle name="Note 4 4 7 3" xfId="15854"/>
    <cellStyle name="Note 4 4 7 3 2" xfId="26997"/>
    <cellStyle name="Note 4 4 7 4" xfId="21428"/>
    <cellStyle name="Note 4 4 7 5" xfId="7392"/>
    <cellStyle name="Note 4 4 8" xfId="3880"/>
    <cellStyle name="Note 4 4 8 2" xfId="16493"/>
    <cellStyle name="Note 4 4 8 2 2" xfId="27636"/>
    <cellStyle name="Note 4 4 8 3" xfId="22067"/>
    <cellStyle name="Note 4 4 8 4" xfId="8031"/>
    <cellStyle name="Note 4 4 9" xfId="11248"/>
    <cellStyle name="Note 4 4 9 2" xfId="14424"/>
    <cellStyle name="Note 4 4 9 2 2" xfId="25567"/>
    <cellStyle name="Note 4 4 9 3" xfId="19998"/>
    <cellStyle name="Note 4 5" xfId="2176"/>
    <cellStyle name="Note 4 5 2" xfId="2820"/>
    <cellStyle name="Note 4 5 2 2" xfId="4929"/>
    <cellStyle name="Note 4 5 2 2 2" xfId="17542"/>
    <cellStyle name="Note 4 5 2 2 2 2" xfId="28685"/>
    <cellStyle name="Note 4 5 2 2 3" xfId="23116"/>
    <cellStyle name="Note 4 5 2 2 4" xfId="9080"/>
    <cellStyle name="Note 4 5 2 3" xfId="11282"/>
    <cellStyle name="Note 4 5 2 3 2" xfId="15473"/>
    <cellStyle name="Note 4 5 2 3 2 2" xfId="26616"/>
    <cellStyle name="Note 4 5 2 3 3" xfId="21047"/>
    <cellStyle name="Note 4 5 2 4" xfId="14043"/>
    <cellStyle name="Note 4 5 2 4 2" xfId="25186"/>
    <cellStyle name="Note 4 5 2 5" xfId="19617"/>
    <cellStyle name="Note 4 5 2 6" xfId="7011"/>
    <cellStyle name="Note 4 5 3" xfId="3458"/>
    <cellStyle name="Note 4 5 3 2" xfId="5567"/>
    <cellStyle name="Note 4 5 3 2 2" xfId="18180"/>
    <cellStyle name="Note 4 5 3 2 2 2" xfId="29323"/>
    <cellStyle name="Note 4 5 3 2 3" xfId="23754"/>
    <cellStyle name="Note 4 5 3 2 4" xfId="9718"/>
    <cellStyle name="Note 4 5 3 3" xfId="16111"/>
    <cellStyle name="Note 4 5 3 3 2" xfId="27254"/>
    <cellStyle name="Note 4 5 3 4" xfId="21685"/>
    <cellStyle name="Note 4 5 3 5" xfId="7649"/>
    <cellStyle name="Note 4 5 4" xfId="4137"/>
    <cellStyle name="Note 4 5 4 2" xfId="16750"/>
    <cellStyle name="Note 4 5 4 2 2" xfId="27893"/>
    <cellStyle name="Note 4 5 4 3" xfId="22324"/>
    <cellStyle name="Note 4 5 4 4" xfId="8288"/>
    <cellStyle name="Note 4 5 5" xfId="10662"/>
    <cellStyle name="Note 4 5 5 2" xfId="14834"/>
    <cellStyle name="Note 4 5 5 2 2" xfId="25977"/>
    <cellStyle name="Note 4 5 5 3" xfId="20408"/>
    <cellStyle name="Note 4 5 6" xfId="13404"/>
    <cellStyle name="Note 4 5 6 2" xfId="24547"/>
    <cellStyle name="Note 4 5 7" xfId="18978"/>
    <cellStyle name="Note 4 5 8" xfId="6372"/>
    <cellStyle name="Note 4 6" xfId="1971"/>
    <cellStyle name="Note 4 6 2" xfId="2639"/>
    <cellStyle name="Note 4 6 2 2" xfId="4748"/>
    <cellStyle name="Note 4 6 2 2 2" xfId="17361"/>
    <cellStyle name="Note 4 6 2 2 2 2" xfId="28504"/>
    <cellStyle name="Note 4 6 2 2 3" xfId="22935"/>
    <cellStyle name="Note 4 6 2 2 4" xfId="8899"/>
    <cellStyle name="Note 4 6 2 3" xfId="11424"/>
    <cellStyle name="Note 4 6 2 3 2" xfId="15292"/>
    <cellStyle name="Note 4 6 2 3 2 2" xfId="26435"/>
    <cellStyle name="Note 4 6 2 3 3" xfId="20866"/>
    <cellStyle name="Note 4 6 2 4" xfId="13862"/>
    <cellStyle name="Note 4 6 2 4 2" xfId="25005"/>
    <cellStyle name="Note 4 6 2 5" xfId="19436"/>
    <cellStyle name="Note 4 6 2 6" xfId="6830"/>
    <cellStyle name="Note 4 6 3" xfId="3277"/>
    <cellStyle name="Note 4 6 3 2" xfId="5386"/>
    <cellStyle name="Note 4 6 3 2 2" xfId="17999"/>
    <cellStyle name="Note 4 6 3 2 2 2" xfId="29142"/>
    <cellStyle name="Note 4 6 3 2 3" xfId="23573"/>
    <cellStyle name="Note 4 6 3 2 4" xfId="9537"/>
    <cellStyle name="Note 4 6 3 3" xfId="15930"/>
    <cellStyle name="Note 4 6 3 3 2" xfId="27073"/>
    <cellStyle name="Note 4 6 3 4" xfId="21504"/>
    <cellStyle name="Note 4 6 3 5" xfId="7468"/>
    <cellStyle name="Note 4 6 4" xfId="3956"/>
    <cellStyle name="Note 4 6 4 2" xfId="16569"/>
    <cellStyle name="Note 4 6 4 2 2" xfId="27712"/>
    <cellStyle name="Note 4 6 4 3" xfId="22143"/>
    <cellStyle name="Note 4 6 4 4" xfId="8107"/>
    <cellStyle name="Note 4 6 5" xfId="11161"/>
    <cellStyle name="Note 4 6 5 2" xfId="14653"/>
    <cellStyle name="Note 4 6 5 2 2" xfId="25796"/>
    <cellStyle name="Note 4 6 5 3" xfId="20227"/>
    <cellStyle name="Note 4 6 6" xfId="13223"/>
    <cellStyle name="Note 4 6 6 2" xfId="24366"/>
    <cellStyle name="Note 4 6 7" xfId="18797"/>
    <cellStyle name="Note 4 6 8" xfId="6191"/>
    <cellStyle name="Note 4 7" xfId="2330"/>
    <cellStyle name="Note 4 7 2" xfId="2972"/>
    <cellStyle name="Note 4 7 2 2" xfId="5081"/>
    <cellStyle name="Note 4 7 2 2 2" xfId="17694"/>
    <cellStyle name="Note 4 7 2 2 2 2" xfId="28837"/>
    <cellStyle name="Note 4 7 2 2 3" xfId="23268"/>
    <cellStyle name="Note 4 7 2 2 4" xfId="9232"/>
    <cellStyle name="Note 4 7 2 3" xfId="10152"/>
    <cellStyle name="Note 4 7 2 3 2" xfId="15625"/>
    <cellStyle name="Note 4 7 2 3 2 2" xfId="26768"/>
    <cellStyle name="Note 4 7 2 3 3" xfId="21199"/>
    <cellStyle name="Note 4 7 2 4" xfId="14195"/>
    <cellStyle name="Note 4 7 2 4 2" xfId="25338"/>
    <cellStyle name="Note 4 7 2 5" xfId="19769"/>
    <cellStyle name="Note 4 7 2 6" xfId="7163"/>
    <cellStyle name="Note 4 7 3" xfId="3610"/>
    <cellStyle name="Note 4 7 3 2" xfId="5719"/>
    <cellStyle name="Note 4 7 3 2 2" xfId="18332"/>
    <cellStyle name="Note 4 7 3 2 2 2" xfId="29475"/>
    <cellStyle name="Note 4 7 3 2 3" xfId="23906"/>
    <cellStyle name="Note 4 7 3 2 4" xfId="9870"/>
    <cellStyle name="Note 4 7 3 3" xfId="16263"/>
    <cellStyle name="Note 4 7 3 3 2" xfId="27406"/>
    <cellStyle name="Note 4 7 3 4" xfId="21837"/>
    <cellStyle name="Note 4 7 3 5" xfId="7801"/>
    <cellStyle name="Note 4 7 4" xfId="4289"/>
    <cellStyle name="Note 4 7 4 2" xfId="16902"/>
    <cellStyle name="Note 4 7 4 2 2" xfId="28045"/>
    <cellStyle name="Note 4 7 4 3" xfId="22476"/>
    <cellStyle name="Note 4 7 4 4" xfId="8440"/>
    <cellStyle name="Note 4 7 5" xfId="10075"/>
    <cellStyle name="Note 4 7 5 2" xfId="14986"/>
    <cellStyle name="Note 4 7 5 2 2" xfId="26129"/>
    <cellStyle name="Note 4 7 5 3" xfId="20560"/>
    <cellStyle name="Note 4 7 6" xfId="13556"/>
    <cellStyle name="Note 4 7 6 2" xfId="24699"/>
    <cellStyle name="Note 4 7 7" xfId="19130"/>
    <cellStyle name="Note 4 7 8" xfId="6524"/>
    <cellStyle name="Note 4 8" xfId="1794"/>
    <cellStyle name="Note 4 8 2" xfId="4442"/>
    <cellStyle name="Note 4 8 2 2" xfId="17055"/>
    <cellStyle name="Note 4 8 2 2 2" xfId="28198"/>
    <cellStyle name="Note 4 8 2 3" xfId="22629"/>
    <cellStyle name="Note 4 8 2 4" xfId="8593"/>
    <cellStyle name="Note 4 8 3" xfId="10014"/>
    <cellStyle name="Note 4 8 3 2" xfId="14501"/>
    <cellStyle name="Note 4 8 3 2 2" xfId="25644"/>
    <cellStyle name="Note 4 8 3 3" xfId="20075"/>
    <cellStyle name="Note 4 8 4" xfId="13071"/>
    <cellStyle name="Note 4 8 4 2" xfId="24214"/>
    <cellStyle name="Note 4 8 5" xfId="18645"/>
    <cellStyle name="Note 4 8 6" xfId="6039"/>
    <cellStyle name="Note 4 9" xfId="2487"/>
    <cellStyle name="Note 4 9 2" xfId="4596"/>
    <cellStyle name="Note 4 9 2 2" xfId="17209"/>
    <cellStyle name="Note 4 9 2 2 2" xfId="28352"/>
    <cellStyle name="Note 4 9 2 3" xfId="22783"/>
    <cellStyle name="Note 4 9 2 4" xfId="8747"/>
    <cellStyle name="Note 4 9 3" xfId="10889"/>
    <cellStyle name="Note 4 9 3 2" xfId="15140"/>
    <cellStyle name="Note 4 9 3 2 2" xfId="26283"/>
    <cellStyle name="Note 4 9 3 3" xfId="20714"/>
    <cellStyle name="Note 4 9 4" xfId="13710"/>
    <cellStyle name="Note 4 9 4 2" xfId="24853"/>
    <cellStyle name="Note 4 9 5" xfId="19284"/>
    <cellStyle name="Note 4 9 6" xfId="6678"/>
    <cellStyle name="Note 5" xfId="91"/>
    <cellStyle name="Note 5 10" xfId="3109"/>
    <cellStyle name="Note 5 10 2" xfId="5218"/>
    <cellStyle name="Note 5 10 2 2" xfId="17831"/>
    <cellStyle name="Note 5 10 2 2 2" xfId="28974"/>
    <cellStyle name="Note 5 10 2 3" xfId="23405"/>
    <cellStyle name="Note 5 10 2 4" xfId="9369"/>
    <cellStyle name="Note 5 10 3" xfId="15762"/>
    <cellStyle name="Note 5 10 3 2" xfId="26905"/>
    <cellStyle name="Note 5 10 4" xfId="21336"/>
    <cellStyle name="Note 5 10 5" xfId="7300"/>
    <cellStyle name="Note 5 11" xfId="3788"/>
    <cellStyle name="Note 5 11 2" xfId="16401"/>
    <cellStyle name="Note 5 11 2 2" xfId="27544"/>
    <cellStyle name="Note 5 11 3" xfId="21975"/>
    <cellStyle name="Note 5 11 4" xfId="7939"/>
    <cellStyle name="Note 5 12" xfId="11443"/>
    <cellStyle name="Note 5 12 2" xfId="14332"/>
    <cellStyle name="Note 5 12 2 2" xfId="25475"/>
    <cellStyle name="Note 5 12 3" xfId="19906"/>
    <cellStyle name="Note 5 13" xfId="12900"/>
    <cellStyle name="Note 5 13 2" xfId="24044"/>
    <cellStyle name="Note 5 14" xfId="18476"/>
    <cellStyle name="Note 5 15" xfId="5869"/>
    <cellStyle name="Note 5 2" xfId="220"/>
    <cellStyle name="Note 5 2 10" xfId="3807"/>
    <cellStyle name="Note 5 2 10 2" xfId="16420"/>
    <cellStyle name="Note 5 2 10 2 2" xfId="27563"/>
    <cellStyle name="Note 5 2 10 3" xfId="21994"/>
    <cellStyle name="Note 5 2 10 4" xfId="7958"/>
    <cellStyle name="Note 5 2 11" xfId="10671"/>
    <cellStyle name="Note 5 2 11 2" xfId="14351"/>
    <cellStyle name="Note 5 2 11 2 2" xfId="25494"/>
    <cellStyle name="Note 5 2 11 3" xfId="19925"/>
    <cellStyle name="Note 5 2 12" xfId="12920"/>
    <cellStyle name="Note 5 2 12 2" xfId="24064"/>
    <cellStyle name="Note 5 2 13" xfId="18495"/>
    <cellStyle name="Note 5 2 14" xfId="5888"/>
    <cellStyle name="Note 5 2 2" xfId="259"/>
    <cellStyle name="Note 5 2 2 10" xfId="10614"/>
    <cellStyle name="Note 5 2 2 10 2" xfId="14389"/>
    <cellStyle name="Note 5 2 2 10 2 2" xfId="25532"/>
    <cellStyle name="Note 5 2 2 10 3" xfId="19963"/>
    <cellStyle name="Note 5 2 2 11" xfId="12958"/>
    <cellStyle name="Note 5 2 2 11 2" xfId="24102"/>
    <cellStyle name="Note 5 2 2 12" xfId="18533"/>
    <cellStyle name="Note 5 2 2 13" xfId="5926"/>
    <cellStyle name="Note 5 2 2 2" xfId="335"/>
    <cellStyle name="Note 5 2 2 2 10" xfId="13034"/>
    <cellStyle name="Note 5 2 2 2 10 2" xfId="24178"/>
    <cellStyle name="Note 5 2 2 2 11" xfId="18609"/>
    <cellStyle name="Note 5 2 2 2 12" xfId="6002"/>
    <cellStyle name="Note 5 2 2 2 2" xfId="2293"/>
    <cellStyle name="Note 5 2 2 2 2 2" xfId="2937"/>
    <cellStyle name="Note 5 2 2 2 2 2 2" xfId="5046"/>
    <cellStyle name="Note 5 2 2 2 2 2 2 2" xfId="17659"/>
    <cellStyle name="Note 5 2 2 2 2 2 2 2 2" xfId="28802"/>
    <cellStyle name="Note 5 2 2 2 2 2 2 3" xfId="23233"/>
    <cellStyle name="Note 5 2 2 2 2 2 2 4" xfId="9197"/>
    <cellStyle name="Note 5 2 2 2 2 2 3" xfId="10584"/>
    <cellStyle name="Note 5 2 2 2 2 2 3 2" xfId="15590"/>
    <cellStyle name="Note 5 2 2 2 2 2 3 2 2" xfId="26733"/>
    <cellStyle name="Note 5 2 2 2 2 2 3 3" xfId="21164"/>
    <cellStyle name="Note 5 2 2 2 2 2 4" xfId="14160"/>
    <cellStyle name="Note 5 2 2 2 2 2 4 2" xfId="25303"/>
    <cellStyle name="Note 5 2 2 2 2 2 5" xfId="19734"/>
    <cellStyle name="Note 5 2 2 2 2 2 6" xfId="7128"/>
    <cellStyle name="Note 5 2 2 2 2 3" xfId="3575"/>
    <cellStyle name="Note 5 2 2 2 2 3 2" xfId="5684"/>
    <cellStyle name="Note 5 2 2 2 2 3 2 2" xfId="18297"/>
    <cellStyle name="Note 5 2 2 2 2 3 2 2 2" xfId="29440"/>
    <cellStyle name="Note 5 2 2 2 2 3 2 3" xfId="23871"/>
    <cellStyle name="Note 5 2 2 2 2 3 2 4" xfId="9835"/>
    <cellStyle name="Note 5 2 2 2 2 3 3" xfId="16228"/>
    <cellStyle name="Note 5 2 2 2 2 3 3 2" xfId="27371"/>
    <cellStyle name="Note 5 2 2 2 2 3 4" xfId="21802"/>
    <cellStyle name="Note 5 2 2 2 2 3 5" xfId="7766"/>
    <cellStyle name="Note 5 2 2 2 2 4" xfId="4254"/>
    <cellStyle name="Note 5 2 2 2 2 4 2" xfId="16867"/>
    <cellStyle name="Note 5 2 2 2 2 4 2 2" xfId="28010"/>
    <cellStyle name="Note 5 2 2 2 2 4 3" xfId="22441"/>
    <cellStyle name="Note 5 2 2 2 2 4 4" xfId="8405"/>
    <cellStyle name="Note 5 2 2 2 2 5" xfId="10325"/>
    <cellStyle name="Note 5 2 2 2 2 5 2" xfId="14951"/>
    <cellStyle name="Note 5 2 2 2 2 5 2 2" xfId="26094"/>
    <cellStyle name="Note 5 2 2 2 2 5 3" xfId="20525"/>
    <cellStyle name="Note 5 2 2 2 2 6" xfId="13521"/>
    <cellStyle name="Note 5 2 2 2 2 6 2" xfId="24664"/>
    <cellStyle name="Note 5 2 2 2 2 7" xfId="19095"/>
    <cellStyle name="Note 5 2 2 2 2 8" xfId="6489"/>
    <cellStyle name="Note 5 2 2 2 3" xfId="2101"/>
    <cellStyle name="Note 5 2 2 2 3 2" xfId="2756"/>
    <cellStyle name="Note 5 2 2 2 3 2 2" xfId="4865"/>
    <cellStyle name="Note 5 2 2 2 3 2 2 2" xfId="17478"/>
    <cellStyle name="Note 5 2 2 2 3 2 2 2 2" xfId="28621"/>
    <cellStyle name="Note 5 2 2 2 3 2 2 3" xfId="23052"/>
    <cellStyle name="Note 5 2 2 2 3 2 2 4" xfId="9016"/>
    <cellStyle name="Note 5 2 2 2 3 2 3" xfId="11390"/>
    <cellStyle name="Note 5 2 2 2 3 2 3 2" xfId="15409"/>
    <cellStyle name="Note 5 2 2 2 3 2 3 2 2" xfId="26552"/>
    <cellStyle name="Note 5 2 2 2 3 2 3 3" xfId="20983"/>
    <cellStyle name="Note 5 2 2 2 3 2 4" xfId="13979"/>
    <cellStyle name="Note 5 2 2 2 3 2 4 2" xfId="25122"/>
    <cellStyle name="Note 5 2 2 2 3 2 5" xfId="19553"/>
    <cellStyle name="Note 5 2 2 2 3 2 6" xfId="6947"/>
    <cellStyle name="Note 5 2 2 2 3 3" xfId="3394"/>
    <cellStyle name="Note 5 2 2 2 3 3 2" xfId="5503"/>
    <cellStyle name="Note 5 2 2 2 3 3 2 2" xfId="18116"/>
    <cellStyle name="Note 5 2 2 2 3 3 2 2 2" xfId="29259"/>
    <cellStyle name="Note 5 2 2 2 3 3 2 3" xfId="23690"/>
    <cellStyle name="Note 5 2 2 2 3 3 2 4" xfId="9654"/>
    <cellStyle name="Note 5 2 2 2 3 3 3" xfId="16047"/>
    <cellStyle name="Note 5 2 2 2 3 3 3 2" xfId="27190"/>
    <cellStyle name="Note 5 2 2 2 3 3 4" xfId="21621"/>
    <cellStyle name="Note 5 2 2 2 3 3 5" xfId="7585"/>
    <cellStyle name="Note 5 2 2 2 3 4" xfId="4073"/>
    <cellStyle name="Note 5 2 2 2 3 4 2" xfId="16686"/>
    <cellStyle name="Note 5 2 2 2 3 4 2 2" xfId="27829"/>
    <cellStyle name="Note 5 2 2 2 3 4 3" xfId="22260"/>
    <cellStyle name="Note 5 2 2 2 3 4 4" xfId="8224"/>
    <cellStyle name="Note 5 2 2 2 3 5" xfId="10675"/>
    <cellStyle name="Note 5 2 2 2 3 5 2" xfId="14770"/>
    <cellStyle name="Note 5 2 2 2 3 5 2 2" xfId="25913"/>
    <cellStyle name="Note 5 2 2 2 3 5 3" xfId="20344"/>
    <cellStyle name="Note 5 2 2 2 3 6" xfId="13340"/>
    <cellStyle name="Note 5 2 2 2 3 6 2" xfId="24483"/>
    <cellStyle name="Note 5 2 2 2 3 7" xfId="18914"/>
    <cellStyle name="Note 5 2 2 2 3 8" xfId="6308"/>
    <cellStyle name="Note 5 2 2 2 4" xfId="2448"/>
    <cellStyle name="Note 5 2 2 2 4 2" xfId="3089"/>
    <cellStyle name="Note 5 2 2 2 4 2 2" xfId="5198"/>
    <cellStyle name="Note 5 2 2 2 4 2 2 2" xfId="17811"/>
    <cellStyle name="Note 5 2 2 2 4 2 2 2 2" xfId="28954"/>
    <cellStyle name="Note 5 2 2 2 4 2 2 3" xfId="23385"/>
    <cellStyle name="Note 5 2 2 2 4 2 2 4" xfId="9349"/>
    <cellStyle name="Note 5 2 2 2 4 2 3" xfId="11416"/>
    <cellStyle name="Note 5 2 2 2 4 2 3 2" xfId="15742"/>
    <cellStyle name="Note 5 2 2 2 4 2 3 2 2" xfId="26885"/>
    <cellStyle name="Note 5 2 2 2 4 2 3 3" xfId="21316"/>
    <cellStyle name="Note 5 2 2 2 4 2 4" xfId="14312"/>
    <cellStyle name="Note 5 2 2 2 4 2 4 2" xfId="25455"/>
    <cellStyle name="Note 5 2 2 2 4 2 5" xfId="19886"/>
    <cellStyle name="Note 5 2 2 2 4 2 6" xfId="7280"/>
    <cellStyle name="Note 5 2 2 2 4 3" xfId="3727"/>
    <cellStyle name="Note 5 2 2 2 4 3 2" xfId="5836"/>
    <cellStyle name="Note 5 2 2 2 4 3 2 2" xfId="18449"/>
    <cellStyle name="Note 5 2 2 2 4 3 2 2 2" xfId="29592"/>
    <cellStyle name="Note 5 2 2 2 4 3 2 3" xfId="24023"/>
    <cellStyle name="Note 5 2 2 2 4 3 2 4" xfId="9987"/>
    <cellStyle name="Note 5 2 2 2 4 3 3" xfId="16380"/>
    <cellStyle name="Note 5 2 2 2 4 3 3 2" xfId="27523"/>
    <cellStyle name="Note 5 2 2 2 4 3 4" xfId="21954"/>
    <cellStyle name="Note 5 2 2 2 4 3 5" xfId="7918"/>
    <cellStyle name="Note 5 2 2 2 4 4" xfId="4406"/>
    <cellStyle name="Note 5 2 2 2 4 4 2" xfId="17019"/>
    <cellStyle name="Note 5 2 2 2 4 4 2 2" xfId="28162"/>
    <cellStyle name="Note 5 2 2 2 4 4 3" xfId="22593"/>
    <cellStyle name="Note 5 2 2 2 4 4 4" xfId="8557"/>
    <cellStyle name="Note 5 2 2 2 4 5" xfId="10308"/>
    <cellStyle name="Note 5 2 2 2 4 5 2" xfId="15103"/>
    <cellStyle name="Note 5 2 2 2 4 5 2 2" xfId="26246"/>
    <cellStyle name="Note 5 2 2 2 4 5 3" xfId="20677"/>
    <cellStyle name="Note 5 2 2 2 4 6" xfId="13673"/>
    <cellStyle name="Note 5 2 2 2 4 6 2" xfId="24816"/>
    <cellStyle name="Note 5 2 2 2 4 7" xfId="19247"/>
    <cellStyle name="Note 5 2 2 2 4 8" xfId="6641"/>
    <cellStyle name="Note 5 2 2 2 5" xfId="1911"/>
    <cellStyle name="Note 5 2 2 2 5 2" xfId="4559"/>
    <cellStyle name="Note 5 2 2 2 5 2 2" xfId="17172"/>
    <cellStyle name="Note 5 2 2 2 5 2 2 2" xfId="28315"/>
    <cellStyle name="Note 5 2 2 2 5 2 3" xfId="22746"/>
    <cellStyle name="Note 5 2 2 2 5 2 4" xfId="8710"/>
    <cellStyle name="Note 5 2 2 2 5 3" xfId="10374"/>
    <cellStyle name="Note 5 2 2 2 5 3 2" xfId="14618"/>
    <cellStyle name="Note 5 2 2 2 5 3 2 2" xfId="25761"/>
    <cellStyle name="Note 5 2 2 2 5 3 3" xfId="20192"/>
    <cellStyle name="Note 5 2 2 2 5 4" xfId="13188"/>
    <cellStyle name="Note 5 2 2 2 5 4 2" xfId="24331"/>
    <cellStyle name="Note 5 2 2 2 5 5" xfId="18762"/>
    <cellStyle name="Note 5 2 2 2 5 6" xfId="6156"/>
    <cellStyle name="Note 5 2 2 2 6" xfId="2604"/>
    <cellStyle name="Note 5 2 2 2 6 2" xfId="4713"/>
    <cellStyle name="Note 5 2 2 2 6 2 2" xfId="17326"/>
    <cellStyle name="Note 5 2 2 2 6 2 2 2" xfId="28469"/>
    <cellStyle name="Note 5 2 2 2 6 2 3" xfId="22900"/>
    <cellStyle name="Note 5 2 2 2 6 2 4" xfId="8864"/>
    <cellStyle name="Note 5 2 2 2 6 3" xfId="10994"/>
    <cellStyle name="Note 5 2 2 2 6 3 2" xfId="15257"/>
    <cellStyle name="Note 5 2 2 2 6 3 2 2" xfId="26400"/>
    <cellStyle name="Note 5 2 2 2 6 3 3" xfId="20831"/>
    <cellStyle name="Note 5 2 2 2 6 4" xfId="13827"/>
    <cellStyle name="Note 5 2 2 2 6 4 2" xfId="24970"/>
    <cellStyle name="Note 5 2 2 2 6 5" xfId="19401"/>
    <cellStyle name="Note 5 2 2 2 6 6" xfId="6795"/>
    <cellStyle name="Note 5 2 2 2 7" xfId="3242"/>
    <cellStyle name="Note 5 2 2 2 7 2" xfId="5351"/>
    <cellStyle name="Note 5 2 2 2 7 2 2" xfId="17964"/>
    <cellStyle name="Note 5 2 2 2 7 2 2 2" xfId="29107"/>
    <cellStyle name="Note 5 2 2 2 7 2 3" xfId="23538"/>
    <cellStyle name="Note 5 2 2 2 7 2 4" xfId="9502"/>
    <cellStyle name="Note 5 2 2 2 7 3" xfId="15895"/>
    <cellStyle name="Note 5 2 2 2 7 3 2" xfId="27038"/>
    <cellStyle name="Note 5 2 2 2 7 4" xfId="21469"/>
    <cellStyle name="Note 5 2 2 2 7 5" xfId="7433"/>
    <cellStyle name="Note 5 2 2 2 8" xfId="3921"/>
    <cellStyle name="Note 5 2 2 2 8 2" xfId="16534"/>
    <cellStyle name="Note 5 2 2 2 8 2 2" xfId="27677"/>
    <cellStyle name="Note 5 2 2 2 8 3" xfId="22108"/>
    <cellStyle name="Note 5 2 2 2 8 4" xfId="8072"/>
    <cellStyle name="Note 5 2 2 2 9" xfId="10945"/>
    <cellStyle name="Note 5 2 2 2 9 2" xfId="14465"/>
    <cellStyle name="Note 5 2 2 2 9 2 2" xfId="25608"/>
    <cellStyle name="Note 5 2 2 2 9 3" xfId="20039"/>
    <cellStyle name="Note 5 2 2 3" xfId="2217"/>
    <cellStyle name="Note 5 2 2 3 2" xfId="2861"/>
    <cellStyle name="Note 5 2 2 3 2 2" xfId="4970"/>
    <cellStyle name="Note 5 2 2 3 2 2 2" xfId="17583"/>
    <cellStyle name="Note 5 2 2 3 2 2 2 2" xfId="28726"/>
    <cellStyle name="Note 5 2 2 3 2 2 3" xfId="23157"/>
    <cellStyle name="Note 5 2 2 3 2 2 4" xfId="9121"/>
    <cellStyle name="Note 5 2 2 3 2 3" xfId="10764"/>
    <cellStyle name="Note 5 2 2 3 2 3 2" xfId="15514"/>
    <cellStyle name="Note 5 2 2 3 2 3 2 2" xfId="26657"/>
    <cellStyle name="Note 5 2 2 3 2 3 3" xfId="21088"/>
    <cellStyle name="Note 5 2 2 3 2 4" xfId="14084"/>
    <cellStyle name="Note 5 2 2 3 2 4 2" xfId="25227"/>
    <cellStyle name="Note 5 2 2 3 2 5" xfId="19658"/>
    <cellStyle name="Note 5 2 2 3 2 6" xfId="7052"/>
    <cellStyle name="Note 5 2 2 3 3" xfId="3499"/>
    <cellStyle name="Note 5 2 2 3 3 2" xfId="5608"/>
    <cellStyle name="Note 5 2 2 3 3 2 2" xfId="18221"/>
    <cellStyle name="Note 5 2 2 3 3 2 2 2" xfId="29364"/>
    <cellStyle name="Note 5 2 2 3 3 2 3" xfId="23795"/>
    <cellStyle name="Note 5 2 2 3 3 2 4" xfId="9759"/>
    <cellStyle name="Note 5 2 2 3 3 3" xfId="16152"/>
    <cellStyle name="Note 5 2 2 3 3 3 2" xfId="27295"/>
    <cellStyle name="Note 5 2 2 3 3 4" xfId="21726"/>
    <cellStyle name="Note 5 2 2 3 3 5" xfId="7690"/>
    <cellStyle name="Note 5 2 2 3 4" xfId="4178"/>
    <cellStyle name="Note 5 2 2 3 4 2" xfId="16791"/>
    <cellStyle name="Note 5 2 2 3 4 2 2" xfId="27934"/>
    <cellStyle name="Note 5 2 2 3 4 3" xfId="22365"/>
    <cellStyle name="Note 5 2 2 3 4 4" xfId="8329"/>
    <cellStyle name="Note 5 2 2 3 5" xfId="11255"/>
    <cellStyle name="Note 5 2 2 3 5 2" xfId="14875"/>
    <cellStyle name="Note 5 2 2 3 5 2 2" xfId="26018"/>
    <cellStyle name="Note 5 2 2 3 5 3" xfId="20449"/>
    <cellStyle name="Note 5 2 2 3 6" xfId="13445"/>
    <cellStyle name="Note 5 2 2 3 6 2" xfId="24588"/>
    <cellStyle name="Note 5 2 2 3 7" xfId="19019"/>
    <cellStyle name="Note 5 2 2 3 8" xfId="6413"/>
    <cellStyle name="Note 5 2 2 4" xfId="2025"/>
    <cellStyle name="Note 5 2 2 4 2" xfId="2680"/>
    <cellStyle name="Note 5 2 2 4 2 2" xfId="4789"/>
    <cellStyle name="Note 5 2 2 4 2 2 2" xfId="17402"/>
    <cellStyle name="Note 5 2 2 4 2 2 2 2" xfId="28545"/>
    <cellStyle name="Note 5 2 2 4 2 2 3" xfId="22976"/>
    <cellStyle name="Note 5 2 2 4 2 2 4" xfId="8940"/>
    <cellStyle name="Note 5 2 2 4 2 3" xfId="10530"/>
    <cellStyle name="Note 5 2 2 4 2 3 2" xfId="15333"/>
    <cellStyle name="Note 5 2 2 4 2 3 2 2" xfId="26476"/>
    <cellStyle name="Note 5 2 2 4 2 3 3" xfId="20907"/>
    <cellStyle name="Note 5 2 2 4 2 4" xfId="13903"/>
    <cellStyle name="Note 5 2 2 4 2 4 2" xfId="25046"/>
    <cellStyle name="Note 5 2 2 4 2 5" xfId="19477"/>
    <cellStyle name="Note 5 2 2 4 2 6" xfId="6871"/>
    <cellStyle name="Note 5 2 2 4 3" xfId="3318"/>
    <cellStyle name="Note 5 2 2 4 3 2" xfId="5427"/>
    <cellStyle name="Note 5 2 2 4 3 2 2" xfId="18040"/>
    <cellStyle name="Note 5 2 2 4 3 2 2 2" xfId="29183"/>
    <cellStyle name="Note 5 2 2 4 3 2 3" xfId="23614"/>
    <cellStyle name="Note 5 2 2 4 3 2 4" xfId="9578"/>
    <cellStyle name="Note 5 2 2 4 3 3" xfId="15971"/>
    <cellStyle name="Note 5 2 2 4 3 3 2" xfId="27114"/>
    <cellStyle name="Note 5 2 2 4 3 4" xfId="21545"/>
    <cellStyle name="Note 5 2 2 4 3 5" xfId="7509"/>
    <cellStyle name="Note 5 2 2 4 4" xfId="3997"/>
    <cellStyle name="Note 5 2 2 4 4 2" xfId="16610"/>
    <cellStyle name="Note 5 2 2 4 4 2 2" xfId="27753"/>
    <cellStyle name="Note 5 2 2 4 4 3" xfId="22184"/>
    <cellStyle name="Note 5 2 2 4 4 4" xfId="8148"/>
    <cellStyle name="Note 5 2 2 4 5" xfId="10300"/>
    <cellStyle name="Note 5 2 2 4 5 2" xfId="14694"/>
    <cellStyle name="Note 5 2 2 4 5 2 2" xfId="25837"/>
    <cellStyle name="Note 5 2 2 4 5 3" xfId="20268"/>
    <cellStyle name="Note 5 2 2 4 6" xfId="13264"/>
    <cellStyle name="Note 5 2 2 4 6 2" xfId="24407"/>
    <cellStyle name="Note 5 2 2 4 7" xfId="18838"/>
    <cellStyle name="Note 5 2 2 4 8" xfId="6232"/>
    <cellStyle name="Note 5 2 2 5" xfId="2372"/>
    <cellStyle name="Note 5 2 2 5 2" xfId="3013"/>
    <cellStyle name="Note 5 2 2 5 2 2" xfId="5122"/>
    <cellStyle name="Note 5 2 2 5 2 2 2" xfId="17735"/>
    <cellStyle name="Note 5 2 2 5 2 2 2 2" xfId="28878"/>
    <cellStyle name="Note 5 2 2 5 2 2 3" xfId="23309"/>
    <cellStyle name="Note 5 2 2 5 2 2 4" xfId="9273"/>
    <cellStyle name="Note 5 2 2 5 2 3" xfId="10872"/>
    <cellStyle name="Note 5 2 2 5 2 3 2" xfId="15666"/>
    <cellStyle name="Note 5 2 2 5 2 3 2 2" xfId="26809"/>
    <cellStyle name="Note 5 2 2 5 2 3 3" xfId="21240"/>
    <cellStyle name="Note 5 2 2 5 2 4" xfId="14236"/>
    <cellStyle name="Note 5 2 2 5 2 4 2" xfId="25379"/>
    <cellStyle name="Note 5 2 2 5 2 5" xfId="19810"/>
    <cellStyle name="Note 5 2 2 5 2 6" xfId="7204"/>
    <cellStyle name="Note 5 2 2 5 3" xfId="3651"/>
    <cellStyle name="Note 5 2 2 5 3 2" xfId="5760"/>
    <cellStyle name="Note 5 2 2 5 3 2 2" xfId="18373"/>
    <cellStyle name="Note 5 2 2 5 3 2 2 2" xfId="29516"/>
    <cellStyle name="Note 5 2 2 5 3 2 3" xfId="23947"/>
    <cellStyle name="Note 5 2 2 5 3 2 4" xfId="9911"/>
    <cellStyle name="Note 5 2 2 5 3 3" xfId="16304"/>
    <cellStyle name="Note 5 2 2 5 3 3 2" xfId="27447"/>
    <cellStyle name="Note 5 2 2 5 3 4" xfId="21878"/>
    <cellStyle name="Note 5 2 2 5 3 5" xfId="7842"/>
    <cellStyle name="Note 5 2 2 5 4" xfId="4330"/>
    <cellStyle name="Note 5 2 2 5 4 2" xfId="16943"/>
    <cellStyle name="Note 5 2 2 5 4 2 2" xfId="28086"/>
    <cellStyle name="Note 5 2 2 5 4 3" xfId="22517"/>
    <cellStyle name="Note 5 2 2 5 4 4" xfId="8481"/>
    <cellStyle name="Note 5 2 2 5 5" xfId="10714"/>
    <cellStyle name="Note 5 2 2 5 5 2" xfId="15027"/>
    <cellStyle name="Note 5 2 2 5 5 2 2" xfId="26170"/>
    <cellStyle name="Note 5 2 2 5 5 3" xfId="20601"/>
    <cellStyle name="Note 5 2 2 5 6" xfId="13597"/>
    <cellStyle name="Note 5 2 2 5 6 2" xfId="24740"/>
    <cellStyle name="Note 5 2 2 5 7" xfId="19171"/>
    <cellStyle name="Note 5 2 2 5 8" xfId="6565"/>
    <cellStyle name="Note 5 2 2 6" xfId="1835"/>
    <cellStyle name="Note 5 2 2 6 2" xfId="4483"/>
    <cellStyle name="Note 5 2 2 6 2 2" xfId="17096"/>
    <cellStyle name="Note 5 2 2 6 2 2 2" xfId="28239"/>
    <cellStyle name="Note 5 2 2 6 2 3" xfId="22670"/>
    <cellStyle name="Note 5 2 2 6 2 4" xfId="8634"/>
    <cellStyle name="Note 5 2 2 6 3" xfId="10336"/>
    <cellStyle name="Note 5 2 2 6 3 2" xfId="14542"/>
    <cellStyle name="Note 5 2 2 6 3 2 2" xfId="25685"/>
    <cellStyle name="Note 5 2 2 6 3 3" xfId="20116"/>
    <cellStyle name="Note 5 2 2 6 4" xfId="13112"/>
    <cellStyle name="Note 5 2 2 6 4 2" xfId="24255"/>
    <cellStyle name="Note 5 2 2 6 5" xfId="18686"/>
    <cellStyle name="Note 5 2 2 6 6" xfId="6080"/>
    <cellStyle name="Note 5 2 2 7" xfId="2528"/>
    <cellStyle name="Note 5 2 2 7 2" xfId="4637"/>
    <cellStyle name="Note 5 2 2 7 2 2" xfId="17250"/>
    <cellStyle name="Note 5 2 2 7 2 2 2" xfId="28393"/>
    <cellStyle name="Note 5 2 2 7 2 3" xfId="22824"/>
    <cellStyle name="Note 5 2 2 7 2 4" xfId="8788"/>
    <cellStyle name="Note 5 2 2 7 3" xfId="10984"/>
    <cellStyle name="Note 5 2 2 7 3 2" xfId="15181"/>
    <cellStyle name="Note 5 2 2 7 3 2 2" xfId="26324"/>
    <cellStyle name="Note 5 2 2 7 3 3" xfId="20755"/>
    <cellStyle name="Note 5 2 2 7 4" xfId="13751"/>
    <cellStyle name="Note 5 2 2 7 4 2" xfId="24894"/>
    <cellStyle name="Note 5 2 2 7 5" xfId="19325"/>
    <cellStyle name="Note 5 2 2 7 6" xfId="6719"/>
    <cellStyle name="Note 5 2 2 8" xfId="3166"/>
    <cellStyle name="Note 5 2 2 8 2" xfId="5275"/>
    <cellStyle name="Note 5 2 2 8 2 2" xfId="17888"/>
    <cellStyle name="Note 5 2 2 8 2 2 2" xfId="29031"/>
    <cellStyle name="Note 5 2 2 8 2 3" xfId="23462"/>
    <cellStyle name="Note 5 2 2 8 2 4" xfId="9426"/>
    <cellStyle name="Note 5 2 2 8 3" xfId="15819"/>
    <cellStyle name="Note 5 2 2 8 3 2" xfId="26962"/>
    <cellStyle name="Note 5 2 2 8 4" xfId="21393"/>
    <cellStyle name="Note 5 2 2 8 5" xfId="7357"/>
    <cellStyle name="Note 5 2 2 9" xfId="3845"/>
    <cellStyle name="Note 5 2 2 9 2" xfId="16458"/>
    <cellStyle name="Note 5 2 2 9 2 2" xfId="27601"/>
    <cellStyle name="Note 5 2 2 9 3" xfId="22032"/>
    <cellStyle name="Note 5 2 2 9 4" xfId="7996"/>
    <cellStyle name="Note 5 2 3" xfId="297"/>
    <cellStyle name="Note 5 2 3 10" xfId="12996"/>
    <cellStyle name="Note 5 2 3 10 2" xfId="24140"/>
    <cellStyle name="Note 5 2 3 11" xfId="18571"/>
    <cellStyle name="Note 5 2 3 12" xfId="5964"/>
    <cellStyle name="Note 5 2 3 2" xfId="2255"/>
    <cellStyle name="Note 5 2 3 2 2" xfId="2899"/>
    <cellStyle name="Note 5 2 3 2 2 2" xfId="5008"/>
    <cellStyle name="Note 5 2 3 2 2 2 2" xfId="17621"/>
    <cellStyle name="Note 5 2 3 2 2 2 2 2" xfId="28764"/>
    <cellStyle name="Note 5 2 3 2 2 2 3" xfId="23195"/>
    <cellStyle name="Note 5 2 3 2 2 2 4" xfId="9159"/>
    <cellStyle name="Note 5 2 3 2 2 3" xfId="11259"/>
    <cellStyle name="Note 5 2 3 2 2 3 2" xfId="15552"/>
    <cellStyle name="Note 5 2 3 2 2 3 2 2" xfId="26695"/>
    <cellStyle name="Note 5 2 3 2 2 3 3" xfId="21126"/>
    <cellStyle name="Note 5 2 3 2 2 4" xfId="14122"/>
    <cellStyle name="Note 5 2 3 2 2 4 2" xfId="25265"/>
    <cellStyle name="Note 5 2 3 2 2 5" xfId="19696"/>
    <cellStyle name="Note 5 2 3 2 2 6" xfId="7090"/>
    <cellStyle name="Note 5 2 3 2 3" xfId="3537"/>
    <cellStyle name="Note 5 2 3 2 3 2" xfId="5646"/>
    <cellStyle name="Note 5 2 3 2 3 2 2" xfId="18259"/>
    <cellStyle name="Note 5 2 3 2 3 2 2 2" xfId="29402"/>
    <cellStyle name="Note 5 2 3 2 3 2 3" xfId="23833"/>
    <cellStyle name="Note 5 2 3 2 3 2 4" xfId="9797"/>
    <cellStyle name="Note 5 2 3 2 3 3" xfId="16190"/>
    <cellStyle name="Note 5 2 3 2 3 3 2" xfId="27333"/>
    <cellStyle name="Note 5 2 3 2 3 4" xfId="21764"/>
    <cellStyle name="Note 5 2 3 2 3 5" xfId="7728"/>
    <cellStyle name="Note 5 2 3 2 4" xfId="4216"/>
    <cellStyle name="Note 5 2 3 2 4 2" xfId="16829"/>
    <cellStyle name="Note 5 2 3 2 4 2 2" xfId="27972"/>
    <cellStyle name="Note 5 2 3 2 4 3" xfId="22403"/>
    <cellStyle name="Note 5 2 3 2 4 4" xfId="8367"/>
    <cellStyle name="Note 5 2 3 2 5" xfId="10594"/>
    <cellStyle name="Note 5 2 3 2 5 2" xfId="14913"/>
    <cellStyle name="Note 5 2 3 2 5 2 2" xfId="26056"/>
    <cellStyle name="Note 5 2 3 2 5 3" xfId="20487"/>
    <cellStyle name="Note 5 2 3 2 6" xfId="13483"/>
    <cellStyle name="Note 5 2 3 2 6 2" xfId="24626"/>
    <cellStyle name="Note 5 2 3 2 7" xfId="19057"/>
    <cellStyle name="Note 5 2 3 2 8" xfId="6451"/>
    <cellStyle name="Note 5 2 3 3" xfId="2063"/>
    <cellStyle name="Note 5 2 3 3 2" xfId="2718"/>
    <cellStyle name="Note 5 2 3 3 2 2" xfId="4827"/>
    <cellStyle name="Note 5 2 3 3 2 2 2" xfId="17440"/>
    <cellStyle name="Note 5 2 3 3 2 2 2 2" xfId="28583"/>
    <cellStyle name="Note 5 2 3 3 2 2 3" xfId="23014"/>
    <cellStyle name="Note 5 2 3 3 2 2 4" xfId="8978"/>
    <cellStyle name="Note 5 2 3 3 2 3" xfId="10552"/>
    <cellStyle name="Note 5 2 3 3 2 3 2" xfId="15371"/>
    <cellStyle name="Note 5 2 3 3 2 3 2 2" xfId="26514"/>
    <cellStyle name="Note 5 2 3 3 2 3 3" xfId="20945"/>
    <cellStyle name="Note 5 2 3 3 2 4" xfId="13941"/>
    <cellStyle name="Note 5 2 3 3 2 4 2" xfId="25084"/>
    <cellStyle name="Note 5 2 3 3 2 5" xfId="19515"/>
    <cellStyle name="Note 5 2 3 3 2 6" xfId="6909"/>
    <cellStyle name="Note 5 2 3 3 3" xfId="3356"/>
    <cellStyle name="Note 5 2 3 3 3 2" xfId="5465"/>
    <cellStyle name="Note 5 2 3 3 3 2 2" xfId="18078"/>
    <cellStyle name="Note 5 2 3 3 3 2 2 2" xfId="29221"/>
    <cellStyle name="Note 5 2 3 3 3 2 3" xfId="23652"/>
    <cellStyle name="Note 5 2 3 3 3 2 4" xfId="9616"/>
    <cellStyle name="Note 5 2 3 3 3 3" xfId="16009"/>
    <cellStyle name="Note 5 2 3 3 3 3 2" xfId="27152"/>
    <cellStyle name="Note 5 2 3 3 3 4" xfId="21583"/>
    <cellStyle name="Note 5 2 3 3 3 5" xfId="7547"/>
    <cellStyle name="Note 5 2 3 3 4" xfId="4035"/>
    <cellStyle name="Note 5 2 3 3 4 2" xfId="16648"/>
    <cellStyle name="Note 5 2 3 3 4 2 2" xfId="27791"/>
    <cellStyle name="Note 5 2 3 3 4 3" xfId="22222"/>
    <cellStyle name="Note 5 2 3 3 4 4" xfId="8186"/>
    <cellStyle name="Note 5 2 3 3 5" xfId="10104"/>
    <cellStyle name="Note 5 2 3 3 5 2" xfId="14732"/>
    <cellStyle name="Note 5 2 3 3 5 2 2" xfId="25875"/>
    <cellStyle name="Note 5 2 3 3 5 3" xfId="20306"/>
    <cellStyle name="Note 5 2 3 3 6" xfId="13302"/>
    <cellStyle name="Note 5 2 3 3 6 2" xfId="24445"/>
    <cellStyle name="Note 5 2 3 3 7" xfId="18876"/>
    <cellStyle name="Note 5 2 3 3 8" xfId="6270"/>
    <cellStyle name="Note 5 2 3 4" xfId="2410"/>
    <cellStyle name="Note 5 2 3 4 2" xfId="3051"/>
    <cellStyle name="Note 5 2 3 4 2 2" xfId="5160"/>
    <cellStyle name="Note 5 2 3 4 2 2 2" xfId="17773"/>
    <cellStyle name="Note 5 2 3 4 2 2 2 2" xfId="28916"/>
    <cellStyle name="Note 5 2 3 4 2 2 3" xfId="23347"/>
    <cellStyle name="Note 5 2 3 4 2 2 4" xfId="9311"/>
    <cellStyle name="Note 5 2 3 4 2 3" xfId="11335"/>
    <cellStyle name="Note 5 2 3 4 2 3 2" xfId="15704"/>
    <cellStyle name="Note 5 2 3 4 2 3 2 2" xfId="26847"/>
    <cellStyle name="Note 5 2 3 4 2 3 3" xfId="21278"/>
    <cellStyle name="Note 5 2 3 4 2 4" xfId="14274"/>
    <cellStyle name="Note 5 2 3 4 2 4 2" xfId="25417"/>
    <cellStyle name="Note 5 2 3 4 2 5" xfId="19848"/>
    <cellStyle name="Note 5 2 3 4 2 6" xfId="7242"/>
    <cellStyle name="Note 5 2 3 4 3" xfId="3689"/>
    <cellStyle name="Note 5 2 3 4 3 2" xfId="5798"/>
    <cellStyle name="Note 5 2 3 4 3 2 2" xfId="18411"/>
    <cellStyle name="Note 5 2 3 4 3 2 2 2" xfId="29554"/>
    <cellStyle name="Note 5 2 3 4 3 2 3" xfId="23985"/>
    <cellStyle name="Note 5 2 3 4 3 2 4" xfId="9949"/>
    <cellStyle name="Note 5 2 3 4 3 3" xfId="16342"/>
    <cellStyle name="Note 5 2 3 4 3 3 2" xfId="27485"/>
    <cellStyle name="Note 5 2 3 4 3 4" xfId="21916"/>
    <cellStyle name="Note 5 2 3 4 3 5" xfId="7880"/>
    <cellStyle name="Note 5 2 3 4 4" xfId="4368"/>
    <cellStyle name="Note 5 2 3 4 4 2" xfId="16981"/>
    <cellStyle name="Note 5 2 3 4 4 2 2" xfId="28124"/>
    <cellStyle name="Note 5 2 3 4 4 3" xfId="22555"/>
    <cellStyle name="Note 5 2 3 4 4 4" xfId="8519"/>
    <cellStyle name="Note 5 2 3 4 5" xfId="10049"/>
    <cellStyle name="Note 5 2 3 4 5 2" xfId="15065"/>
    <cellStyle name="Note 5 2 3 4 5 2 2" xfId="26208"/>
    <cellStyle name="Note 5 2 3 4 5 3" xfId="20639"/>
    <cellStyle name="Note 5 2 3 4 6" xfId="13635"/>
    <cellStyle name="Note 5 2 3 4 6 2" xfId="24778"/>
    <cellStyle name="Note 5 2 3 4 7" xfId="19209"/>
    <cellStyle name="Note 5 2 3 4 8" xfId="6603"/>
    <cellStyle name="Note 5 2 3 5" xfId="1873"/>
    <cellStyle name="Note 5 2 3 5 2" xfId="4521"/>
    <cellStyle name="Note 5 2 3 5 2 2" xfId="17134"/>
    <cellStyle name="Note 5 2 3 5 2 2 2" xfId="28277"/>
    <cellStyle name="Note 5 2 3 5 2 3" xfId="22708"/>
    <cellStyle name="Note 5 2 3 5 2 4" xfId="8672"/>
    <cellStyle name="Note 5 2 3 5 3" xfId="10568"/>
    <cellStyle name="Note 5 2 3 5 3 2" xfId="14580"/>
    <cellStyle name="Note 5 2 3 5 3 2 2" xfId="25723"/>
    <cellStyle name="Note 5 2 3 5 3 3" xfId="20154"/>
    <cellStyle name="Note 5 2 3 5 4" xfId="13150"/>
    <cellStyle name="Note 5 2 3 5 4 2" xfId="24293"/>
    <cellStyle name="Note 5 2 3 5 5" xfId="18724"/>
    <cellStyle name="Note 5 2 3 5 6" xfId="6118"/>
    <cellStyle name="Note 5 2 3 6" xfId="2566"/>
    <cellStyle name="Note 5 2 3 6 2" xfId="4675"/>
    <cellStyle name="Note 5 2 3 6 2 2" xfId="17288"/>
    <cellStyle name="Note 5 2 3 6 2 2 2" xfId="28431"/>
    <cellStyle name="Note 5 2 3 6 2 3" xfId="22862"/>
    <cellStyle name="Note 5 2 3 6 2 4" xfId="8826"/>
    <cellStyle name="Note 5 2 3 6 3" xfId="11028"/>
    <cellStyle name="Note 5 2 3 6 3 2" xfId="15219"/>
    <cellStyle name="Note 5 2 3 6 3 2 2" xfId="26362"/>
    <cellStyle name="Note 5 2 3 6 3 3" xfId="20793"/>
    <cellStyle name="Note 5 2 3 6 4" xfId="13789"/>
    <cellStyle name="Note 5 2 3 6 4 2" xfId="24932"/>
    <cellStyle name="Note 5 2 3 6 5" xfId="19363"/>
    <cellStyle name="Note 5 2 3 6 6" xfId="6757"/>
    <cellStyle name="Note 5 2 3 7" xfId="3204"/>
    <cellStyle name="Note 5 2 3 7 2" xfId="5313"/>
    <cellStyle name="Note 5 2 3 7 2 2" xfId="17926"/>
    <cellStyle name="Note 5 2 3 7 2 2 2" xfId="29069"/>
    <cellStyle name="Note 5 2 3 7 2 3" xfId="23500"/>
    <cellStyle name="Note 5 2 3 7 2 4" xfId="9464"/>
    <cellStyle name="Note 5 2 3 7 3" xfId="15857"/>
    <cellStyle name="Note 5 2 3 7 3 2" xfId="27000"/>
    <cellStyle name="Note 5 2 3 7 4" xfId="21431"/>
    <cellStyle name="Note 5 2 3 7 5" xfId="7395"/>
    <cellStyle name="Note 5 2 3 8" xfId="3883"/>
    <cellStyle name="Note 5 2 3 8 2" xfId="16496"/>
    <cellStyle name="Note 5 2 3 8 2 2" xfId="27639"/>
    <cellStyle name="Note 5 2 3 8 3" xfId="22070"/>
    <cellStyle name="Note 5 2 3 8 4" xfId="8034"/>
    <cellStyle name="Note 5 2 3 9" xfId="10912"/>
    <cellStyle name="Note 5 2 3 9 2" xfId="14427"/>
    <cellStyle name="Note 5 2 3 9 2 2" xfId="25570"/>
    <cellStyle name="Note 5 2 3 9 3" xfId="20001"/>
    <cellStyle name="Note 5 2 4" xfId="2179"/>
    <cellStyle name="Note 5 2 4 2" xfId="2823"/>
    <cellStyle name="Note 5 2 4 2 2" xfId="4932"/>
    <cellStyle name="Note 5 2 4 2 2 2" xfId="17545"/>
    <cellStyle name="Note 5 2 4 2 2 2 2" xfId="28688"/>
    <cellStyle name="Note 5 2 4 2 2 3" xfId="23119"/>
    <cellStyle name="Note 5 2 4 2 2 4" xfId="9083"/>
    <cellStyle name="Note 5 2 4 2 3" xfId="10185"/>
    <cellStyle name="Note 5 2 4 2 3 2" xfId="15476"/>
    <cellStyle name="Note 5 2 4 2 3 2 2" xfId="26619"/>
    <cellStyle name="Note 5 2 4 2 3 3" xfId="21050"/>
    <cellStyle name="Note 5 2 4 2 4" xfId="14046"/>
    <cellStyle name="Note 5 2 4 2 4 2" xfId="25189"/>
    <cellStyle name="Note 5 2 4 2 5" xfId="19620"/>
    <cellStyle name="Note 5 2 4 2 6" xfId="7014"/>
    <cellStyle name="Note 5 2 4 3" xfId="3461"/>
    <cellStyle name="Note 5 2 4 3 2" xfId="5570"/>
    <cellStyle name="Note 5 2 4 3 2 2" xfId="18183"/>
    <cellStyle name="Note 5 2 4 3 2 2 2" xfId="29326"/>
    <cellStyle name="Note 5 2 4 3 2 3" xfId="23757"/>
    <cellStyle name="Note 5 2 4 3 2 4" xfId="9721"/>
    <cellStyle name="Note 5 2 4 3 3" xfId="16114"/>
    <cellStyle name="Note 5 2 4 3 3 2" xfId="27257"/>
    <cellStyle name="Note 5 2 4 3 4" xfId="21688"/>
    <cellStyle name="Note 5 2 4 3 5" xfId="7652"/>
    <cellStyle name="Note 5 2 4 4" xfId="4140"/>
    <cellStyle name="Note 5 2 4 4 2" xfId="16753"/>
    <cellStyle name="Note 5 2 4 4 2 2" xfId="27896"/>
    <cellStyle name="Note 5 2 4 4 3" xfId="22327"/>
    <cellStyle name="Note 5 2 4 4 4" xfId="8291"/>
    <cellStyle name="Note 5 2 4 5" xfId="10520"/>
    <cellStyle name="Note 5 2 4 5 2" xfId="14837"/>
    <cellStyle name="Note 5 2 4 5 2 2" xfId="25980"/>
    <cellStyle name="Note 5 2 4 5 3" xfId="20411"/>
    <cellStyle name="Note 5 2 4 6" xfId="13407"/>
    <cellStyle name="Note 5 2 4 6 2" xfId="24550"/>
    <cellStyle name="Note 5 2 4 7" xfId="18981"/>
    <cellStyle name="Note 5 2 4 8" xfId="6375"/>
    <cellStyle name="Note 5 2 5" xfId="1987"/>
    <cellStyle name="Note 5 2 5 2" xfId="2642"/>
    <cellStyle name="Note 5 2 5 2 2" xfId="4751"/>
    <cellStyle name="Note 5 2 5 2 2 2" xfId="17364"/>
    <cellStyle name="Note 5 2 5 2 2 2 2" xfId="28507"/>
    <cellStyle name="Note 5 2 5 2 2 3" xfId="22938"/>
    <cellStyle name="Note 5 2 5 2 2 4" xfId="8902"/>
    <cellStyle name="Note 5 2 5 2 3" xfId="10244"/>
    <cellStyle name="Note 5 2 5 2 3 2" xfId="15295"/>
    <cellStyle name="Note 5 2 5 2 3 2 2" xfId="26438"/>
    <cellStyle name="Note 5 2 5 2 3 3" xfId="20869"/>
    <cellStyle name="Note 5 2 5 2 4" xfId="13865"/>
    <cellStyle name="Note 5 2 5 2 4 2" xfId="25008"/>
    <cellStyle name="Note 5 2 5 2 5" xfId="19439"/>
    <cellStyle name="Note 5 2 5 2 6" xfId="6833"/>
    <cellStyle name="Note 5 2 5 3" xfId="3280"/>
    <cellStyle name="Note 5 2 5 3 2" xfId="5389"/>
    <cellStyle name="Note 5 2 5 3 2 2" xfId="18002"/>
    <cellStyle name="Note 5 2 5 3 2 2 2" xfId="29145"/>
    <cellStyle name="Note 5 2 5 3 2 3" xfId="23576"/>
    <cellStyle name="Note 5 2 5 3 2 4" xfId="9540"/>
    <cellStyle name="Note 5 2 5 3 3" xfId="15933"/>
    <cellStyle name="Note 5 2 5 3 3 2" xfId="27076"/>
    <cellStyle name="Note 5 2 5 3 4" xfId="21507"/>
    <cellStyle name="Note 5 2 5 3 5" xfId="7471"/>
    <cellStyle name="Note 5 2 5 4" xfId="3959"/>
    <cellStyle name="Note 5 2 5 4 2" xfId="16572"/>
    <cellStyle name="Note 5 2 5 4 2 2" xfId="27715"/>
    <cellStyle name="Note 5 2 5 4 3" xfId="22146"/>
    <cellStyle name="Note 5 2 5 4 4" xfId="8110"/>
    <cellStyle name="Note 5 2 5 5" xfId="10504"/>
    <cellStyle name="Note 5 2 5 5 2" xfId="14656"/>
    <cellStyle name="Note 5 2 5 5 2 2" xfId="25799"/>
    <cellStyle name="Note 5 2 5 5 3" xfId="20230"/>
    <cellStyle name="Note 5 2 5 6" xfId="13226"/>
    <cellStyle name="Note 5 2 5 6 2" xfId="24369"/>
    <cellStyle name="Note 5 2 5 7" xfId="18800"/>
    <cellStyle name="Note 5 2 5 8" xfId="6194"/>
    <cellStyle name="Note 5 2 6" xfId="2334"/>
    <cellStyle name="Note 5 2 6 2" xfId="2975"/>
    <cellStyle name="Note 5 2 6 2 2" xfId="5084"/>
    <cellStyle name="Note 5 2 6 2 2 2" xfId="17697"/>
    <cellStyle name="Note 5 2 6 2 2 2 2" xfId="28840"/>
    <cellStyle name="Note 5 2 6 2 2 3" xfId="23271"/>
    <cellStyle name="Note 5 2 6 2 2 4" xfId="9235"/>
    <cellStyle name="Note 5 2 6 2 3" xfId="11184"/>
    <cellStyle name="Note 5 2 6 2 3 2" xfId="15628"/>
    <cellStyle name="Note 5 2 6 2 3 2 2" xfId="26771"/>
    <cellStyle name="Note 5 2 6 2 3 3" xfId="21202"/>
    <cellStyle name="Note 5 2 6 2 4" xfId="14198"/>
    <cellStyle name="Note 5 2 6 2 4 2" xfId="25341"/>
    <cellStyle name="Note 5 2 6 2 5" xfId="19772"/>
    <cellStyle name="Note 5 2 6 2 6" xfId="7166"/>
    <cellStyle name="Note 5 2 6 3" xfId="3613"/>
    <cellStyle name="Note 5 2 6 3 2" xfId="5722"/>
    <cellStyle name="Note 5 2 6 3 2 2" xfId="18335"/>
    <cellStyle name="Note 5 2 6 3 2 2 2" xfId="29478"/>
    <cellStyle name="Note 5 2 6 3 2 3" xfId="23909"/>
    <cellStyle name="Note 5 2 6 3 2 4" xfId="9873"/>
    <cellStyle name="Note 5 2 6 3 3" xfId="16266"/>
    <cellStyle name="Note 5 2 6 3 3 2" xfId="27409"/>
    <cellStyle name="Note 5 2 6 3 4" xfId="21840"/>
    <cellStyle name="Note 5 2 6 3 5" xfId="7804"/>
    <cellStyle name="Note 5 2 6 4" xfId="4292"/>
    <cellStyle name="Note 5 2 6 4 2" xfId="16905"/>
    <cellStyle name="Note 5 2 6 4 2 2" xfId="28048"/>
    <cellStyle name="Note 5 2 6 4 3" xfId="22479"/>
    <cellStyle name="Note 5 2 6 4 4" xfId="8443"/>
    <cellStyle name="Note 5 2 6 5" xfId="10597"/>
    <cellStyle name="Note 5 2 6 5 2" xfId="14989"/>
    <cellStyle name="Note 5 2 6 5 2 2" xfId="26132"/>
    <cellStyle name="Note 5 2 6 5 3" xfId="20563"/>
    <cellStyle name="Note 5 2 6 6" xfId="13559"/>
    <cellStyle name="Note 5 2 6 6 2" xfId="24702"/>
    <cellStyle name="Note 5 2 6 7" xfId="19133"/>
    <cellStyle name="Note 5 2 6 8" xfId="6527"/>
    <cellStyle name="Note 5 2 7" xfId="1797"/>
    <cellStyle name="Note 5 2 7 2" xfId="4445"/>
    <cellStyle name="Note 5 2 7 2 2" xfId="17058"/>
    <cellStyle name="Note 5 2 7 2 2 2" xfId="28201"/>
    <cellStyle name="Note 5 2 7 2 3" xfId="22632"/>
    <cellStyle name="Note 5 2 7 2 4" xfId="8596"/>
    <cellStyle name="Note 5 2 7 3" xfId="10347"/>
    <cellStyle name="Note 5 2 7 3 2" xfId="14504"/>
    <cellStyle name="Note 5 2 7 3 2 2" xfId="25647"/>
    <cellStyle name="Note 5 2 7 3 3" xfId="20078"/>
    <cellStyle name="Note 5 2 7 4" xfId="13074"/>
    <cellStyle name="Note 5 2 7 4 2" xfId="24217"/>
    <cellStyle name="Note 5 2 7 5" xfId="18648"/>
    <cellStyle name="Note 5 2 7 6" xfId="6042"/>
    <cellStyle name="Note 5 2 8" xfId="2490"/>
    <cellStyle name="Note 5 2 8 2" xfId="4599"/>
    <cellStyle name="Note 5 2 8 2 2" xfId="17212"/>
    <cellStyle name="Note 5 2 8 2 2 2" xfId="28355"/>
    <cellStyle name="Note 5 2 8 2 3" xfId="22786"/>
    <cellStyle name="Note 5 2 8 2 4" xfId="8750"/>
    <cellStyle name="Note 5 2 8 3" xfId="10463"/>
    <cellStyle name="Note 5 2 8 3 2" xfId="15143"/>
    <cellStyle name="Note 5 2 8 3 2 2" xfId="26286"/>
    <cellStyle name="Note 5 2 8 3 3" xfId="20717"/>
    <cellStyle name="Note 5 2 8 4" xfId="13713"/>
    <cellStyle name="Note 5 2 8 4 2" xfId="24856"/>
    <cellStyle name="Note 5 2 8 5" xfId="19287"/>
    <cellStyle name="Note 5 2 8 6" xfId="6681"/>
    <cellStyle name="Note 5 2 9" xfId="3128"/>
    <cellStyle name="Note 5 2 9 2" xfId="5237"/>
    <cellStyle name="Note 5 2 9 2 2" xfId="17850"/>
    <cellStyle name="Note 5 2 9 2 2 2" xfId="28993"/>
    <cellStyle name="Note 5 2 9 2 3" xfId="23424"/>
    <cellStyle name="Note 5 2 9 2 4" xfId="9388"/>
    <cellStyle name="Note 5 2 9 3" xfId="15781"/>
    <cellStyle name="Note 5 2 9 3 2" xfId="26924"/>
    <cellStyle name="Note 5 2 9 4" xfId="21355"/>
    <cellStyle name="Note 5 2 9 5" xfId="7319"/>
    <cellStyle name="Note 5 3" xfId="240"/>
    <cellStyle name="Note 5 3 10" xfId="10937"/>
    <cellStyle name="Note 5 3 10 2" xfId="14370"/>
    <cellStyle name="Note 5 3 10 2 2" xfId="25513"/>
    <cellStyle name="Note 5 3 10 3" xfId="19944"/>
    <cellStyle name="Note 5 3 11" xfId="12939"/>
    <cellStyle name="Note 5 3 11 2" xfId="24083"/>
    <cellStyle name="Note 5 3 12" xfId="18514"/>
    <cellStyle name="Note 5 3 13" xfId="5907"/>
    <cellStyle name="Note 5 3 2" xfId="316"/>
    <cellStyle name="Note 5 3 2 10" xfId="13015"/>
    <cellStyle name="Note 5 3 2 10 2" xfId="24159"/>
    <cellStyle name="Note 5 3 2 11" xfId="18590"/>
    <cellStyle name="Note 5 3 2 12" xfId="5983"/>
    <cellStyle name="Note 5 3 2 2" xfId="2274"/>
    <cellStyle name="Note 5 3 2 2 2" xfId="2918"/>
    <cellStyle name="Note 5 3 2 2 2 2" xfId="5027"/>
    <cellStyle name="Note 5 3 2 2 2 2 2" xfId="17640"/>
    <cellStyle name="Note 5 3 2 2 2 2 2 2" xfId="28783"/>
    <cellStyle name="Note 5 3 2 2 2 2 3" xfId="23214"/>
    <cellStyle name="Note 5 3 2 2 2 2 4" xfId="9178"/>
    <cellStyle name="Note 5 3 2 2 2 3" xfId="11373"/>
    <cellStyle name="Note 5 3 2 2 2 3 2" xfId="15571"/>
    <cellStyle name="Note 5 3 2 2 2 3 2 2" xfId="26714"/>
    <cellStyle name="Note 5 3 2 2 2 3 3" xfId="21145"/>
    <cellStyle name="Note 5 3 2 2 2 4" xfId="14141"/>
    <cellStyle name="Note 5 3 2 2 2 4 2" xfId="25284"/>
    <cellStyle name="Note 5 3 2 2 2 5" xfId="19715"/>
    <cellStyle name="Note 5 3 2 2 2 6" xfId="7109"/>
    <cellStyle name="Note 5 3 2 2 3" xfId="3556"/>
    <cellStyle name="Note 5 3 2 2 3 2" xfId="5665"/>
    <cellStyle name="Note 5 3 2 2 3 2 2" xfId="18278"/>
    <cellStyle name="Note 5 3 2 2 3 2 2 2" xfId="29421"/>
    <cellStyle name="Note 5 3 2 2 3 2 3" xfId="23852"/>
    <cellStyle name="Note 5 3 2 2 3 2 4" xfId="9816"/>
    <cellStyle name="Note 5 3 2 2 3 3" xfId="16209"/>
    <cellStyle name="Note 5 3 2 2 3 3 2" xfId="27352"/>
    <cellStyle name="Note 5 3 2 2 3 4" xfId="21783"/>
    <cellStyle name="Note 5 3 2 2 3 5" xfId="7747"/>
    <cellStyle name="Note 5 3 2 2 4" xfId="4235"/>
    <cellStyle name="Note 5 3 2 2 4 2" xfId="16848"/>
    <cellStyle name="Note 5 3 2 2 4 2 2" xfId="27991"/>
    <cellStyle name="Note 5 3 2 2 4 3" xfId="22422"/>
    <cellStyle name="Note 5 3 2 2 4 4" xfId="8386"/>
    <cellStyle name="Note 5 3 2 2 5" xfId="11412"/>
    <cellStyle name="Note 5 3 2 2 5 2" xfId="14932"/>
    <cellStyle name="Note 5 3 2 2 5 2 2" xfId="26075"/>
    <cellStyle name="Note 5 3 2 2 5 3" xfId="20506"/>
    <cellStyle name="Note 5 3 2 2 6" xfId="13502"/>
    <cellStyle name="Note 5 3 2 2 6 2" xfId="24645"/>
    <cellStyle name="Note 5 3 2 2 7" xfId="19076"/>
    <cellStyle name="Note 5 3 2 2 8" xfId="6470"/>
    <cellStyle name="Note 5 3 2 3" xfId="2082"/>
    <cellStyle name="Note 5 3 2 3 2" xfId="2737"/>
    <cellStyle name="Note 5 3 2 3 2 2" xfId="4846"/>
    <cellStyle name="Note 5 3 2 3 2 2 2" xfId="17459"/>
    <cellStyle name="Note 5 3 2 3 2 2 2 2" xfId="28602"/>
    <cellStyle name="Note 5 3 2 3 2 2 3" xfId="23033"/>
    <cellStyle name="Note 5 3 2 3 2 2 4" xfId="8997"/>
    <cellStyle name="Note 5 3 2 3 2 3" xfId="10620"/>
    <cellStyle name="Note 5 3 2 3 2 3 2" xfId="15390"/>
    <cellStyle name="Note 5 3 2 3 2 3 2 2" xfId="26533"/>
    <cellStyle name="Note 5 3 2 3 2 3 3" xfId="20964"/>
    <cellStyle name="Note 5 3 2 3 2 4" xfId="13960"/>
    <cellStyle name="Note 5 3 2 3 2 4 2" xfId="25103"/>
    <cellStyle name="Note 5 3 2 3 2 5" xfId="19534"/>
    <cellStyle name="Note 5 3 2 3 2 6" xfId="6928"/>
    <cellStyle name="Note 5 3 2 3 3" xfId="3375"/>
    <cellStyle name="Note 5 3 2 3 3 2" xfId="5484"/>
    <cellStyle name="Note 5 3 2 3 3 2 2" xfId="18097"/>
    <cellStyle name="Note 5 3 2 3 3 2 2 2" xfId="29240"/>
    <cellStyle name="Note 5 3 2 3 3 2 3" xfId="23671"/>
    <cellStyle name="Note 5 3 2 3 3 2 4" xfId="9635"/>
    <cellStyle name="Note 5 3 2 3 3 3" xfId="16028"/>
    <cellStyle name="Note 5 3 2 3 3 3 2" xfId="27171"/>
    <cellStyle name="Note 5 3 2 3 3 4" xfId="21602"/>
    <cellStyle name="Note 5 3 2 3 3 5" xfId="7566"/>
    <cellStyle name="Note 5 3 2 3 4" xfId="4054"/>
    <cellStyle name="Note 5 3 2 3 4 2" xfId="16667"/>
    <cellStyle name="Note 5 3 2 3 4 2 2" xfId="27810"/>
    <cellStyle name="Note 5 3 2 3 4 3" xfId="22241"/>
    <cellStyle name="Note 5 3 2 3 4 4" xfId="8205"/>
    <cellStyle name="Note 5 3 2 3 5" xfId="10208"/>
    <cellStyle name="Note 5 3 2 3 5 2" xfId="14751"/>
    <cellStyle name="Note 5 3 2 3 5 2 2" xfId="25894"/>
    <cellStyle name="Note 5 3 2 3 5 3" xfId="20325"/>
    <cellStyle name="Note 5 3 2 3 6" xfId="13321"/>
    <cellStyle name="Note 5 3 2 3 6 2" xfId="24464"/>
    <cellStyle name="Note 5 3 2 3 7" xfId="18895"/>
    <cellStyle name="Note 5 3 2 3 8" xfId="6289"/>
    <cellStyle name="Note 5 3 2 4" xfId="2429"/>
    <cellStyle name="Note 5 3 2 4 2" xfId="3070"/>
    <cellStyle name="Note 5 3 2 4 2 2" xfId="5179"/>
    <cellStyle name="Note 5 3 2 4 2 2 2" xfId="17792"/>
    <cellStyle name="Note 5 3 2 4 2 2 2 2" xfId="28935"/>
    <cellStyle name="Note 5 3 2 4 2 2 3" xfId="23366"/>
    <cellStyle name="Note 5 3 2 4 2 2 4" xfId="9330"/>
    <cellStyle name="Note 5 3 2 4 2 3" xfId="11379"/>
    <cellStyle name="Note 5 3 2 4 2 3 2" xfId="15723"/>
    <cellStyle name="Note 5 3 2 4 2 3 2 2" xfId="26866"/>
    <cellStyle name="Note 5 3 2 4 2 3 3" xfId="21297"/>
    <cellStyle name="Note 5 3 2 4 2 4" xfId="14293"/>
    <cellStyle name="Note 5 3 2 4 2 4 2" xfId="25436"/>
    <cellStyle name="Note 5 3 2 4 2 5" xfId="19867"/>
    <cellStyle name="Note 5 3 2 4 2 6" xfId="7261"/>
    <cellStyle name="Note 5 3 2 4 3" xfId="3708"/>
    <cellStyle name="Note 5 3 2 4 3 2" xfId="5817"/>
    <cellStyle name="Note 5 3 2 4 3 2 2" xfId="18430"/>
    <cellStyle name="Note 5 3 2 4 3 2 2 2" xfId="29573"/>
    <cellStyle name="Note 5 3 2 4 3 2 3" xfId="24004"/>
    <cellStyle name="Note 5 3 2 4 3 2 4" xfId="9968"/>
    <cellStyle name="Note 5 3 2 4 3 3" xfId="16361"/>
    <cellStyle name="Note 5 3 2 4 3 3 2" xfId="27504"/>
    <cellStyle name="Note 5 3 2 4 3 4" xfId="21935"/>
    <cellStyle name="Note 5 3 2 4 3 5" xfId="7899"/>
    <cellStyle name="Note 5 3 2 4 4" xfId="4387"/>
    <cellStyle name="Note 5 3 2 4 4 2" xfId="17000"/>
    <cellStyle name="Note 5 3 2 4 4 2 2" xfId="28143"/>
    <cellStyle name="Note 5 3 2 4 4 3" xfId="22574"/>
    <cellStyle name="Note 5 3 2 4 4 4" xfId="8538"/>
    <cellStyle name="Note 5 3 2 4 5" xfId="11098"/>
    <cellStyle name="Note 5 3 2 4 5 2" xfId="15084"/>
    <cellStyle name="Note 5 3 2 4 5 2 2" xfId="26227"/>
    <cellStyle name="Note 5 3 2 4 5 3" xfId="20658"/>
    <cellStyle name="Note 5 3 2 4 6" xfId="13654"/>
    <cellStyle name="Note 5 3 2 4 6 2" xfId="24797"/>
    <cellStyle name="Note 5 3 2 4 7" xfId="19228"/>
    <cellStyle name="Note 5 3 2 4 8" xfId="6622"/>
    <cellStyle name="Note 5 3 2 5" xfId="1892"/>
    <cellStyle name="Note 5 3 2 5 2" xfId="4540"/>
    <cellStyle name="Note 5 3 2 5 2 2" xfId="17153"/>
    <cellStyle name="Note 5 3 2 5 2 2 2" xfId="28296"/>
    <cellStyle name="Note 5 3 2 5 2 3" xfId="22727"/>
    <cellStyle name="Note 5 3 2 5 2 4" xfId="8691"/>
    <cellStyle name="Note 5 3 2 5 3" xfId="11115"/>
    <cellStyle name="Note 5 3 2 5 3 2" xfId="14599"/>
    <cellStyle name="Note 5 3 2 5 3 2 2" xfId="25742"/>
    <cellStyle name="Note 5 3 2 5 3 3" xfId="20173"/>
    <cellStyle name="Note 5 3 2 5 4" xfId="13169"/>
    <cellStyle name="Note 5 3 2 5 4 2" xfId="24312"/>
    <cellStyle name="Note 5 3 2 5 5" xfId="18743"/>
    <cellStyle name="Note 5 3 2 5 6" xfId="6137"/>
    <cellStyle name="Note 5 3 2 6" xfId="2585"/>
    <cellStyle name="Note 5 3 2 6 2" xfId="4694"/>
    <cellStyle name="Note 5 3 2 6 2 2" xfId="17307"/>
    <cellStyle name="Note 5 3 2 6 2 2 2" xfId="28450"/>
    <cellStyle name="Note 5 3 2 6 2 3" xfId="22881"/>
    <cellStyle name="Note 5 3 2 6 2 4" xfId="8845"/>
    <cellStyle name="Note 5 3 2 6 3" xfId="11389"/>
    <cellStyle name="Note 5 3 2 6 3 2" xfId="15238"/>
    <cellStyle name="Note 5 3 2 6 3 2 2" xfId="26381"/>
    <cellStyle name="Note 5 3 2 6 3 3" xfId="20812"/>
    <cellStyle name="Note 5 3 2 6 4" xfId="13808"/>
    <cellStyle name="Note 5 3 2 6 4 2" xfId="24951"/>
    <cellStyle name="Note 5 3 2 6 5" xfId="19382"/>
    <cellStyle name="Note 5 3 2 6 6" xfId="6776"/>
    <cellStyle name="Note 5 3 2 7" xfId="3223"/>
    <cellStyle name="Note 5 3 2 7 2" xfId="5332"/>
    <cellStyle name="Note 5 3 2 7 2 2" xfId="17945"/>
    <cellStyle name="Note 5 3 2 7 2 2 2" xfId="29088"/>
    <cellStyle name="Note 5 3 2 7 2 3" xfId="23519"/>
    <cellStyle name="Note 5 3 2 7 2 4" xfId="9483"/>
    <cellStyle name="Note 5 3 2 7 3" xfId="15876"/>
    <cellStyle name="Note 5 3 2 7 3 2" xfId="27019"/>
    <cellStyle name="Note 5 3 2 7 4" xfId="21450"/>
    <cellStyle name="Note 5 3 2 7 5" xfId="7414"/>
    <cellStyle name="Note 5 3 2 8" xfId="3902"/>
    <cellStyle name="Note 5 3 2 8 2" xfId="16515"/>
    <cellStyle name="Note 5 3 2 8 2 2" xfId="27658"/>
    <cellStyle name="Note 5 3 2 8 3" xfId="22089"/>
    <cellStyle name="Note 5 3 2 8 4" xfId="8053"/>
    <cellStyle name="Note 5 3 2 9" xfId="10863"/>
    <cellStyle name="Note 5 3 2 9 2" xfId="14446"/>
    <cellStyle name="Note 5 3 2 9 2 2" xfId="25589"/>
    <cellStyle name="Note 5 3 2 9 3" xfId="20020"/>
    <cellStyle name="Note 5 3 3" xfId="2198"/>
    <cellStyle name="Note 5 3 3 2" xfId="2842"/>
    <cellStyle name="Note 5 3 3 2 2" xfId="4951"/>
    <cellStyle name="Note 5 3 3 2 2 2" xfId="17564"/>
    <cellStyle name="Note 5 3 3 2 2 2 2" xfId="28707"/>
    <cellStyle name="Note 5 3 3 2 2 3" xfId="23138"/>
    <cellStyle name="Note 5 3 3 2 2 4" xfId="9102"/>
    <cellStyle name="Note 5 3 3 2 3" xfId="10997"/>
    <cellStyle name="Note 5 3 3 2 3 2" xfId="15495"/>
    <cellStyle name="Note 5 3 3 2 3 2 2" xfId="26638"/>
    <cellStyle name="Note 5 3 3 2 3 3" xfId="21069"/>
    <cellStyle name="Note 5 3 3 2 4" xfId="14065"/>
    <cellStyle name="Note 5 3 3 2 4 2" xfId="25208"/>
    <cellStyle name="Note 5 3 3 2 5" xfId="19639"/>
    <cellStyle name="Note 5 3 3 2 6" xfId="7033"/>
    <cellStyle name="Note 5 3 3 3" xfId="3480"/>
    <cellStyle name="Note 5 3 3 3 2" xfId="5589"/>
    <cellStyle name="Note 5 3 3 3 2 2" xfId="18202"/>
    <cellStyle name="Note 5 3 3 3 2 2 2" xfId="29345"/>
    <cellStyle name="Note 5 3 3 3 2 3" xfId="23776"/>
    <cellStyle name="Note 5 3 3 3 2 4" xfId="9740"/>
    <cellStyle name="Note 5 3 3 3 3" xfId="16133"/>
    <cellStyle name="Note 5 3 3 3 3 2" xfId="27276"/>
    <cellStyle name="Note 5 3 3 3 4" xfId="21707"/>
    <cellStyle name="Note 5 3 3 3 5" xfId="7671"/>
    <cellStyle name="Note 5 3 3 4" xfId="4159"/>
    <cellStyle name="Note 5 3 3 4 2" xfId="16772"/>
    <cellStyle name="Note 5 3 3 4 2 2" xfId="27915"/>
    <cellStyle name="Note 5 3 3 4 3" xfId="22346"/>
    <cellStyle name="Note 5 3 3 4 4" xfId="8310"/>
    <cellStyle name="Note 5 3 3 5" xfId="10421"/>
    <cellStyle name="Note 5 3 3 5 2" xfId="14856"/>
    <cellStyle name="Note 5 3 3 5 2 2" xfId="25999"/>
    <cellStyle name="Note 5 3 3 5 3" xfId="20430"/>
    <cellStyle name="Note 5 3 3 6" xfId="13426"/>
    <cellStyle name="Note 5 3 3 6 2" xfId="24569"/>
    <cellStyle name="Note 5 3 3 7" xfId="19000"/>
    <cellStyle name="Note 5 3 3 8" xfId="6394"/>
    <cellStyle name="Note 5 3 4" xfId="2006"/>
    <cellStyle name="Note 5 3 4 2" xfId="2661"/>
    <cellStyle name="Note 5 3 4 2 2" xfId="4770"/>
    <cellStyle name="Note 5 3 4 2 2 2" xfId="17383"/>
    <cellStyle name="Note 5 3 4 2 2 2 2" xfId="28526"/>
    <cellStyle name="Note 5 3 4 2 2 3" xfId="22957"/>
    <cellStyle name="Note 5 3 4 2 2 4" xfId="8921"/>
    <cellStyle name="Note 5 3 4 2 3" xfId="10767"/>
    <cellStyle name="Note 5 3 4 2 3 2" xfId="15314"/>
    <cellStyle name="Note 5 3 4 2 3 2 2" xfId="26457"/>
    <cellStyle name="Note 5 3 4 2 3 3" xfId="20888"/>
    <cellStyle name="Note 5 3 4 2 4" xfId="13884"/>
    <cellStyle name="Note 5 3 4 2 4 2" xfId="25027"/>
    <cellStyle name="Note 5 3 4 2 5" xfId="19458"/>
    <cellStyle name="Note 5 3 4 2 6" xfId="6852"/>
    <cellStyle name="Note 5 3 4 3" xfId="3299"/>
    <cellStyle name="Note 5 3 4 3 2" xfId="5408"/>
    <cellStyle name="Note 5 3 4 3 2 2" xfId="18021"/>
    <cellStyle name="Note 5 3 4 3 2 2 2" xfId="29164"/>
    <cellStyle name="Note 5 3 4 3 2 3" xfId="23595"/>
    <cellStyle name="Note 5 3 4 3 2 4" xfId="9559"/>
    <cellStyle name="Note 5 3 4 3 3" xfId="15952"/>
    <cellStyle name="Note 5 3 4 3 3 2" xfId="27095"/>
    <cellStyle name="Note 5 3 4 3 4" xfId="21526"/>
    <cellStyle name="Note 5 3 4 3 5" xfId="7490"/>
    <cellStyle name="Note 5 3 4 4" xfId="3978"/>
    <cellStyle name="Note 5 3 4 4 2" xfId="16591"/>
    <cellStyle name="Note 5 3 4 4 2 2" xfId="27734"/>
    <cellStyle name="Note 5 3 4 4 3" xfId="22165"/>
    <cellStyle name="Note 5 3 4 4 4" xfId="8129"/>
    <cellStyle name="Note 5 3 4 5" xfId="10373"/>
    <cellStyle name="Note 5 3 4 5 2" xfId="14675"/>
    <cellStyle name="Note 5 3 4 5 2 2" xfId="25818"/>
    <cellStyle name="Note 5 3 4 5 3" xfId="20249"/>
    <cellStyle name="Note 5 3 4 6" xfId="13245"/>
    <cellStyle name="Note 5 3 4 6 2" xfId="24388"/>
    <cellStyle name="Note 5 3 4 7" xfId="18819"/>
    <cellStyle name="Note 5 3 4 8" xfId="6213"/>
    <cellStyle name="Note 5 3 5" xfId="2353"/>
    <cellStyle name="Note 5 3 5 2" xfId="2994"/>
    <cellStyle name="Note 5 3 5 2 2" xfId="5103"/>
    <cellStyle name="Note 5 3 5 2 2 2" xfId="17716"/>
    <cellStyle name="Note 5 3 5 2 2 2 2" xfId="28859"/>
    <cellStyle name="Note 5 3 5 2 2 3" xfId="23290"/>
    <cellStyle name="Note 5 3 5 2 2 4" xfId="9254"/>
    <cellStyle name="Note 5 3 5 2 3" xfId="10801"/>
    <cellStyle name="Note 5 3 5 2 3 2" xfId="15647"/>
    <cellStyle name="Note 5 3 5 2 3 2 2" xfId="26790"/>
    <cellStyle name="Note 5 3 5 2 3 3" xfId="21221"/>
    <cellStyle name="Note 5 3 5 2 4" xfId="14217"/>
    <cellStyle name="Note 5 3 5 2 4 2" xfId="25360"/>
    <cellStyle name="Note 5 3 5 2 5" xfId="19791"/>
    <cellStyle name="Note 5 3 5 2 6" xfId="7185"/>
    <cellStyle name="Note 5 3 5 3" xfId="3632"/>
    <cellStyle name="Note 5 3 5 3 2" xfId="5741"/>
    <cellStyle name="Note 5 3 5 3 2 2" xfId="18354"/>
    <cellStyle name="Note 5 3 5 3 2 2 2" xfId="29497"/>
    <cellStyle name="Note 5 3 5 3 2 3" xfId="23928"/>
    <cellStyle name="Note 5 3 5 3 2 4" xfId="9892"/>
    <cellStyle name="Note 5 3 5 3 3" xfId="16285"/>
    <cellStyle name="Note 5 3 5 3 3 2" xfId="27428"/>
    <cellStyle name="Note 5 3 5 3 4" xfId="21859"/>
    <cellStyle name="Note 5 3 5 3 5" xfId="7823"/>
    <cellStyle name="Note 5 3 5 4" xfId="4311"/>
    <cellStyle name="Note 5 3 5 4 2" xfId="16924"/>
    <cellStyle name="Note 5 3 5 4 2 2" xfId="28067"/>
    <cellStyle name="Note 5 3 5 4 3" xfId="22498"/>
    <cellStyle name="Note 5 3 5 4 4" xfId="8462"/>
    <cellStyle name="Note 5 3 5 5" xfId="10442"/>
    <cellStyle name="Note 5 3 5 5 2" xfId="15008"/>
    <cellStyle name="Note 5 3 5 5 2 2" xfId="26151"/>
    <cellStyle name="Note 5 3 5 5 3" xfId="20582"/>
    <cellStyle name="Note 5 3 5 6" xfId="13578"/>
    <cellStyle name="Note 5 3 5 6 2" xfId="24721"/>
    <cellStyle name="Note 5 3 5 7" xfId="19152"/>
    <cellStyle name="Note 5 3 5 8" xfId="6546"/>
    <cellStyle name="Note 5 3 6" xfId="1816"/>
    <cellStyle name="Note 5 3 6 2" xfId="4464"/>
    <cellStyle name="Note 5 3 6 2 2" xfId="17077"/>
    <cellStyle name="Note 5 3 6 2 2 2" xfId="28220"/>
    <cellStyle name="Note 5 3 6 2 3" xfId="22651"/>
    <cellStyle name="Note 5 3 6 2 4" xfId="8615"/>
    <cellStyle name="Note 5 3 6 3" xfId="11364"/>
    <cellStyle name="Note 5 3 6 3 2" xfId="14523"/>
    <cellStyle name="Note 5 3 6 3 2 2" xfId="25666"/>
    <cellStyle name="Note 5 3 6 3 3" xfId="20097"/>
    <cellStyle name="Note 5 3 6 4" xfId="13093"/>
    <cellStyle name="Note 5 3 6 4 2" xfId="24236"/>
    <cellStyle name="Note 5 3 6 5" xfId="18667"/>
    <cellStyle name="Note 5 3 6 6" xfId="6061"/>
    <cellStyle name="Note 5 3 7" xfId="2509"/>
    <cellStyle name="Note 5 3 7 2" xfId="4618"/>
    <cellStyle name="Note 5 3 7 2 2" xfId="17231"/>
    <cellStyle name="Note 5 3 7 2 2 2" xfId="28374"/>
    <cellStyle name="Note 5 3 7 2 3" xfId="22805"/>
    <cellStyle name="Note 5 3 7 2 4" xfId="8769"/>
    <cellStyle name="Note 5 3 7 3" xfId="11401"/>
    <cellStyle name="Note 5 3 7 3 2" xfId="15162"/>
    <cellStyle name="Note 5 3 7 3 2 2" xfId="26305"/>
    <cellStyle name="Note 5 3 7 3 3" xfId="20736"/>
    <cellStyle name="Note 5 3 7 4" xfId="13732"/>
    <cellStyle name="Note 5 3 7 4 2" xfId="24875"/>
    <cellStyle name="Note 5 3 7 5" xfId="19306"/>
    <cellStyle name="Note 5 3 7 6" xfId="6700"/>
    <cellStyle name="Note 5 3 8" xfId="3147"/>
    <cellStyle name="Note 5 3 8 2" xfId="5256"/>
    <cellStyle name="Note 5 3 8 2 2" xfId="17869"/>
    <cellStyle name="Note 5 3 8 2 2 2" xfId="29012"/>
    <cellStyle name="Note 5 3 8 2 3" xfId="23443"/>
    <cellStyle name="Note 5 3 8 2 4" xfId="9407"/>
    <cellStyle name="Note 5 3 8 3" xfId="15800"/>
    <cellStyle name="Note 5 3 8 3 2" xfId="26943"/>
    <cellStyle name="Note 5 3 8 4" xfId="21374"/>
    <cellStyle name="Note 5 3 8 5" xfId="7338"/>
    <cellStyle name="Note 5 3 9" xfId="3826"/>
    <cellStyle name="Note 5 3 9 2" xfId="16439"/>
    <cellStyle name="Note 5 3 9 2 2" xfId="27582"/>
    <cellStyle name="Note 5 3 9 3" xfId="22013"/>
    <cellStyle name="Note 5 3 9 4" xfId="7977"/>
    <cellStyle name="Note 5 4" xfId="278"/>
    <cellStyle name="Note 5 4 10" xfId="12977"/>
    <cellStyle name="Note 5 4 10 2" xfId="24121"/>
    <cellStyle name="Note 5 4 11" xfId="18552"/>
    <cellStyle name="Note 5 4 12" xfId="5945"/>
    <cellStyle name="Note 5 4 2" xfId="2236"/>
    <cellStyle name="Note 5 4 2 2" xfId="2880"/>
    <cellStyle name="Note 5 4 2 2 2" xfId="4989"/>
    <cellStyle name="Note 5 4 2 2 2 2" xfId="17602"/>
    <cellStyle name="Note 5 4 2 2 2 2 2" xfId="28745"/>
    <cellStyle name="Note 5 4 2 2 2 3" xfId="23176"/>
    <cellStyle name="Note 5 4 2 2 2 4" xfId="9140"/>
    <cellStyle name="Note 5 4 2 2 3" xfId="10242"/>
    <cellStyle name="Note 5 4 2 2 3 2" xfId="15533"/>
    <cellStyle name="Note 5 4 2 2 3 2 2" xfId="26676"/>
    <cellStyle name="Note 5 4 2 2 3 3" xfId="21107"/>
    <cellStyle name="Note 5 4 2 2 4" xfId="14103"/>
    <cellStyle name="Note 5 4 2 2 4 2" xfId="25246"/>
    <cellStyle name="Note 5 4 2 2 5" xfId="19677"/>
    <cellStyle name="Note 5 4 2 2 6" xfId="7071"/>
    <cellStyle name="Note 5 4 2 3" xfId="3518"/>
    <cellStyle name="Note 5 4 2 3 2" xfId="5627"/>
    <cellStyle name="Note 5 4 2 3 2 2" xfId="18240"/>
    <cellStyle name="Note 5 4 2 3 2 2 2" xfId="29383"/>
    <cellStyle name="Note 5 4 2 3 2 3" xfId="23814"/>
    <cellStyle name="Note 5 4 2 3 2 4" xfId="9778"/>
    <cellStyle name="Note 5 4 2 3 3" xfId="16171"/>
    <cellStyle name="Note 5 4 2 3 3 2" xfId="27314"/>
    <cellStyle name="Note 5 4 2 3 4" xfId="21745"/>
    <cellStyle name="Note 5 4 2 3 5" xfId="7709"/>
    <cellStyle name="Note 5 4 2 4" xfId="4197"/>
    <cellStyle name="Note 5 4 2 4 2" xfId="16810"/>
    <cellStyle name="Note 5 4 2 4 2 2" xfId="27953"/>
    <cellStyle name="Note 5 4 2 4 3" xfId="22384"/>
    <cellStyle name="Note 5 4 2 4 4" xfId="8348"/>
    <cellStyle name="Note 5 4 2 5" xfId="10849"/>
    <cellStyle name="Note 5 4 2 5 2" xfId="14894"/>
    <cellStyle name="Note 5 4 2 5 2 2" xfId="26037"/>
    <cellStyle name="Note 5 4 2 5 3" xfId="20468"/>
    <cellStyle name="Note 5 4 2 6" xfId="13464"/>
    <cellStyle name="Note 5 4 2 6 2" xfId="24607"/>
    <cellStyle name="Note 5 4 2 7" xfId="19038"/>
    <cellStyle name="Note 5 4 2 8" xfId="6432"/>
    <cellStyle name="Note 5 4 3" xfId="2044"/>
    <cellStyle name="Note 5 4 3 2" xfId="2699"/>
    <cellStyle name="Note 5 4 3 2 2" xfId="4808"/>
    <cellStyle name="Note 5 4 3 2 2 2" xfId="17421"/>
    <cellStyle name="Note 5 4 3 2 2 2 2" xfId="28564"/>
    <cellStyle name="Note 5 4 3 2 2 3" xfId="22995"/>
    <cellStyle name="Note 5 4 3 2 2 4" xfId="8959"/>
    <cellStyle name="Note 5 4 3 2 3" xfId="10284"/>
    <cellStyle name="Note 5 4 3 2 3 2" xfId="15352"/>
    <cellStyle name="Note 5 4 3 2 3 2 2" xfId="26495"/>
    <cellStyle name="Note 5 4 3 2 3 3" xfId="20926"/>
    <cellStyle name="Note 5 4 3 2 4" xfId="13922"/>
    <cellStyle name="Note 5 4 3 2 4 2" xfId="25065"/>
    <cellStyle name="Note 5 4 3 2 5" xfId="19496"/>
    <cellStyle name="Note 5 4 3 2 6" xfId="6890"/>
    <cellStyle name="Note 5 4 3 3" xfId="3337"/>
    <cellStyle name="Note 5 4 3 3 2" xfId="5446"/>
    <cellStyle name="Note 5 4 3 3 2 2" xfId="18059"/>
    <cellStyle name="Note 5 4 3 3 2 2 2" xfId="29202"/>
    <cellStyle name="Note 5 4 3 3 2 3" xfId="23633"/>
    <cellStyle name="Note 5 4 3 3 2 4" xfId="9597"/>
    <cellStyle name="Note 5 4 3 3 3" xfId="15990"/>
    <cellStyle name="Note 5 4 3 3 3 2" xfId="27133"/>
    <cellStyle name="Note 5 4 3 3 4" xfId="21564"/>
    <cellStyle name="Note 5 4 3 3 5" xfId="7528"/>
    <cellStyle name="Note 5 4 3 4" xfId="4016"/>
    <cellStyle name="Note 5 4 3 4 2" xfId="16629"/>
    <cellStyle name="Note 5 4 3 4 2 2" xfId="27772"/>
    <cellStyle name="Note 5 4 3 4 3" xfId="22203"/>
    <cellStyle name="Note 5 4 3 4 4" xfId="8167"/>
    <cellStyle name="Note 5 4 3 5" xfId="10757"/>
    <cellStyle name="Note 5 4 3 5 2" xfId="14713"/>
    <cellStyle name="Note 5 4 3 5 2 2" xfId="25856"/>
    <cellStyle name="Note 5 4 3 5 3" xfId="20287"/>
    <cellStyle name="Note 5 4 3 6" xfId="13283"/>
    <cellStyle name="Note 5 4 3 6 2" xfId="24426"/>
    <cellStyle name="Note 5 4 3 7" xfId="18857"/>
    <cellStyle name="Note 5 4 3 8" xfId="6251"/>
    <cellStyle name="Note 5 4 4" xfId="2391"/>
    <cellStyle name="Note 5 4 4 2" xfId="3032"/>
    <cellStyle name="Note 5 4 4 2 2" xfId="5141"/>
    <cellStyle name="Note 5 4 4 2 2 2" xfId="17754"/>
    <cellStyle name="Note 5 4 4 2 2 2 2" xfId="28897"/>
    <cellStyle name="Note 5 4 4 2 2 3" xfId="23328"/>
    <cellStyle name="Note 5 4 4 2 2 4" xfId="9292"/>
    <cellStyle name="Note 5 4 4 2 3" xfId="11334"/>
    <cellStyle name="Note 5 4 4 2 3 2" xfId="15685"/>
    <cellStyle name="Note 5 4 4 2 3 2 2" xfId="26828"/>
    <cellStyle name="Note 5 4 4 2 3 3" xfId="21259"/>
    <cellStyle name="Note 5 4 4 2 4" xfId="14255"/>
    <cellStyle name="Note 5 4 4 2 4 2" xfId="25398"/>
    <cellStyle name="Note 5 4 4 2 5" xfId="19829"/>
    <cellStyle name="Note 5 4 4 2 6" xfId="7223"/>
    <cellStyle name="Note 5 4 4 3" xfId="3670"/>
    <cellStyle name="Note 5 4 4 3 2" xfId="5779"/>
    <cellStyle name="Note 5 4 4 3 2 2" xfId="18392"/>
    <cellStyle name="Note 5 4 4 3 2 2 2" xfId="29535"/>
    <cellStyle name="Note 5 4 4 3 2 3" xfId="23966"/>
    <cellStyle name="Note 5 4 4 3 2 4" xfId="9930"/>
    <cellStyle name="Note 5 4 4 3 3" xfId="16323"/>
    <cellStyle name="Note 5 4 4 3 3 2" xfId="27466"/>
    <cellStyle name="Note 5 4 4 3 4" xfId="21897"/>
    <cellStyle name="Note 5 4 4 3 5" xfId="7861"/>
    <cellStyle name="Note 5 4 4 4" xfId="4349"/>
    <cellStyle name="Note 5 4 4 4 2" xfId="16962"/>
    <cellStyle name="Note 5 4 4 4 2 2" xfId="28105"/>
    <cellStyle name="Note 5 4 4 4 3" xfId="22536"/>
    <cellStyle name="Note 5 4 4 4 4" xfId="8500"/>
    <cellStyle name="Note 5 4 4 5" xfId="10092"/>
    <cellStyle name="Note 5 4 4 5 2" xfId="15046"/>
    <cellStyle name="Note 5 4 4 5 2 2" xfId="26189"/>
    <cellStyle name="Note 5 4 4 5 3" xfId="20620"/>
    <cellStyle name="Note 5 4 4 6" xfId="13616"/>
    <cellStyle name="Note 5 4 4 6 2" xfId="24759"/>
    <cellStyle name="Note 5 4 4 7" xfId="19190"/>
    <cellStyle name="Note 5 4 4 8" xfId="6584"/>
    <cellStyle name="Note 5 4 5" xfId="1854"/>
    <cellStyle name="Note 5 4 5 2" xfId="4502"/>
    <cellStyle name="Note 5 4 5 2 2" xfId="17115"/>
    <cellStyle name="Note 5 4 5 2 2 2" xfId="28258"/>
    <cellStyle name="Note 5 4 5 2 3" xfId="22689"/>
    <cellStyle name="Note 5 4 5 2 4" xfId="8653"/>
    <cellStyle name="Note 5 4 5 3" xfId="10974"/>
    <cellStyle name="Note 5 4 5 3 2" xfId="14561"/>
    <cellStyle name="Note 5 4 5 3 2 2" xfId="25704"/>
    <cellStyle name="Note 5 4 5 3 3" xfId="20135"/>
    <cellStyle name="Note 5 4 5 4" xfId="13131"/>
    <cellStyle name="Note 5 4 5 4 2" xfId="24274"/>
    <cellStyle name="Note 5 4 5 5" xfId="18705"/>
    <cellStyle name="Note 5 4 5 6" xfId="6099"/>
    <cellStyle name="Note 5 4 6" xfId="2547"/>
    <cellStyle name="Note 5 4 6 2" xfId="4656"/>
    <cellStyle name="Note 5 4 6 2 2" xfId="17269"/>
    <cellStyle name="Note 5 4 6 2 2 2" xfId="28412"/>
    <cellStyle name="Note 5 4 6 2 3" xfId="22843"/>
    <cellStyle name="Note 5 4 6 2 4" xfId="8807"/>
    <cellStyle name="Note 5 4 6 3" xfId="10789"/>
    <cellStyle name="Note 5 4 6 3 2" xfId="15200"/>
    <cellStyle name="Note 5 4 6 3 2 2" xfId="26343"/>
    <cellStyle name="Note 5 4 6 3 3" xfId="20774"/>
    <cellStyle name="Note 5 4 6 4" xfId="13770"/>
    <cellStyle name="Note 5 4 6 4 2" xfId="24913"/>
    <cellStyle name="Note 5 4 6 5" xfId="19344"/>
    <cellStyle name="Note 5 4 6 6" xfId="6738"/>
    <cellStyle name="Note 5 4 7" xfId="3185"/>
    <cellStyle name="Note 5 4 7 2" xfId="5294"/>
    <cellStyle name="Note 5 4 7 2 2" xfId="17907"/>
    <cellStyle name="Note 5 4 7 2 2 2" xfId="29050"/>
    <cellStyle name="Note 5 4 7 2 3" xfId="23481"/>
    <cellStyle name="Note 5 4 7 2 4" xfId="9445"/>
    <cellStyle name="Note 5 4 7 3" xfId="15838"/>
    <cellStyle name="Note 5 4 7 3 2" xfId="26981"/>
    <cellStyle name="Note 5 4 7 4" xfId="21412"/>
    <cellStyle name="Note 5 4 7 5" xfId="7376"/>
    <cellStyle name="Note 5 4 8" xfId="3864"/>
    <cellStyle name="Note 5 4 8 2" xfId="16477"/>
    <cellStyle name="Note 5 4 8 2 2" xfId="27620"/>
    <cellStyle name="Note 5 4 8 3" xfId="22051"/>
    <cellStyle name="Note 5 4 8 4" xfId="8015"/>
    <cellStyle name="Note 5 4 9" xfId="11134"/>
    <cellStyle name="Note 5 4 9 2" xfId="14408"/>
    <cellStyle name="Note 5 4 9 2 2" xfId="25551"/>
    <cellStyle name="Note 5 4 9 3" xfId="19982"/>
    <cellStyle name="Note 5 5" xfId="2160"/>
    <cellStyle name="Note 5 5 2" xfId="2804"/>
    <cellStyle name="Note 5 5 2 2" xfId="4913"/>
    <cellStyle name="Note 5 5 2 2 2" xfId="17526"/>
    <cellStyle name="Note 5 5 2 2 2 2" xfId="28669"/>
    <cellStyle name="Note 5 5 2 2 3" xfId="23100"/>
    <cellStyle name="Note 5 5 2 2 4" xfId="9064"/>
    <cellStyle name="Note 5 5 2 3" xfId="10434"/>
    <cellStyle name="Note 5 5 2 3 2" xfId="15457"/>
    <cellStyle name="Note 5 5 2 3 2 2" xfId="26600"/>
    <cellStyle name="Note 5 5 2 3 3" xfId="21031"/>
    <cellStyle name="Note 5 5 2 4" xfId="14027"/>
    <cellStyle name="Note 5 5 2 4 2" xfId="25170"/>
    <cellStyle name="Note 5 5 2 5" xfId="19601"/>
    <cellStyle name="Note 5 5 2 6" xfId="6995"/>
    <cellStyle name="Note 5 5 3" xfId="3442"/>
    <cellStyle name="Note 5 5 3 2" xfId="5551"/>
    <cellStyle name="Note 5 5 3 2 2" xfId="18164"/>
    <cellStyle name="Note 5 5 3 2 2 2" xfId="29307"/>
    <cellStyle name="Note 5 5 3 2 3" xfId="23738"/>
    <cellStyle name="Note 5 5 3 2 4" xfId="9702"/>
    <cellStyle name="Note 5 5 3 3" xfId="16095"/>
    <cellStyle name="Note 5 5 3 3 2" xfId="27238"/>
    <cellStyle name="Note 5 5 3 4" xfId="21669"/>
    <cellStyle name="Note 5 5 3 5" xfId="7633"/>
    <cellStyle name="Note 5 5 4" xfId="4121"/>
    <cellStyle name="Note 5 5 4 2" xfId="16734"/>
    <cellStyle name="Note 5 5 4 2 2" xfId="27877"/>
    <cellStyle name="Note 5 5 4 3" xfId="22308"/>
    <cellStyle name="Note 5 5 4 4" xfId="8272"/>
    <cellStyle name="Note 5 5 5" xfId="10427"/>
    <cellStyle name="Note 5 5 5 2" xfId="14818"/>
    <cellStyle name="Note 5 5 5 2 2" xfId="25961"/>
    <cellStyle name="Note 5 5 5 3" xfId="20392"/>
    <cellStyle name="Note 5 5 6" xfId="13388"/>
    <cellStyle name="Note 5 5 6 2" xfId="24531"/>
    <cellStyle name="Note 5 5 7" xfId="18962"/>
    <cellStyle name="Note 5 5 8" xfId="6356"/>
    <cellStyle name="Note 5 6" xfId="1947"/>
    <cellStyle name="Note 5 6 2" xfId="2623"/>
    <cellStyle name="Note 5 6 2 2" xfId="4732"/>
    <cellStyle name="Note 5 6 2 2 2" xfId="17345"/>
    <cellStyle name="Note 5 6 2 2 2 2" xfId="28488"/>
    <cellStyle name="Note 5 6 2 2 3" xfId="22919"/>
    <cellStyle name="Note 5 6 2 2 4" xfId="8883"/>
    <cellStyle name="Note 5 6 2 3" xfId="10164"/>
    <cellStyle name="Note 5 6 2 3 2" xfId="15276"/>
    <cellStyle name="Note 5 6 2 3 2 2" xfId="26419"/>
    <cellStyle name="Note 5 6 2 3 3" xfId="20850"/>
    <cellStyle name="Note 5 6 2 4" xfId="13846"/>
    <cellStyle name="Note 5 6 2 4 2" xfId="24989"/>
    <cellStyle name="Note 5 6 2 5" xfId="19420"/>
    <cellStyle name="Note 5 6 2 6" xfId="6814"/>
    <cellStyle name="Note 5 6 3" xfId="3261"/>
    <cellStyle name="Note 5 6 3 2" xfId="5370"/>
    <cellStyle name="Note 5 6 3 2 2" xfId="17983"/>
    <cellStyle name="Note 5 6 3 2 2 2" xfId="29126"/>
    <cellStyle name="Note 5 6 3 2 3" xfId="23557"/>
    <cellStyle name="Note 5 6 3 2 4" xfId="9521"/>
    <cellStyle name="Note 5 6 3 3" xfId="15914"/>
    <cellStyle name="Note 5 6 3 3 2" xfId="27057"/>
    <cellStyle name="Note 5 6 3 4" xfId="21488"/>
    <cellStyle name="Note 5 6 3 5" xfId="7452"/>
    <cellStyle name="Note 5 6 4" xfId="3940"/>
    <cellStyle name="Note 5 6 4 2" xfId="16553"/>
    <cellStyle name="Note 5 6 4 2 2" xfId="27696"/>
    <cellStyle name="Note 5 6 4 3" xfId="22127"/>
    <cellStyle name="Note 5 6 4 4" xfId="8091"/>
    <cellStyle name="Note 5 6 5" xfId="11043"/>
    <cellStyle name="Note 5 6 5 2" xfId="14637"/>
    <cellStyle name="Note 5 6 5 2 2" xfId="25780"/>
    <cellStyle name="Note 5 6 5 3" xfId="20211"/>
    <cellStyle name="Note 5 6 6" xfId="13207"/>
    <cellStyle name="Note 5 6 6 2" xfId="24350"/>
    <cellStyle name="Note 5 6 7" xfId="18781"/>
    <cellStyle name="Note 5 6 8" xfId="6175"/>
    <cellStyle name="Note 5 7" xfId="2314"/>
    <cellStyle name="Note 5 7 2" xfId="2956"/>
    <cellStyle name="Note 5 7 2 2" xfId="5065"/>
    <cellStyle name="Note 5 7 2 2 2" xfId="17678"/>
    <cellStyle name="Note 5 7 2 2 2 2" xfId="28821"/>
    <cellStyle name="Note 5 7 2 2 3" xfId="23252"/>
    <cellStyle name="Note 5 7 2 2 4" xfId="9216"/>
    <cellStyle name="Note 5 7 2 3" xfId="11394"/>
    <cellStyle name="Note 5 7 2 3 2" xfId="15609"/>
    <cellStyle name="Note 5 7 2 3 2 2" xfId="26752"/>
    <cellStyle name="Note 5 7 2 3 3" xfId="21183"/>
    <cellStyle name="Note 5 7 2 4" xfId="14179"/>
    <cellStyle name="Note 5 7 2 4 2" xfId="25322"/>
    <cellStyle name="Note 5 7 2 5" xfId="19753"/>
    <cellStyle name="Note 5 7 2 6" xfId="7147"/>
    <cellStyle name="Note 5 7 3" xfId="3594"/>
    <cellStyle name="Note 5 7 3 2" xfId="5703"/>
    <cellStyle name="Note 5 7 3 2 2" xfId="18316"/>
    <cellStyle name="Note 5 7 3 2 2 2" xfId="29459"/>
    <cellStyle name="Note 5 7 3 2 3" xfId="23890"/>
    <cellStyle name="Note 5 7 3 2 4" xfId="9854"/>
    <cellStyle name="Note 5 7 3 3" xfId="16247"/>
    <cellStyle name="Note 5 7 3 3 2" xfId="27390"/>
    <cellStyle name="Note 5 7 3 4" xfId="21821"/>
    <cellStyle name="Note 5 7 3 5" xfId="7785"/>
    <cellStyle name="Note 5 7 4" xfId="4273"/>
    <cellStyle name="Note 5 7 4 2" xfId="16886"/>
    <cellStyle name="Note 5 7 4 2 2" xfId="28029"/>
    <cellStyle name="Note 5 7 4 3" xfId="22460"/>
    <cellStyle name="Note 5 7 4 4" xfId="8424"/>
    <cellStyle name="Note 5 7 5" xfId="11225"/>
    <cellStyle name="Note 5 7 5 2" xfId="14970"/>
    <cellStyle name="Note 5 7 5 2 2" xfId="26113"/>
    <cellStyle name="Note 5 7 5 3" xfId="20544"/>
    <cellStyle name="Note 5 7 6" xfId="13540"/>
    <cellStyle name="Note 5 7 6 2" xfId="24683"/>
    <cellStyle name="Note 5 7 7" xfId="19114"/>
    <cellStyle name="Note 5 7 8" xfId="6508"/>
    <cellStyle name="Note 5 8" xfId="1778"/>
    <cellStyle name="Note 5 8 2" xfId="4426"/>
    <cellStyle name="Note 5 8 2 2" xfId="17039"/>
    <cellStyle name="Note 5 8 2 2 2" xfId="28182"/>
    <cellStyle name="Note 5 8 2 3" xfId="22613"/>
    <cellStyle name="Note 5 8 2 4" xfId="8577"/>
    <cellStyle name="Note 5 8 3" xfId="10159"/>
    <cellStyle name="Note 5 8 3 2" xfId="14485"/>
    <cellStyle name="Note 5 8 3 2 2" xfId="25628"/>
    <cellStyle name="Note 5 8 3 3" xfId="20059"/>
    <cellStyle name="Note 5 8 4" xfId="13055"/>
    <cellStyle name="Note 5 8 4 2" xfId="24198"/>
    <cellStyle name="Note 5 8 5" xfId="18629"/>
    <cellStyle name="Note 5 8 6" xfId="6023"/>
    <cellStyle name="Note 5 9" xfId="2471"/>
    <cellStyle name="Note 5 9 2" xfId="4580"/>
    <cellStyle name="Note 5 9 2 2" xfId="17193"/>
    <cellStyle name="Note 5 9 2 2 2" xfId="28336"/>
    <cellStyle name="Note 5 9 2 3" xfId="22767"/>
    <cellStyle name="Note 5 9 2 4" xfId="8731"/>
    <cellStyle name="Note 5 9 3" xfId="11340"/>
    <cellStyle name="Note 5 9 3 2" xfId="15124"/>
    <cellStyle name="Note 5 9 3 2 2" xfId="26267"/>
    <cellStyle name="Note 5 9 3 3" xfId="20698"/>
    <cellStyle name="Note 5 9 4" xfId="13694"/>
    <cellStyle name="Note 5 9 4 2" xfId="24837"/>
    <cellStyle name="Note 5 9 5" xfId="19268"/>
    <cellStyle name="Note 5 9 6" xfId="6662"/>
    <cellStyle name="Note 6" xfId="70"/>
    <cellStyle name="Note 6 2" xfId="379"/>
    <cellStyle name="Note 6 2 2" xfId="558"/>
    <cellStyle name="Note 6 2 2 2" xfId="941"/>
    <cellStyle name="Note 6 2 2 2 2" xfId="1680"/>
    <cellStyle name="Note 6 2 2 2 2 2" xfId="12776"/>
    <cellStyle name="Note 6 2 2 2 3" xfId="12066"/>
    <cellStyle name="Note 6 2 2 3" xfId="1325"/>
    <cellStyle name="Note 6 2 2 3 2" xfId="12421"/>
    <cellStyle name="Note 6 2 2 4" xfId="11711"/>
    <cellStyle name="Note 6 2 3" xfId="763"/>
    <cellStyle name="Note 6 2 3 2" xfId="1502"/>
    <cellStyle name="Note 6 2 3 2 2" xfId="12598"/>
    <cellStyle name="Note 6 2 3 3" xfId="11888"/>
    <cellStyle name="Note 6 2 4" xfId="1147"/>
    <cellStyle name="Note 6 2 4 2" xfId="12243"/>
    <cellStyle name="Note 6 2 5" xfId="11533"/>
    <cellStyle name="Note 6 3" xfId="434"/>
    <cellStyle name="Note 6 3 2" xfId="613"/>
    <cellStyle name="Note 6 3 2 2" xfId="996"/>
    <cellStyle name="Note 6 3 2 2 2" xfId="1735"/>
    <cellStyle name="Note 6 3 2 2 2 2" xfId="12831"/>
    <cellStyle name="Note 6 3 2 2 3" xfId="12121"/>
    <cellStyle name="Note 6 3 2 3" xfId="1380"/>
    <cellStyle name="Note 6 3 2 3 2" xfId="12476"/>
    <cellStyle name="Note 6 3 2 4" xfId="11766"/>
    <cellStyle name="Note 6 3 3" xfId="818"/>
    <cellStyle name="Note 6 3 3 2" xfId="1557"/>
    <cellStyle name="Note 6 3 3 2 2" xfId="12653"/>
    <cellStyle name="Note 6 3 3 3" xfId="11943"/>
    <cellStyle name="Note 6 3 4" xfId="1202"/>
    <cellStyle name="Note 6 3 4 2" xfId="12298"/>
    <cellStyle name="Note 6 3 5" xfId="11588"/>
    <cellStyle name="Note 6 4" xfId="496"/>
    <cellStyle name="Note 6 4 2" xfId="880"/>
    <cellStyle name="Note 6 4 2 2" xfId="1619"/>
    <cellStyle name="Note 6 4 2 2 2" xfId="12715"/>
    <cellStyle name="Note 6 4 2 3" xfId="12005"/>
    <cellStyle name="Note 6 4 3" xfId="1264"/>
    <cellStyle name="Note 6 4 3 2" xfId="12360"/>
    <cellStyle name="Note 6 4 4" xfId="11650"/>
    <cellStyle name="Note 6 5" xfId="702"/>
    <cellStyle name="Note 6 5 2" xfId="1441"/>
    <cellStyle name="Note 6 5 2 2" xfId="12537"/>
    <cellStyle name="Note 6 5 3" xfId="11827"/>
    <cellStyle name="Note 6 6" xfId="1086"/>
    <cellStyle name="Note 6 6 2" xfId="12182"/>
    <cellStyle name="Note 6 7" xfId="11472"/>
    <cellStyle name="Output" xfId="10" builtinId="21" customBuiltin="1"/>
    <cellStyle name="Output 2" xfId="93"/>
    <cellStyle name="Output 3" xfId="82"/>
    <cellStyle name="Output 4" xfId="189"/>
    <cellStyle name="Output 5" xfId="68"/>
    <cellStyle name="Output 6" xfId="664"/>
    <cellStyle name="Output 7" xfId="1048"/>
    <cellStyle name="Output 8" xfId="1931"/>
    <cellStyle name="Output 9" xfId="3756"/>
    <cellStyle name="Title" xfId="1" builtinId="15" customBuiltin="1"/>
    <cellStyle name="Total" xfId="16" builtinId="25" customBuiltin="1"/>
    <cellStyle name="Total 2" xfId="97"/>
    <cellStyle name="Total 3" xfId="81"/>
    <cellStyle name="Total 4" xfId="195"/>
    <cellStyle name="Total 5" xfId="67"/>
    <cellStyle name="Total 6" xfId="670"/>
    <cellStyle name="Total 7" xfId="1054"/>
    <cellStyle name="Total 8" xfId="1939"/>
    <cellStyle name="Total 9" xfId="3762"/>
    <cellStyle name="Warning Text" xfId="14" builtinId="11" customBuiltin="1"/>
    <cellStyle name="Warning Text 2" xfId="103"/>
    <cellStyle name="Warning Text 3" xfId="87"/>
    <cellStyle name="Warning Text 4" xfId="193"/>
    <cellStyle name="Warning Text 5" xfId="52"/>
    <cellStyle name="Warning Text 6" xfId="668"/>
    <cellStyle name="Warning Text 7" xfId="1052"/>
    <cellStyle name="Warning Text 8" xfId="1936"/>
    <cellStyle name="Warning Text 9" xfId="376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163902</xdr:colOff>
          <xdr:row>24</xdr:row>
          <xdr:rowOff>146649</xdr:rowOff>
        </xdr:from>
        <xdr:to>
          <xdr:col>14</xdr:col>
          <xdr:colOff>112143</xdr:colOff>
          <xdr:row>26</xdr:row>
          <xdr:rowOff>103517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set and map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569343</xdr:colOff>
          <xdr:row>58</xdr:row>
          <xdr:rowOff>112143</xdr:rowOff>
        </xdr:from>
        <xdr:to>
          <xdr:col>3</xdr:col>
          <xdr:colOff>1069675</xdr:colOff>
          <xdr:row>60</xdr:row>
          <xdr:rowOff>94891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STEPS 3 and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7"/>
  <sheetViews>
    <sheetView zoomScale="75" workbookViewId="0">
      <selection activeCell="C7" sqref="C7"/>
    </sheetView>
  </sheetViews>
  <sheetFormatPr defaultRowHeight="12.9"/>
  <cols>
    <col min="1" max="1" width="12.375" customWidth="1"/>
    <col min="2" max="2" width="17" customWidth="1"/>
    <col min="3" max="3" width="21.75" bestFit="1" customWidth="1"/>
    <col min="4" max="4" width="17.375" bestFit="1" customWidth="1"/>
    <col min="5" max="5" width="21.125" bestFit="1" customWidth="1"/>
    <col min="6" max="6" width="18.375" bestFit="1" customWidth="1"/>
  </cols>
  <sheetData>
    <row r="1" spans="1:7" ht="13.6">
      <c r="A1" s="135" t="s">
        <v>12</v>
      </c>
      <c r="B1" s="136"/>
      <c r="C1" s="136"/>
      <c r="D1" s="136"/>
      <c r="E1" s="136"/>
      <c r="F1" s="136"/>
    </row>
    <row r="2" spans="1:7" ht="13.6">
      <c r="A2" s="136"/>
      <c r="B2" s="136"/>
      <c r="C2" s="136"/>
      <c r="D2" s="136"/>
      <c r="E2" s="136"/>
      <c r="F2" s="136"/>
    </row>
    <row r="3" spans="1:7">
      <c r="A3" s="137" t="s">
        <v>13</v>
      </c>
      <c r="B3" s="137" t="s">
        <v>14</v>
      </c>
      <c r="C3" s="137" t="s">
        <v>15</v>
      </c>
      <c r="D3" s="137" t="s">
        <v>16</v>
      </c>
      <c r="E3" s="137" t="s">
        <v>17</v>
      </c>
      <c r="F3" s="137" t="s">
        <v>18</v>
      </c>
    </row>
    <row r="4" spans="1:7" ht="13.6">
      <c r="A4" s="138"/>
      <c r="B4" s="138"/>
      <c r="C4" s="138"/>
      <c r="D4" s="137" t="s">
        <v>19</v>
      </c>
      <c r="E4" s="137" t="s">
        <v>20</v>
      </c>
      <c r="F4" s="137" t="s">
        <v>21</v>
      </c>
    </row>
    <row r="5" spans="1:7" ht="13.6">
      <c r="A5" s="134" t="s">
        <v>22</v>
      </c>
      <c r="B5" s="139" t="s">
        <v>920</v>
      </c>
      <c r="C5" s="139" t="s">
        <v>2484</v>
      </c>
      <c r="D5" s="134">
        <v>1</v>
      </c>
      <c r="E5" s="136"/>
      <c r="F5" s="136"/>
    </row>
    <row r="6" spans="1:7" ht="13.6">
      <c r="A6" s="134" t="s">
        <v>22</v>
      </c>
      <c r="B6" s="139" t="s">
        <v>922</v>
      </c>
      <c r="C6" s="139" t="s">
        <v>1820</v>
      </c>
      <c r="D6" s="134">
        <v>1</v>
      </c>
      <c r="E6" s="134"/>
      <c r="F6" s="136"/>
    </row>
    <row r="7" spans="1:7" ht="13.6">
      <c r="A7" s="136" t="s">
        <v>22</v>
      </c>
      <c r="B7" s="139" t="s">
        <v>1799</v>
      </c>
      <c r="C7" s="136" t="s">
        <v>2509</v>
      </c>
      <c r="D7" s="136">
        <v>1</v>
      </c>
      <c r="E7" s="134"/>
      <c r="F7" s="136"/>
    </row>
    <row r="8" spans="1:7" ht="13.6">
      <c r="A8" s="136" t="s">
        <v>22</v>
      </c>
      <c r="B8" s="136" t="s">
        <v>23</v>
      </c>
      <c r="C8" s="136" t="s">
        <v>1811</v>
      </c>
      <c r="D8" s="136">
        <v>1</v>
      </c>
      <c r="E8" s="134"/>
      <c r="F8" s="136"/>
    </row>
    <row r="9" spans="1:7" ht="13.6">
      <c r="A9" s="134" t="s">
        <v>22</v>
      </c>
      <c r="B9" s="134" t="s">
        <v>8</v>
      </c>
      <c r="C9" s="139" t="s">
        <v>1812</v>
      </c>
      <c r="D9" s="134">
        <v>1</v>
      </c>
      <c r="E9" s="134"/>
      <c r="F9" s="136"/>
    </row>
    <row r="10" spans="1:7" ht="13.6">
      <c r="A10" s="134" t="s">
        <v>22</v>
      </c>
      <c r="B10" s="139" t="s">
        <v>1010</v>
      </c>
      <c r="C10" s="139" t="s">
        <v>1813</v>
      </c>
      <c r="D10" s="134">
        <v>1</v>
      </c>
      <c r="E10" s="134"/>
      <c r="F10" s="136"/>
    </row>
    <row r="11" spans="1:7" ht="13.6">
      <c r="A11" s="134" t="s">
        <v>22</v>
      </c>
      <c r="B11" s="139" t="s">
        <v>1687</v>
      </c>
      <c r="C11" s="139" t="s">
        <v>1814</v>
      </c>
      <c r="D11" s="134">
        <v>1</v>
      </c>
      <c r="E11" s="134"/>
      <c r="F11" s="136"/>
    </row>
    <row r="12" spans="1:7" ht="13.6">
      <c r="A12" s="134" t="s">
        <v>22</v>
      </c>
      <c r="B12" s="139" t="s">
        <v>1805</v>
      </c>
      <c r="C12" s="139" t="s">
        <v>1815</v>
      </c>
      <c r="D12" s="134">
        <v>1</v>
      </c>
      <c r="E12" s="136"/>
      <c r="F12" s="134"/>
    </row>
    <row r="13" spans="1:7">
      <c r="A13" s="134" t="s">
        <v>22</v>
      </c>
      <c r="B13" s="139" t="s">
        <v>938</v>
      </c>
      <c r="C13" s="139" t="s">
        <v>1816</v>
      </c>
      <c r="D13" s="134">
        <v>1</v>
      </c>
      <c r="E13" s="134"/>
      <c r="F13" s="134"/>
    </row>
    <row r="14" spans="1:7" ht="13.6">
      <c r="A14" s="134" t="s">
        <v>22</v>
      </c>
      <c r="B14" s="139" t="s">
        <v>937</v>
      </c>
      <c r="C14" s="139" t="s">
        <v>1817</v>
      </c>
      <c r="D14" s="134">
        <v>1</v>
      </c>
      <c r="E14" s="136"/>
      <c r="F14" s="134"/>
    </row>
    <row r="15" spans="1:7" ht="13.6">
      <c r="A15" s="136" t="s">
        <v>24</v>
      </c>
      <c r="B15" s="136" t="s">
        <v>1810</v>
      </c>
      <c r="C15" s="136" t="s">
        <v>1818</v>
      </c>
      <c r="D15" s="136">
        <v>2</v>
      </c>
      <c r="E15" s="134"/>
      <c r="F15" s="134"/>
      <c r="G15" s="133"/>
    </row>
    <row r="16" spans="1:7" ht="13.6">
      <c r="A16" s="136" t="s">
        <v>24</v>
      </c>
      <c r="B16" s="136" t="s">
        <v>1821</v>
      </c>
      <c r="C16" s="136" t="s">
        <v>1819</v>
      </c>
      <c r="D16" s="136">
        <v>2</v>
      </c>
      <c r="E16" s="134"/>
      <c r="F16" s="134"/>
      <c r="G16" s="133"/>
    </row>
    <row r="17" spans="1:9" ht="13.6">
      <c r="A17" s="136" t="s">
        <v>24</v>
      </c>
      <c r="B17" s="136" t="s">
        <v>925</v>
      </c>
      <c r="C17" s="136" t="s">
        <v>2481</v>
      </c>
      <c r="D17" s="136">
        <v>2</v>
      </c>
      <c r="E17" s="134"/>
      <c r="F17" s="134"/>
      <c r="G17" s="134"/>
    </row>
    <row r="18" spans="1:9" ht="13.6">
      <c r="A18" s="136" t="s">
        <v>24</v>
      </c>
      <c r="B18" s="136" t="s">
        <v>926</v>
      </c>
      <c r="C18" s="136" t="s">
        <v>2462</v>
      </c>
      <c r="D18" s="136">
        <v>2</v>
      </c>
      <c r="E18" s="134"/>
      <c r="F18" s="134"/>
      <c r="G18" s="134"/>
    </row>
    <row r="19" spans="1:9" ht="13.6">
      <c r="A19" s="136" t="s">
        <v>24</v>
      </c>
      <c r="B19" s="136" t="s">
        <v>1822</v>
      </c>
      <c r="C19" s="136" t="s">
        <v>2485</v>
      </c>
      <c r="D19" s="136">
        <v>2</v>
      </c>
      <c r="E19" s="134"/>
      <c r="F19" s="134"/>
      <c r="G19" s="134"/>
    </row>
    <row r="20" spans="1:9" ht="13.6">
      <c r="E20" s="2"/>
      <c r="F20" s="2"/>
      <c r="I20" s="3"/>
    </row>
    <row r="21" spans="1:9" ht="13.6">
      <c r="E21" s="2"/>
      <c r="F21" s="2"/>
    </row>
    <row r="22" spans="1:9" ht="13.6">
      <c r="I22" s="1"/>
    </row>
    <row r="23" spans="1:9" ht="13.6">
      <c r="E23" s="2"/>
      <c r="I23" s="1"/>
    </row>
    <row r="24" spans="1:9" s="5" customFormat="1" ht="13.6">
      <c r="E24" s="2"/>
      <c r="F24" s="2"/>
    </row>
    <row r="25" spans="1:9" s="5" customFormat="1" ht="13.6">
      <c r="E25"/>
      <c r="F25" s="2"/>
    </row>
    <row r="26" spans="1:9" s="5" customFormat="1" ht="13.6">
      <c r="E26"/>
      <c r="F26" s="2"/>
    </row>
    <row r="27" spans="1:9" s="5" customFormat="1" ht="13.6">
      <c r="A27" s="2"/>
      <c r="B27" s="6"/>
      <c r="C27" s="2"/>
      <c r="D27" s="2"/>
      <c r="F27" s="2"/>
    </row>
    <row r="28" spans="1:9" s="5" customFormat="1" ht="13.6">
      <c r="A28" s="2"/>
      <c r="B28" s="6"/>
      <c r="C28" s="2"/>
      <c r="D28" s="2"/>
      <c r="F28" s="2"/>
    </row>
    <row r="31" spans="1:9" ht="13.6">
      <c r="I31" s="1"/>
    </row>
    <row r="32" spans="1:9" ht="13.6">
      <c r="I32" s="1"/>
    </row>
    <row r="35" spans="5:8">
      <c r="E35" s="5"/>
      <c r="F35" s="5"/>
    </row>
    <row r="36" spans="5:8">
      <c r="E36" s="5"/>
      <c r="F36" s="5"/>
    </row>
    <row r="37" spans="5:8">
      <c r="E37" s="5"/>
      <c r="F37" s="5"/>
    </row>
    <row r="46" spans="5:8" ht="13.6">
      <c r="F46" s="1"/>
      <c r="G46" s="1"/>
      <c r="H46" s="1"/>
    </row>
    <row r="47" spans="5:8" ht="13.6">
      <c r="F47" s="1"/>
    </row>
  </sheetData>
  <phoneticPr fontId="18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2:AC258"/>
  <sheetViews>
    <sheetView tabSelected="1" workbookViewId="0">
      <pane ySplit="1" topLeftCell="A35" activePane="bottomLeft" state="frozen"/>
      <selection pane="bottomLeft" activeCell="E61" sqref="E61"/>
    </sheetView>
  </sheetViews>
  <sheetFormatPr defaultColWidth="9.125" defaultRowHeight="12.9"/>
  <cols>
    <col min="1" max="1" width="7.625" style="30" customWidth="1"/>
    <col min="2" max="3" width="16.125" style="30" customWidth="1"/>
    <col min="4" max="4" width="18.75" style="30" customWidth="1"/>
    <col min="5" max="5" width="16.25" style="30" customWidth="1"/>
    <col min="6" max="6" width="10.375" style="30" customWidth="1"/>
    <col min="7" max="7" width="10.875" style="30" customWidth="1"/>
    <col min="8" max="8" width="9.375" style="30" customWidth="1"/>
    <col min="9" max="9" width="8.125" style="30" customWidth="1"/>
    <col min="10" max="10" width="9.25" style="30" customWidth="1"/>
    <col min="11" max="11" width="12.75" style="30" customWidth="1"/>
    <col min="12" max="12" width="16.75" style="30" customWidth="1"/>
    <col min="13" max="13" width="16.375" style="30" customWidth="1"/>
    <col min="14" max="14" width="3.875" style="30" customWidth="1"/>
    <col min="15" max="15" width="13.25" style="30" customWidth="1"/>
    <col min="16" max="16" width="16.125" style="30" customWidth="1"/>
    <col min="17" max="17" width="15.75" style="30" customWidth="1"/>
    <col min="18" max="18" width="3" style="30" customWidth="1"/>
    <col min="19" max="19" width="13" style="30" customWidth="1"/>
    <col min="20" max="20" width="16.875" style="30" customWidth="1"/>
    <col min="21" max="21" width="17.375" style="30" customWidth="1"/>
    <col min="22" max="16384" width="9.125" style="30"/>
  </cols>
  <sheetData>
    <row r="2" spans="1:21" ht="13.6">
      <c r="A2" s="35" t="s">
        <v>2340</v>
      </c>
      <c r="B2" s="35" t="s">
        <v>2348</v>
      </c>
      <c r="C2" s="34"/>
      <c r="D2" s="34"/>
      <c r="E2" s="34"/>
      <c r="F2" s="34"/>
      <c r="G2" s="34"/>
      <c r="H2" s="34"/>
      <c r="I2" s="34"/>
    </row>
    <row r="4" spans="1:21" s="45" customFormat="1" ht="18.7" customHeight="1">
      <c r="B4" s="46" t="s">
        <v>2359</v>
      </c>
    </row>
    <row r="5" spans="1:21" ht="13.6">
      <c r="C5" s="47" t="s">
        <v>2347</v>
      </c>
      <c r="D5" s="50" t="s">
        <v>2361</v>
      </c>
      <c r="E5" s="51" t="s">
        <v>2360</v>
      </c>
      <c r="F5" s="52"/>
      <c r="G5" s="39"/>
    </row>
    <row r="6" spans="1:21" ht="14.3">
      <c r="C6" s="41" t="s">
        <v>2343</v>
      </c>
      <c r="D6" s="41" t="s">
        <v>2342</v>
      </c>
      <c r="E6" s="40">
        <f ca="1">COUNTA(UserRegions)</f>
        <v>7</v>
      </c>
      <c r="F6" s="38"/>
      <c r="G6" s="39"/>
    </row>
    <row r="7" spans="1:21" ht="14.3">
      <c r="C7" s="41" t="s">
        <v>2344</v>
      </c>
      <c r="D7" s="41" t="s">
        <v>2341</v>
      </c>
      <c r="E7" s="40">
        <f ca="1">COUNTA(UserFactors)</f>
        <v>8</v>
      </c>
      <c r="F7" s="38"/>
      <c r="G7" s="39"/>
    </row>
    <row r="8" spans="1:21" ht="14.3">
      <c r="C8" s="41" t="s">
        <v>2345</v>
      </c>
      <c r="D8" s="41" t="s">
        <v>2346</v>
      </c>
      <c r="E8" s="40">
        <f ca="1">COUNTA(UserSectors)</f>
        <v>20</v>
      </c>
      <c r="F8" s="38"/>
      <c r="G8" s="39"/>
    </row>
    <row r="9" spans="1:21" ht="14.3">
      <c r="B9" s="32"/>
    </row>
    <row r="10" spans="1:21" ht="14.3">
      <c r="B10" s="32"/>
    </row>
    <row r="11" spans="1:21" ht="13.6">
      <c r="A11" s="35" t="s">
        <v>2475</v>
      </c>
      <c r="B11" s="35" t="s">
        <v>2349</v>
      </c>
      <c r="C11" s="34"/>
      <c r="D11" s="34"/>
      <c r="E11" s="34"/>
      <c r="F11" s="34"/>
      <c r="G11" s="34"/>
      <c r="H11" s="34"/>
      <c r="I11" s="34"/>
      <c r="J11" s="14"/>
      <c r="K11" s="26" t="s">
        <v>2362</v>
      </c>
      <c r="L11" s="75" t="s">
        <v>2368</v>
      </c>
      <c r="M11" s="20"/>
      <c r="N11" s="20"/>
      <c r="O11" s="20"/>
      <c r="P11" s="20"/>
      <c r="Q11" s="20"/>
      <c r="R11" s="20"/>
      <c r="S11" s="20"/>
      <c r="T11" s="20"/>
      <c r="U11" s="20"/>
    </row>
    <row r="12" spans="1:21">
      <c r="J12" s="29"/>
    </row>
    <row r="13" spans="1:21" s="45" customFormat="1" ht="14.95" customHeight="1">
      <c r="B13" s="46" t="s">
        <v>2356</v>
      </c>
      <c r="I13" s="30"/>
      <c r="P13" s="30"/>
    </row>
    <row r="14" spans="1:21" ht="13.6">
      <c r="C14" s="47" t="s">
        <v>2347</v>
      </c>
      <c r="D14" s="47" t="s">
        <v>24</v>
      </c>
      <c r="E14" s="48" t="s">
        <v>2396</v>
      </c>
      <c r="F14" s="49"/>
      <c r="G14" s="68" t="s">
        <v>2365</v>
      </c>
      <c r="H14" s="69"/>
      <c r="I14" s="83"/>
      <c r="J14" s="81"/>
      <c r="K14" s="36" t="s">
        <v>2371</v>
      </c>
    </row>
    <row r="15" spans="1:21" ht="13.6">
      <c r="C15" s="37" t="s">
        <v>2350</v>
      </c>
      <c r="D15" s="37" t="s">
        <v>2352</v>
      </c>
      <c r="E15" s="40">
        <f ca="1">IFERROR(SUM(IF(FREQUENCY(MATCH(Mapk_kk_k,Mapk_kk_k,0),MATCH(Mapk_kk_k,Mapk_kk_k,0))&gt;0,1)),"")</f>
        <v>7</v>
      </c>
      <c r="F15" s="39"/>
      <c r="G15" s="70" t="s">
        <v>2366</v>
      </c>
      <c r="H15" s="71"/>
      <c r="I15" s="83"/>
      <c r="J15" s="81"/>
      <c r="K15" s="73" t="s">
        <v>2364</v>
      </c>
      <c r="L15" s="45"/>
    </row>
    <row r="16" spans="1:21">
      <c r="C16" s="37" t="s">
        <v>2351</v>
      </c>
      <c r="D16" s="37" t="s">
        <v>2353</v>
      </c>
      <c r="E16" s="43">
        <f ca="1">SUM(IF(FREQUENCY(MATCH(Mapk_kk_kk,Mapk_kk_kk,0),MATCH(Mapk_kk_kk,Mapk_kk_kk,0))&gt;0,1))</f>
        <v>65</v>
      </c>
      <c r="F16" s="44"/>
      <c r="G16" s="67">
        <f ca="1">SUM(IF(FREQUENCY(MATCH(ORIG_regions,ORIG_regions,0),MATCH(ORIG_regions,ORIG_regions,0))&gt;0,1))</f>
        <v>65</v>
      </c>
      <c r="H16" s="38"/>
      <c r="I16" s="42"/>
      <c r="J16" s="82"/>
      <c r="K16" s="74" t="s">
        <v>2363</v>
      </c>
    </row>
    <row r="17" spans="1:29" ht="8.35" customHeight="1">
      <c r="K17" s="84"/>
    </row>
    <row r="18" spans="1:29" s="45" customFormat="1" ht="13.6" customHeight="1">
      <c r="B18" s="45" t="s">
        <v>2338</v>
      </c>
      <c r="J18" s="84"/>
      <c r="K18" s="30"/>
      <c r="L18" s="30"/>
      <c r="M18" s="30"/>
      <c r="N18" s="30"/>
      <c r="O18" s="30"/>
    </row>
    <row r="19" spans="1:29" ht="13.6">
      <c r="C19" s="37" t="s">
        <v>2354</v>
      </c>
      <c r="D19" s="37" t="s">
        <v>1793</v>
      </c>
      <c r="E19" s="40">
        <f ca="1">IFERROR(SUM(IF(FREQUENCY(MATCH(Map_factors_user,Map_factors_user,0),MATCH(Map_factors_user,Map_factors_user,0))&gt;0,1)),"")</f>
        <v>8</v>
      </c>
      <c r="F19" s="39"/>
      <c r="G19" s="72" t="s">
        <v>2367</v>
      </c>
      <c r="H19" s="38"/>
      <c r="I19" s="42"/>
      <c r="J19" s="81"/>
      <c r="K19" s="84"/>
      <c r="P19" s="66"/>
    </row>
    <row r="20" spans="1:29" ht="13.6">
      <c r="C20" s="37" t="s">
        <v>2355</v>
      </c>
      <c r="D20" s="37" t="s">
        <v>1794</v>
      </c>
      <c r="E20" s="43">
        <f ca="1">SUM(IF(FREQUENCY(MATCH(Map_factors_metro,Map_factors_metro,0),MATCH(Map_factors_metro,Map_factors_metro,0))&gt;0,1))</f>
        <v>8</v>
      </c>
      <c r="F20" s="44"/>
      <c r="G20" s="67">
        <f ca="1">SUM(IF(FREQUENCY(MATCH(ORIG_ff,ORIG_ff,0),MATCH(ORIG_ff,ORIG_ff,0))&gt;0,1))</f>
        <v>8</v>
      </c>
      <c r="H20" s="38"/>
      <c r="I20" s="42"/>
      <c r="J20" s="81"/>
      <c r="K20" s="84"/>
      <c r="P20" s="66"/>
    </row>
    <row r="21" spans="1:29" ht="5.3" customHeight="1">
      <c r="K21" s="84"/>
      <c r="P21" s="66"/>
    </row>
    <row r="22" spans="1:29" s="45" customFormat="1" ht="14.95" customHeight="1">
      <c r="B22" s="45" t="s">
        <v>2339</v>
      </c>
      <c r="K22" s="36" t="s">
        <v>2372</v>
      </c>
      <c r="L22" s="66"/>
      <c r="M22" s="66"/>
      <c r="N22" s="66"/>
    </row>
    <row r="23" spans="1:29">
      <c r="C23" s="37" t="s">
        <v>2357</v>
      </c>
      <c r="D23" s="37" t="s">
        <v>1793</v>
      </c>
      <c r="E23" s="40">
        <f ca="1">IFERROR(SUM(IF(FREQUENCY(MATCH(Map_sectors_user,Map_sectors_user,0),MATCH(Map_sectors_user,Map_sectors_user,0))&gt;0,1)),"")</f>
        <v>20</v>
      </c>
      <c r="F23" s="39"/>
      <c r="G23" s="72" t="s">
        <v>2367</v>
      </c>
      <c r="H23" s="38"/>
      <c r="I23" s="42"/>
      <c r="J23" s="82"/>
      <c r="K23" s="65" t="s">
        <v>2369</v>
      </c>
      <c r="L23" s="66"/>
      <c r="M23" s="66"/>
      <c r="N23" s="66"/>
      <c r="O23" s="66"/>
    </row>
    <row r="24" spans="1:29">
      <c r="C24" s="37" t="s">
        <v>2358</v>
      </c>
      <c r="D24" s="37" t="s">
        <v>1792</v>
      </c>
      <c r="E24" s="40">
        <f ca="1">SUM(IF(FREQUENCY(MATCH(Map_sectors_Metro,Map_sectors_Metro,0),MATCH(Map_sectors_Metro,Map_sectors_Metro,0))&gt;0,1))</f>
        <v>65</v>
      </c>
      <c r="F24" s="44"/>
      <c r="G24" s="67">
        <f ca="1">SUM(IF(FREQUENCY(MATCH(ORIG_cc,ORIG_cc,0),MATCH(ORIG_cc,ORIG_cc,0))&gt;0,1))</f>
        <v>65</v>
      </c>
      <c r="H24" s="38"/>
      <c r="I24" s="42"/>
      <c r="J24" s="82"/>
      <c r="K24" s="65" t="s">
        <v>2370</v>
      </c>
      <c r="L24" s="66"/>
      <c r="M24" s="66"/>
      <c r="N24" s="66"/>
      <c r="O24" s="66"/>
    </row>
    <row r="25" spans="1:29">
      <c r="C25" s="80" t="s">
        <v>2398</v>
      </c>
      <c r="L25" s="20"/>
      <c r="M25" s="20"/>
      <c r="N25" s="20"/>
      <c r="O25" s="20"/>
    </row>
    <row r="26" spans="1:29">
      <c r="C26" s="29" t="s">
        <v>2397</v>
      </c>
      <c r="F26" s="29"/>
      <c r="L26" s="20"/>
      <c r="M26" s="20"/>
      <c r="N26" s="20"/>
      <c r="O26" s="20"/>
    </row>
    <row r="27" spans="1:29">
      <c r="L27" s="20"/>
      <c r="M27" s="20"/>
      <c r="N27" s="20"/>
      <c r="O27" s="20"/>
    </row>
    <row r="29" spans="1:29" ht="13.6">
      <c r="A29" s="35" t="s">
        <v>2362</v>
      </c>
      <c r="B29" s="35" t="s">
        <v>2476</v>
      </c>
      <c r="C29" s="34"/>
      <c r="D29" s="34"/>
      <c r="E29" s="34"/>
      <c r="F29" s="34"/>
      <c r="G29" s="34"/>
      <c r="H29" s="34"/>
      <c r="I29" s="34"/>
      <c r="K29" s="33" t="s">
        <v>2373</v>
      </c>
    </row>
    <row r="30" spans="1:29" s="85" customFormat="1" ht="11.55">
      <c r="B30" s="85" t="s">
        <v>2477</v>
      </c>
      <c r="K30" s="86" t="s">
        <v>2390</v>
      </c>
      <c r="L30" s="86" t="s">
        <v>2391</v>
      </c>
      <c r="M30" s="86" t="s">
        <v>2376</v>
      </c>
      <c r="O30" s="87" t="s">
        <v>2389</v>
      </c>
      <c r="P30" s="87" t="s">
        <v>2381</v>
      </c>
      <c r="Q30" s="87" t="s">
        <v>2382</v>
      </c>
      <c r="S30" s="88" t="s">
        <v>2388</v>
      </c>
      <c r="T30" s="88" t="s">
        <v>2384</v>
      </c>
      <c r="U30" s="88" t="s">
        <v>2385</v>
      </c>
    </row>
    <row r="31" spans="1:29" s="85" customFormat="1" ht="11.55">
      <c r="B31" s="85" t="s">
        <v>2478</v>
      </c>
      <c r="K31" s="89" t="s">
        <v>2374</v>
      </c>
      <c r="L31" s="89" t="s">
        <v>2375</v>
      </c>
      <c r="M31" s="89" t="s">
        <v>2377</v>
      </c>
      <c r="O31" s="90" t="s">
        <v>2379</v>
      </c>
      <c r="P31" s="90" t="s">
        <v>2380</v>
      </c>
      <c r="Q31" s="90" t="s">
        <v>2383</v>
      </c>
      <c r="S31" s="91" t="s">
        <v>2379</v>
      </c>
      <c r="T31" s="91" t="s">
        <v>2386</v>
      </c>
      <c r="U31" s="91" t="s">
        <v>2387</v>
      </c>
    </row>
    <row r="32" spans="1:29" ht="15.8" customHeight="1">
      <c r="B32" s="30" t="s">
        <v>2479</v>
      </c>
      <c r="C32" s="166" t="s">
        <v>2510</v>
      </c>
      <c r="K32" s="77" t="s">
        <v>2378</v>
      </c>
      <c r="L32" s="77" t="s">
        <v>2378</v>
      </c>
      <c r="M32" s="77" t="s">
        <v>2378</v>
      </c>
      <c r="N32" s="78"/>
      <c r="O32" s="77" t="s">
        <v>2378</v>
      </c>
      <c r="P32" s="77" t="s">
        <v>2378</v>
      </c>
      <c r="Q32" s="77" t="s">
        <v>2378</v>
      </c>
      <c r="R32" s="78"/>
      <c r="S32" s="77" t="s">
        <v>2378</v>
      </c>
      <c r="T32" s="77" t="s">
        <v>2378</v>
      </c>
      <c r="U32" s="77" t="s">
        <v>2378</v>
      </c>
      <c r="AC32" s="76"/>
    </row>
    <row r="33" spans="1:21">
      <c r="B33" s="30" t="s">
        <v>2480</v>
      </c>
      <c r="C33" s="166" t="s">
        <v>2511</v>
      </c>
      <c r="K33" s="198"/>
      <c r="L33" s="79"/>
      <c r="M33" s="78"/>
      <c r="N33" s="78"/>
      <c r="O33" s="78"/>
      <c r="P33" s="78"/>
      <c r="Q33" s="78"/>
      <c r="R33" s="78"/>
      <c r="S33" s="79"/>
      <c r="T33" s="79"/>
      <c r="U33" s="79"/>
    </row>
    <row r="34" spans="1:21">
      <c r="K34" s="198"/>
      <c r="L34" s="79"/>
      <c r="M34" s="78"/>
      <c r="N34" s="78"/>
      <c r="O34" s="78"/>
      <c r="P34" s="78"/>
      <c r="Q34" s="78"/>
      <c r="R34" s="78"/>
      <c r="S34" s="79"/>
      <c r="T34" s="79"/>
      <c r="U34" s="79"/>
    </row>
    <row r="35" spans="1:21" ht="13.6">
      <c r="A35" s="35" t="s">
        <v>2392</v>
      </c>
      <c r="B35" s="35" t="s">
        <v>2393</v>
      </c>
      <c r="C35" s="34"/>
      <c r="D35" s="34"/>
      <c r="E35" s="34"/>
      <c r="F35" s="34"/>
      <c r="G35" s="34"/>
      <c r="H35" s="34"/>
      <c r="I35" s="34"/>
      <c r="K35" s="198"/>
      <c r="L35" s="198"/>
      <c r="M35" s="78"/>
      <c r="N35" s="78"/>
      <c r="O35" s="78"/>
      <c r="P35" s="78"/>
      <c r="Q35" s="78"/>
      <c r="R35" s="78"/>
      <c r="S35" s="79"/>
      <c r="T35" s="79"/>
      <c r="U35" s="78"/>
    </row>
    <row r="36" spans="1:21">
      <c r="B36" s="29" t="s">
        <v>2394</v>
      </c>
      <c r="K36" s="198"/>
      <c r="L36" s="198"/>
      <c r="M36" s="78"/>
      <c r="N36" s="78"/>
      <c r="O36" s="78"/>
      <c r="P36" s="78"/>
      <c r="Q36" s="78"/>
      <c r="R36" s="78"/>
      <c r="S36" s="79"/>
      <c r="T36" s="79"/>
      <c r="U36" s="78"/>
    </row>
    <row r="37" spans="1:21">
      <c r="B37" s="29"/>
      <c r="K37" s="198"/>
      <c r="L37" s="198"/>
      <c r="M37" s="78"/>
      <c r="N37" s="78"/>
      <c r="O37" s="78"/>
      <c r="P37" s="78"/>
      <c r="Q37" s="78"/>
      <c r="R37" s="78"/>
      <c r="S37" s="79"/>
      <c r="T37" s="79"/>
      <c r="U37" s="78"/>
    </row>
    <row r="38" spans="1:21" ht="13.6">
      <c r="A38" s="35" t="s">
        <v>2395</v>
      </c>
      <c r="B38" s="35" t="s">
        <v>2399</v>
      </c>
      <c r="C38" s="34"/>
      <c r="D38" s="34"/>
      <c r="E38" s="34"/>
      <c r="F38" s="34"/>
      <c r="G38" s="34"/>
      <c r="H38" s="34"/>
      <c r="I38" s="34"/>
      <c r="K38" s="78"/>
      <c r="L38" s="78"/>
      <c r="M38" s="78"/>
      <c r="N38" s="78"/>
      <c r="O38" s="78"/>
      <c r="P38" s="78"/>
      <c r="Q38" s="78"/>
      <c r="R38" s="78"/>
      <c r="S38" s="78"/>
      <c r="T38" s="79"/>
      <c r="U38" s="78"/>
    </row>
    <row r="39" spans="1:21">
      <c r="B39" s="10" t="s">
        <v>2400</v>
      </c>
      <c r="K39" s="78"/>
      <c r="L39" s="78"/>
      <c r="M39" s="78"/>
      <c r="N39" s="78"/>
      <c r="O39" s="78"/>
      <c r="P39" s="78"/>
      <c r="Q39" s="78"/>
      <c r="R39" s="78"/>
      <c r="S39" s="78"/>
      <c r="T39" s="79"/>
      <c r="U39" s="78"/>
    </row>
    <row r="40" spans="1:21">
      <c r="B40" s="29" t="s">
        <v>2401</v>
      </c>
      <c r="K40" s="78"/>
      <c r="L40" s="78"/>
      <c r="M40" s="78"/>
      <c r="N40" s="78"/>
      <c r="O40" s="78"/>
      <c r="P40" s="78"/>
      <c r="Q40" s="78"/>
      <c r="R40" s="78"/>
      <c r="S40" s="78"/>
      <c r="T40" s="79"/>
      <c r="U40" s="78"/>
    </row>
    <row r="41" spans="1:21">
      <c r="B41" s="29" t="s">
        <v>2402</v>
      </c>
      <c r="K41" s="78"/>
      <c r="L41" s="78"/>
      <c r="M41" s="78"/>
      <c r="N41" s="78"/>
      <c r="O41" s="78"/>
      <c r="P41" s="78"/>
      <c r="Q41" s="78"/>
      <c r="R41" s="78"/>
      <c r="S41" s="78"/>
      <c r="T41" s="79"/>
      <c r="U41" s="78"/>
    </row>
    <row r="42" spans="1:21">
      <c r="K42" s="78"/>
      <c r="L42" s="78"/>
      <c r="M42" s="78"/>
      <c r="N42" s="78"/>
      <c r="O42" s="78"/>
      <c r="P42" s="78"/>
      <c r="Q42" s="78"/>
      <c r="R42" s="78"/>
      <c r="S42" s="78"/>
      <c r="T42" s="79"/>
      <c r="U42" s="78"/>
    </row>
    <row r="43" spans="1:21" ht="13.6">
      <c r="B43" s="31" t="s">
        <v>2406</v>
      </c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</row>
    <row r="44" spans="1:21" ht="15.8" customHeight="1">
      <c r="B44" s="92" t="s">
        <v>2339</v>
      </c>
      <c r="E44" s="82"/>
      <c r="F44" s="82"/>
      <c r="G44" s="82"/>
      <c r="H44" s="82"/>
      <c r="I44" s="82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</row>
    <row r="45" spans="1:21" ht="13.6">
      <c r="B45" s="123" t="s">
        <v>1793</v>
      </c>
      <c r="C45" s="120" t="s">
        <v>1792</v>
      </c>
      <c r="D45" s="114"/>
      <c r="E45" s="126" t="s">
        <v>1801</v>
      </c>
      <c r="F45" s="118"/>
      <c r="G45" s="82"/>
      <c r="H45" s="82"/>
      <c r="I45" s="82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</row>
    <row r="46" spans="1:21">
      <c r="B46" s="118" t="s">
        <v>2321</v>
      </c>
      <c r="C46" s="112" t="s">
        <v>939</v>
      </c>
      <c r="D46" s="114"/>
      <c r="E46" s="129" t="s">
        <v>2403</v>
      </c>
      <c r="F46" s="129" t="s">
        <v>2404</v>
      </c>
      <c r="G46" s="82"/>
      <c r="H46" s="82"/>
      <c r="I46" s="82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</row>
    <row r="47" spans="1:21">
      <c r="B47" s="118" t="s">
        <v>2321</v>
      </c>
      <c r="C47" s="112" t="s">
        <v>940</v>
      </c>
      <c r="D47" s="114"/>
      <c r="E47" s="129" t="s">
        <v>2403</v>
      </c>
      <c r="F47" s="129" t="s">
        <v>2405</v>
      </c>
      <c r="G47" s="82"/>
      <c r="H47" s="82"/>
      <c r="I47" s="82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</row>
    <row r="48" spans="1:21"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</row>
    <row r="49" spans="1:21"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</row>
    <row r="50" spans="1:21" ht="13.6">
      <c r="A50" s="35" t="s">
        <v>2407</v>
      </c>
      <c r="B50" s="35" t="s">
        <v>2408</v>
      </c>
      <c r="C50" s="34"/>
      <c r="D50" s="34"/>
      <c r="E50" s="34"/>
      <c r="F50" s="34"/>
      <c r="G50" s="34"/>
      <c r="H50" s="34"/>
      <c r="I50" s="34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</row>
    <row r="51" spans="1:21">
      <c r="B51" s="29" t="s">
        <v>2459</v>
      </c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</row>
    <row r="52" spans="1:21">
      <c r="B52" s="29" t="s">
        <v>2460</v>
      </c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</row>
    <row r="53" spans="1:21">
      <c r="B53" s="29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</row>
    <row r="54" spans="1:21" ht="13.6">
      <c r="A54" s="35" t="s">
        <v>2413</v>
      </c>
      <c r="B54" s="35" t="s">
        <v>2409</v>
      </c>
      <c r="C54" s="34"/>
      <c r="D54" s="34"/>
      <c r="E54" s="34"/>
      <c r="F54" s="34"/>
      <c r="G54" s="34"/>
      <c r="H54" s="34"/>
      <c r="I54" s="34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</row>
    <row r="55" spans="1:21">
      <c r="B55" s="29" t="s">
        <v>2410</v>
      </c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</row>
    <row r="56" spans="1:21">
      <c r="B56" s="29" t="s">
        <v>2411</v>
      </c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</row>
    <row r="57" spans="1:21">
      <c r="B57" s="29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</row>
    <row r="58" spans="1:21">
      <c r="B58" s="29"/>
      <c r="C58" s="29" t="s">
        <v>2412</v>
      </c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</row>
    <row r="59" spans="1:21">
      <c r="B59" s="29"/>
      <c r="C59" s="62"/>
      <c r="D59" s="60"/>
      <c r="E59" s="60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</row>
    <row r="60" spans="1:21">
      <c r="B60" s="29"/>
      <c r="C60" s="62"/>
      <c r="D60" s="60"/>
      <c r="E60" s="62" t="s">
        <v>2550</v>
      </c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</row>
    <row r="61" spans="1:21">
      <c r="B61" s="29"/>
      <c r="C61" s="62"/>
      <c r="D61" s="60"/>
      <c r="E61" s="191">
        <v>43999.933425925927</v>
      </c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</row>
    <row r="62" spans="1:21">
      <c r="B62" s="29"/>
      <c r="C62" s="29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</row>
    <row r="63" spans="1:21" ht="13.6">
      <c r="A63" s="35" t="s">
        <v>2414</v>
      </c>
      <c r="B63" s="35" t="s">
        <v>2507</v>
      </c>
      <c r="C63" s="34"/>
      <c r="D63" s="34"/>
      <c r="E63" s="34"/>
      <c r="F63" s="34"/>
      <c r="G63" s="34"/>
      <c r="H63" s="34"/>
      <c r="I63" s="34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</row>
    <row r="64" spans="1:21">
      <c r="B64" s="29" t="s">
        <v>2508</v>
      </c>
      <c r="C64" s="29"/>
      <c r="D64" s="93"/>
      <c r="E64" s="93"/>
      <c r="F64" s="93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</row>
    <row r="65" spans="2:21" ht="12.75" customHeight="1">
      <c r="B65" s="29"/>
      <c r="C65" s="29"/>
      <c r="D65" s="93"/>
      <c r="E65" s="93"/>
      <c r="F65" s="93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</row>
    <row r="66" spans="2:21" ht="13.6">
      <c r="B66" s="29" t="s">
        <v>2415</v>
      </c>
      <c r="D66" s="94" t="s">
        <v>2416</v>
      </c>
      <c r="E66" s="94" t="s">
        <v>1809</v>
      </c>
      <c r="F66" s="94" t="s">
        <v>2417</v>
      </c>
      <c r="H66" s="102" t="s">
        <v>2461</v>
      </c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</row>
    <row r="67" spans="2:21" s="45" customFormat="1" ht="14.95" customHeight="1">
      <c r="C67" s="46"/>
      <c r="D67" s="95">
        <f ca="1">COUNTA(UserSectors)</f>
        <v>20</v>
      </c>
      <c r="E67" s="95">
        <f ca="1">COUNTA(UserFactors)</f>
        <v>8</v>
      </c>
      <c r="F67" s="95">
        <f ca="1">COUNTA(UserRegions)</f>
        <v>7</v>
      </c>
      <c r="H67" s="95" t="str">
        <f ca="1">D67&amp;"_"&amp;E67&amp;"_"&amp;F67&amp;"_v10L14.xlsm"</f>
        <v>20_8_7_v10L14.xlsm</v>
      </c>
    </row>
    <row r="68" spans="2:21" s="45" customFormat="1" ht="14.95" customHeight="1">
      <c r="C68" s="46"/>
      <c r="D68" s="95"/>
      <c r="E68" s="95"/>
      <c r="F68" s="95"/>
      <c r="H68" s="95"/>
    </row>
    <row r="69" spans="2:21"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</row>
    <row r="70" spans="2:21"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</row>
    <row r="71" spans="2:21"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</row>
    <row r="72" spans="2:21"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</row>
    <row r="73" spans="2:21"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</row>
    <row r="74" spans="2:21"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</row>
    <row r="75" spans="2:21"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</row>
    <row r="76" spans="2:21"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</row>
    <row r="77" spans="2:21"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</row>
    <row r="78" spans="2:21"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</row>
    <row r="79" spans="2:21"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</row>
    <row r="80" spans="2:21"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</row>
    <row r="81" spans="11:21"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</row>
    <row r="82" spans="11:21"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</row>
    <row r="83" spans="11:21"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</row>
    <row r="84" spans="11:21"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</row>
    <row r="85" spans="11:21"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</row>
    <row r="86" spans="11:21"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</row>
    <row r="87" spans="11:21"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</row>
    <row r="88" spans="11:21"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</row>
    <row r="89" spans="11:21"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</row>
    <row r="90" spans="11:21"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</row>
    <row r="91" spans="11:21"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</row>
    <row r="92" spans="11:21"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</row>
    <row r="93" spans="11:21"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</row>
    <row r="94" spans="11:21"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</row>
    <row r="95" spans="11:21"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</row>
    <row r="96" spans="11:21"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</row>
    <row r="97" spans="11:21"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</row>
    <row r="98" spans="11:21"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</row>
    <row r="99" spans="11:21"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</row>
    <row r="100" spans="11:21"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</row>
    <row r="101" spans="11:21"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</row>
    <row r="102" spans="11:21"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</row>
    <row r="103" spans="11:21"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</row>
    <row r="104" spans="11:21"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</row>
    <row r="105" spans="11:21"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</row>
    <row r="106" spans="11:21"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</row>
    <row r="107" spans="11:21"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</row>
    <row r="108" spans="11:21"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</row>
    <row r="109" spans="11:21"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</row>
    <row r="110" spans="11:21"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</row>
    <row r="111" spans="11:21"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</row>
    <row r="112" spans="11:21"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</row>
    <row r="113" spans="11:21"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</row>
    <row r="114" spans="11:21"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</row>
    <row r="115" spans="11:21"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</row>
    <row r="116" spans="11:21"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</row>
    <row r="117" spans="11:21"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</row>
    <row r="118" spans="11:21"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</row>
    <row r="119" spans="11:21"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</row>
    <row r="120" spans="11:21"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</row>
    <row r="121" spans="11:21"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</row>
    <row r="122" spans="11:21"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</row>
    <row r="123" spans="11:21"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</row>
    <row r="124" spans="11:21"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</row>
    <row r="125" spans="11:21"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</row>
    <row r="126" spans="11:21"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</row>
    <row r="127" spans="11:21"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</row>
    <row r="128" spans="11:21"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</row>
    <row r="129" spans="11:21"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</row>
    <row r="130" spans="11:21"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</row>
    <row r="131" spans="11:21"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</row>
    <row r="132" spans="11:21"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</row>
    <row r="133" spans="11:21"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</row>
    <row r="134" spans="11:21"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</row>
    <row r="135" spans="11:21"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</row>
    <row r="136" spans="11:21"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</row>
    <row r="137" spans="11:21"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</row>
    <row r="138" spans="11:21"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</row>
    <row r="139" spans="11:21"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</row>
    <row r="140" spans="11:21"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</row>
    <row r="141" spans="11:21"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</row>
    <row r="142" spans="11:21"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</row>
    <row r="143" spans="11:21"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</row>
    <row r="144" spans="11:21"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</row>
    <row r="145" spans="11:21"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</row>
    <row r="146" spans="11:21"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</row>
    <row r="147" spans="11:21"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</row>
    <row r="148" spans="11:21"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</row>
    <row r="149" spans="11:21"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</row>
    <row r="150" spans="11:21"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</row>
    <row r="151" spans="11:21"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</row>
    <row r="152" spans="11:21"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</row>
    <row r="153" spans="11:21"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</row>
    <row r="154" spans="11:21"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</row>
    <row r="155" spans="11:21"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</row>
    <row r="156" spans="11:21"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</row>
    <row r="157" spans="11:21"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</row>
    <row r="158" spans="11:21"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</row>
    <row r="159" spans="11:21"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</row>
    <row r="160" spans="11:21"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</row>
    <row r="161" spans="11:21"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</row>
    <row r="162" spans="11:21"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</row>
    <row r="163" spans="11:21"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</row>
    <row r="164" spans="11:21"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</row>
    <row r="165" spans="11:21"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</row>
    <row r="166" spans="11:21"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</row>
    <row r="167" spans="11:21"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</row>
    <row r="168" spans="11:21"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</row>
    <row r="169" spans="11:21"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</row>
    <row r="170" spans="11:21"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</row>
    <row r="171" spans="11:21"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</row>
    <row r="172" spans="11:21"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</row>
    <row r="173" spans="11:21"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</row>
    <row r="174" spans="11:21"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</row>
    <row r="175" spans="11:21"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</row>
    <row r="176" spans="11:21"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</row>
    <row r="177" spans="11:21"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</row>
    <row r="178" spans="11:21"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</row>
    <row r="179" spans="11:21"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</row>
    <row r="180" spans="11:21"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</row>
    <row r="181" spans="11:21"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</row>
    <row r="182" spans="11:21"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</row>
    <row r="183" spans="11:21"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</row>
    <row r="184" spans="11:21"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</row>
    <row r="185" spans="11:21"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</row>
    <row r="186" spans="11:21"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</row>
    <row r="187" spans="11:21"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</row>
    <row r="188" spans="11:21"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</row>
    <row r="189" spans="11:21"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</row>
    <row r="190" spans="11:21"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</row>
    <row r="191" spans="11:21"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</row>
    <row r="192" spans="11:21"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</row>
    <row r="193" spans="11:21"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</row>
    <row r="194" spans="11:21"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</row>
    <row r="195" spans="11:21"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</row>
    <row r="196" spans="11:21"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</row>
    <row r="197" spans="11:21"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</row>
    <row r="198" spans="11:21"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</row>
    <row r="199" spans="11:21"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</row>
    <row r="200" spans="11:21"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</row>
    <row r="201" spans="11:21"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</row>
    <row r="202" spans="11:21"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</row>
    <row r="203" spans="11:21"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</row>
    <row r="204" spans="11:21"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</row>
    <row r="205" spans="11:21"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</row>
    <row r="206" spans="11:21"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</row>
    <row r="207" spans="11:21"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</row>
    <row r="208" spans="11:21"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</row>
    <row r="209" spans="11:21"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</row>
    <row r="210" spans="11:21"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</row>
    <row r="211" spans="11:21"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</row>
    <row r="212" spans="11:21"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</row>
    <row r="213" spans="11:21"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</row>
    <row r="214" spans="11:21"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</row>
    <row r="215" spans="11:21"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</row>
    <row r="216" spans="11:21"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</row>
    <row r="217" spans="11:21"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</row>
    <row r="218" spans="11:21"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</row>
    <row r="219" spans="11:21"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</row>
    <row r="220" spans="11:21"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</row>
    <row r="221" spans="11:21"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</row>
    <row r="222" spans="11:21"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</row>
    <row r="223" spans="11:21"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</row>
    <row r="224" spans="11:21"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</row>
    <row r="225" spans="11:21"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</row>
    <row r="226" spans="11:21"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</row>
    <row r="227" spans="11:21"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</row>
    <row r="228" spans="11:21"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</row>
    <row r="229" spans="11:21"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</row>
    <row r="230" spans="11:21"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</row>
    <row r="231" spans="11:21"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</row>
    <row r="232" spans="11:21"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</row>
    <row r="233" spans="11:21"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</row>
    <row r="234" spans="11:21"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</row>
    <row r="235" spans="11:21"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</row>
    <row r="236" spans="11:21"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</row>
    <row r="237" spans="11:21"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</row>
    <row r="238" spans="11:21"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</row>
    <row r="239" spans="11:21"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</row>
    <row r="240" spans="11:21"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</row>
    <row r="241" spans="11:21"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</row>
    <row r="242" spans="11:21"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</row>
    <row r="243" spans="11:21"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</row>
    <row r="244" spans="11:21"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</row>
    <row r="245" spans="11:21"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</row>
    <row r="246" spans="11:21"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</row>
    <row r="247" spans="11:21"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</row>
    <row r="248" spans="11:21"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</row>
    <row r="249" spans="11:21"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</row>
    <row r="250" spans="11:21"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</row>
    <row r="251" spans="11:21"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</row>
    <row r="252" spans="11:21"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</row>
    <row r="253" spans="11:21"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</row>
    <row r="254" spans="11:21"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</row>
    <row r="255" spans="11:21"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</row>
    <row r="256" spans="11:21"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</row>
    <row r="257" spans="11:21"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</row>
    <row r="258" spans="11:21"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</row>
  </sheetData>
  <sheetProtection sheet="1" scenarios="1" formatCells="0" formatColumns="0" formatRows="0" insertRows="0" deleteRows="0" sort="0" autoFilter="0" pivotTables="0"/>
  <conditionalFormatting sqref="E16:H16 E20:H20 E24:H24">
    <cfRule type="expression" dxfId="0" priority="3">
      <formula>$E16&lt;&gt;$G16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hecks">
                <anchor moveWithCells="1" sizeWithCells="1">
                  <from>
                    <xdr:col>11</xdr:col>
                    <xdr:colOff>163902</xdr:colOff>
                    <xdr:row>24</xdr:row>
                    <xdr:rowOff>146649</xdr:rowOff>
                  </from>
                  <to>
                    <xdr:col>14</xdr:col>
                    <xdr:colOff>112143</xdr:colOff>
                    <xdr:row>26</xdr:row>
                    <xdr:rowOff>103517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teps3_4">
                <anchor moveWithCells="1" sizeWithCells="1">
                  <from>
                    <xdr:col>2</xdr:col>
                    <xdr:colOff>569343</xdr:colOff>
                    <xdr:row>58</xdr:row>
                    <xdr:rowOff>112143</xdr:rowOff>
                  </from>
                  <to>
                    <xdr:col>3</xdr:col>
                    <xdr:colOff>1069675</xdr:colOff>
                    <xdr:row>60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A3874"/>
  <sheetViews>
    <sheetView zoomScaleNormal="100" workbookViewId="0">
      <pane ySplit="4" topLeftCell="A41" activePane="bottomLeft" state="frozen"/>
      <selection pane="bottomLeft"/>
    </sheetView>
  </sheetViews>
  <sheetFormatPr defaultColWidth="9.125" defaultRowHeight="12.9"/>
  <cols>
    <col min="1" max="1" width="17.875" style="122" customWidth="1"/>
    <col min="2" max="2" width="34.75" style="122" customWidth="1"/>
    <col min="3" max="3" width="2.875" style="105" customWidth="1"/>
    <col min="4" max="4" width="18.875" style="122" customWidth="1"/>
    <col min="5" max="5" width="12.375" style="128" customWidth="1"/>
    <col min="6" max="6" width="15.75" style="105" customWidth="1"/>
    <col min="7" max="7" width="15.375" style="99" customWidth="1"/>
    <col min="8" max="8" width="34" style="99" customWidth="1"/>
    <col min="9" max="9" width="14.375" style="105" customWidth="1"/>
    <col min="10" max="10" width="4.25" style="105" customWidth="1"/>
    <col min="11" max="11" width="14.75" style="99" customWidth="1"/>
    <col min="12" max="12" width="17.625" style="96" customWidth="1"/>
    <col min="13" max="13" width="17.625" style="105" customWidth="1"/>
    <col min="14" max="14" width="4.375" style="105" customWidth="1"/>
    <col min="15" max="15" width="9.125" style="111"/>
    <col min="16" max="16" width="29.125" style="111" customWidth="1"/>
    <col min="17" max="17" width="12.625" style="105" customWidth="1"/>
    <col min="18" max="18" width="14" style="105" customWidth="1"/>
    <col min="19" max="19" width="15.25" style="111" customWidth="1"/>
    <col min="20" max="20" width="16.375" style="101" customWidth="1"/>
    <col min="21" max="21" width="18.75" style="105" customWidth="1"/>
    <col min="22" max="22" width="36.25" style="105" customWidth="1"/>
    <col min="23" max="24" width="13.25" style="105" customWidth="1"/>
    <col min="25" max="26" width="9.125" style="105"/>
    <col min="27" max="27" width="13.25" style="105" customWidth="1"/>
    <col min="28" max="28" width="16.375" style="115" bestFit="1" customWidth="1"/>
    <col min="29" max="29" width="22.375" style="105" customWidth="1"/>
    <col min="30" max="31" width="16.375" style="105" bestFit="1" customWidth="1"/>
    <col min="32" max="100" width="9.125" style="105"/>
    <col min="101" max="101" width="15.375" style="105" customWidth="1"/>
    <col min="102" max="16384" width="9.125" style="105"/>
  </cols>
  <sheetData>
    <row r="1" spans="1:32" s="8" customFormat="1" ht="13.6">
      <c r="A1" s="53" t="s">
        <v>11</v>
      </c>
      <c r="B1" s="54" t="s">
        <v>1796</v>
      </c>
      <c r="D1" s="56"/>
      <c r="E1" s="28"/>
      <c r="G1" s="20"/>
      <c r="H1" s="20"/>
      <c r="K1" s="20"/>
      <c r="L1" s="60"/>
      <c r="O1" s="24"/>
      <c r="P1" s="24"/>
      <c r="S1" s="24"/>
      <c r="T1" s="63"/>
      <c r="AB1" s="10"/>
      <c r="AE1" s="14"/>
    </row>
    <row r="2" spans="1:32" s="8" customFormat="1" ht="13.6">
      <c r="A2" s="55"/>
      <c r="B2" s="56"/>
      <c r="D2" s="58"/>
      <c r="E2" s="28"/>
      <c r="G2" s="20"/>
      <c r="H2" s="20"/>
      <c r="I2" s="18" t="s">
        <v>2483</v>
      </c>
      <c r="K2" s="20"/>
      <c r="L2" s="60"/>
      <c r="O2" s="24"/>
      <c r="P2" s="24"/>
      <c r="Q2" s="18" t="s">
        <v>2483</v>
      </c>
      <c r="S2" s="24"/>
      <c r="T2" s="63"/>
      <c r="W2" s="15"/>
      <c r="X2" s="15"/>
      <c r="Y2" s="15"/>
      <c r="AA2" s="15"/>
      <c r="AB2" s="15" t="s">
        <v>1797</v>
      </c>
      <c r="AD2" s="15"/>
    </row>
    <row r="3" spans="1:32" s="8" customFormat="1" ht="40.75">
      <c r="A3" s="57" t="s">
        <v>921</v>
      </c>
      <c r="B3" s="57"/>
      <c r="C3" s="16"/>
      <c r="D3" s="59" t="s">
        <v>2337</v>
      </c>
      <c r="E3" s="142" t="s">
        <v>2487</v>
      </c>
      <c r="F3" s="16"/>
      <c r="G3" s="19" t="s">
        <v>1823</v>
      </c>
      <c r="H3" s="19"/>
      <c r="I3" s="140" t="s">
        <v>2486</v>
      </c>
      <c r="J3" s="18"/>
      <c r="K3" s="19" t="s">
        <v>2338</v>
      </c>
      <c r="L3" s="62" t="s">
        <v>2488</v>
      </c>
      <c r="M3" s="18"/>
      <c r="N3" s="16"/>
      <c r="O3" s="22" t="s">
        <v>1824</v>
      </c>
      <c r="P3" s="22"/>
      <c r="Q3" s="18" t="s">
        <v>2482</v>
      </c>
      <c r="R3" s="18"/>
      <c r="S3" s="27" t="s">
        <v>2339</v>
      </c>
      <c r="T3" s="143" t="s">
        <v>2489</v>
      </c>
      <c r="U3" s="18"/>
      <c r="W3" s="16" t="s">
        <v>1800</v>
      </c>
      <c r="X3" s="16"/>
      <c r="AA3" s="16"/>
      <c r="AB3" s="141" t="s">
        <v>9</v>
      </c>
      <c r="AD3" s="17" t="s">
        <v>919</v>
      </c>
      <c r="AE3" s="17"/>
    </row>
    <row r="4" spans="1:32" s="8" customFormat="1" ht="27.2">
      <c r="A4" s="53" t="s">
        <v>922</v>
      </c>
      <c r="B4" s="53" t="s">
        <v>1795</v>
      </c>
      <c r="C4" s="14"/>
      <c r="D4" s="53" t="s">
        <v>924</v>
      </c>
      <c r="E4" s="25"/>
      <c r="F4" s="14"/>
      <c r="G4" s="26"/>
      <c r="H4" s="26" t="s">
        <v>1795</v>
      </c>
      <c r="I4" s="18"/>
      <c r="J4" s="18"/>
      <c r="K4" s="21" t="s">
        <v>1793</v>
      </c>
      <c r="L4" s="61" t="s">
        <v>1794</v>
      </c>
      <c r="M4" s="18" t="s">
        <v>2473</v>
      </c>
      <c r="N4" s="14"/>
      <c r="O4" s="23"/>
      <c r="P4" s="23" t="s">
        <v>1795</v>
      </c>
      <c r="Q4" s="18"/>
      <c r="R4" s="18"/>
      <c r="S4" s="27" t="s">
        <v>1793</v>
      </c>
      <c r="T4" s="64" t="s">
        <v>1792</v>
      </c>
      <c r="U4" s="18" t="s">
        <v>2474</v>
      </c>
      <c r="V4" s="18"/>
      <c r="W4" s="14" t="s">
        <v>1799</v>
      </c>
      <c r="X4" s="14"/>
      <c r="Y4" s="14" t="s">
        <v>1801</v>
      </c>
      <c r="AA4" s="14"/>
      <c r="AB4" s="14" t="s">
        <v>920</v>
      </c>
      <c r="AD4" s="14" t="s">
        <v>923</v>
      </c>
      <c r="AE4" s="14"/>
      <c r="AF4" s="14"/>
    </row>
    <row r="5" spans="1:32" ht="13.6">
      <c r="A5" s="108" t="s">
        <v>2819</v>
      </c>
      <c r="B5" s="108" t="s">
        <v>2822</v>
      </c>
      <c r="D5" s="169" t="s">
        <v>2289</v>
      </c>
      <c r="E5" s="98" t="s">
        <v>80</v>
      </c>
      <c r="G5" s="131" t="s">
        <v>27</v>
      </c>
      <c r="H5" s="131" t="s">
        <v>27</v>
      </c>
      <c r="I5" s="105" t="str">
        <f t="shared" ref="I5:I12" ca="1" si="0">IFERROR(INDEX(factor_groupings,MATCH(G5,Map_factors_user,0)),"")</f>
        <v>lnd</v>
      </c>
      <c r="K5" s="131" t="s">
        <v>27</v>
      </c>
      <c r="L5" s="121" t="s">
        <v>27</v>
      </c>
      <c r="M5" s="115" t="str">
        <f t="shared" ref="M5:M12" ca="1" si="1">IFERROR(INDEX(fgrouping_fg,MATCH(L5,fgrouping_f,0)),"")</f>
        <v>lnd</v>
      </c>
      <c r="O5" s="116" t="s">
        <v>941</v>
      </c>
      <c r="P5" s="100" t="s">
        <v>2719</v>
      </c>
      <c r="Q5" s="105" t="str">
        <f t="shared" ref="Q5:Q68" ca="1" si="2">IFERROR(INDEX(sector_groupings,MATCH(O5,Map_sectors_user,0)),"")</f>
        <v>agr</v>
      </c>
      <c r="R5" s="154" t="s">
        <v>2723</v>
      </c>
      <c r="S5" s="116" t="s">
        <v>2722</v>
      </c>
      <c r="T5" s="103" t="s">
        <v>939</v>
      </c>
      <c r="U5" s="115" t="str">
        <f t="shared" ref="U5:U36" ca="1" si="3">INDEX(sgroupings_sg,MATCH(T5,sgroupings_s,0))</f>
        <v>agr</v>
      </c>
      <c r="V5" s="196" t="str">
        <f>INDEX('Documentation c f k'!B$4:B$68,MATCH('sets-maps'!T5,'Documentation c f k'!A$4:A$68,0))</f>
        <v xml:space="preserve">Paddy rice </v>
      </c>
      <c r="W5" s="105" t="s">
        <v>2740</v>
      </c>
      <c r="Y5" s="105" t="s">
        <v>2743</v>
      </c>
      <c r="Z5" s="105" t="s">
        <v>129</v>
      </c>
      <c r="AB5" s="105" t="s">
        <v>2759</v>
      </c>
      <c r="AD5" s="105" t="s">
        <v>2762</v>
      </c>
      <c r="AE5" s="105" t="s">
        <v>1688</v>
      </c>
    </row>
    <row r="6" spans="1:32" ht="13.6">
      <c r="A6" s="169" t="s">
        <v>2817</v>
      </c>
      <c r="B6" s="108" t="s">
        <v>2823</v>
      </c>
      <c r="D6" s="169" t="s">
        <v>2289</v>
      </c>
      <c r="E6" s="98" t="s">
        <v>81</v>
      </c>
      <c r="G6" s="131" t="s">
        <v>1003</v>
      </c>
      <c r="H6" s="131" t="s">
        <v>2326</v>
      </c>
      <c r="I6" s="105" t="str">
        <f t="shared" ca="1" si="0"/>
        <v>ls</v>
      </c>
      <c r="K6" s="131" t="s">
        <v>1003</v>
      </c>
      <c r="L6" s="121" t="s">
        <v>1003</v>
      </c>
      <c r="M6" s="115" t="str">
        <f t="shared" ca="1" si="1"/>
        <v>ls</v>
      </c>
      <c r="O6" s="116" t="s">
        <v>943</v>
      </c>
      <c r="P6" s="116" t="s">
        <v>2720</v>
      </c>
      <c r="Q6" s="105" t="str">
        <f t="shared" ca="1" si="2"/>
        <v>agr</v>
      </c>
      <c r="R6" s="154"/>
      <c r="S6" s="116" t="s">
        <v>2722</v>
      </c>
      <c r="T6" s="103" t="s">
        <v>940</v>
      </c>
      <c r="U6" s="115" t="str">
        <f t="shared" ca="1" si="3"/>
        <v>agr</v>
      </c>
      <c r="V6" s="196" t="str">
        <f>INDEX('Documentation c f k'!B$4:B$68,MATCH('sets-maps'!T6,'Documentation c f k'!A$4:A$68,0))</f>
        <v xml:space="preserve">Wheat </v>
      </c>
      <c r="W6" s="105" t="s">
        <v>2741</v>
      </c>
      <c r="Y6" s="105" t="s">
        <v>2743</v>
      </c>
      <c r="Z6" s="105" t="s">
        <v>130</v>
      </c>
      <c r="AB6" s="105" t="s">
        <v>2760</v>
      </c>
      <c r="AD6" s="105" t="s">
        <v>2762</v>
      </c>
      <c r="AE6" s="105" t="s">
        <v>1689</v>
      </c>
    </row>
    <row r="7" spans="1:32" ht="13.6">
      <c r="A7" s="169" t="s">
        <v>2818</v>
      </c>
      <c r="B7" s="108" t="s">
        <v>2824</v>
      </c>
      <c r="D7" s="167" t="s">
        <v>2820</v>
      </c>
      <c r="E7" s="168" t="s">
        <v>82</v>
      </c>
      <c r="G7" s="131" t="s">
        <v>1004</v>
      </c>
      <c r="H7" s="131" t="s">
        <v>2327</v>
      </c>
      <c r="I7" s="105" t="str">
        <f t="shared" ca="1" si="0"/>
        <v>lu</v>
      </c>
      <c r="K7" s="131" t="s">
        <v>1004</v>
      </c>
      <c r="L7" s="121" t="s">
        <v>1004</v>
      </c>
      <c r="M7" s="115" t="str">
        <f t="shared" ca="1" si="1"/>
        <v>lu</v>
      </c>
      <c r="O7" s="116" t="s">
        <v>2721</v>
      </c>
      <c r="P7" s="116" t="s">
        <v>2721</v>
      </c>
      <c r="Q7" s="105" t="str">
        <f t="shared" ca="1" si="2"/>
        <v>fd</v>
      </c>
      <c r="R7" s="154" t="s">
        <v>2719</v>
      </c>
      <c r="S7" s="111" t="s">
        <v>941</v>
      </c>
      <c r="T7" s="103" t="s">
        <v>941</v>
      </c>
      <c r="U7" s="115" t="str">
        <f t="shared" ca="1" si="3"/>
        <v>agr</v>
      </c>
      <c r="V7" s="196" t="str">
        <f>INDEX('Documentation c f k'!B$4:B$68,MATCH('sets-maps'!T7,'Documentation c f k'!A$4:A$68,0))</f>
        <v xml:space="preserve">Cereal grains nec </v>
      </c>
      <c r="W7" s="105" t="s">
        <v>2742</v>
      </c>
      <c r="Y7" s="105" t="s">
        <v>2740</v>
      </c>
      <c r="Z7" s="105" t="s">
        <v>131</v>
      </c>
      <c r="AB7" s="105" t="s">
        <v>2761</v>
      </c>
      <c r="AD7" s="105" t="s">
        <v>2759</v>
      </c>
      <c r="AE7" s="105" t="s">
        <v>1690</v>
      </c>
    </row>
    <row r="8" spans="1:32" ht="13.6">
      <c r="A8" s="169" t="s">
        <v>2821</v>
      </c>
      <c r="B8" s="169" t="s">
        <v>2739</v>
      </c>
      <c r="D8" s="169" t="s">
        <v>2820</v>
      </c>
      <c r="E8" s="170" t="s">
        <v>83</v>
      </c>
      <c r="G8" s="131" t="s">
        <v>1005</v>
      </c>
      <c r="H8" s="131" t="s">
        <v>2328</v>
      </c>
      <c r="I8" s="105" t="str">
        <f t="shared" ca="1" si="0"/>
        <v>lu</v>
      </c>
      <c r="K8" s="131" t="s">
        <v>1005</v>
      </c>
      <c r="L8" s="121" t="s">
        <v>1005</v>
      </c>
      <c r="M8" s="115" t="str">
        <f t="shared" ca="1" si="1"/>
        <v>lu</v>
      </c>
      <c r="O8" s="116" t="s">
        <v>2722</v>
      </c>
      <c r="P8" s="116" t="s">
        <v>2723</v>
      </c>
      <c r="Q8" s="105" t="str">
        <f t="shared" ca="1" si="2"/>
        <v>agr</v>
      </c>
      <c r="R8" s="154"/>
      <c r="S8" s="116" t="s">
        <v>2722</v>
      </c>
      <c r="T8" s="103" t="s">
        <v>942</v>
      </c>
      <c r="U8" s="115" t="str">
        <f t="shared" ca="1" si="3"/>
        <v>agr</v>
      </c>
      <c r="V8" s="196" t="str">
        <f>INDEX('Documentation c f k'!B$4:B$68,MATCH('sets-maps'!T8,'Documentation c f k'!A$4:A$68,0))</f>
        <v>Vegetables, fruit, nuts</v>
      </c>
      <c r="W8" s="105" t="s">
        <v>2743</v>
      </c>
      <c r="Y8" s="105" t="s">
        <v>2743</v>
      </c>
      <c r="Z8" s="105" t="s">
        <v>132</v>
      </c>
      <c r="AB8" s="105" t="s">
        <v>2762</v>
      </c>
      <c r="AD8" s="105" t="s">
        <v>2762</v>
      </c>
      <c r="AE8" s="105" t="s">
        <v>1691</v>
      </c>
    </row>
    <row r="9" spans="1:32" ht="13.6">
      <c r="A9" s="169" t="s">
        <v>2820</v>
      </c>
      <c r="B9" s="169" t="s">
        <v>2816</v>
      </c>
      <c r="D9" s="169" t="s">
        <v>2289</v>
      </c>
      <c r="E9" s="170" t="s">
        <v>84</v>
      </c>
      <c r="G9" s="131" t="s">
        <v>1006</v>
      </c>
      <c r="H9" s="131" t="s">
        <v>2329</v>
      </c>
      <c r="I9" s="105" t="str">
        <f t="shared" ca="1" si="0"/>
        <v>ls</v>
      </c>
      <c r="K9" s="131" t="s">
        <v>1006</v>
      </c>
      <c r="L9" s="121" t="s">
        <v>1006</v>
      </c>
      <c r="M9" s="115" t="str">
        <f t="shared" ca="1" si="1"/>
        <v>ls</v>
      </c>
      <c r="O9" s="116" t="s">
        <v>963</v>
      </c>
      <c r="P9" s="116" t="s">
        <v>2436</v>
      </c>
      <c r="Q9" s="105" t="str">
        <f t="shared" ca="1" si="2"/>
        <v>fd</v>
      </c>
      <c r="R9" s="154" t="s">
        <v>2720</v>
      </c>
      <c r="S9" s="111" t="s">
        <v>943</v>
      </c>
      <c r="T9" s="103" t="s">
        <v>943</v>
      </c>
      <c r="U9" s="115" t="str">
        <f t="shared" ca="1" si="3"/>
        <v>agr</v>
      </c>
      <c r="V9" s="196" t="str">
        <f>INDEX('Documentation c f k'!B$4:B$68,MATCH('sets-maps'!T9,'Documentation c f k'!A$4:A$68,0))</f>
        <v xml:space="preserve">Oil seeds </v>
      </c>
      <c r="W9" s="105" t="s">
        <v>2744</v>
      </c>
      <c r="Y9" s="105" t="s">
        <v>2741</v>
      </c>
      <c r="Z9" s="105" t="s">
        <v>133</v>
      </c>
      <c r="AB9" s="105" t="s">
        <v>2763</v>
      </c>
      <c r="AD9" s="105" t="s">
        <v>2760</v>
      </c>
      <c r="AE9" s="105" t="s">
        <v>1692</v>
      </c>
    </row>
    <row r="10" spans="1:32" ht="13.6">
      <c r="A10" s="169" t="s">
        <v>2289</v>
      </c>
      <c r="B10" s="169" t="s">
        <v>2825</v>
      </c>
      <c r="D10" s="169" t="s">
        <v>2289</v>
      </c>
      <c r="E10" s="170" t="s">
        <v>85</v>
      </c>
      <c r="G10" s="131" t="s">
        <v>1007</v>
      </c>
      <c r="H10" s="131" t="s">
        <v>2330</v>
      </c>
      <c r="I10" s="105" t="str">
        <f t="shared" ca="1" si="0"/>
        <v>lu</v>
      </c>
      <c r="K10" s="131" t="s">
        <v>1007</v>
      </c>
      <c r="L10" s="121" t="s">
        <v>1007</v>
      </c>
      <c r="M10" s="115" t="str">
        <f t="shared" ca="1" si="1"/>
        <v>lu</v>
      </c>
      <c r="O10" s="116" t="s">
        <v>2724</v>
      </c>
      <c r="P10" s="116" t="s">
        <v>2725</v>
      </c>
      <c r="Q10" s="105" t="str">
        <f t="shared" ca="1" si="2"/>
        <v>nat</v>
      </c>
      <c r="R10" s="154"/>
      <c r="S10" s="116" t="s">
        <v>2722</v>
      </c>
      <c r="T10" s="103" t="s">
        <v>944</v>
      </c>
      <c r="U10" s="115" t="str">
        <f t="shared" ca="1" si="3"/>
        <v>agr</v>
      </c>
      <c r="V10" s="196" t="str">
        <f>INDEX('Documentation c f k'!B$4:B$68,MATCH('sets-maps'!T10,'Documentation c f k'!A$4:A$68,0))</f>
        <v>Sugar cane, sugar beet</v>
      </c>
      <c r="W10" s="105" t="s">
        <v>2745</v>
      </c>
      <c r="Y10" s="105" t="s">
        <v>2743</v>
      </c>
      <c r="Z10" s="105" t="s">
        <v>134</v>
      </c>
      <c r="AB10" s="107" t="s">
        <v>2764</v>
      </c>
      <c r="AD10" s="105" t="s">
        <v>2762</v>
      </c>
      <c r="AE10" s="105" t="s">
        <v>1693</v>
      </c>
    </row>
    <row r="11" spans="1:32" ht="13.6">
      <c r="A11" s="169" t="s">
        <v>180</v>
      </c>
      <c r="B11" s="169" t="s">
        <v>2271</v>
      </c>
      <c r="D11" s="169" t="s">
        <v>2289</v>
      </c>
      <c r="E11" s="170" t="s">
        <v>86</v>
      </c>
      <c r="G11" s="131" t="s">
        <v>1008</v>
      </c>
      <c r="H11" s="131" t="s">
        <v>2331</v>
      </c>
      <c r="I11" s="105" t="str">
        <f t="shared" ca="1" si="0"/>
        <v>k</v>
      </c>
      <c r="K11" s="131" t="s">
        <v>1008</v>
      </c>
      <c r="L11" s="121" t="s">
        <v>1008</v>
      </c>
      <c r="M11" s="115" t="str">
        <f t="shared" ca="1" si="1"/>
        <v>k</v>
      </c>
      <c r="O11" s="116" t="s">
        <v>2726</v>
      </c>
      <c r="P11" s="116" t="s">
        <v>2727</v>
      </c>
      <c r="Q11" s="105" t="str">
        <f t="shared" ca="1" si="2"/>
        <v>ind</v>
      </c>
      <c r="R11" s="154"/>
      <c r="S11" s="116" t="s">
        <v>2722</v>
      </c>
      <c r="T11" s="103" t="s">
        <v>945</v>
      </c>
      <c r="U11" s="115" t="str">
        <f t="shared" ca="1" si="3"/>
        <v>agr</v>
      </c>
      <c r="V11" s="196" t="str">
        <f>INDEX('Documentation c f k'!B$4:B$68,MATCH('sets-maps'!T11,'Documentation c f k'!A$4:A$68,0))</f>
        <v xml:space="preserve">Plant-based fibers </v>
      </c>
      <c r="W11" s="105" t="s">
        <v>2746</v>
      </c>
      <c r="Y11" s="105" t="s">
        <v>2743</v>
      </c>
      <c r="Z11" s="105" t="s">
        <v>135</v>
      </c>
      <c r="AB11" s="107" t="s">
        <v>2765</v>
      </c>
      <c r="AD11" s="105" t="s">
        <v>2762</v>
      </c>
      <c r="AE11" s="105" t="s">
        <v>1694</v>
      </c>
    </row>
    <row r="12" spans="1:32" ht="13.6">
      <c r="A12" s="169"/>
      <c r="B12" s="192"/>
      <c r="D12" s="169" t="s">
        <v>2289</v>
      </c>
      <c r="E12" s="170" t="s">
        <v>2230</v>
      </c>
      <c r="G12" s="131" t="s">
        <v>1009</v>
      </c>
      <c r="H12" s="131" t="s">
        <v>2332</v>
      </c>
      <c r="I12" s="105" t="str">
        <f t="shared" ca="1" si="0"/>
        <v>lnd</v>
      </c>
      <c r="K12" s="131" t="s">
        <v>1009</v>
      </c>
      <c r="L12" s="121" t="s">
        <v>1009</v>
      </c>
      <c r="M12" s="115" t="str">
        <f t="shared" ca="1" si="1"/>
        <v>lnd</v>
      </c>
      <c r="O12" s="116" t="s">
        <v>975</v>
      </c>
      <c r="P12" s="116" t="s">
        <v>2728</v>
      </c>
      <c r="Q12" s="105" t="str">
        <f t="shared" ca="1" si="2"/>
        <v>ind</v>
      </c>
      <c r="R12" s="154"/>
      <c r="S12" s="116" t="s">
        <v>2722</v>
      </c>
      <c r="T12" s="103" t="s">
        <v>946</v>
      </c>
      <c r="U12" s="115" t="str">
        <f t="shared" ca="1" si="3"/>
        <v>agr</v>
      </c>
      <c r="V12" s="196" t="str">
        <f>INDEX('Documentation c f k'!B$4:B$68,MATCH('sets-maps'!T12,'Documentation c f k'!A$4:A$68,0))</f>
        <v xml:space="preserve">Crops nec </v>
      </c>
      <c r="W12" s="105" t="s">
        <v>2747</v>
      </c>
      <c r="Y12" s="105" t="s">
        <v>2743</v>
      </c>
      <c r="Z12" s="105" t="s">
        <v>136</v>
      </c>
      <c r="AB12" s="107" t="s">
        <v>2766</v>
      </c>
      <c r="AD12" s="105" t="s">
        <v>2762</v>
      </c>
      <c r="AE12" s="105" t="s">
        <v>1695</v>
      </c>
    </row>
    <row r="13" spans="1:32" ht="13.6">
      <c r="A13" s="169"/>
      <c r="B13" s="169"/>
      <c r="D13" s="169" t="s">
        <v>2289</v>
      </c>
      <c r="E13" s="170" t="s">
        <v>233</v>
      </c>
      <c r="O13" s="116" t="s">
        <v>976</v>
      </c>
      <c r="P13" s="116" t="s">
        <v>2729</v>
      </c>
      <c r="Q13" s="105" t="str">
        <f t="shared" ca="1" si="2"/>
        <v>ind</v>
      </c>
      <c r="R13" s="154"/>
      <c r="S13" s="116" t="s">
        <v>2722</v>
      </c>
      <c r="T13" s="103" t="s">
        <v>947</v>
      </c>
      <c r="U13" s="115" t="str">
        <f t="shared" ca="1" si="3"/>
        <v>agr</v>
      </c>
      <c r="V13" s="196" t="str">
        <f>INDEX('Documentation c f k'!B$4:B$68,MATCH('sets-maps'!T13,'Documentation c f k'!A$4:A$68,0))</f>
        <v>Bovine cattle, sheep and goats, horses</v>
      </c>
      <c r="W13" s="105" t="s">
        <v>2748</v>
      </c>
      <c r="Y13" s="105" t="s">
        <v>2743</v>
      </c>
      <c r="Z13" s="105" t="s">
        <v>137</v>
      </c>
      <c r="AB13" s="107" t="s">
        <v>2767</v>
      </c>
      <c r="AD13" s="105" t="s">
        <v>2762</v>
      </c>
      <c r="AE13" s="105" t="s">
        <v>1696</v>
      </c>
    </row>
    <row r="14" spans="1:32" ht="13.6">
      <c r="A14" s="169"/>
      <c r="B14" s="169"/>
      <c r="D14" s="169" t="s">
        <v>2817</v>
      </c>
      <c r="E14" s="170" t="s">
        <v>87</v>
      </c>
      <c r="O14" s="116" t="s">
        <v>973</v>
      </c>
      <c r="P14" s="116" t="s">
        <v>2730</v>
      </c>
      <c r="Q14" s="105" t="str">
        <f t="shared" ca="1" si="2"/>
        <v>ind</v>
      </c>
      <c r="R14" s="154"/>
      <c r="S14" s="116" t="s">
        <v>2722</v>
      </c>
      <c r="T14" s="103" t="s">
        <v>948</v>
      </c>
      <c r="U14" s="115" t="str">
        <f t="shared" ca="1" si="3"/>
        <v>agr</v>
      </c>
      <c r="V14" s="196" t="str">
        <f>INDEX('Documentation c f k'!B$4:B$68,MATCH('sets-maps'!T14,'Documentation c f k'!A$4:A$68,0))</f>
        <v xml:space="preserve">Animal products nec </v>
      </c>
      <c r="W14" s="105" t="s">
        <v>2749</v>
      </c>
      <c r="Y14" s="105" t="s">
        <v>2743</v>
      </c>
      <c r="Z14" s="105" t="s">
        <v>138</v>
      </c>
      <c r="AB14" s="107" t="s">
        <v>2768</v>
      </c>
      <c r="AD14" s="105" t="s">
        <v>2762</v>
      </c>
      <c r="AE14" s="105" t="s">
        <v>1697</v>
      </c>
    </row>
    <row r="15" spans="1:32" ht="13.6">
      <c r="A15" s="169"/>
      <c r="B15" s="169"/>
      <c r="D15" s="169" t="s">
        <v>2289</v>
      </c>
      <c r="E15" s="170" t="s">
        <v>88</v>
      </c>
      <c r="O15" s="116" t="s">
        <v>974</v>
      </c>
      <c r="P15" s="116" t="s">
        <v>2731</v>
      </c>
      <c r="Q15" s="105" t="str">
        <f t="shared" ca="1" si="2"/>
        <v>ind</v>
      </c>
      <c r="R15" s="154"/>
      <c r="S15" s="111" t="s">
        <v>2722</v>
      </c>
      <c r="T15" s="103" t="s">
        <v>949</v>
      </c>
      <c r="U15" s="115" t="str">
        <f t="shared" ca="1" si="3"/>
        <v>agr</v>
      </c>
      <c r="V15" s="196" t="str">
        <f>INDEX('Documentation c f k'!B$4:B$68,MATCH('sets-maps'!T15,'Documentation c f k'!A$4:A$68,0))</f>
        <v xml:space="preserve">Raw milk </v>
      </c>
      <c r="W15" s="105" t="s">
        <v>2750</v>
      </c>
      <c r="Y15" s="105" t="s">
        <v>2743</v>
      </c>
      <c r="Z15" s="105" t="s">
        <v>139</v>
      </c>
      <c r="AB15" s="105" t="s">
        <v>2769</v>
      </c>
      <c r="AD15" s="105" t="s">
        <v>2762</v>
      </c>
      <c r="AE15" s="105" t="s">
        <v>1698</v>
      </c>
    </row>
    <row r="16" spans="1:32" ht="13.6">
      <c r="A16" s="192"/>
      <c r="B16" s="192"/>
      <c r="D16" s="169" t="s">
        <v>2289</v>
      </c>
      <c r="E16" s="170" t="s">
        <v>89</v>
      </c>
      <c r="O16" s="116" t="s">
        <v>2732</v>
      </c>
      <c r="P16" s="116" t="s">
        <v>2733</v>
      </c>
      <c r="Q16" s="105" t="str">
        <f t="shared" ca="1" si="2"/>
        <v>ind</v>
      </c>
      <c r="R16" s="154"/>
      <c r="S16" s="111" t="s">
        <v>2722</v>
      </c>
      <c r="T16" s="103" t="s">
        <v>950</v>
      </c>
      <c r="U16" s="115" t="str">
        <f t="shared" ca="1" si="3"/>
        <v>agr</v>
      </c>
      <c r="V16" s="196" t="str">
        <f>INDEX('Documentation c f k'!B$4:B$68,MATCH('sets-maps'!T16,'Documentation c f k'!A$4:A$68,0))</f>
        <v>Wool, silk-worm cocoons</v>
      </c>
      <c r="W16" s="105" t="s">
        <v>2751</v>
      </c>
      <c r="Y16" s="105" t="s">
        <v>2743</v>
      </c>
      <c r="Z16" s="105" t="s">
        <v>140</v>
      </c>
      <c r="AB16" s="105" t="s">
        <v>2770</v>
      </c>
      <c r="AD16" s="105" t="s">
        <v>2762</v>
      </c>
      <c r="AE16" s="105" t="s">
        <v>1699</v>
      </c>
    </row>
    <row r="17" spans="1:31" ht="13.6">
      <c r="A17" s="192"/>
      <c r="B17" s="192"/>
      <c r="D17" s="169" t="s">
        <v>2289</v>
      </c>
      <c r="E17" s="170" t="s">
        <v>90</v>
      </c>
      <c r="O17" s="116" t="s">
        <v>983</v>
      </c>
      <c r="P17" s="116" t="s">
        <v>2504</v>
      </c>
      <c r="Q17" s="105" t="str">
        <f t="shared" ca="1" si="2"/>
        <v>otp</v>
      </c>
      <c r="R17" s="154"/>
      <c r="S17" s="111" t="s">
        <v>2722</v>
      </c>
      <c r="T17" s="103" t="s">
        <v>951</v>
      </c>
      <c r="U17" s="115" t="str">
        <f t="shared" ca="1" si="3"/>
        <v>agr</v>
      </c>
      <c r="V17" s="196" t="str">
        <f>INDEX('Documentation c f k'!B$4:B$68,MATCH('sets-maps'!T17,'Documentation c f k'!A$4:A$68,0))</f>
        <v xml:space="preserve">Forestry </v>
      </c>
      <c r="W17" s="105" t="s">
        <v>2517</v>
      </c>
      <c r="Y17" s="105" t="s">
        <v>2743</v>
      </c>
      <c r="Z17" s="105" t="s">
        <v>141</v>
      </c>
      <c r="AB17" s="105" t="s">
        <v>2518</v>
      </c>
      <c r="AD17" s="105" t="s">
        <v>2762</v>
      </c>
      <c r="AE17" s="105" t="s">
        <v>1700</v>
      </c>
    </row>
    <row r="18" spans="1:31" ht="13.6">
      <c r="A18" s="192"/>
      <c r="B18" s="192"/>
      <c r="D18" s="169" t="s">
        <v>2289</v>
      </c>
      <c r="E18" s="170" t="s">
        <v>91</v>
      </c>
      <c r="O18" s="116" t="s">
        <v>2232</v>
      </c>
      <c r="P18" s="116" t="s">
        <v>2734</v>
      </c>
      <c r="Q18" s="105" t="str">
        <f t="shared" ca="1" si="2"/>
        <v>ser</v>
      </c>
      <c r="R18" s="154"/>
      <c r="S18" s="148" t="s">
        <v>2722</v>
      </c>
      <c r="T18" s="151" t="s">
        <v>952</v>
      </c>
      <c r="U18" s="149" t="str">
        <f t="shared" ca="1" si="3"/>
        <v>agr</v>
      </c>
      <c r="V18" s="196" t="str">
        <f>INDEX('Documentation c f k'!B$4:B$68,MATCH('sets-maps'!T18,'Documentation c f k'!A$4:A$68,0))</f>
        <v xml:space="preserve">Fishing </v>
      </c>
      <c r="W18" s="105" t="s">
        <v>2752</v>
      </c>
      <c r="Y18" s="105" t="s">
        <v>2743</v>
      </c>
      <c r="Z18" s="105" t="s">
        <v>142</v>
      </c>
      <c r="AB18" s="105" t="s">
        <v>2771</v>
      </c>
      <c r="AD18" s="105" t="s">
        <v>2762</v>
      </c>
      <c r="AE18" s="105" t="s">
        <v>1701</v>
      </c>
    </row>
    <row r="19" spans="1:31" ht="13.6">
      <c r="A19" s="192"/>
      <c r="B19" s="192"/>
      <c r="D19" s="169" t="s">
        <v>2289</v>
      </c>
      <c r="E19" s="170" t="s">
        <v>92</v>
      </c>
      <c r="O19" s="116" t="s">
        <v>986</v>
      </c>
      <c r="P19" s="116" t="s">
        <v>2455</v>
      </c>
      <c r="Q19" s="105" t="str">
        <f t="shared" ca="1" si="2"/>
        <v>ser</v>
      </c>
      <c r="R19" s="154" t="s">
        <v>2725</v>
      </c>
      <c r="S19" s="116" t="s">
        <v>2724</v>
      </c>
      <c r="T19" s="103" t="s">
        <v>953</v>
      </c>
      <c r="U19" s="115" t="str">
        <f t="shared" ca="1" si="3"/>
        <v>nat</v>
      </c>
      <c r="V19" s="196" t="str">
        <f>INDEX('Documentation c f k'!B$4:B$68,MATCH('sets-maps'!T19,'Documentation c f k'!A$4:A$68,0))</f>
        <v xml:space="preserve">Coal </v>
      </c>
      <c r="W19" s="105" t="s">
        <v>2753</v>
      </c>
      <c r="Y19" s="105" t="s">
        <v>2745</v>
      </c>
      <c r="Z19" s="105" t="s">
        <v>143</v>
      </c>
      <c r="AB19" s="105" t="s">
        <v>2772</v>
      </c>
      <c r="AD19" s="105" t="s">
        <v>2764</v>
      </c>
      <c r="AE19" s="105" t="s">
        <v>1702</v>
      </c>
    </row>
    <row r="20" spans="1:31" ht="13.6">
      <c r="A20" s="192"/>
      <c r="B20" s="169"/>
      <c r="D20" s="169" t="s">
        <v>2817</v>
      </c>
      <c r="E20" s="171" t="s">
        <v>93</v>
      </c>
      <c r="O20" s="116" t="s">
        <v>987</v>
      </c>
      <c r="P20" s="116" t="s">
        <v>2456</v>
      </c>
      <c r="Q20" s="105" t="str">
        <f t="shared" ca="1" si="2"/>
        <v>ser</v>
      </c>
      <c r="R20" s="154"/>
      <c r="S20" s="116" t="s">
        <v>2724</v>
      </c>
      <c r="T20" s="103" t="s">
        <v>954</v>
      </c>
      <c r="U20" s="115" t="str">
        <f t="shared" ca="1" si="3"/>
        <v>nat</v>
      </c>
      <c r="V20" s="196" t="str">
        <f>INDEX('Documentation c f k'!B$4:B$68,MATCH('sets-maps'!T20,'Documentation c f k'!A$4:A$68,0))</f>
        <v xml:space="preserve">Oil </v>
      </c>
      <c r="W20" s="105" t="s">
        <v>2754</v>
      </c>
      <c r="Y20" s="105" t="s">
        <v>2745</v>
      </c>
      <c r="Z20" s="105" t="s">
        <v>144</v>
      </c>
      <c r="AB20" s="105" t="s">
        <v>2773</v>
      </c>
      <c r="AD20" s="105" t="s">
        <v>2764</v>
      </c>
      <c r="AE20" s="105" t="s">
        <v>1703</v>
      </c>
    </row>
    <row r="21" spans="1:31" ht="13.6">
      <c r="A21" s="192"/>
      <c r="B21" s="192"/>
      <c r="D21" s="169" t="s">
        <v>2289</v>
      </c>
      <c r="E21" s="98" t="s">
        <v>94</v>
      </c>
      <c r="O21" s="116" t="s">
        <v>2471</v>
      </c>
      <c r="P21" s="116" t="s">
        <v>2457</v>
      </c>
      <c r="Q21" s="105" t="str">
        <f t="shared" ca="1" si="2"/>
        <v>ser</v>
      </c>
      <c r="R21" s="154"/>
      <c r="S21" s="116" t="s">
        <v>2724</v>
      </c>
      <c r="T21" s="103" t="s">
        <v>955</v>
      </c>
      <c r="U21" s="115" t="str">
        <f t="shared" ca="1" si="3"/>
        <v>nat</v>
      </c>
      <c r="V21" s="196" t="str">
        <f>INDEX('Documentation c f k'!B$4:B$68,MATCH('sets-maps'!T21,'Documentation c f k'!A$4:A$68,0))</f>
        <v xml:space="preserve">Gas </v>
      </c>
      <c r="W21" s="105" t="s">
        <v>2755</v>
      </c>
      <c r="Y21" s="105" t="s">
        <v>2745</v>
      </c>
      <c r="Z21" s="105" t="s">
        <v>145</v>
      </c>
      <c r="AB21" s="105" t="s">
        <v>2774</v>
      </c>
      <c r="AD21" s="105" t="s">
        <v>2764</v>
      </c>
      <c r="AE21" s="105" t="s">
        <v>1704</v>
      </c>
    </row>
    <row r="22" spans="1:31" ht="13.6">
      <c r="A22" s="169"/>
      <c r="B22" s="169"/>
      <c r="D22" s="108" t="s">
        <v>2821</v>
      </c>
      <c r="E22" s="98" t="s">
        <v>25</v>
      </c>
      <c r="O22" s="116" t="s">
        <v>989</v>
      </c>
      <c r="P22" s="116" t="s">
        <v>2621</v>
      </c>
      <c r="Q22" s="105" t="str">
        <f t="shared" ca="1" si="2"/>
        <v>ser</v>
      </c>
      <c r="R22" s="154"/>
      <c r="S22" s="195" t="s">
        <v>2724</v>
      </c>
      <c r="T22" s="151" t="s">
        <v>2563</v>
      </c>
      <c r="U22" s="149" t="str">
        <f t="shared" ca="1" si="3"/>
        <v>nat</v>
      </c>
      <c r="V22" s="196" t="str">
        <f>INDEX('Documentation c f k'!B$4:B$68,MATCH('sets-maps'!T22,'Documentation c f k'!A$4:A$68,0))</f>
        <v>Other Extraction (formerly omn Minerals nec)</v>
      </c>
      <c r="W22" s="105" t="s">
        <v>2756</v>
      </c>
      <c r="Y22" s="105" t="s">
        <v>2745</v>
      </c>
      <c r="Z22" s="105" t="s">
        <v>2560</v>
      </c>
      <c r="AB22" s="105" t="s">
        <v>2775</v>
      </c>
      <c r="AD22" s="105" t="s">
        <v>2764</v>
      </c>
      <c r="AE22" s="105" t="s">
        <v>2561</v>
      </c>
    </row>
    <row r="23" spans="1:31" ht="13.6">
      <c r="A23" s="169"/>
      <c r="B23" s="169"/>
      <c r="D23" s="169" t="s">
        <v>2289</v>
      </c>
      <c r="E23" s="98" t="s">
        <v>95</v>
      </c>
      <c r="O23" s="116" t="s">
        <v>2627</v>
      </c>
      <c r="P23" s="116" t="s">
        <v>2623</v>
      </c>
      <c r="Q23" s="105" t="str">
        <f t="shared" ca="1" si="2"/>
        <v>ser</v>
      </c>
      <c r="R23" s="154" t="s">
        <v>2721</v>
      </c>
      <c r="S23" s="111" t="s">
        <v>2721</v>
      </c>
      <c r="T23" s="103" t="s">
        <v>956</v>
      </c>
      <c r="U23" s="115" t="str">
        <f t="shared" ca="1" si="3"/>
        <v>fd</v>
      </c>
      <c r="V23" s="196" t="str">
        <f>INDEX('Documentation c f k'!B$4:B$68,MATCH('sets-maps'!T23,'Documentation c f k'!A$4:A$68,0))</f>
        <v>Bovine meat products</v>
      </c>
      <c r="W23" s="105" t="s">
        <v>2757</v>
      </c>
      <c r="Y23" s="105" t="s">
        <v>2742</v>
      </c>
      <c r="Z23" s="105" t="s">
        <v>146</v>
      </c>
      <c r="AB23" s="105" t="s">
        <v>2776</v>
      </c>
      <c r="AD23" s="105" t="s">
        <v>2761</v>
      </c>
      <c r="AE23" s="105" t="s">
        <v>1705</v>
      </c>
    </row>
    <row r="24" spans="1:31" ht="13.6">
      <c r="A24" s="169"/>
      <c r="B24" s="197"/>
      <c r="D24" s="169" t="s">
        <v>2289</v>
      </c>
      <c r="E24" s="98" t="s">
        <v>96</v>
      </c>
      <c r="O24" s="116" t="s">
        <v>2735</v>
      </c>
      <c r="P24" s="116" t="s">
        <v>2736</v>
      </c>
      <c r="Q24" s="105" t="str">
        <f t="shared" ca="1" si="2"/>
        <v>uti</v>
      </c>
      <c r="R24" s="154" t="s">
        <v>2721</v>
      </c>
      <c r="S24" s="111" t="s">
        <v>2721</v>
      </c>
      <c r="T24" s="103" t="s">
        <v>957</v>
      </c>
      <c r="U24" s="115" t="str">
        <f t="shared" ca="1" si="3"/>
        <v>fd</v>
      </c>
      <c r="V24" s="196" t="str">
        <f>INDEX('Documentation c f k'!B$4:B$68,MATCH('sets-maps'!T24,'Documentation c f k'!A$4:A$68,0))</f>
        <v>Meat products nec</v>
      </c>
      <c r="W24" s="105" t="s">
        <v>2758</v>
      </c>
      <c r="Y24" s="105" t="s">
        <v>2742</v>
      </c>
      <c r="Z24" s="105" t="s">
        <v>147</v>
      </c>
      <c r="AB24" s="105" t="s">
        <v>2777</v>
      </c>
      <c r="AD24" s="105" t="s">
        <v>2761</v>
      </c>
      <c r="AE24" s="105" t="s">
        <v>1706</v>
      </c>
    </row>
    <row r="25" spans="1:31" ht="13.6">
      <c r="A25" s="169"/>
      <c r="B25" s="197"/>
      <c r="D25" s="169" t="s">
        <v>2817</v>
      </c>
      <c r="E25" s="98" t="s">
        <v>97</v>
      </c>
      <c r="O25" s="116"/>
      <c r="P25" s="116"/>
      <c r="Q25" s="105" t="str">
        <f t="shared" ca="1" si="2"/>
        <v/>
      </c>
      <c r="R25" s="154"/>
      <c r="S25" s="116" t="s">
        <v>2722</v>
      </c>
      <c r="T25" s="103" t="s">
        <v>958</v>
      </c>
      <c r="U25" s="115" t="str">
        <f t="shared" ca="1" si="3"/>
        <v>fd</v>
      </c>
      <c r="V25" s="196" t="str">
        <f>INDEX('Documentation c f k'!B$4:B$68,MATCH('sets-maps'!T25,'Documentation c f k'!A$4:A$68,0))</f>
        <v xml:space="preserve">Vegetable oils and fats </v>
      </c>
      <c r="Y25" s="105" t="s">
        <v>2743</v>
      </c>
      <c r="Z25" s="105" t="s">
        <v>148</v>
      </c>
      <c r="AB25" s="105" t="s">
        <v>2778</v>
      </c>
      <c r="AD25" s="105" t="s">
        <v>2762</v>
      </c>
      <c r="AE25" s="105" t="s">
        <v>1707</v>
      </c>
    </row>
    <row r="26" spans="1:31" ht="13.6">
      <c r="A26" s="192"/>
      <c r="B26" s="197"/>
      <c r="D26" s="169" t="s">
        <v>2289</v>
      </c>
      <c r="E26" s="98" t="s">
        <v>98</v>
      </c>
      <c r="Q26" s="105" t="str">
        <f t="shared" ca="1" si="2"/>
        <v/>
      </c>
      <c r="R26" s="154"/>
      <c r="S26" s="111" t="s">
        <v>2722</v>
      </c>
      <c r="T26" s="103" t="s">
        <v>959</v>
      </c>
      <c r="U26" s="115" t="str">
        <f t="shared" ca="1" si="3"/>
        <v>fd</v>
      </c>
      <c r="V26" s="196" t="str">
        <f>INDEX('Documentation c f k'!B$4:B$68,MATCH('sets-maps'!T26,'Documentation c f k'!A$4:A$68,0))</f>
        <v xml:space="preserve">Dairy products </v>
      </c>
      <c r="Y26" s="105" t="s">
        <v>2743</v>
      </c>
      <c r="Z26" s="105" t="s">
        <v>149</v>
      </c>
      <c r="AB26" s="105" t="s">
        <v>2779</v>
      </c>
      <c r="AD26" s="105" t="s">
        <v>2762</v>
      </c>
      <c r="AE26" s="105" t="s">
        <v>1708</v>
      </c>
    </row>
    <row r="27" spans="1:31" ht="13.6">
      <c r="A27" s="192"/>
      <c r="B27" s="197"/>
      <c r="D27" s="169" t="s">
        <v>2289</v>
      </c>
      <c r="E27" s="98" t="s">
        <v>1825</v>
      </c>
      <c r="Q27" s="105" t="str">
        <f t="shared" ca="1" si="2"/>
        <v/>
      </c>
      <c r="R27" s="154"/>
      <c r="S27" s="116" t="s">
        <v>2722</v>
      </c>
      <c r="T27" s="103" t="s">
        <v>960</v>
      </c>
      <c r="U27" s="115" t="str">
        <f t="shared" ca="1" si="3"/>
        <v>fd</v>
      </c>
      <c r="V27" s="196" t="str">
        <f>INDEX('Documentation c f k'!B$4:B$68,MATCH('sets-maps'!T27,'Documentation c f k'!A$4:A$68,0))</f>
        <v xml:space="preserve">Processed rice </v>
      </c>
      <c r="Y27" s="105" t="s">
        <v>2743</v>
      </c>
      <c r="Z27" s="105" t="s">
        <v>150</v>
      </c>
      <c r="AB27" s="105" t="s">
        <v>2780</v>
      </c>
      <c r="AD27" s="105" t="s">
        <v>2762</v>
      </c>
      <c r="AE27" s="105" t="s">
        <v>1709</v>
      </c>
    </row>
    <row r="28" spans="1:31" ht="13.6">
      <c r="B28" s="110"/>
      <c r="D28" s="169" t="s">
        <v>2289</v>
      </c>
      <c r="E28" s="98" t="s">
        <v>2566</v>
      </c>
      <c r="Q28" s="105" t="str">
        <f t="shared" ca="1" si="2"/>
        <v/>
      </c>
      <c r="R28" s="154"/>
      <c r="S28" s="116" t="s">
        <v>2722</v>
      </c>
      <c r="T28" s="103" t="s">
        <v>961</v>
      </c>
      <c r="U28" s="115" t="str">
        <f t="shared" ca="1" si="3"/>
        <v>fd</v>
      </c>
      <c r="V28" s="196" t="str">
        <f>INDEX('Documentation c f k'!B$4:B$68,MATCH('sets-maps'!T28,'Documentation c f k'!A$4:A$68,0))</f>
        <v xml:space="preserve">Sugar </v>
      </c>
      <c r="Y28" s="105" t="s">
        <v>2743</v>
      </c>
      <c r="Z28" s="105" t="s">
        <v>151</v>
      </c>
      <c r="AB28" s="105" t="s">
        <v>2781</v>
      </c>
      <c r="AD28" s="105" t="s">
        <v>2762</v>
      </c>
      <c r="AE28" s="105" t="s">
        <v>1710</v>
      </c>
    </row>
    <row r="29" spans="1:31" ht="13.6">
      <c r="A29" s="110"/>
      <c r="B29" s="110"/>
      <c r="D29" s="169" t="s">
        <v>2289</v>
      </c>
      <c r="E29" s="168" t="s">
        <v>1826</v>
      </c>
      <c r="Q29" s="105" t="str">
        <f t="shared" ca="1" si="2"/>
        <v/>
      </c>
      <c r="R29" s="154"/>
      <c r="S29" s="116" t="s">
        <v>2722</v>
      </c>
      <c r="T29" s="103" t="s">
        <v>962</v>
      </c>
      <c r="U29" s="115" t="str">
        <f t="shared" ca="1" si="3"/>
        <v>fd</v>
      </c>
      <c r="V29" s="196" t="str">
        <f>INDEX('Documentation c f k'!B$4:B$68,MATCH('sets-maps'!T29,'Documentation c f k'!A$4:A$68,0))</f>
        <v xml:space="preserve">Food products nec </v>
      </c>
      <c r="Y29" s="105" t="s">
        <v>2743</v>
      </c>
      <c r="Z29" s="105" t="s">
        <v>152</v>
      </c>
      <c r="AB29" s="105" t="s">
        <v>2782</v>
      </c>
      <c r="AD29" s="105" t="s">
        <v>2762</v>
      </c>
      <c r="AE29" s="105" t="s">
        <v>1711</v>
      </c>
    </row>
    <row r="30" spans="1:31" ht="13.6">
      <c r="A30" s="110"/>
      <c r="B30" s="110"/>
      <c r="D30" s="169" t="s">
        <v>2818</v>
      </c>
      <c r="E30" s="170" t="s">
        <v>99</v>
      </c>
      <c r="Q30" s="105" t="str">
        <f t="shared" ca="1" si="2"/>
        <v/>
      </c>
      <c r="R30" s="154" t="s">
        <v>2436</v>
      </c>
      <c r="S30" s="195" t="s">
        <v>963</v>
      </c>
      <c r="T30" s="151" t="s">
        <v>963</v>
      </c>
      <c r="U30" s="149" t="str">
        <f t="shared" ca="1" si="3"/>
        <v>fd</v>
      </c>
      <c r="V30" s="196" t="str">
        <f>INDEX('Documentation c f k'!B$4:B$68,MATCH('sets-maps'!T30,'Documentation c f k'!A$4:A$68,0))</f>
        <v>Beverages and tobacco products</v>
      </c>
      <c r="Y30" s="105" t="s">
        <v>2744</v>
      </c>
      <c r="Z30" s="105" t="s">
        <v>153</v>
      </c>
      <c r="AB30" s="105" t="s">
        <v>2783</v>
      </c>
      <c r="AD30" s="105" t="s">
        <v>2763</v>
      </c>
      <c r="AE30" s="105" t="s">
        <v>1712</v>
      </c>
    </row>
    <row r="31" spans="1:31" ht="13.6">
      <c r="A31" s="110"/>
      <c r="B31" s="110"/>
      <c r="D31" s="169" t="s">
        <v>2818</v>
      </c>
      <c r="E31" s="170" t="s">
        <v>112</v>
      </c>
      <c r="Q31" s="105" t="str">
        <f t="shared" ca="1" si="2"/>
        <v/>
      </c>
      <c r="R31" s="154" t="s">
        <v>2733</v>
      </c>
      <c r="S31" s="111" t="s">
        <v>2732</v>
      </c>
      <c r="T31" s="103" t="s">
        <v>964</v>
      </c>
      <c r="U31" s="115" t="str">
        <f t="shared" ca="1" si="3"/>
        <v>ind</v>
      </c>
      <c r="V31" s="196" t="str">
        <f>INDEX('Documentation c f k'!B$4:B$68,MATCH('sets-maps'!T31,'Documentation c f k'!A$4:A$68,0))</f>
        <v xml:space="preserve">Textiles </v>
      </c>
      <c r="Y31" s="105" t="s">
        <v>2751</v>
      </c>
      <c r="Z31" s="105" t="s">
        <v>154</v>
      </c>
      <c r="AB31" s="130" t="s">
        <v>2784</v>
      </c>
      <c r="AD31" s="105" t="s">
        <v>2770</v>
      </c>
      <c r="AE31" s="105" t="s">
        <v>1713</v>
      </c>
    </row>
    <row r="32" spans="1:31" ht="13.6">
      <c r="A32" s="110"/>
      <c r="B32" s="110"/>
      <c r="D32" s="169" t="s">
        <v>2818</v>
      </c>
      <c r="E32" s="170" t="s">
        <v>115</v>
      </c>
      <c r="Q32" s="105" t="str">
        <f t="shared" ca="1" si="2"/>
        <v/>
      </c>
      <c r="R32" s="154"/>
      <c r="S32" s="111" t="s">
        <v>2732</v>
      </c>
      <c r="T32" s="103" t="s">
        <v>965</v>
      </c>
      <c r="U32" s="115" t="str">
        <f t="shared" ca="1" si="3"/>
        <v>ind</v>
      </c>
      <c r="V32" s="196" t="str">
        <f>INDEX('Documentation c f k'!B$4:B$68,MATCH('sets-maps'!T32,'Documentation c f k'!A$4:A$68,0))</f>
        <v xml:space="preserve">Wearing apparel </v>
      </c>
      <c r="Y32" s="105" t="s">
        <v>2751</v>
      </c>
      <c r="Z32" s="105" t="s">
        <v>155</v>
      </c>
      <c r="AB32" s="130" t="s">
        <v>2785</v>
      </c>
      <c r="AD32" s="105" t="s">
        <v>2770</v>
      </c>
      <c r="AE32" s="105" t="s">
        <v>1714</v>
      </c>
    </row>
    <row r="33" spans="1:31" ht="13.6">
      <c r="A33" s="110"/>
      <c r="B33" s="110"/>
      <c r="D33" s="169" t="s">
        <v>2818</v>
      </c>
      <c r="E33" s="170" t="s">
        <v>120</v>
      </c>
      <c r="Q33" s="105" t="str">
        <f t="shared" ca="1" si="2"/>
        <v/>
      </c>
      <c r="R33" s="154"/>
      <c r="S33" s="111" t="s">
        <v>2732</v>
      </c>
      <c r="T33" s="103" t="s">
        <v>966</v>
      </c>
      <c r="U33" s="115" t="str">
        <f t="shared" ca="1" si="3"/>
        <v>ind</v>
      </c>
      <c r="V33" s="196" t="str">
        <f>INDEX('Documentation c f k'!B$4:B$68,MATCH('sets-maps'!T33,'Documentation c f k'!A$4:A$68,0))</f>
        <v xml:space="preserve">Leather products </v>
      </c>
      <c r="Y33" s="105" t="s">
        <v>2751</v>
      </c>
      <c r="Z33" s="105" t="s">
        <v>156</v>
      </c>
      <c r="AB33" s="107" t="s">
        <v>2786</v>
      </c>
      <c r="AD33" s="105" t="s">
        <v>2770</v>
      </c>
      <c r="AE33" s="105" t="s">
        <v>1715</v>
      </c>
    </row>
    <row r="34" spans="1:31" ht="13.6">
      <c r="A34" s="110"/>
      <c r="B34" s="110"/>
      <c r="D34" s="169" t="s">
        <v>2818</v>
      </c>
      <c r="E34" s="170" t="s">
        <v>100</v>
      </c>
      <c r="Q34" s="105" t="str">
        <f t="shared" ca="1" si="2"/>
        <v/>
      </c>
      <c r="R34" s="154"/>
      <c r="S34" s="116" t="s">
        <v>2732</v>
      </c>
      <c r="T34" s="103" t="s">
        <v>967</v>
      </c>
      <c r="U34" s="115" t="str">
        <f t="shared" ca="1" si="3"/>
        <v>ind</v>
      </c>
      <c r="V34" s="196" t="str">
        <f>INDEX('Documentation c f k'!B$4:B$68,MATCH('sets-maps'!T34,'Documentation c f k'!A$4:A$68,0))</f>
        <v xml:space="preserve">Wood products </v>
      </c>
      <c r="Y34" s="105" t="s">
        <v>2751</v>
      </c>
      <c r="Z34" s="105" t="s">
        <v>157</v>
      </c>
      <c r="AB34" s="107" t="s">
        <v>2787</v>
      </c>
      <c r="AD34" s="105" t="s">
        <v>2770</v>
      </c>
      <c r="AE34" s="105" t="s">
        <v>1716</v>
      </c>
    </row>
    <row r="35" spans="1:31" ht="13.6">
      <c r="A35" s="110"/>
      <c r="B35" s="110"/>
      <c r="D35" s="169" t="s">
        <v>2818</v>
      </c>
      <c r="E35" s="170" t="s">
        <v>123</v>
      </c>
      <c r="Q35" s="105" t="str">
        <f t="shared" ca="1" si="2"/>
        <v/>
      </c>
      <c r="R35" s="154"/>
      <c r="S35" s="116" t="s">
        <v>2732</v>
      </c>
      <c r="T35" s="103" t="s">
        <v>968</v>
      </c>
      <c r="U35" s="115" t="str">
        <f t="shared" ca="1" si="3"/>
        <v>ind</v>
      </c>
      <c r="V35" s="196" t="str">
        <f>INDEX('Documentation c f k'!B$4:B$68,MATCH('sets-maps'!T35,'Documentation c f k'!A$4:A$68,0))</f>
        <v>Paper products, publishing</v>
      </c>
      <c r="Y35" s="105" t="s">
        <v>2751</v>
      </c>
      <c r="Z35" s="105" t="s">
        <v>158</v>
      </c>
      <c r="AB35" s="107" t="s">
        <v>2788</v>
      </c>
      <c r="AD35" s="105" t="s">
        <v>2770</v>
      </c>
      <c r="AE35" s="105" t="s">
        <v>1717</v>
      </c>
    </row>
    <row r="36" spans="1:31" ht="13.6">
      <c r="A36" s="110"/>
      <c r="B36" s="110"/>
      <c r="D36" s="169" t="s">
        <v>2818</v>
      </c>
      <c r="E36" s="170" t="s">
        <v>101</v>
      </c>
      <c r="Q36" s="105" t="str">
        <f t="shared" ca="1" si="2"/>
        <v/>
      </c>
      <c r="R36" s="154"/>
      <c r="S36" s="116" t="s">
        <v>2732</v>
      </c>
      <c r="T36" s="103" t="s">
        <v>2231</v>
      </c>
      <c r="U36" s="115" t="str">
        <f t="shared" ca="1" si="3"/>
        <v>ind</v>
      </c>
      <c r="V36" s="196" t="str">
        <f>INDEX('Documentation c f k'!B$4:B$68,MATCH('sets-maps'!T36,'Documentation c f k'!A$4:A$68,0))</f>
        <v>Petroleum, coal products</v>
      </c>
      <c r="Y36" s="105" t="s">
        <v>2751</v>
      </c>
      <c r="Z36" s="105" t="s">
        <v>2240</v>
      </c>
      <c r="AB36" s="107" t="s">
        <v>2789</v>
      </c>
      <c r="AD36" s="105" t="s">
        <v>2770</v>
      </c>
      <c r="AE36" s="105" t="s">
        <v>2234</v>
      </c>
    </row>
    <row r="37" spans="1:31" ht="13.6">
      <c r="A37" s="110"/>
      <c r="B37" s="110"/>
      <c r="D37" s="169" t="s">
        <v>2819</v>
      </c>
      <c r="E37" s="170" t="s">
        <v>102</v>
      </c>
      <c r="Q37" s="105" t="str">
        <f t="shared" ca="1" si="2"/>
        <v/>
      </c>
      <c r="R37" s="154"/>
      <c r="S37" s="116" t="s">
        <v>2732</v>
      </c>
      <c r="T37" s="103" t="s">
        <v>2574</v>
      </c>
      <c r="U37" s="115" t="str">
        <f t="shared" ref="U37:U69" ca="1" si="4">INDEX(sgroupings_sg,MATCH(T37,sgroupings_s,0))</f>
        <v>ind</v>
      </c>
      <c r="V37" s="196" t="str">
        <f>INDEX('Documentation c f k'!B$4:B$68,MATCH('sets-maps'!T37,'Documentation c f k'!A$4:A$68,0))</f>
        <v>Chemical products</v>
      </c>
      <c r="Y37" s="105" t="s">
        <v>2751</v>
      </c>
      <c r="Z37" s="105" t="s">
        <v>2571</v>
      </c>
      <c r="AB37" s="107" t="s">
        <v>2519</v>
      </c>
      <c r="AD37" s="105" t="s">
        <v>2770</v>
      </c>
      <c r="AE37" s="105" t="s">
        <v>2572</v>
      </c>
    </row>
    <row r="38" spans="1:31" ht="13.6">
      <c r="A38" s="110"/>
      <c r="B38" s="110"/>
      <c r="D38" s="169" t="s">
        <v>2818</v>
      </c>
      <c r="E38" s="170" t="s">
        <v>103</v>
      </c>
      <c r="O38" s="116"/>
      <c r="Q38" s="105" t="str">
        <f t="shared" ca="1" si="2"/>
        <v/>
      </c>
      <c r="R38" s="154"/>
      <c r="S38" s="111" t="s">
        <v>2732</v>
      </c>
      <c r="T38" s="103" t="s">
        <v>2580</v>
      </c>
      <c r="U38" s="115" t="str">
        <f t="shared" ca="1" si="4"/>
        <v>ind</v>
      </c>
      <c r="V38" s="196" t="str">
        <f>INDEX('Documentation c f k'!B$4:B$68,MATCH('sets-maps'!T38,'Documentation c f k'!A$4:A$68,0))</f>
        <v>Basic pharmaceutical products</v>
      </c>
      <c r="Y38" s="105" t="s">
        <v>2751</v>
      </c>
      <c r="Z38" s="105" t="s">
        <v>2577</v>
      </c>
      <c r="AB38" s="130" t="s">
        <v>2790</v>
      </c>
      <c r="AD38" s="105" t="s">
        <v>2770</v>
      </c>
      <c r="AE38" s="105" t="s">
        <v>2578</v>
      </c>
    </row>
    <row r="39" spans="1:31" ht="13.6">
      <c r="A39" s="110"/>
      <c r="B39" s="110"/>
      <c r="D39" s="169" t="s">
        <v>2818</v>
      </c>
      <c r="E39" s="170" t="s">
        <v>105</v>
      </c>
      <c r="Q39" s="105" t="str">
        <f t="shared" ca="1" si="2"/>
        <v/>
      </c>
      <c r="R39" s="154"/>
      <c r="S39" s="116" t="s">
        <v>2732</v>
      </c>
      <c r="T39" s="103" t="s">
        <v>2586</v>
      </c>
      <c r="U39" s="115" t="str">
        <f t="shared" ca="1" si="4"/>
        <v>ind</v>
      </c>
      <c r="V39" s="196" t="str">
        <f>INDEX('Documentation c f k'!B$4:B$68,MATCH('sets-maps'!T39,'Documentation c f k'!A$4:A$68,0))</f>
        <v>Rubber and plastic products</v>
      </c>
      <c r="Y39" s="105" t="s">
        <v>2751</v>
      </c>
      <c r="Z39" s="105" t="s">
        <v>2583</v>
      </c>
      <c r="AB39" s="130" t="s">
        <v>2791</v>
      </c>
      <c r="AD39" s="105" t="s">
        <v>2770</v>
      </c>
      <c r="AE39" s="105" t="s">
        <v>2584</v>
      </c>
    </row>
    <row r="40" spans="1:31" ht="13.6">
      <c r="A40" s="110"/>
      <c r="B40" s="110"/>
      <c r="D40" s="169" t="s">
        <v>2818</v>
      </c>
      <c r="E40" s="170" t="s">
        <v>117</v>
      </c>
      <c r="Q40" s="105" t="str">
        <f t="shared" ca="1" si="2"/>
        <v/>
      </c>
      <c r="R40" s="154"/>
      <c r="S40" s="116" t="s">
        <v>2726</v>
      </c>
      <c r="T40" s="103" t="s">
        <v>969</v>
      </c>
      <c r="U40" s="115" t="str">
        <f t="shared" ca="1" si="4"/>
        <v>ind</v>
      </c>
      <c r="V40" s="196" t="str">
        <f>INDEX('Documentation c f k'!B$4:B$68,MATCH('sets-maps'!T40,'Documentation c f k'!A$4:A$68,0))</f>
        <v xml:space="preserve">Mineral products nec </v>
      </c>
      <c r="Y40" s="105" t="s">
        <v>2746</v>
      </c>
      <c r="Z40" s="105" t="s">
        <v>159</v>
      </c>
      <c r="AB40" s="130" t="s">
        <v>2792</v>
      </c>
      <c r="AD40" s="105" t="s">
        <v>2765</v>
      </c>
      <c r="AE40" s="105" t="s">
        <v>1718</v>
      </c>
    </row>
    <row r="41" spans="1:31" ht="13.6">
      <c r="A41" s="110"/>
      <c r="B41" s="110"/>
      <c r="D41" s="169" t="s">
        <v>2818</v>
      </c>
      <c r="E41" s="170" t="s">
        <v>106</v>
      </c>
      <c r="Q41" s="105" t="str">
        <f t="shared" ca="1" si="2"/>
        <v/>
      </c>
      <c r="R41" s="154" t="s">
        <v>2727</v>
      </c>
      <c r="S41" s="116" t="s">
        <v>2726</v>
      </c>
      <c r="T41" s="103" t="s">
        <v>970</v>
      </c>
      <c r="U41" s="115" t="str">
        <f t="shared" ca="1" si="4"/>
        <v>ind</v>
      </c>
      <c r="V41" s="196" t="str">
        <f>INDEX('Documentation c f k'!B$4:B$68,MATCH('sets-maps'!T41,'Documentation c f k'!A$4:A$68,0))</f>
        <v xml:space="preserve">Ferrous metals </v>
      </c>
      <c r="Y41" s="105" t="s">
        <v>2746</v>
      </c>
      <c r="Z41" s="105" t="s">
        <v>160</v>
      </c>
      <c r="AB41" s="130" t="s">
        <v>2793</v>
      </c>
      <c r="AD41" s="105" t="s">
        <v>2765</v>
      </c>
      <c r="AE41" s="105" t="s">
        <v>1719</v>
      </c>
    </row>
    <row r="42" spans="1:31" ht="13.6">
      <c r="A42" s="110"/>
      <c r="B42" s="110"/>
      <c r="D42" s="169" t="s">
        <v>2818</v>
      </c>
      <c r="E42" s="170" t="s">
        <v>107</v>
      </c>
      <c r="Q42" s="105" t="str">
        <f t="shared" ca="1" si="2"/>
        <v/>
      </c>
      <c r="R42" s="154"/>
      <c r="S42" s="111" t="s">
        <v>2726</v>
      </c>
      <c r="T42" s="103" t="s">
        <v>971</v>
      </c>
      <c r="U42" s="115" t="str">
        <f t="shared" ca="1" si="4"/>
        <v>ind</v>
      </c>
      <c r="V42" s="196" t="str">
        <f>INDEX('Documentation c f k'!B$4:B$68,MATCH('sets-maps'!T42,'Documentation c f k'!A$4:A$68,0))</f>
        <v xml:space="preserve">Metals nec </v>
      </c>
      <c r="Y42" s="105" t="s">
        <v>2746</v>
      </c>
      <c r="Z42" s="105" t="s">
        <v>161</v>
      </c>
      <c r="AB42" s="130" t="s">
        <v>2794</v>
      </c>
      <c r="AD42" s="105" t="s">
        <v>2765</v>
      </c>
      <c r="AE42" s="105" t="s">
        <v>1720</v>
      </c>
    </row>
    <row r="43" spans="1:31" ht="13.6">
      <c r="A43" s="110"/>
      <c r="B43" s="110"/>
      <c r="D43" s="169" t="s">
        <v>2818</v>
      </c>
      <c r="E43" s="170" t="s">
        <v>124</v>
      </c>
      <c r="Q43" s="105" t="str">
        <f t="shared" ca="1" si="2"/>
        <v/>
      </c>
      <c r="R43" s="154"/>
      <c r="S43" s="111" t="s">
        <v>2726</v>
      </c>
      <c r="T43" s="103" t="s">
        <v>972</v>
      </c>
      <c r="U43" s="115" t="str">
        <f t="shared" ca="1" si="4"/>
        <v>ind</v>
      </c>
      <c r="V43" s="196" t="str">
        <f>INDEX('Documentation c f k'!B$4:B$68,MATCH('sets-maps'!T43,'Documentation c f k'!A$4:A$68,0))</f>
        <v xml:space="preserve">Metal products </v>
      </c>
      <c r="Y43" s="105" t="s">
        <v>2746</v>
      </c>
      <c r="Z43" s="105" t="s">
        <v>162</v>
      </c>
      <c r="AB43" s="107" t="s">
        <v>2795</v>
      </c>
      <c r="AD43" s="105" t="s">
        <v>2765</v>
      </c>
      <c r="AE43" s="105" t="s">
        <v>1721</v>
      </c>
    </row>
    <row r="44" spans="1:31" ht="13.6">
      <c r="A44" s="110"/>
      <c r="B44" s="110"/>
      <c r="D44" s="169" t="s">
        <v>2818</v>
      </c>
      <c r="E44" s="170" t="s">
        <v>125</v>
      </c>
      <c r="Q44" s="105" t="str">
        <f t="shared" ca="1" si="2"/>
        <v/>
      </c>
      <c r="R44" s="154" t="s">
        <v>2728</v>
      </c>
      <c r="S44" s="111" t="s">
        <v>975</v>
      </c>
      <c r="T44" s="103" t="s">
        <v>975</v>
      </c>
      <c r="U44" s="115" t="str">
        <f t="shared" ca="1" si="4"/>
        <v>ind</v>
      </c>
      <c r="V44" s="196" t="str">
        <f>INDEX('Documentation c f k'!B$4:B$68,MATCH('sets-maps'!T44,'Documentation c f k'!A$4:A$68,0))</f>
        <v>Computer, electronic and optical products</v>
      </c>
      <c r="Y44" s="105" t="s">
        <v>2747</v>
      </c>
      <c r="Z44" s="105" t="s">
        <v>165</v>
      </c>
      <c r="AB44" s="107" t="s">
        <v>2796</v>
      </c>
      <c r="AD44" s="105" t="s">
        <v>2766</v>
      </c>
      <c r="AE44" s="105" t="s">
        <v>1724</v>
      </c>
    </row>
    <row r="45" spans="1:31" ht="13.6">
      <c r="A45" s="110"/>
      <c r="B45" s="110"/>
      <c r="D45" s="169" t="s">
        <v>2818</v>
      </c>
      <c r="E45" s="170" t="s">
        <v>113</v>
      </c>
      <c r="Q45" s="105" t="str">
        <f t="shared" ca="1" si="2"/>
        <v/>
      </c>
      <c r="R45" s="154"/>
      <c r="S45" s="111" t="s">
        <v>2732</v>
      </c>
      <c r="T45" s="103" t="s">
        <v>2593</v>
      </c>
      <c r="U45" s="115" t="str">
        <f t="shared" ca="1" si="4"/>
        <v>ind</v>
      </c>
      <c r="V45" s="196" t="str">
        <f>INDEX('Documentation c f k'!B$4:B$68,MATCH('sets-maps'!T45,'Documentation c f k'!A$4:A$68,0))</f>
        <v>Electrical equipment</v>
      </c>
      <c r="Y45" s="105" t="s">
        <v>2751</v>
      </c>
      <c r="Z45" s="105" t="s">
        <v>2590</v>
      </c>
      <c r="AB45" s="107" t="s">
        <v>2797</v>
      </c>
      <c r="AD45" s="105" t="s">
        <v>2770</v>
      </c>
      <c r="AE45" s="105" t="s">
        <v>2591</v>
      </c>
    </row>
    <row r="46" spans="1:31" ht="13.6">
      <c r="A46" s="110"/>
      <c r="B46" s="110"/>
      <c r="D46" s="169" t="s">
        <v>2818</v>
      </c>
      <c r="E46" s="170" t="s">
        <v>116</v>
      </c>
      <c r="Q46" s="105" t="str">
        <f t="shared" ca="1" si="2"/>
        <v/>
      </c>
      <c r="R46" s="154" t="s">
        <v>2729</v>
      </c>
      <c r="S46" s="148" t="s">
        <v>976</v>
      </c>
      <c r="T46" s="151" t="s">
        <v>976</v>
      </c>
      <c r="U46" s="149" t="str">
        <f t="shared" ca="1" si="4"/>
        <v>ind</v>
      </c>
      <c r="V46" s="196" t="str">
        <f>INDEX('Documentation c f k'!B$4:B$68,MATCH('sets-maps'!T46,'Documentation c f k'!A$4:A$68,0))</f>
        <v>Machinery and equipment nec</v>
      </c>
      <c r="Y46" s="105" t="s">
        <v>2748</v>
      </c>
      <c r="Z46" s="105" t="s">
        <v>166</v>
      </c>
      <c r="AB46" s="107" t="s">
        <v>2798</v>
      </c>
      <c r="AD46" s="105" t="s">
        <v>2767</v>
      </c>
      <c r="AE46" s="105" t="s">
        <v>1725</v>
      </c>
    </row>
    <row r="47" spans="1:31" ht="13.6">
      <c r="A47" s="110"/>
      <c r="B47" s="110"/>
      <c r="D47" s="169" t="s">
        <v>2818</v>
      </c>
      <c r="E47" s="170" t="s">
        <v>108</v>
      </c>
      <c r="Q47" s="105" t="str">
        <f t="shared" ca="1" si="2"/>
        <v/>
      </c>
      <c r="R47" s="154" t="s">
        <v>2730</v>
      </c>
      <c r="S47" s="111" t="s">
        <v>973</v>
      </c>
      <c r="T47" s="103" t="s">
        <v>973</v>
      </c>
      <c r="U47" s="115" t="str">
        <f t="shared" ca="1" si="4"/>
        <v>ind</v>
      </c>
      <c r="V47" s="196" t="str">
        <f>INDEX('Documentation c f k'!B$4:B$68,MATCH('sets-maps'!T47,'Documentation c f k'!A$4:A$68,0))</f>
        <v xml:space="preserve">Motor vehicles and parts </v>
      </c>
      <c r="Y47" s="105" t="s">
        <v>2749</v>
      </c>
      <c r="Z47" s="105" t="s">
        <v>163</v>
      </c>
      <c r="AB47" s="107" t="s">
        <v>2799</v>
      </c>
      <c r="AD47" s="105" t="s">
        <v>2768</v>
      </c>
      <c r="AE47" s="105" t="s">
        <v>1722</v>
      </c>
    </row>
    <row r="48" spans="1:31" ht="13.6">
      <c r="A48" s="110"/>
      <c r="B48" s="110"/>
      <c r="D48" s="169" t="s">
        <v>2818</v>
      </c>
      <c r="E48" s="170" t="s">
        <v>118</v>
      </c>
      <c r="Q48" s="105" t="str">
        <f t="shared" ca="1" si="2"/>
        <v/>
      </c>
      <c r="R48" s="154" t="s">
        <v>2731</v>
      </c>
      <c r="S48" s="116" t="s">
        <v>974</v>
      </c>
      <c r="T48" s="103" t="s">
        <v>974</v>
      </c>
      <c r="U48" s="115" t="str">
        <f t="shared" ca="1" si="4"/>
        <v>ind</v>
      </c>
      <c r="V48" s="196" t="str">
        <f>INDEX('Documentation c f k'!B$4:B$68,MATCH('sets-maps'!T48,'Documentation c f k'!A$4:A$68,0))</f>
        <v xml:space="preserve">Transport equipment nec </v>
      </c>
      <c r="Y48" s="105" t="s">
        <v>2750</v>
      </c>
      <c r="Z48" s="105" t="s">
        <v>164</v>
      </c>
      <c r="AB48" s="130" t="s">
        <v>2800</v>
      </c>
      <c r="AD48" s="105" t="s">
        <v>2769</v>
      </c>
      <c r="AE48" s="105" t="s">
        <v>1723</v>
      </c>
    </row>
    <row r="49" spans="1:31" ht="13.6">
      <c r="A49" s="110"/>
      <c r="B49" s="110"/>
      <c r="D49" s="169" t="s">
        <v>2818</v>
      </c>
      <c r="E49" s="170" t="s">
        <v>109</v>
      </c>
      <c r="Q49" s="105" t="str">
        <f t="shared" ca="1" si="2"/>
        <v/>
      </c>
      <c r="R49" s="154"/>
      <c r="S49" s="195" t="s">
        <v>2732</v>
      </c>
      <c r="T49" s="151" t="s">
        <v>977</v>
      </c>
      <c r="U49" s="149" t="str">
        <f t="shared" ca="1" si="4"/>
        <v>ind</v>
      </c>
      <c r="V49" s="196" t="str">
        <f>INDEX('Documentation c f k'!B$4:B$68,MATCH('sets-maps'!T49,'Documentation c f k'!A$4:A$68,0))</f>
        <v xml:space="preserve">Manufactures nec </v>
      </c>
      <c r="Y49" s="105" t="s">
        <v>2751</v>
      </c>
      <c r="Z49" s="105" t="s">
        <v>167</v>
      </c>
      <c r="AB49" s="130" t="s">
        <v>2801</v>
      </c>
      <c r="AD49" s="105" t="s">
        <v>2770</v>
      </c>
      <c r="AE49" s="105" t="s">
        <v>1726</v>
      </c>
    </row>
    <row r="50" spans="1:31" ht="13.6">
      <c r="A50" s="110"/>
      <c r="B50" s="110"/>
      <c r="D50" s="169" t="s">
        <v>2818</v>
      </c>
      <c r="E50" s="170" t="s">
        <v>121</v>
      </c>
      <c r="Q50" s="105" t="str">
        <f t="shared" ca="1" si="2"/>
        <v/>
      </c>
      <c r="R50" s="154" t="s">
        <v>2736</v>
      </c>
      <c r="S50" s="111" t="s">
        <v>2735</v>
      </c>
      <c r="T50" s="103" t="s">
        <v>978</v>
      </c>
      <c r="U50" s="115" t="str">
        <f t="shared" ca="1" si="4"/>
        <v>uti</v>
      </c>
      <c r="V50" s="196" t="str">
        <f>INDEX('Documentation c f k'!B$4:B$68,MATCH('sets-maps'!T50,'Documentation c f k'!A$4:A$68,0))</f>
        <v xml:space="preserve">Electricity </v>
      </c>
      <c r="Y50" s="105" t="s">
        <v>2758</v>
      </c>
      <c r="Z50" s="105" t="s">
        <v>168</v>
      </c>
      <c r="AB50" s="130" t="s">
        <v>2802</v>
      </c>
      <c r="AD50" s="105" t="s">
        <v>2777</v>
      </c>
      <c r="AE50" s="105" t="s">
        <v>1727</v>
      </c>
    </row>
    <row r="51" spans="1:31" ht="13.6">
      <c r="A51" s="110"/>
      <c r="B51" s="110"/>
      <c r="D51" s="169" t="s">
        <v>2818</v>
      </c>
      <c r="E51" s="170" t="s">
        <v>122</v>
      </c>
      <c r="Q51" s="105" t="str">
        <f t="shared" ca="1" si="2"/>
        <v/>
      </c>
      <c r="R51" s="154"/>
      <c r="S51" s="148" t="s">
        <v>2735</v>
      </c>
      <c r="T51" s="103" t="s">
        <v>979</v>
      </c>
      <c r="U51" s="115" t="str">
        <f t="shared" ca="1" si="4"/>
        <v>uti</v>
      </c>
      <c r="V51" s="196" t="str">
        <f>INDEX('Documentation c f k'!B$4:B$68,MATCH('sets-maps'!T51,'Documentation c f k'!A$4:A$68,0))</f>
        <v>Gas manufacture, distribution</v>
      </c>
      <c r="Y51" s="105" t="s">
        <v>2758</v>
      </c>
      <c r="Z51" s="105" t="s">
        <v>169</v>
      </c>
      <c r="AB51" s="130" t="s">
        <v>2803</v>
      </c>
      <c r="AD51" s="105" t="s">
        <v>2777</v>
      </c>
      <c r="AE51" s="105" t="s">
        <v>1728</v>
      </c>
    </row>
    <row r="52" spans="1:31" ht="13.6">
      <c r="A52" s="110"/>
      <c r="B52" s="110"/>
      <c r="D52" s="169" t="s">
        <v>2818</v>
      </c>
      <c r="E52" s="170" t="s">
        <v>110</v>
      </c>
      <c r="Q52" s="105" t="str">
        <f t="shared" ca="1" si="2"/>
        <v/>
      </c>
      <c r="R52" s="154"/>
      <c r="S52" s="111" t="s">
        <v>2735</v>
      </c>
      <c r="T52" s="150" t="s">
        <v>980</v>
      </c>
      <c r="U52" s="155" t="str">
        <f t="shared" ca="1" si="4"/>
        <v>uti</v>
      </c>
      <c r="V52" s="196" t="str">
        <f>INDEX('Documentation c f k'!B$4:B$68,MATCH('sets-maps'!T52,'Documentation c f k'!A$4:A$68,0))</f>
        <v xml:space="preserve">Water </v>
      </c>
      <c r="Y52" s="105" t="s">
        <v>2758</v>
      </c>
      <c r="Z52" s="105" t="s">
        <v>170</v>
      </c>
      <c r="AB52" s="130" t="s">
        <v>2804</v>
      </c>
      <c r="AD52" s="105" t="s">
        <v>2777</v>
      </c>
      <c r="AE52" s="105" t="s">
        <v>1729</v>
      </c>
    </row>
    <row r="53" spans="1:31" ht="13.6">
      <c r="A53" s="110"/>
      <c r="B53" s="110"/>
      <c r="D53" s="169" t="s">
        <v>2818</v>
      </c>
      <c r="E53" s="170" t="s">
        <v>111</v>
      </c>
      <c r="Q53" s="105" t="str">
        <f t="shared" ca="1" si="2"/>
        <v/>
      </c>
      <c r="R53" s="154"/>
      <c r="S53" s="111" t="s">
        <v>2735</v>
      </c>
      <c r="T53" s="147" t="s">
        <v>981</v>
      </c>
      <c r="U53" s="154" t="str">
        <f t="shared" ca="1" si="4"/>
        <v>ser</v>
      </c>
      <c r="V53" s="196" t="str">
        <f>INDEX('Documentation c f k'!B$4:B$68,MATCH('sets-maps'!T53,'Documentation c f k'!A$4:A$68,0))</f>
        <v xml:space="preserve">Construction </v>
      </c>
      <c r="Y53" s="105" t="s">
        <v>2758</v>
      </c>
      <c r="Z53" s="105" t="s">
        <v>171</v>
      </c>
      <c r="AB53" s="107" t="s">
        <v>2805</v>
      </c>
      <c r="AD53" s="105" t="s">
        <v>2777</v>
      </c>
      <c r="AE53" s="105" t="s">
        <v>1730</v>
      </c>
    </row>
    <row r="54" spans="1:31" ht="13.6">
      <c r="A54" s="110"/>
      <c r="B54" s="110"/>
      <c r="D54" s="169" t="s">
        <v>2817</v>
      </c>
      <c r="E54" s="170" t="s">
        <v>104</v>
      </c>
      <c r="Q54" s="105" t="str">
        <f t="shared" ca="1" si="2"/>
        <v/>
      </c>
      <c r="R54" s="154"/>
      <c r="S54" s="148" t="s">
        <v>2735</v>
      </c>
      <c r="T54" s="151" t="s">
        <v>982</v>
      </c>
      <c r="U54" s="149" t="str">
        <f t="shared" ca="1" si="4"/>
        <v>ser</v>
      </c>
      <c r="V54" s="196" t="str">
        <f>INDEX('Documentation c f k'!B$4:B$68,MATCH('sets-maps'!T54,'Documentation c f k'!A$4:A$68,0))</f>
        <v>Trade</v>
      </c>
      <c r="Y54" s="105" t="s">
        <v>2758</v>
      </c>
      <c r="Z54" s="105" t="s">
        <v>172</v>
      </c>
      <c r="AB54" s="107" t="s">
        <v>2806</v>
      </c>
      <c r="AD54" s="105" t="s">
        <v>2777</v>
      </c>
      <c r="AE54" s="105" t="s">
        <v>1731</v>
      </c>
    </row>
    <row r="55" spans="1:31" ht="13.6">
      <c r="A55" s="110"/>
      <c r="B55" s="110"/>
      <c r="D55" s="169" t="s">
        <v>2289</v>
      </c>
      <c r="E55" s="170" t="s">
        <v>114</v>
      </c>
      <c r="Q55" s="105" t="str">
        <f t="shared" ca="1" si="2"/>
        <v/>
      </c>
      <c r="R55" s="154"/>
      <c r="S55" s="111" t="s">
        <v>2735</v>
      </c>
      <c r="T55" s="103" t="s">
        <v>2602</v>
      </c>
      <c r="U55" s="115" t="str">
        <f t="shared" ca="1" si="4"/>
        <v>ser</v>
      </c>
      <c r="V55" s="196" t="str">
        <f>INDEX('Documentation c f k'!B$4:B$68,MATCH('sets-maps'!T55,'Documentation c f k'!A$4:A$68,0))</f>
        <v>Accommodation, Food and service activities</v>
      </c>
      <c r="Y55" s="105" t="s">
        <v>2758</v>
      </c>
      <c r="Z55" s="105" t="s">
        <v>2599</v>
      </c>
      <c r="AB55" s="107" t="s">
        <v>2807</v>
      </c>
      <c r="AD55" s="105" t="s">
        <v>2777</v>
      </c>
      <c r="AE55" s="105" t="s">
        <v>2600</v>
      </c>
    </row>
    <row r="56" spans="1:31" ht="13.6">
      <c r="A56" s="110"/>
      <c r="B56" s="110"/>
      <c r="D56" s="169" t="s">
        <v>2817</v>
      </c>
      <c r="E56" s="170" t="s">
        <v>234</v>
      </c>
      <c r="Q56" s="105" t="str">
        <f t="shared" ca="1" si="2"/>
        <v/>
      </c>
      <c r="R56" s="154"/>
      <c r="S56" s="111" t="s">
        <v>983</v>
      </c>
      <c r="T56" s="103" t="s">
        <v>983</v>
      </c>
      <c r="U56" s="115" t="str">
        <f t="shared" ca="1" si="4"/>
        <v>otp</v>
      </c>
      <c r="V56" s="196" t="str">
        <f>INDEX('Documentation c f k'!B$4:B$68,MATCH('sets-maps'!T56,'Documentation c f k'!A$4:A$68,0))</f>
        <v xml:space="preserve">Transport nec </v>
      </c>
      <c r="Y56" s="105" t="s">
        <v>2517</v>
      </c>
      <c r="Z56" s="105" t="s">
        <v>173</v>
      </c>
      <c r="AB56" s="105" t="s">
        <v>2808</v>
      </c>
      <c r="AD56" s="105" t="s">
        <v>2518</v>
      </c>
      <c r="AE56" s="105" t="s">
        <v>1732</v>
      </c>
    </row>
    <row r="57" spans="1:31" ht="13.6">
      <c r="A57" s="110"/>
      <c r="B57" s="110"/>
      <c r="D57" s="169" t="s">
        <v>2818</v>
      </c>
      <c r="E57" s="170" t="s">
        <v>119</v>
      </c>
      <c r="Q57" s="105" t="str">
        <f t="shared" ca="1" si="2"/>
        <v/>
      </c>
      <c r="R57" s="154" t="s">
        <v>2504</v>
      </c>
      <c r="S57" s="116" t="s">
        <v>983</v>
      </c>
      <c r="T57" s="103" t="s">
        <v>984</v>
      </c>
      <c r="U57" s="115" t="str">
        <f t="shared" ca="1" si="4"/>
        <v>otp</v>
      </c>
      <c r="V57" s="196" t="str">
        <f>INDEX('Documentation c f k'!B$4:B$68,MATCH('sets-maps'!T57,'Documentation c f k'!A$4:A$68,0))</f>
        <v>Water transport</v>
      </c>
      <c r="Y57" s="105" t="s">
        <v>2517</v>
      </c>
      <c r="Z57" s="105" t="s">
        <v>174</v>
      </c>
      <c r="AB57" s="105" t="s">
        <v>2520</v>
      </c>
      <c r="AD57" s="105" t="s">
        <v>2518</v>
      </c>
      <c r="AE57" s="105" t="s">
        <v>1733</v>
      </c>
    </row>
    <row r="58" spans="1:31" ht="13.6">
      <c r="A58" s="110"/>
      <c r="B58" s="110"/>
      <c r="D58" s="169" t="s">
        <v>2818</v>
      </c>
      <c r="E58" s="171" t="s">
        <v>1827</v>
      </c>
      <c r="Q58" s="105" t="str">
        <f t="shared" ca="1" si="2"/>
        <v/>
      </c>
      <c r="R58" s="154"/>
      <c r="S58" s="116" t="s">
        <v>983</v>
      </c>
      <c r="T58" s="103" t="s">
        <v>985</v>
      </c>
      <c r="U58" s="115" t="str">
        <f t="shared" ca="1" si="4"/>
        <v>otp</v>
      </c>
      <c r="V58" s="196" t="str">
        <f>INDEX('Documentation c f k'!B$4:B$68,MATCH('sets-maps'!T58,'Documentation c f k'!A$4:A$68,0))</f>
        <v xml:space="preserve">Air transport </v>
      </c>
      <c r="Y58" s="105" t="s">
        <v>2517</v>
      </c>
      <c r="Z58" s="105" t="s">
        <v>175</v>
      </c>
      <c r="AB58" s="105" t="s">
        <v>2809</v>
      </c>
      <c r="AD58" s="105" t="s">
        <v>2518</v>
      </c>
      <c r="AE58" s="105" t="s">
        <v>1734</v>
      </c>
    </row>
    <row r="59" spans="1:31" ht="13.6">
      <c r="A59" s="110"/>
      <c r="B59" s="110"/>
      <c r="D59" s="169" t="s">
        <v>2818</v>
      </c>
      <c r="E59" s="98" t="s">
        <v>235</v>
      </c>
      <c r="Q59" s="105" t="str">
        <f t="shared" ca="1" si="2"/>
        <v/>
      </c>
      <c r="R59" s="154"/>
      <c r="S59" s="111" t="s">
        <v>2735</v>
      </c>
      <c r="T59" s="103" t="s">
        <v>2609</v>
      </c>
      <c r="U59" s="115" t="str">
        <f t="shared" ca="1" si="4"/>
        <v>ser</v>
      </c>
      <c r="V59" s="196" t="str">
        <f>INDEX('Documentation c f k'!B$4:B$68,MATCH('sets-maps'!T59,'Documentation c f k'!A$4:A$68,0))</f>
        <v>Warehousing and support activities</v>
      </c>
      <c r="Y59" s="105" t="s">
        <v>2758</v>
      </c>
      <c r="Z59" s="105" t="s">
        <v>2606</v>
      </c>
      <c r="AB59" s="105" t="s">
        <v>2810</v>
      </c>
      <c r="AD59" s="105" t="s">
        <v>2777</v>
      </c>
      <c r="AE59" s="105" t="s">
        <v>2607</v>
      </c>
    </row>
    <row r="60" spans="1:31" ht="13.6">
      <c r="A60" s="110"/>
      <c r="B60" s="110"/>
      <c r="D60" s="169" t="s">
        <v>2289</v>
      </c>
      <c r="E60" s="98" t="s">
        <v>126</v>
      </c>
      <c r="Q60" s="105" t="str">
        <f t="shared" ca="1" si="2"/>
        <v/>
      </c>
      <c r="R60" s="154" t="s">
        <v>2734</v>
      </c>
      <c r="S60" s="116" t="s">
        <v>2232</v>
      </c>
      <c r="T60" s="103" t="s">
        <v>2232</v>
      </c>
      <c r="U60" s="115" t="str">
        <f t="shared" ca="1" si="4"/>
        <v>ser</v>
      </c>
      <c r="V60" s="196" t="str">
        <f>INDEX('Documentation c f k'!B$4:B$68,MATCH('sets-maps'!T60,'Documentation c f k'!A$4:A$68,0))</f>
        <v>Communication</v>
      </c>
      <c r="Y60" s="105" t="s">
        <v>2752</v>
      </c>
      <c r="Z60" s="105" t="s">
        <v>2241</v>
      </c>
      <c r="AB60" s="105" t="s">
        <v>2811</v>
      </c>
      <c r="AD60" s="105" t="s">
        <v>2771</v>
      </c>
      <c r="AE60" s="105" t="s">
        <v>2235</v>
      </c>
    </row>
    <row r="61" spans="1:31" ht="13.6">
      <c r="A61" s="110"/>
      <c r="B61" s="110"/>
      <c r="D61" s="169" t="s">
        <v>2289</v>
      </c>
      <c r="E61" s="98" t="s">
        <v>2610</v>
      </c>
      <c r="Q61" s="105" t="str">
        <f t="shared" ca="1" si="2"/>
        <v/>
      </c>
      <c r="R61" s="154" t="s">
        <v>2737</v>
      </c>
      <c r="S61" s="116" t="s">
        <v>986</v>
      </c>
      <c r="T61" s="103" t="s">
        <v>986</v>
      </c>
      <c r="U61" s="115" t="str">
        <f t="shared" ca="1" si="4"/>
        <v>ser</v>
      </c>
      <c r="V61" s="196" t="str">
        <f>INDEX('Documentation c f k'!B$4:B$68,MATCH('sets-maps'!T61,'Documentation c f k'!A$4:A$68,0))</f>
        <v xml:space="preserve">Financial services nec </v>
      </c>
      <c r="Y61" s="105" t="s">
        <v>2753</v>
      </c>
      <c r="Z61" s="105" t="s">
        <v>176</v>
      </c>
      <c r="AB61" s="105" t="s">
        <v>2812</v>
      </c>
      <c r="AD61" s="105" t="s">
        <v>2772</v>
      </c>
      <c r="AE61" s="105" t="s">
        <v>1735</v>
      </c>
    </row>
    <row r="62" spans="1:31" ht="13.6">
      <c r="A62" s="110"/>
      <c r="B62" s="110"/>
      <c r="D62" s="169" t="s">
        <v>2289</v>
      </c>
      <c r="E62" s="98" t="s">
        <v>240</v>
      </c>
      <c r="O62" s="116"/>
      <c r="P62" s="100"/>
      <c r="Q62" s="105" t="str">
        <f t="shared" ca="1" si="2"/>
        <v/>
      </c>
      <c r="R62" s="154" t="s">
        <v>2456</v>
      </c>
      <c r="S62" s="111" t="s">
        <v>987</v>
      </c>
      <c r="T62" s="103" t="s">
        <v>987</v>
      </c>
      <c r="U62" s="115" t="str">
        <f t="shared" ca="1" si="4"/>
        <v>ser</v>
      </c>
      <c r="V62" s="196" t="str">
        <f>INDEX('Documentation c f k'!B$4:B$68,MATCH('sets-maps'!T62,'Documentation c f k'!A$4:A$68,0))</f>
        <v xml:space="preserve">Insurance </v>
      </c>
      <c r="Y62" s="105" t="s">
        <v>2754</v>
      </c>
      <c r="Z62" s="105" t="s">
        <v>245</v>
      </c>
      <c r="AB62" s="105" t="s">
        <v>2813</v>
      </c>
      <c r="AD62" s="105" t="s">
        <v>2773</v>
      </c>
      <c r="AE62" s="105" t="s">
        <v>1736</v>
      </c>
    </row>
    <row r="63" spans="1:31" ht="13.6">
      <c r="A63" s="110"/>
      <c r="B63" s="110"/>
      <c r="D63" s="169" t="s">
        <v>2289</v>
      </c>
      <c r="E63" s="98" t="s">
        <v>241</v>
      </c>
      <c r="Q63" s="105" t="str">
        <f t="shared" ca="1" si="2"/>
        <v/>
      </c>
      <c r="R63" s="154"/>
      <c r="S63" s="111" t="s">
        <v>2735</v>
      </c>
      <c r="T63" s="101" t="s">
        <v>2617</v>
      </c>
      <c r="U63" s="115" t="str">
        <f t="shared" ca="1" si="4"/>
        <v>ser</v>
      </c>
      <c r="V63" s="196" t="str">
        <f>INDEX('Documentation c f k'!B$4:B$68,MATCH('sets-maps'!T63,'Documentation c f k'!A$4:A$68,0))</f>
        <v>Real estate activities</v>
      </c>
      <c r="Y63" s="105" t="s">
        <v>2758</v>
      </c>
      <c r="Z63" s="105" t="s">
        <v>2614</v>
      </c>
      <c r="AB63" s="105" t="s">
        <v>2814</v>
      </c>
      <c r="AD63" s="105" t="s">
        <v>2777</v>
      </c>
      <c r="AE63" s="105" t="s">
        <v>2615</v>
      </c>
    </row>
    <row r="64" spans="1:31" ht="13.6">
      <c r="A64" s="110"/>
      <c r="B64" s="110"/>
      <c r="D64" s="169" t="s">
        <v>2817</v>
      </c>
      <c r="E64" s="170" t="s">
        <v>127</v>
      </c>
      <c r="Q64" s="105" t="str">
        <f t="shared" ca="1" si="2"/>
        <v/>
      </c>
      <c r="R64" s="154" t="s">
        <v>2738</v>
      </c>
      <c r="S64" s="111" t="s">
        <v>2471</v>
      </c>
      <c r="T64" s="101" t="s">
        <v>2471</v>
      </c>
      <c r="U64" s="115" t="str">
        <f t="shared" ca="1" si="4"/>
        <v>ser</v>
      </c>
      <c r="V64" s="196" t="str">
        <f>INDEX('Documentation c f k'!B$4:B$68,MATCH('sets-maps'!T64,'Documentation c f k'!A$4:A$68,0))</f>
        <v xml:space="preserve">Business services nec </v>
      </c>
      <c r="Y64" s="105" t="s">
        <v>2755</v>
      </c>
      <c r="Z64" s="105" t="s">
        <v>2323</v>
      </c>
      <c r="AB64" s="107" t="s">
        <v>2815</v>
      </c>
      <c r="AD64" s="105" t="s">
        <v>2774</v>
      </c>
      <c r="AE64" s="105" t="s">
        <v>2324</v>
      </c>
    </row>
    <row r="65" spans="1:31" ht="13.6">
      <c r="A65" s="110"/>
      <c r="B65" s="110"/>
      <c r="D65" s="169" t="s">
        <v>2289</v>
      </c>
      <c r="E65" s="170" t="s">
        <v>2619</v>
      </c>
      <c r="Q65" s="105" t="str">
        <f t="shared" ca="1" si="2"/>
        <v/>
      </c>
      <c r="R65" s="154"/>
      <c r="S65" s="111" t="s">
        <v>2735</v>
      </c>
      <c r="T65" s="101" t="s">
        <v>988</v>
      </c>
      <c r="U65" s="115" t="str">
        <f t="shared" ca="1" si="4"/>
        <v>ser</v>
      </c>
      <c r="V65" s="196" t="str">
        <f>INDEX('Documentation c f k'!B$4:B$68,MATCH('sets-maps'!T65,'Documentation c f k'!A$4:A$68,0))</f>
        <v>Recreational and other services</v>
      </c>
      <c r="Y65" s="105" t="s">
        <v>2758</v>
      </c>
      <c r="Z65" s="105" t="s">
        <v>177</v>
      </c>
      <c r="AB65" s="107" t="s">
        <v>2272</v>
      </c>
      <c r="AD65" s="105" t="s">
        <v>2777</v>
      </c>
      <c r="AE65" s="105" t="s">
        <v>1737</v>
      </c>
    </row>
    <row r="66" spans="1:31" ht="13.6">
      <c r="A66" s="110"/>
      <c r="B66" s="110"/>
      <c r="D66" s="169" t="s">
        <v>2289</v>
      </c>
      <c r="E66" s="170" t="s">
        <v>1828</v>
      </c>
      <c r="Q66" s="105" t="str">
        <f t="shared" ca="1" si="2"/>
        <v/>
      </c>
      <c r="R66" s="154" t="s">
        <v>2621</v>
      </c>
      <c r="S66" s="111" t="s">
        <v>989</v>
      </c>
      <c r="T66" s="101" t="s">
        <v>989</v>
      </c>
      <c r="U66" s="115" t="str">
        <f t="shared" ca="1" si="4"/>
        <v>ser</v>
      </c>
      <c r="V66" s="196" t="str">
        <f>INDEX('Documentation c f k'!B$4:B$68,MATCH('sets-maps'!T66,'Documentation c f k'!A$4:A$68,0))</f>
        <v>Public Administration and defense</v>
      </c>
      <c r="Y66" s="105" t="s">
        <v>2756</v>
      </c>
      <c r="Z66" s="105" t="s">
        <v>178</v>
      </c>
      <c r="AB66" s="107" t="s">
        <v>2273</v>
      </c>
      <c r="AD66" s="105" t="s">
        <v>2775</v>
      </c>
      <c r="AE66" s="105" t="s">
        <v>1738</v>
      </c>
    </row>
    <row r="67" spans="1:31" ht="13.6">
      <c r="A67" s="110"/>
      <c r="B67" s="110"/>
      <c r="D67" s="169" t="s">
        <v>2289</v>
      </c>
      <c r="E67" s="98" t="s">
        <v>128</v>
      </c>
      <c r="Q67" s="105" t="str">
        <f t="shared" ca="1" si="2"/>
        <v/>
      </c>
      <c r="R67" s="154" t="s">
        <v>2623</v>
      </c>
      <c r="S67" s="111" t="s">
        <v>2627</v>
      </c>
      <c r="T67" s="101" t="s">
        <v>2627</v>
      </c>
      <c r="U67" s="115" t="str">
        <f t="shared" ca="1" si="4"/>
        <v>ser</v>
      </c>
      <c r="V67" s="196" t="str">
        <f>INDEX('Documentation c f k'!B$4:B$68,MATCH('sets-maps'!T67,'Documentation c f k'!A$4:A$68,0))</f>
        <v>Education</v>
      </c>
      <c r="Y67" s="105" t="s">
        <v>2757</v>
      </c>
      <c r="Z67" s="105" t="s">
        <v>2624</v>
      </c>
      <c r="AB67" s="107" t="s">
        <v>2274</v>
      </c>
      <c r="AD67" s="105" t="s">
        <v>2776</v>
      </c>
      <c r="AE67" s="105" t="s">
        <v>2625</v>
      </c>
    </row>
    <row r="68" spans="1:31" ht="13.6">
      <c r="A68" s="110"/>
      <c r="B68" s="110"/>
      <c r="D68" s="169" t="s">
        <v>2289</v>
      </c>
      <c r="E68" s="98" t="s">
        <v>2316</v>
      </c>
      <c r="Q68" s="105" t="str">
        <f t="shared" ca="1" si="2"/>
        <v/>
      </c>
      <c r="R68" s="154"/>
      <c r="S68" s="111" t="s">
        <v>2735</v>
      </c>
      <c r="T68" s="101" t="s">
        <v>2633</v>
      </c>
      <c r="U68" s="115" t="str">
        <f t="shared" ca="1" si="4"/>
        <v>ser</v>
      </c>
      <c r="V68" s="196" t="str">
        <f>INDEX('Documentation c f k'!B$4:B$68,MATCH('sets-maps'!T68,'Documentation c f k'!A$4:A$68,0))</f>
        <v>Human health and social work activities</v>
      </c>
      <c r="Y68" s="105" t="s">
        <v>2758</v>
      </c>
      <c r="Z68" s="105" t="s">
        <v>2630</v>
      </c>
      <c r="AB68" s="105" t="s">
        <v>2275</v>
      </c>
      <c r="AD68" s="105" t="s">
        <v>2777</v>
      </c>
      <c r="AE68" s="105" t="s">
        <v>2631</v>
      </c>
    </row>
    <row r="69" spans="1:31" ht="13.6">
      <c r="A69" s="110"/>
      <c r="B69" s="110"/>
      <c r="D69" s="110" t="s">
        <v>180</v>
      </c>
      <c r="E69" s="98" t="s">
        <v>180</v>
      </c>
      <c r="Q69" s="105" t="str">
        <f t="shared" ref="Q69" ca="1" si="5">IFERROR(INDEX(sector_groupings,MATCH(O69,Map_sectors_user,0)),"")</f>
        <v/>
      </c>
      <c r="R69" s="154"/>
      <c r="S69" s="111" t="s">
        <v>2735</v>
      </c>
      <c r="T69" s="101" t="s">
        <v>990</v>
      </c>
      <c r="U69" s="115" t="str">
        <f t="shared" ca="1" si="4"/>
        <v>ser</v>
      </c>
      <c r="V69" s="196" t="str">
        <f>INDEX('Documentation c f k'!B$4:B$68,MATCH('sets-maps'!T69,'Documentation c f k'!A$4:A$68,0))</f>
        <v xml:space="preserve">Dwellings </v>
      </c>
      <c r="Y69" s="105" t="s">
        <v>2758</v>
      </c>
      <c r="Z69" s="105" t="s">
        <v>179</v>
      </c>
      <c r="AB69" s="105" t="s">
        <v>2276</v>
      </c>
      <c r="AD69" s="105" t="s">
        <v>2777</v>
      </c>
      <c r="AE69" s="105" t="s">
        <v>1739</v>
      </c>
    </row>
    <row r="70" spans="1:31" ht="13.6">
      <c r="A70" s="110"/>
      <c r="B70" s="110"/>
      <c r="D70" s="110"/>
      <c r="E70" s="98"/>
      <c r="R70" s="154"/>
      <c r="AB70" s="105" t="s">
        <v>2277</v>
      </c>
      <c r="AD70" s="105" t="s">
        <v>2781</v>
      </c>
      <c r="AE70" s="105" t="s">
        <v>1740</v>
      </c>
    </row>
    <row r="71" spans="1:31" ht="13.6">
      <c r="A71" s="110"/>
      <c r="B71" s="110"/>
      <c r="D71" s="110"/>
      <c r="E71" s="98"/>
      <c r="R71" s="154"/>
      <c r="AB71" s="105" t="s">
        <v>2278</v>
      </c>
      <c r="AD71" s="105" t="s">
        <v>2781</v>
      </c>
      <c r="AE71" s="105" t="s">
        <v>1741</v>
      </c>
    </row>
    <row r="72" spans="1:31" ht="13.6">
      <c r="A72" s="110"/>
      <c r="B72" s="110"/>
      <c r="D72" s="110"/>
      <c r="E72" s="98"/>
      <c r="R72" s="154"/>
      <c r="AB72" s="105" t="s">
        <v>2279</v>
      </c>
      <c r="AD72" s="105" t="s">
        <v>2778</v>
      </c>
      <c r="AE72" s="105" t="s">
        <v>1742</v>
      </c>
    </row>
    <row r="73" spans="1:31" ht="13.6">
      <c r="A73" s="110"/>
      <c r="B73" s="110"/>
      <c r="D73" s="110"/>
      <c r="E73" s="98"/>
      <c r="R73" s="154"/>
      <c r="AB73" s="107" t="s">
        <v>2826</v>
      </c>
      <c r="AD73" s="105" t="s">
        <v>2781</v>
      </c>
      <c r="AE73" s="105" t="s">
        <v>1743</v>
      </c>
    </row>
    <row r="74" spans="1:31" ht="13.6">
      <c r="A74" s="110"/>
      <c r="B74" s="110"/>
      <c r="D74" s="110"/>
      <c r="E74" s="98"/>
      <c r="R74" s="154"/>
      <c r="AB74" s="107" t="s">
        <v>2827</v>
      </c>
      <c r="AD74" s="105" t="s">
        <v>2779</v>
      </c>
      <c r="AE74" s="105" t="s">
        <v>1744</v>
      </c>
    </row>
    <row r="75" spans="1:31" ht="13.6">
      <c r="A75" s="110"/>
      <c r="B75" s="110"/>
      <c r="D75" s="110"/>
      <c r="E75" s="98"/>
      <c r="R75" s="154"/>
      <c r="AB75" s="107" t="s">
        <v>2828</v>
      </c>
      <c r="AD75" s="105" t="s">
        <v>2781</v>
      </c>
      <c r="AE75" s="105" t="s">
        <v>1745</v>
      </c>
    </row>
    <row r="76" spans="1:31" ht="13.6">
      <c r="A76" s="110"/>
      <c r="B76" s="110"/>
      <c r="D76" s="110"/>
      <c r="E76" s="98"/>
      <c r="R76" s="154"/>
      <c r="AB76" s="107" t="s">
        <v>2829</v>
      </c>
      <c r="AD76" s="105" t="s">
        <v>2781</v>
      </c>
      <c r="AE76" s="105" t="s">
        <v>1746</v>
      </c>
    </row>
    <row r="77" spans="1:31" ht="13.6">
      <c r="A77" s="110"/>
      <c r="B77" s="110"/>
      <c r="D77" s="110"/>
      <c r="E77" s="98"/>
      <c r="R77" s="154"/>
      <c r="AB77" s="107" t="s">
        <v>2830</v>
      </c>
      <c r="AD77" s="105" t="s">
        <v>2781</v>
      </c>
      <c r="AE77" s="105" t="s">
        <v>1747</v>
      </c>
    </row>
    <row r="78" spans="1:31" ht="13.6">
      <c r="A78" s="110"/>
      <c r="B78" s="110"/>
      <c r="D78" s="110"/>
      <c r="E78" s="98"/>
      <c r="R78" s="154"/>
      <c r="AB78" s="105" t="s">
        <v>2971</v>
      </c>
      <c r="AD78" s="105" t="s">
        <v>2781</v>
      </c>
      <c r="AE78" s="105" t="s">
        <v>1748</v>
      </c>
    </row>
    <row r="79" spans="1:31" ht="13.6">
      <c r="A79" s="110"/>
      <c r="B79" s="110"/>
      <c r="D79" s="110"/>
      <c r="E79" s="98"/>
      <c r="R79" s="154"/>
      <c r="AB79" s="107" t="s">
        <v>2521</v>
      </c>
      <c r="AD79" s="105" t="s">
        <v>2781</v>
      </c>
      <c r="AE79" s="105" t="s">
        <v>1749</v>
      </c>
    </row>
    <row r="80" spans="1:31" ht="13.6">
      <c r="A80" s="110"/>
      <c r="B80" s="110"/>
      <c r="D80" s="110"/>
      <c r="E80" s="98"/>
      <c r="R80" s="154"/>
      <c r="AB80" s="130" t="s">
        <v>2831</v>
      </c>
      <c r="AD80" s="105" t="s">
        <v>2781</v>
      </c>
      <c r="AE80" s="105" t="s">
        <v>1750</v>
      </c>
    </row>
    <row r="81" spans="1:31" ht="13.6">
      <c r="A81" s="110"/>
      <c r="B81" s="110"/>
      <c r="D81" s="110"/>
      <c r="E81" s="98"/>
      <c r="R81" s="154"/>
      <c r="AB81" s="130" t="s">
        <v>2832</v>
      </c>
      <c r="AD81" s="105" t="s">
        <v>2781</v>
      </c>
      <c r="AE81" s="105" t="s">
        <v>1751</v>
      </c>
    </row>
    <row r="82" spans="1:31" ht="13.6">
      <c r="A82" s="110"/>
      <c r="B82" s="110"/>
      <c r="D82" s="110"/>
      <c r="E82" s="98"/>
      <c r="R82" s="154"/>
      <c r="AB82" s="130" t="s">
        <v>2833</v>
      </c>
      <c r="AD82" s="105" t="s">
        <v>2781</v>
      </c>
      <c r="AE82" s="105" t="s">
        <v>1752</v>
      </c>
    </row>
    <row r="83" spans="1:31" ht="13.6">
      <c r="A83" s="110"/>
      <c r="B83" s="110"/>
      <c r="D83" s="110"/>
      <c r="E83" s="98"/>
      <c r="R83" s="154"/>
      <c r="AB83" s="107" t="s">
        <v>2834</v>
      </c>
      <c r="AD83" s="105" t="s">
        <v>2781</v>
      </c>
      <c r="AE83" s="105" t="s">
        <v>1753</v>
      </c>
    </row>
    <row r="84" spans="1:31" ht="13.6">
      <c r="A84" s="110"/>
      <c r="B84" s="110"/>
      <c r="D84" s="110"/>
      <c r="E84" s="98"/>
      <c r="R84" s="154"/>
      <c r="AB84" s="107" t="s">
        <v>2835</v>
      </c>
      <c r="AD84" s="105" t="s">
        <v>2783</v>
      </c>
      <c r="AE84" s="105" t="s">
        <v>1754</v>
      </c>
    </row>
    <row r="85" spans="1:31" ht="13.6">
      <c r="A85" s="110"/>
      <c r="B85" s="110"/>
      <c r="D85" s="110"/>
      <c r="E85" s="98"/>
      <c r="R85" s="154"/>
      <c r="AB85" s="107" t="s">
        <v>2972</v>
      </c>
      <c r="AD85" s="105" t="s">
        <v>2783</v>
      </c>
      <c r="AE85" s="105" t="s">
        <v>1755</v>
      </c>
    </row>
    <row r="86" spans="1:31" ht="13.6">
      <c r="A86" s="110"/>
      <c r="B86" s="110"/>
      <c r="D86" s="110"/>
      <c r="E86" s="98"/>
      <c r="R86" s="154"/>
      <c r="AB86" s="107" t="s">
        <v>2522</v>
      </c>
      <c r="AD86" s="105" t="s">
        <v>2783</v>
      </c>
      <c r="AE86" s="105" t="s">
        <v>1756</v>
      </c>
    </row>
    <row r="87" spans="1:31" ht="13.6">
      <c r="A87" s="110"/>
      <c r="B87" s="110"/>
      <c r="D87" s="110"/>
      <c r="E87" s="98"/>
      <c r="R87" s="154"/>
      <c r="AB87" s="107" t="s">
        <v>2836</v>
      </c>
      <c r="AD87" s="105" t="s">
        <v>2783</v>
      </c>
      <c r="AE87" s="105" t="s">
        <v>2562</v>
      </c>
    </row>
    <row r="88" spans="1:31" ht="13.6">
      <c r="A88" s="110"/>
      <c r="B88" s="110"/>
      <c r="D88" s="110"/>
      <c r="E88" s="98"/>
      <c r="R88" s="154"/>
      <c r="AB88" s="130" t="s">
        <v>2837</v>
      </c>
      <c r="AD88" s="105" t="s">
        <v>2780</v>
      </c>
      <c r="AE88" s="105" t="s">
        <v>1757</v>
      </c>
    </row>
    <row r="89" spans="1:31" ht="13.6">
      <c r="A89" s="110"/>
      <c r="B89" s="110"/>
      <c r="D89" s="110"/>
      <c r="E89" s="98"/>
      <c r="R89" s="154"/>
      <c r="AB89" s="130" t="s">
        <v>2838</v>
      </c>
      <c r="AD89" s="105" t="s">
        <v>2780</v>
      </c>
      <c r="AE89" s="105" t="s">
        <v>1758</v>
      </c>
    </row>
    <row r="90" spans="1:31" ht="13.6">
      <c r="A90" s="110"/>
      <c r="B90" s="110"/>
      <c r="D90" s="110"/>
      <c r="E90" s="98"/>
      <c r="R90" s="154"/>
      <c r="AB90" s="130" t="s">
        <v>2839</v>
      </c>
      <c r="AD90" s="105" t="s">
        <v>2781</v>
      </c>
      <c r="AE90" s="105" t="s">
        <v>1759</v>
      </c>
    </row>
    <row r="91" spans="1:31" ht="13.6">
      <c r="A91" s="110"/>
      <c r="B91" s="110"/>
      <c r="D91" s="110"/>
      <c r="E91" s="98"/>
      <c r="R91" s="154"/>
      <c r="AB91" s="130" t="s">
        <v>2840</v>
      </c>
      <c r="AD91" s="105" t="s">
        <v>2781</v>
      </c>
      <c r="AE91" s="105" t="s">
        <v>1760</v>
      </c>
    </row>
    <row r="92" spans="1:31" ht="13.6">
      <c r="A92" s="110"/>
      <c r="B92" s="110"/>
      <c r="D92" s="110"/>
      <c r="E92" s="98"/>
      <c r="R92" s="154"/>
      <c r="AB92" s="130" t="s">
        <v>2973</v>
      </c>
      <c r="AD92" s="105" t="s">
        <v>2781</v>
      </c>
      <c r="AE92" s="105" t="s">
        <v>1761</v>
      </c>
    </row>
    <row r="93" spans="1:31" ht="13.6">
      <c r="A93" s="110"/>
      <c r="B93" s="110"/>
      <c r="D93" s="110"/>
      <c r="E93" s="98"/>
      <c r="R93" s="154"/>
      <c r="AB93" s="109" t="s">
        <v>2523</v>
      </c>
      <c r="AD93" s="105" t="s">
        <v>2781</v>
      </c>
      <c r="AE93" s="105" t="s">
        <v>1762</v>
      </c>
    </row>
    <row r="94" spans="1:31" ht="13.6">
      <c r="A94" s="110"/>
      <c r="B94" s="110"/>
      <c r="D94" s="110"/>
      <c r="E94" s="98"/>
      <c r="R94" s="154"/>
      <c r="AB94" s="130" t="s">
        <v>2841</v>
      </c>
      <c r="AD94" s="105" t="s">
        <v>2781</v>
      </c>
      <c r="AE94" s="105" t="s">
        <v>1763</v>
      </c>
    </row>
    <row r="95" spans="1:31" ht="13.6">
      <c r="A95" s="110"/>
      <c r="B95" s="110"/>
      <c r="D95" s="110"/>
      <c r="E95" s="98"/>
      <c r="R95" s="154"/>
      <c r="AB95" s="130" t="s">
        <v>2842</v>
      </c>
      <c r="AD95" s="105" t="s">
        <v>2782</v>
      </c>
      <c r="AE95" s="105" t="s">
        <v>1764</v>
      </c>
    </row>
    <row r="96" spans="1:31" ht="13.6">
      <c r="A96" s="110"/>
      <c r="B96" s="110"/>
      <c r="D96" s="110"/>
      <c r="E96" s="98"/>
      <c r="R96" s="154"/>
      <c r="AB96" s="130" t="s">
        <v>2843</v>
      </c>
      <c r="AD96" s="105" t="s">
        <v>2789</v>
      </c>
      <c r="AE96" s="105" t="s">
        <v>1765</v>
      </c>
    </row>
    <row r="97" spans="1:31" ht="13.6">
      <c r="A97" s="110"/>
      <c r="B97" s="110"/>
      <c r="D97" s="110"/>
      <c r="E97" s="98"/>
      <c r="R97" s="154"/>
      <c r="AB97" s="130" t="s">
        <v>2844</v>
      </c>
      <c r="AD97" s="105" t="s">
        <v>2789</v>
      </c>
      <c r="AE97" s="105" t="s">
        <v>1766</v>
      </c>
    </row>
    <row r="98" spans="1:31" ht="13.6">
      <c r="A98" s="110"/>
      <c r="B98" s="110"/>
      <c r="D98" s="110"/>
      <c r="E98" s="98"/>
      <c r="R98" s="154"/>
      <c r="AB98" s="130" t="s">
        <v>2845</v>
      </c>
      <c r="AD98" s="105" t="s">
        <v>2789</v>
      </c>
      <c r="AE98" s="105" t="s">
        <v>1767</v>
      </c>
    </row>
    <row r="99" spans="1:31" ht="13.6">
      <c r="A99" s="110"/>
      <c r="B99" s="110"/>
      <c r="D99" s="110"/>
      <c r="E99" s="98"/>
      <c r="R99" s="154"/>
      <c r="AB99" s="130" t="s">
        <v>2974</v>
      </c>
      <c r="AD99" s="105" t="s">
        <v>2789</v>
      </c>
      <c r="AE99" s="105" t="s">
        <v>1768</v>
      </c>
    </row>
    <row r="100" spans="1:31" ht="13.6">
      <c r="A100" s="110"/>
      <c r="B100" s="110"/>
      <c r="D100" s="110"/>
      <c r="E100" s="98"/>
      <c r="R100" s="154"/>
      <c r="AB100" s="130" t="s">
        <v>2524</v>
      </c>
      <c r="AD100" s="105" t="s">
        <v>2789</v>
      </c>
      <c r="AE100" s="105" t="s">
        <v>1769</v>
      </c>
    </row>
    <row r="101" spans="1:31" ht="13.6">
      <c r="A101" s="110"/>
      <c r="B101" s="110"/>
      <c r="D101" s="110"/>
      <c r="E101" s="98"/>
      <c r="R101" s="154"/>
      <c r="AB101" s="130" t="s">
        <v>2846</v>
      </c>
      <c r="AD101" s="105" t="s">
        <v>2789</v>
      </c>
      <c r="AE101" s="105" t="s">
        <v>2236</v>
      </c>
    </row>
    <row r="102" spans="1:31" ht="13.6">
      <c r="A102" s="110"/>
      <c r="B102" s="110"/>
      <c r="D102" s="110"/>
      <c r="E102" s="98"/>
      <c r="R102" s="154"/>
      <c r="AB102" s="105" t="s">
        <v>2847</v>
      </c>
      <c r="AD102" s="105" t="s">
        <v>2789</v>
      </c>
      <c r="AE102" s="105" t="s">
        <v>2573</v>
      </c>
    </row>
    <row r="103" spans="1:31" ht="13.6">
      <c r="A103" s="110"/>
      <c r="B103" s="110"/>
      <c r="D103" s="110"/>
      <c r="E103" s="98"/>
      <c r="R103" s="154"/>
      <c r="AB103" s="105" t="s">
        <v>2848</v>
      </c>
      <c r="AD103" s="105" t="s">
        <v>2789</v>
      </c>
      <c r="AE103" s="105" t="s">
        <v>2579</v>
      </c>
    </row>
    <row r="104" spans="1:31" ht="13.6">
      <c r="A104" s="110"/>
      <c r="B104" s="110"/>
      <c r="D104" s="110"/>
      <c r="E104" s="98"/>
      <c r="R104" s="154"/>
      <c r="AB104" s="105" t="s">
        <v>2849</v>
      </c>
      <c r="AD104" s="105" t="s">
        <v>2789</v>
      </c>
      <c r="AE104" s="105" t="s">
        <v>2585</v>
      </c>
    </row>
    <row r="105" spans="1:31" ht="13.6">
      <c r="A105" s="110"/>
      <c r="B105" s="110"/>
      <c r="D105" s="110"/>
      <c r="E105" s="98"/>
      <c r="R105" s="154"/>
      <c r="AB105" s="105" t="s">
        <v>2850</v>
      </c>
      <c r="AD105" s="105" t="s">
        <v>2784</v>
      </c>
      <c r="AE105" s="105" t="s">
        <v>1770</v>
      </c>
    </row>
    <row r="106" spans="1:31" ht="13.6">
      <c r="A106" s="110"/>
      <c r="B106" s="110"/>
      <c r="D106" s="110"/>
      <c r="E106" s="98"/>
      <c r="R106" s="154"/>
      <c r="AB106" s="105" t="s">
        <v>2975</v>
      </c>
      <c r="AD106" s="105" t="s">
        <v>2784</v>
      </c>
      <c r="AE106" s="105" t="s">
        <v>1771</v>
      </c>
    </row>
    <row r="107" spans="1:31" ht="13.6">
      <c r="A107" s="110"/>
      <c r="B107" s="110"/>
      <c r="D107" s="110"/>
      <c r="E107" s="98"/>
      <c r="R107" s="154"/>
      <c r="AB107" s="105" t="s">
        <v>2525</v>
      </c>
      <c r="AD107" s="105" t="s">
        <v>2784</v>
      </c>
      <c r="AE107" s="105" t="s">
        <v>1772</v>
      </c>
    </row>
    <row r="108" spans="1:31" ht="13.6">
      <c r="A108" s="110"/>
      <c r="B108" s="110"/>
      <c r="D108" s="110"/>
      <c r="E108" s="98"/>
      <c r="R108" s="154"/>
      <c r="AB108" s="104" t="s">
        <v>2851</v>
      </c>
      <c r="AD108" s="105" t="s">
        <v>2784</v>
      </c>
      <c r="AE108" s="105" t="s">
        <v>1773</v>
      </c>
    </row>
    <row r="109" spans="1:31" ht="13.6">
      <c r="A109" s="110"/>
      <c r="B109" s="110"/>
      <c r="D109" s="110"/>
      <c r="E109" s="98"/>
      <c r="R109" s="154"/>
      <c r="AB109" s="105" t="s">
        <v>2852</v>
      </c>
      <c r="AD109" s="105" t="s">
        <v>2785</v>
      </c>
      <c r="AE109" s="105" t="s">
        <v>1776</v>
      </c>
    </row>
    <row r="110" spans="1:31" ht="13.6">
      <c r="A110" s="110"/>
      <c r="B110" s="110"/>
      <c r="D110" s="110"/>
      <c r="E110" s="98"/>
      <c r="R110" s="154"/>
      <c r="AB110" s="107" t="s">
        <v>2853</v>
      </c>
      <c r="AD110" s="105" t="s">
        <v>2789</v>
      </c>
      <c r="AE110" s="105" t="s">
        <v>2592</v>
      </c>
    </row>
    <row r="111" spans="1:31" ht="13.6">
      <c r="A111" s="110"/>
      <c r="B111" s="110"/>
      <c r="D111" s="110"/>
      <c r="E111" s="98"/>
      <c r="R111" s="154"/>
      <c r="AB111" s="107" t="s">
        <v>2854</v>
      </c>
      <c r="AD111" s="105" t="s">
        <v>2786</v>
      </c>
      <c r="AE111" s="105" t="s">
        <v>1777</v>
      </c>
    </row>
    <row r="112" spans="1:31" ht="13.6">
      <c r="A112" s="110"/>
      <c r="B112" s="110"/>
      <c r="D112" s="110"/>
      <c r="E112" s="98"/>
      <c r="R112" s="154"/>
      <c r="AB112" s="107" t="s">
        <v>2855</v>
      </c>
      <c r="AD112" s="105" t="s">
        <v>2787</v>
      </c>
      <c r="AE112" s="105" t="s">
        <v>1774</v>
      </c>
    </row>
    <row r="113" spans="1:31" ht="13.6">
      <c r="A113" s="110"/>
      <c r="B113" s="110"/>
      <c r="D113" s="110"/>
      <c r="E113" s="98"/>
      <c r="R113" s="154"/>
      <c r="AB113" s="105" t="s">
        <v>2976</v>
      </c>
      <c r="AD113" s="105" t="s">
        <v>2788</v>
      </c>
      <c r="AE113" s="105" t="s">
        <v>1775</v>
      </c>
    </row>
    <row r="114" spans="1:31" ht="13.6">
      <c r="A114" s="110"/>
      <c r="B114" s="110"/>
      <c r="D114" s="110"/>
      <c r="E114" s="98"/>
      <c r="R114" s="154"/>
      <c r="AB114" s="105" t="s">
        <v>2526</v>
      </c>
      <c r="AD114" s="105" t="s">
        <v>2789</v>
      </c>
      <c r="AE114" s="105" t="s">
        <v>1778</v>
      </c>
    </row>
    <row r="115" spans="1:31" ht="13.6">
      <c r="A115" s="110"/>
      <c r="B115" s="110"/>
      <c r="D115" s="110"/>
      <c r="E115" s="98"/>
      <c r="R115" s="154"/>
      <c r="AB115" s="105" t="s">
        <v>2856</v>
      </c>
      <c r="AD115" s="105" t="s">
        <v>2796</v>
      </c>
      <c r="AE115" s="105" t="s">
        <v>1779</v>
      </c>
    </row>
    <row r="116" spans="1:31" ht="13.6">
      <c r="A116" s="110"/>
      <c r="B116" s="110"/>
      <c r="D116" s="110"/>
      <c r="E116" s="98"/>
      <c r="R116" s="154"/>
      <c r="AB116" s="107" t="s">
        <v>2857</v>
      </c>
      <c r="AD116" s="105" t="s">
        <v>2796</v>
      </c>
      <c r="AE116" s="105" t="s">
        <v>1780</v>
      </c>
    </row>
    <row r="117" spans="1:31" ht="13.6">
      <c r="A117" s="110"/>
      <c r="B117" s="110"/>
      <c r="D117" s="110"/>
      <c r="E117" s="98"/>
      <c r="R117" s="154"/>
      <c r="AB117" s="107" t="s">
        <v>2858</v>
      </c>
      <c r="AD117" s="105" t="s">
        <v>2796</v>
      </c>
      <c r="AE117" s="105" t="s">
        <v>1781</v>
      </c>
    </row>
    <row r="118" spans="1:31" ht="13.6">
      <c r="A118" s="110"/>
      <c r="B118" s="110"/>
      <c r="D118" s="110"/>
      <c r="E118" s="98"/>
      <c r="R118" s="154"/>
      <c r="AB118" s="107" t="s">
        <v>2859</v>
      </c>
      <c r="AD118" s="105" t="s">
        <v>2796</v>
      </c>
      <c r="AE118" s="105" t="s">
        <v>1782</v>
      </c>
    </row>
    <row r="119" spans="1:31" ht="13.6">
      <c r="A119" s="110"/>
      <c r="B119" s="110"/>
      <c r="D119" s="110"/>
      <c r="E119" s="98"/>
      <c r="R119" s="154"/>
      <c r="AB119" s="107" t="s">
        <v>2860</v>
      </c>
      <c r="AD119" s="105" t="s">
        <v>2796</v>
      </c>
      <c r="AE119" s="105" t="s">
        <v>1783</v>
      </c>
    </row>
    <row r="120" spans="1:31" ht="13.6">
      <c r="A120" s="110"/>
      <c r="B120" s="110"/>
      <c r="D120" s="110"/>
      <c r="E120" s="98"/>
      <c r="R120" s="154"/>
      <c r="AB120" s="105" t="s">
        <v>2977</v>
      </c>
      <c r="AD120" s="105" t="s">
        <v>2796</v>
      </c>
      <c r="AE120" s="105" t="s">
        <v>2601</v>
      </c>
    </row>
    <row r="121" spans="1:31" ht="13.6">
      <c r="A121" s="110"/>
      <c r="B121" s="110"/>
      <c r="D121" s="110"/>
      <c r="E121" s="98"/>
      <c r="R121" s="154"/>
      <c r="AB121" s="105" t="s">
        <v>2527</v>
      </c>
      <c r="AD121" s="105" t="s">
        <v>2519</v>
      </c>
      <c r="AE121" s="105" t="s">
        <v>1784</v>
      </c>
    </row>
    <row r="122" spans="1:31" ht="13.6">
      <c r="A122" s="110"/>
      <c r="B122" s="110"/>
      <c r="D122" s="110"/>
      <c r="E122" s="98"/>
      <c r="R122" s="154"/>
      <c r="AB122" s="105" t="s">
        <v>2861</v>
      </c>
      <c r="AD122" s="105" t="s">
        <v>2519</v>
      </c>
      <c r="AE122" s="105" t="s">
        <v>1785</v>
      </c>
    </row>
    <row r="123" spans="1:31" ht="13.6">
      <c r="A123" s="110"/>
      <c r="B123" s="110"/>
      <c r="D123" s="110"/>
      <c r="E123" s="98"/>
      <c r="R123" s="154"/>
      <c r="AB123" s="104" t="s">
        <v>2862</v>
      </c>
      <c r="AD123" s="105" t="s">
        <v>2519</v>
      </c>
      <c r="AE123" s="105" t="s">
        <v>1786</v>
      </c>
    </row>
    <row r="124" spans="1:31" ht="13.6">
      <c r="A124" s="110"/>
      <c r="B124" s="110"/>
      <c r="D124" s="110"/>
      <c r="E124" s="98"/>
      <c r="R124" s="154"/>
      <c r="AB124" s="107" t="s">
        <v>2863</v>
      </c>
      <c r="AD124" s="105" t="s">
        <v>2796</v>
      </c>
      <c r="AE124" s="105" t="s">
        <v>2608</v>
      </c>
    </row>
    <row r="125" spans="1:31" ht="13.6">
      <c r="A125" s="110"/>
      <c r="B125" s="110"/>
      <c r="D125" s="110"/>
      <c r="E125" s="98"/>
      <c r="R125" s="154"/>
      <c r="AB125" s="107" t="s">
        <v>2864</v>
      </c>
      <c r="AD125" s="105" t="s">
        <v>2790</v>
      </c>
      <c r="AE125" s="105" t="s">
        <v>2237</v>
      </c>
    </row>
    <row r="126" spans="1:31" ht="13.6">
      <c r="A126" s="110"/>
      <c r="B126" s="110"/>
      <c r="D126" s="110"/>
      <c r="E126" s="98"/>
      <c r="R126" s="154"/>
      <c r="AB126" s="107" t="s">
        <v>2865</v>
      </c>
      <c r="AD126" s="105" t="s">
        <v>2791</v>
      </c>
      <c r="AE126" s="105" t="s">
        <v>1787</v>
      </c>
    </row>
    <row r="127" spans="1:31" ht="13.6">
      <c r="A127" s="110"/>
      <c r="B127" s="110"/>
      <c r="D127" s="110"/>
      <c r="E127" s="98"/>
      <c r="R127" s="154"/>
      <c r="AB127" s="107" t="s">
        <v>2978</v>
      </c>
      <c r="AD127" s="105" t="s">
        <v>2792</v>
      </c>
      <c r="AE127" s="105" t="s">
        <v>1788</v>
      </c>
    </row>
    <row r="128" spans="1:31" ht="13.6">
      <c r="A128" s="110"/>
      <c r="B128" s="110"/>
      <c r="D128" s="110"/>
      <c r="E128" s="98"/>
      <c r="R128" s="154"/>
      <c r="AB128" s="107" t="s">
        <v>2528</v>
      </c>
      <c r="AD128" s="105" t="s">
        <v>2796</v>
      </c>
      <c r="AE128" s="105" t="s">
        <v>2616</v>
      </c>
    </row>
    <row r="129" spans="1:31" ht="13.6">
      <c r="A129" s="110"/>
      <c r="B129" s="110"/>
      <c r="D129" s="110"/>
      <c r="E129" s="98"/>
      <c r="R129" s="154"/>
      <c r="AB129" s="107" t="s">
        <v>2866</v>
      </c>
      <c r="AD129" s="105" t="s">
        <v>2793</v>
      </c>
      <c r="AE129" s="105" t="s">
        <v>2325</v>
      </c>
    </row>
    <row r="130" spans="1:31" ht="13.6">
      <c r="A130" s="110"/>
      <c r="B130" s="110"/>
      <c r="D130" s="110"/>
      <c r="E130" s="98"/>
      <c r="R130" s="154"/>
      <c r="AB130" s="107" t="s">
        <v>2867</v>
      </c>
      <c r="AD130" s="105" t="s">
        <v>2796</v>
      </c>
      <c r="AE130" s="105" t="s">
        <v>1789</v>
      </c>
    </row>
    <row r="131" spans="1:31" ht="13.6">
      <c r="A131" s="110"/>
      <c r="B131" s="110"/>
      <c r="D131" s="110"/>
      <c r="E131" s="98"/>
      <c r="R131" s="154"/>
      <c r="AB131" s="130" t="s">
        <v>2868</v>
      </c>
      <c r="AD131" s="105" t="s">
        <v>2794</v>
      </c>
      <c r="AE131" s="105" t="s">
        <v>1790</v>
      </c>
    </row>
    <row r="132" spans="1:31" ht="13.6">
      <c r="A132" s="110"/>
      <c r="B132" s="110"/>
      <c r="D132" s="110"/>
      <c r="E132" s="98"/>
      <c r="R132" s="154"/>
      <c r="AB132" s="130" t="s">
        <v>2869</v>
      </c>
      <c r="AD132" s="105" t="s">
        <v>2795</v>
      </c>
      <c r="AE132" s="105" t="s">
        <v>2626</v>
      </c>
    </row>
    <row r="133" spans="1:31" ht="13.6">
      <c r="A133" s="110"/>
      <c r="B133" s="110"/>
      <c r="D133" s="110"/>
      <c r="E133" s="98"/>
      <c r="R133" s="154"/>
      <c r="AB133" s="130" t="s">
        <v>2870</v>
      </c>
      <c r="AD133" s="105" t="s">
        <v>2796</v>
      </c>
      <c r="AE133" s="105" t="s">
        <v>2632</v>
      </c>
    </row>
    <row r="134" spans="1:31" ht="13.6">
      <c r="A134" s="110"/>
      <c r="B134" s="110"/>
      <c r="D134" s="110"/>
      <c r="E134" s="98"/>
      <c r="R134" s="154"/>
      <c r="AB134" s="105" t="s">
        <v>2979</v>
      </c>
      <c r="AD134" s="105" t="s">
        <v>2796</v>
      </c>
      <c r="AE134" s="105" t="s">
        <v>1791</v>
      </c>
    </row>
    <row r="135" spans="1:31" ht="13.6">
      <c r="A135" s="110"/>
      <c r="B135" s="110"/>
      <c r="D135" s="110"/>
      <c r="E135" s="98"/>
      <c r="R135" s="154"/>
      <c r="AB135" s="105" t="s">
        <v>2529</v>
      </c>
      <c r="AD135" s="105" t="s">
        <v>2800</v>
      </c>
      <c r="AE135" s="105" t="s">
        <v>28</v>
      </c>
    </row>
    <row r="136" spans="1:31" ht="13.6">
      <c r="A136" s="110"/>
      <c r="B136" s="110"/>
      <c r="D136" s="110"/>
      <c r="E136" s="98"/>
      <c r="R136" s="154"/>
      <c r="AB136" s="105" t="s">
        <v>2871</v>
      </c>
      <c r="AD136" s="105" t="s">
        <v>2800</v>
      </c>
      <c r="AE136" s="105" t="s">
        <v>29</v>
      </c>
    </row>
    <row r="137" spans="1:31" ht="13.6">
      <c r="A137" s="106"/>
      <c r="B137" s="106"/>
      <c r="D137" s="110"/>
      <c r="E137" s="98"/>
      <c r="R137" s="154"/>
      <c r="AB137" s="105" t="s">
        <v>2872</v>
      </c>
      <c r="AD137" s="105" t="s">
        <v>2797</v>
      </c>
      <c r="AE137" s="105" t="s">
        <v>30</v>
      </c>
    </row>
    <row r="138" spans="1:31" ht="13.6">
      <c r="A138" s="106"/>
      <c r="B138" s="106"/>
      <c r="D138" s="110"/>
      <c r="E138" s="98"/>
      <c r="R138" s="154"/>
      <c r="AB138" s="104" t="s">
        <v>2873</v>
      </c>
      <c r="AD138" s="105" t="s">
        <v>2800</v>
      </c>
      <c r="AE138" s="105" t="s">
        <v>31</v>
      </c>
    </row>
    <row r="139" spans="1:31" ht="13.6">
      <c r="A139" s="106"/>
      <c r="B139" s="106"/>
      <c r="D139" s="110"/>
      <c r="E139" s="98"/>
      <c r="R139" s="154"/>
      <c r="AB139" s="105" t="s">
        <v>2874</v>
      </c>
      <c r="AD139" s="105" t="s">
        <v>2798</v>
      </c>
      <c r="AE139" s="105" t="s">
        <v>32</v>
      </c>
    </row>
    <row r="140" spans="1:31" ht="13.6">
      <c r="A140" s="106"/>
      <c r="B140" s="106"/>
      <c r="D140" s="97"/>
      <c r="E140" s="98"/>
      <c r="R140" s="154"/>
      <c r="AB140" s="105" t="s">
        <v>2875</v>
      </c>
      <c r="AD140" s="105" t="s">
        <v>2800</v>
      </c>
      <c r="AE140" s="105" t="s">
        <v>33</v>
      </c>
    </row>
    <row r="141" spans="1:31" ht="13.6">
      <c r="A141" s="106"/>
      <c r="B141" s="106"/>
      <c r="D141" s="110"/>
      <c r="E141" s="98"/>
      <c r="R141" s="154"/>
      <c r="AB141" s="105" t="s">
        <v>2980</v>
      </c>
      <c r="AD141" s="105" t="s">
        <v>2800</v>
      </c>
      <c r="AE141" s="105" t="s">
        <v>34</v>
      </c>
    </row>
    <row r="142" spans="1:31" ht="13.6">
      <c r="A142" s="106"/>
      <c r="B142" s="106"/>
      <c r="D142" s="110"/>
      <c r="E142" s="98"/>
      <c r="R142" s="154"/>
      <c r="AB142" s="105" t="s">
        <v>2530</v>
      </c>
      <c r="AD142" s="105" t="s">
        <v>2800</v>
      </c>
      <c r="AE142" s="105" t="s">
        <v>35</v>
      </c>
    </row>
    <row r="143" spans="1:31" ht="13.6">
      <c r="D143" s="110"/>
      <c r="E143" s="98"/>
      <c r="R143" s="154"/>
      <c r="AB143" s="107" t="s">
        <v>2876</v>
      </c>
      <c r="AD143" s="105" t="s">
        <v>2800</v>
      </c>
      <c r="AE143" s="105" t="s">
        <v>36</v>
      </c>
    </row>
    <row r="144" spans="1:31" ht="13.6">
      <c r="D144" s="110"/>
      <c r="E144" s="98"/>
      <c r="R144" s="154"/>
      <c r="AB144" s="107" t="s">
        <v>2877</v>
      </c>
      <c r="AD144" s="105" t="s">
        <v>2800</v>
      </c>
      <c r="AE144" s="105" t="s">
        <v>37</v>
      </c>
    </row>
    <row r="145" spans="4:31" s="105" customFormat="1" ht="13.6">
      <c r="D145" s="110"/>
      <c r="E145" s="98"/>
      <c r="G145" s="99"/>
      <c r="H145" s="99"/>
      <c r="K145" s="99"/>
      <c r="L145" s="96"/>
      <c r="O145" s="111"/>
      <c r="P145" s="111"/>
      <c r="R145" s="154"/>
      <c r="S145" s="111"/>
      <c r="T145" s="101"/>
      <c r="AB145" s="105" t="s">
        <v>2878</v>
      </c>
      <c r="AD145" s="105" t="s">
        <v>2800</v>
      </c>
      <c r="AE145" s="105" t="s">
        <v>38</v>
      </c>
    </row>
    <row r="146" spans="4:31" s="105" customFormat="1" ht="13.6">
      <c r="D146" s="97"/>
      <c r="E146" s="98"/>
      <c r="G146" s="99"/>
      <c r="H146" s="99"/>
      <c r="K146" s="99"/>
      <c r="L146" s="96"/>
      <c r="O146" s="111"/>
      <c r="P146" s="111"/>
      <c r="R146" s="154"/>
      <c r="S146" s="111"/>
      <c r="T146" s="101"/>
      <c r="AB146" s="105" t="s">
        <v>2879</v>
      </c>
      <c r="AD146" s="105" t="s">
        <v>2800</v>
      </c>
      <c r="AE146" s="105" t="s">
        <v>39</v>
      </c>
    </row>
    <row r="147" spans="4:31" s="105" customFormat="1" ht="13.6">
      <c r="D147" s="110"/>
      <c r="E147" s="127"/>
      <c r="G147" s="99"/>
      <c r="H147" s="99"/>
      <c r="K147" s="99"/>
      <c r="L147" s="96"/>
      <c r="O147" s="111"/>
      <c r="P147" s="111"/>
      <c r="R147" s="154"/>
      <c r="S147" s="111"/>
      <c r="T147" s="101"/>
      <c r="AB147" s="105" t="s">
        <v>2880</v>
      </c>
      <c r="AD147" s="105" t="s">
        <v>2800</v>
      </c>
      <c r="AE147" s="105" t="s">
        <v>40</v>
      </c>
    </row>
    <row r="148" spans="4:31" s="105" customFormat="1" ht="13.6">
      <c r="D148" s="110"/>
      <c r="E148" s="127"/>
      <c r="G148" s="99"/>
      <c r="H148" s="99"/>
      <c r="K148" s="99"/>
      <c r="L148" s="96"/>
      <c r="O148" s="111"/>
      <c r="P148" s="111"/>
      <c r="R148" s="154"/>
      <c r="S148" s="111"/>
      <c r="T148" s="101"/>
      <c r="AB148" s="105" t="s">
        <v>2981</v>
      </c>
      <c r="AD148" s="105" t="s">
        <v>2800</v>
      </c>
      <c r="AE148" s="105" t="s">
        <v>41</v>
      </c>
    </row>
    <row r="149" spans="4:31" s="105" customFormat="1" ht="13.6">
      <c r="D149" s="110"/>
      <c r="E149" s="127"/>
      <c r="G149" s="99"/>
      <c r="H149" s="99"/>
      <c r="K149" s="99"/>
      <c r="L149" s="96"/>
      <c r="O149" s="111"/>
      <c r="P149" s="111"/>
      <c r="R149" s="154"/>
      <c r="S149" s="111"/>
      <c r="T149" s="101"/>
      <c r="AB149" s="105" t="s">
        <v>2531</v>
      </c>
      <c r="AD149" s="105" t="s">
        <v>2802</v>
      </c>
      <c r="AE149" s="105" t="s">
        <v>0</v>
      </c>
    </row>
    <row r="150" spans="4:31" s="105" customFormat="1" ht="13.6">
      <c r="D150" s="110"/>
      <c r="E150" s="127"/>
      <c r="G150" s="99"/>
      <c r="H150" s="99"/>
      <c r="K150" s="99"/>
      <c r="L150" s="96"/>
      <c r="O150" s="111"/>
      <c r="P150" s="111"/>
      <c r="R150" s="154"/>
      <c r="S150" s="111"/>
      <c r="T150" s="101"/>
      <c r="AB150" s="105" t="s">
        <v>2881</v>
      </c>
      <c r="AD150" s="105" t="s">
        <v>2802</v>
      </c>
      <c r="AE150" s="105" t="s">
        <v>42</v>
      </c>
    </row>
    <row r="151" spans="4:31" s="105" customFormat="1" ht="13.6">
      <c r="D151" s="110"/>
      <c r="E151" s="127"/>
      <c r="G151" s="99"/>
      <c r="H151" s="99"/>
      <c r="K151" s="99"/>
      <c r="L151" s="96"/>
      <c r="O151" s="111"/>
      <c r="P151" s="111"/>
      <c r="R151" s="154"/>
      <c r="S151" s="111"/>
      <c r="T151" s="101"/>
      <c r="AB151" s="107" t="s">
        <v>2882</v>
      </c>
      <c r="AD151" s="105" t="s">
        <v>2802</v>
      </c>
      <c r="AE151" s="105" t="s">
        <v>43</v>
      </c>
    </row>
    <row r="152" spans="4:31" s="105" customFormat="1">
      <c r="D152" s="122"/>
      <c r="E152" s="117"/>
      <c r="G152" s="99"/>
      <c r="H152" s="99"/>
      <c r="K152" s="99"/>
      <c r="L152" s="96"/>
      <c r="O152" s="111"/>
      <c r="P152" s="111"/>
      <c r="R152" s="154"/>
      <c r="S152" s="111"/>
      <c r="T152" s="101"/>
      <c r="AB152" s="130" t="s">
        <v>2883</v>
      </c>
      <c r="AD152" s="105" t="s">
        <v>2802</v>
      </c>
      <c r="AE152" s="105" t="s">
        <v>2558</v>
      </c>
    </row>
    <row r="153" spans="4:31" s="105" customFormat="1">
      <c r="D153" s="122"/>
      <c r="E153" s="117"/>
      <c r="G153" s="99"/>
      <c r="H153" s="99"/>
      <c r="K153" s="99"/>
      <c r="L153" s="96"/>
      <c r="O153" s="111"/>
      <c r="P153" s="111"/>
      <c r="R153" s="154"/>
      <c r="S153" s="111"/>
      <c r="T153" s="101"/>
      <c r="AB153" s="109" t="s">
        <v>2884</v>
      </c>
      <c r="AD153" s="105" t="s">
        <v>2799</v>
      </c>
      <c r="AE153" s="105" t="s">
        <v>44</v>
      </c>
    </row>
    <row r="154" spans="4:31" s="105" customFormat="1">
      <c r="D154" s="122"/>
      <c r="E154" s="117"/>
      <c r="G154" s="99"/>
      <c r="H154" s="99"/>
      <c r="K154" s="99"/>
      <c r="L154" s="96"/>
      <c r="O154" s="111"/>
      <c r="P154" s="111"/>
      <c r="R154" s="154"/>
      <c r="S154" s="111"/>
      <c r="T154" s="101"/>
      <c r="AB154" s="130" t="s">
        <v>2885</v>
      </c>
      <c r="AD154" s="105" t="s">
        <v>2799</v>
      </c>
      <c r="AE154" s="105" t="s">
        <v>45</v>
      </c>
    </row>
    <row r="155" spans="4:31" s="105" customFormat="1">
      <c r="D155" s="122"/>
      <c r="E155" s="117"/>
      <c r="G155" s="99"/>
      <c r="H155" s="99"/>
      <c r="K155" s="99"/>
      <c r="L155" s="96"/>
      <c r="O155" s="111"/>
      <c r="P155" s="111"/>
      <c r="R155" s="154"/>
      <c r="S155" s="111"/>
      <c r="T155" s="101"/>
      <c r="AB155" s="130" t="s">
        <v>2982</v>
      </c>
      <c r="AD155" s="105" t="s">
        <v>2800</v>
      </c>
      <c r="AE155" s="105" t="s">
        <v>46</v>
      </c>
    </row>
    <row r="156" spans="4:31" s="105" customFormat="1">
      <c r="D156" s="122"/>
      <c r="E156" s="117"/>
      <c r="G156" s="99"/>
      <c r="H156" s="99"/>
      <c r="K156" s="99"/>
      <c r="L156" s="96"/>
      <c r="O156" s="111"/>
      <c r="P156" s="111"/>
      <c r="R156" s="154"/>
      <c r="S156" s="111"/>
      <c r="T156" s="101"/>
      <c r="AB156" s="105" t="s">
        <v>2532</v>
      </c>
      <c r="AD156" s="105" t="s">
        <v>2800</v>
      </c>
      <c r="AE156" s="105" t="s">
        <v>47</v>
      </c>
    </row>
    <row r="157" spans="4:31" s="105" customFormat="1">
      <c r="D157" s="122"/>
      <c r="E157" s="117"/>
      <c r="G157" s="99"/>
      <c r="H157" s="99"/>
      <c r="K157" s="99"/>
      <c r="L157" s="96"/>
      <c r="O157" s="111"/>
      <c r="P157" s="111"/>
      <c r="R157" s="154"/>
      <c r="S157" s="111"/>
      <c r="T157" s="101"/>
      <c r="AB157" s="105" t="s">
        <v>2280</v>
      </c>
      <c r="AD157" s="105" t="s">
        <v>2800</v>
      </c>
      <c r="AE157" s="105" t="s">
        <v>48</v>
      </c>
    </row>
    <row r="158" spans="4:31" s="105" customFormat="1">
      <c r="D158" s="122"/>
      <c r="E158" s="117"/>
      <c r="G158" s="99"/>
      <c r="H158" s="99"/>
      <c r="K158" s="99"/>
      <c r="L158" s="96"/>
      <c r="O158" s="111"/>
      <c r="P158" s="111"/>
      <c r="R158" s="154"/>
      <c r="S158" s="111"/>
      <c r="T158" s="101"/>
      <c r="AB158" s="105" t="s">
        <v>2281</v>
      </c>
      <c r="AD158" s="105" t="s">
        <v>2800</v>
      </c>
      <c r="AE158" s="105" t="s">
        <v>49</v>
      </c>
    </row>
    <row r="159" spans="4:31" s="105" customFormat="1">
      <c r="D159" s="122"/>
      <c r="E159" s="117"/>
      <c r="G159" s="99"/>
      <c r="H159" s="99"/>
      <c r="K159" s="99"/>
      <c r="L159" s="96"/>
      <c r="O159" s="111"/>
      <c r="P159" s="111"/>
      <c r="R159" s="154"/>
      <c r="S159" s="111"/>
      <c r="T159" s="101"/>
      <c r="AB159" s="105" t="s">
        <v>2282</v>
      </c>
      <c r="AD159" s="105" t="s">
        <v>2800</v>
      </c>
      <c r="AE159" s="105" t="s">
        <v>50</v>
      </c>
    </row>
    <row r="160" spans="4:31" s="105" customFormat="1">
      <c r="D160" s="122"/>
      <c r="E160" s="117"/>
      <c r="G160" s="99"/>
      <c r="H160" s="99"/>
      <c r="K160" s="99"/>
      <c r="L160" s="96"/>
      <c r="O160" s="111"/>
      <c r="P160" s="111"/>
      <c r="R160" s="154"/>
      <c r="S160" s="111"/>
      <c r="T160" s="101"/>
      <c r="AB160" s="105" t="s">
        <v>2283</v>
      </c>
      <c r="AD160" s="105" t="s">
        <v>2801</v>
      </c>
      <c r="AE160" s="105" t="s">
        <v>51</v>
      </c>
    </row>
    <row r="161" spans="5:31" s="105" customFormat="1">
      <c r="E161" s="117"/>
      <c r="G161" s="99"/>
      <c r="H161" s="99"/>
      <c r="K161" s="99"/>
      <c r="L161" s="96"/>
      <c r="O161" s="111"/>
      <c r="P161" s="111"/>
      <c r="R161" s="154"/>
      <c r="S161" s="111"/>
      <c r="T161" s="101"/>
      <c r="AB161" s="130" t="s">
        <v>2284</v>
      </c>
      <c r="AD161" s="105" t="s">
        <v>2808</v>
      </c>
      <c r="AE161" s="105" t="s">
        <v>52</v>
      </c>
    </row>
    <row r="162" spans="5:31" s="105" customFormat="1">
      <c r="E162" s="117"/>
      <c r="G162" s="99"/>
      <c r="H162" s="99"/>
      <c r="K162" s="99"/>
      <c r="L162" s="96"/>
      <c r="O162" s="111"/>
      <c r="P162" s="111"/>
      <c r="R162" s="154"/>
      <c r="S162" s="111"/>
      <c r="T162" s="101"/>
      <c r="AB162" s="130" t="s">
        <v>2285</v>
      </c>
      <c r="AD162" s="105" t="s">
        <v>2808</v>
      </c>
      <c r="AE162" s="105" t="s">
        <v>53</v>
      </c>
    </row>
    <row r="163" spans="5:31" s="105" customFormat="1">
      <c r="E163" s="117"/>
      <c r="G163" s="99"/>
      <c r="H163" s="99"/>
      <c r="K163" s="99"/>
      <c r="L163" s="96"/>
      <c r="O163" s="111"/>
      <c r="P163" s="111"/>
      <c r="R163" s="154"/>
      <c r="S163" s="111"/>
      <c r="T163" s="101"/>
      <c r="AB163" s="130" t="s">
        <v>2286</v>
      </c>
      <c r="AD163" s="105" t="s">
        <v>2808</v>
      </c>
      <c r="AE163" s="105" t="s">
        <v>54</v>
      </c>
    </row>
    <row r="164" spans="5:31" s="105" customFormat="1">
      <c r="E164" s="117"/>
      <c r="G164" s="99"/>
      <c r="H164" s="99"/>
      <c r="K164" s="99"/>
      <c r="L164" s="96"/>
      <c r="O164" s="111"/>
      <c r="P164" s="111"/>
      <c r="R164" s="154"/>
      <c r="S164" s="111"/>
      <c r="T164" s="101"/>
      <c r="AB164" s="105" t="s">
        <v>2287</v>
      </c>
      <c r="AD164" s="105" t="s">
        <v>2808</v>
      </c>
      <c r="AE164" s="105" t="s">
        <v>55</v>
      </c>
    </row>
    <row r="165" spans="5:31" s="105" customFormat="1">
      <c r="E165" s="117"/>
      <c r="G165" s="99"/>
      <c r="H165" s="99"/>
      <c r="K165" s="99"/>
      <c r="L165" s="96"/>
      <c r="O165" s="111"/>
      <c r="P165" s="111"/>
      <c r="R165" s="154"/>
      <c r="S165" s="111"/>
      <c r="T165" s="101"/>
      <c r="AB165" s="105" t="s">
        <v>2886</v>
      </c>
      <c r="AD165" s="105" t="s">
        <v>2808</v>
      </c>
      <c r="AE165" s="105" t="s">
        <v>56</v>
      </c>
    </row>
    <row r="166" spans="5:31" s="105" customFormat="1">
      <c r="E166" s="117"/>
      <c r="G166" s="99"/>
      <c r="H166" s="99"/>
      <c r="K166" s="99"/>
      <c r="L166" s="96"/>
      <c r="O166" s="111"/>
      <c r="P166" s="111"/>
      <c r="R166" s="154"/>
      <c r="S166" s="111"/>
      <c r="T166" s="101"/>
      <c r="AB166" s="105" t="s">
        <v>2887</v>
      </c>
      <c r="AD166" s="105" t="s">
        <v>2808</v>
      </c>
      <c r="AE166" s="105" t="s">
        <v>2238</v>
      </c>
    </row>
    <row r="167" spans="5:31" s="105" customFormat="1">
      <c r="E167" s="117"/>
      <c r="G167" s="99"/>
      <c r="H167" s="99"/>
      <c r="K167" s="99"/>
      <c r="L167" s="96"/>
      <c r="O167" s="111"/>
      <c r="P167" s="111"/>
      <c r="R167" s="154"/>
      <c r="S167" s="111"/>
      <c r="T167" s="101"/>
      <c r="AB167" s="105" t="s">
        <v>2888</v>
      </c>
      <c r="AD167" s="105" t="s">
        <v>2808</v>
      </c>
      <c r="AE167" s="105" t="s">
        <v>2569</v>
      </c>
    </row>
    <row r="168" spans="5:31" s="105" customFormat="1">
      <c r="E168" s="117"/>
      <c r="G168" s="99"/>
      <c r="H168" s="99"/>
      <c r="K168" s="99"/>
      <c r="L168" s="96"/>
      <c r="O168" s="111"/>
      <c r="P168" s="111"/>
      <c r="R168" s="154"/>
      <c r="S168" s="111"/>
      <c r="T168" s="101"/>
      <c r="AB168" s="104" t="s">
        <v>2889</v>
      </c>
      <c r="AD168" s="105" t="s">
        <v>2808</v>
      </c>
      <c r="AE168" s="105" t="s">
        <v>2575</v>
      </c>
    </row>
    <row r="169" spans="5:31" s="105" customFormat="1">
      <c r="E169" s="117"/>
      <c r="G169" s="99"/>
      <c r="H169" s="99"/>
      <c r="K169" s="99"/>
      <c r="L169" s="96"/>
      <c r="O169" s="111"/>
      <c r="P169" s="111"/>
      <c r="R169" s="154"/>
      <c r="S169" s="111"/>
      <c r="T169" s="101"/>
      <c r="AB169" s="105" t="s">
        <v>2890</v>
      </c>
      <c r="AD169" s="105" t="s">
        <v>2808</v>
      </c>
      <c r="AE169" s="105" t="s">
        <v>2581</v>
      </c>
    </row>
    <row r="170" spans="5:31" s="105" customFormat="1">
      <c r="E170" s="117"/>
      <c r="G170" s="99"/>
      <c r="H170" s="99"/>
      <c r="K170" s="99"/>
      <c r="L170" s="96"/>
      <c r="O170" s="111"/>
      <c r="P170" s="111"/>
      <c r="R170" s="154"/>
      <c r="S170" s="111"/>
      <c r="T170" s="101"/>
      <c r="AB170" s="105" t="s">
        <v>2983</v>
      </c>
      <c r="AD170" s="105" t="s">
        <v>2803</v>
      </c>
      <c r="AE170" s="105" t="s">
        <v>57</v>
      </c>
    </row>
    <row r="171" spans="5:31" s="105" customFormat="1">
      <c r="E171" s="117"/>
      <c r="G171" s="99"/>
      <c r="H171" s="99"/>
      <c r="K171" s="99"/>
      <c r="L171" s="96"/>
      <c r="O171" s="111"/>
      <c r="P171" s="111"/>
      <c r="R171" s="154"/>
      <c r="S171" s="111"/>
      <c r="T171" s="101"/>
      <c r="AB171" s="105" t="s">
        <v>2533</v>
      </c>
      <c r="AD171" s="105" t="s">
        <v>2803</v>
      </c>
      <c r="AE171" s="105" t="s">
        <v>58</v>
      </c>
    </row>
    <row r="172" spans="5:31" s="105" customFormat="1" ht="13.6">
      <c r="E172" s="117"/>
      <c r="G172" s="99"/>
      <c r="H172" s="99"/>
      <c r="K172" s="99"/>
      <c r="L172" s="96"/>
      <c r="O172" s="111"/>
      <c r="P172" s="111"/>
      <c r="R172" s="154"/>
      <c r="S172" s="111"/>
      <c r="T172" s="101"/>
      <c r="AB172" s="107" t="s">
        <v>2891</v>
      </c>
      <c r="AD172" s="105" t="s">
        <v>2803</v>
      </c>
      <c r="AE172" s="105" t="s">
        <v>59</v>
      </c>
    </row>
    <row r="173" spans="5:31" s="105" customFormat="1" ht="13.6">
      <c r="E173" s="117"/>
      <c r="G173" s="99"/>
      <c r="H173" s="99"/>
      <c r="K173" s="99"/>
      <c r="L173" s="96"/>
      <c r="O173" s="111"/>
      <c r="P173" s="111"/>
      <c r="R173" s="154"/>
      <c r="S173" s="111"/>
      <c r="T173" s="101"/>
      <c r="AB173" s="107" t="s">
        <v>2892</v>
      </c>
      <c r="AD173" s="105" t="s">
        <v>2803</v>
      </c>
      <c r="AE173" s="105" t="s">
        <v>60</v>
      </c>
    </row>
    <row r="174" spans="5:31" s="105" customFormat="1" ht="13.6">
      <c r="E174" s="117"/>
      <c r="G174" s="99"/>
      <c r="H174" s="99"/>
      <c r="K174" s="99"/>
      <c r="L174" s="96"/>
      <c r="O174" s="111"/>
      <c r="P174" s="111"/>
      <c r="R174" s="154"/>
      <c r="S174" s="111"/>
      <c r="T174" s="101"/>
      <c r="AB174" s="107" t="s">
        <v>2893</v>
      </c>
      <c r="AD174" s="105" t="s">
        <v>2804</v>
      </c>
      <c r="AE174" s="105" t="s">
        <v>63</v>
      </c>
    </row>
    <row r="175" spans="5:31" s="105" customFormat="1" ht="13.6">
      <c r="E175" s="117"/>
      <c r="G175" s="99"/>
      <c r="H175" s="99"/>
      <c r="K175" s="99"/>
      <c r="L175" s="96"/>
      <c r="O175" s="111"/>
      <c r="P175" s="111"/>
      <c r="R175" s="154"/>
      <c r="S175" s="111"/>
      <c r="T175" s="101"/>
      <c r="AB175" s="107" t="s">
        <v>2894</v>
      </c>
      <c r="AD175" s="105" t="s">
        <v>2808</v>
      </c>
      <c r="AE175" s="105" t="s">
        <v>2588</v>
      </c>
    </row>
    <row r="176" spans="5:31" s="105" customFormat="1" ht="13.6">
      <c r="E176" s="117"/>
      <c r="G176" s="99"/>
      <c r="H176" s="99"/>
      <c r="K176" s="99"/>
      <c r="L176" s="96"/>
      <c r="O176" s="111"/>
      <c r="P176" s="111"/>
      <c r="R176" s="154"/>
      <c r="S176" s="111"/>
      <c r="T176" s="101"/>
      <c r="AB176" s="107" t="s">
        <v>2895</v>
      </c>
      <c r="AD176" s="105" t="s">
        <v>2805</v>
      </c>
      <c r="AE176" s="105" t="s">
        <v>64</v>
      </c>
    </row>
    <row r="177" spans="4:31" s="105" customFormat="1" ht="13.6">
      <c r="D177" s="122"/>
      <c r="E177" s="117"/>
      <c r="G177" s="99"/>
      <c r="H177" s="99"/>
      <c r="K177" s="99"/>
      <c r="L177" s="96"/>
      <c r="O177" s="111"/>
      <c r="P177" s="111"/>
      <c r="R177" s="154"/>
      <c r="S177" s="111"/>
      <c r="T177" s="101"/>
      <c r="AB177" s="107" t="s">
        <v>2984</v>
      </c>
      <c r="AD177" s="105" t="s">
        <v>2806</v>
      </c>
      <c r="AE177" s="105" t="s">
        <v>61</v>
      </c>
    </row>
    <row r="178" spans="4:31" s="105" customFormat="1" ht="13.6">
      <c r="D178" s="122"/>
      <c r="E178" s="117"/>
      <c r="G178" s="99"/>
      <c r="H178" s="99"/>
      <c r="K178" s="99"/>
      <c r="L178" s="96"/>
      <c r="O178" s="111"/>
      <c r="P178" s="111"/>
      <c r="R178" s="154"/>
      <c r="S178" s="111"/>
      <c r="T178" s="101"/>
      <c r="AB178" s="107" t="s">
        <v>2534</v>
      </c>
      <c r="AD178" s="105" t="s">
        <v>2807</v>
      </c>
      <c r="AE178" s="105" t="s">
        <v>62</v>
      </c>
    </row>
    <row r="179" spans="4:31" s="105" customFormat="1" ht="13.6">
      <c r="D179" s="122"/>
      <c r="E179" s="117"/>
      <c r="G179" s="99"/>
      <c r="H179" s="99"/>
      <c r="K179" s="99"/>
      <c r="L179" s="96"/>
      <c r="O179" s="111"/>
      <c r="P179" s="111"/>
      <c r="R179" s="154"/>
      <c r="S179" s="111"/>
      <c r="T179" s="101"/>
      <c r="AB179" s="107" t="s">
        <v>2896</v>
      </c>
      <c r="AD179" s="105" t="s">
        <v>2808</v>
      </c>
      <c r="AE179" s="105" t="s">
        <v>65</v>
      </c>
    </row>
    <row r="180" spans="4:31" s="105" customFormat="1" ht="13.6">
      <c r="D180" s="108"/>
      <c r="E180" s="117"/>
      <c r="G180" s="99"/>
      <c r="H180" s="99"/>
      <c r="K180" s="99"/>
      <c r="L180" s="96"/>
      <c r="O180" s="111"/>
      <c r="P180" s="111"/>
      <c r="R180" s="154"/>
      <c r="S180" s="111"/>
      <c r="T180" s="101"/>
      <c r="AB180" s="107" t="s">
        <v>2897</v>
      </c>
      <c r="AD180" s="105" t="s">
        <v>2815</v>
      </c>
      <c r="AE180" s="105" t="s">
        <v>66</v>
      </c>
    </row>
    <row r="181" spans="4:31" s="105" customFormat="1" ht="13.6">
      <c r="D181" s="108"/>
      <c r="E181" s="117"/>
      <c r="G181" s="99"/>
      <c r="H181" s="99"/>
      <c r="K181" s="99"/>
      <c r="L181" s="96"/>
      <c r="O181" s="111"/>
      <c r="P181" s="111"/>
      <c r="R181" s="154"/>
      <c r="S181" s="111"/>
      <c r="T181" s="101"/>
      <c r="AB181" s="107" t="s">
        <v>2898</v>
      </c>
      <c r="AD181" s="105" t="s">
        <v>2815</v>
      </c>
      <c r="AE181" s="105" t="s">
        <v>67</v>
      </c>
    </row>
    <row r="182" spans="4:31" s="105" customFormat="1" ht="13.6">
      <c r="D182" s="108"/>
      <c r="E182" s="117"/>
      <c r="G182" s="99"/>
      <c r="H182" s="99"/>
      <c r="K182" s="99"/>
      <c r="L182" s="96"/>
      <c r="O182" s="111"/>
      <c r="P182" s="111"/>
      <c r="R182" s="154"/>
      <c r="S182" s="111"/>
      <c r="T182" s="101"/>
      <c r="AB182" s="107" t="s">
        <v>2899</v>
      </c>
      <c r="AD182" s="105" t="s">
        <v>2815</v>
      </c>
      <c r="AE182" s="105" t="s">
        <v>68</v>
      </c>
    </row>
    <row r="183" spans="4:31" s="105" customFormat="1" ht="13.6">
      <c r="D183" s="108"/>
      <c r="E183" s="117"/>
      <c r="G183" s="99"/>
      <c r="H183" s="99"/>
      <c r="K183" s="99"/>
      <c r="L183" s="96"/>
      <c r="O183" s="111"/>
      <c r="P183" s="111"/>
      <c r="R183" s="154"/>
      <c r="S183" s="111"/>
      <c r="T183" s="101"/>
      <c r="AB183" s="107" t="s">
        <v>2900</v>
      </c>
      <c r="AD183" s="105" t="s">
        <v>2815</v>
      </c>
      <c r="AE183" s="105" t="s">
        <v>69</v>
      </c>
    </row>
    <row r="184" spans="4:31" s="105" customFormat="1" ht="13.6">
      <c r="D184" s="108"/>
      <c r="E184" s="117"/>
      <c r="G184" s="99"/>
      <c r="H184" s="99"/>
      <c r="K184" s="99"/>
      <c r="L184" s="96"/>
      <c r="O184" s="111"/>
      <c r="P184" s="111"/>
      <c r="R184" s="154"/>
      <c r="S184" s="111"/>
      <c r="T184" s="101"/>
      <c r="AB184" s="107" t="s">
        <v>2985</v>
      </c>
      <c r="AD184" s="105" t="s">
        <v>2815</v>
      </c>
      <c r="AE184" s="105" t="s">
        <v>70</v>
      </c>
    </row>
    <row r="185" spans="4:31" s="105" customFormat="1" ht="13.6">
      <c r="D185" s="108"/>
      <c r="E185" s="117"/>
      <c r="G185" s="99"/>
      <c r="H185" s="99"/>
      <c r="K185" s="99"/>
      <c r="L185" s="96"/>
      <c r="O185" s="111"/>
      <c r="P185" s="111"/>
      <c r="R185" s="154"/>
      <c r="S185" s="111"/>
      <c r="T185" s="101"/>
      <c r="AB185" s="107" t="s">
        <v>2535</v>
      </c>
      <c r="AD185" s="105" t="s">
        <v>2815</v>
      </c>
      <c r="AE185" s="105" t="s">
        <v>2597</v>
      </c>
    </row>
    <row r="186" spans="4:31" s="105" customFormat="1" ht="14.3" thickBot="1">
      <c r="D186" s="108"/>
      <c r="E186" s="117"/>
      <c r="G186" s="99"/>
      <c r="H186" s="99"/>
      <c r="K186" s="99"/>
      <c r="L186" s="96"/>
      <c r="O186" s="111"/>
      <c r="P186" s="111"/>
      <c r="R186" s="154"/>
      <c r="S186" s="111"/>
      <c r="T186" s="101"/>
      <c r="AB186" s="107" t="s">
        <v>2901</v>
      </c>
      <c r="AD186" s="105" t="s">
        <v>2520</v>
      </c>
      <c r="AE186" s="125" t="s">
        <v>71</v>
      </c>
    </row>
    <row r="187" spans="4:31" s="105" customFormat="1">
      <c r="D187" s="108"/>
      <c r="E187" s="117"/>
      <c r="G187" s="99"/>
      <c r="H187" s="99"/>
      <c r="K187" s="99"/>
      <c r="L187" s="96"/>
      <c r="O187" s="111"/>
      <c r="P187" s="111"/>
      <c r="R187" s="154"/>
      <c r="S187" s="111"/>
      <c r="T187" s="101"/>
      <c r="AB187" s="105" t="s">
        <v>2902</v>
      </c>
      <c r="AD187" s="105" t="s">
        <v>2520</v>
      </c>
      <c r="AE187" s="105" t="s">
        <v>72</v>
      </c>
    </row>
    <row r="188" spans="4:31" s="105" customFormat="1">
      <c r="D188" s="108"/>
      <c r="E188" s="117"/>
      <c r="G188" s="99"/>
      <c r="H188" s="99"/>
      <c r="K188" s="99"/>
      <c r="L188" s="96"/>
      <c r="O188" s="111"/>
      <c r="P188" s="111"/>
      <c r="R188" s="154"/>
      <c r="S188" s="111"/>
      <c r="T188" s="101"/>
      <c r="AB188" s="105" t="s">
        <v>2903</v>
      </c>
      <c r="AD188" s="105" t="s">
        <v>2520</v>
      </c>
      <c r="AE188" s="105" t="s">
        <v>73</v>
      </c>
    </row>
    <row r="189" spans="4:31" s="105" customFormat="1">
      <c r="D189" s="108"/>
      <c r="E189" s="117"/>
      <c r="G189" s="99"/>
      <c r="H189" s="99"/>
      <c r="K189" s="99"/>
      <c r="L189" s="96"/>
      <c r="O189" s="111"/>
      <c r="P189" s="111"/>
      <c r="R189" s="154"/>
      <c r="S189" s="111"/>
      <c r="T189" s="101"/>
      <c r="AB189" s="105" t="s">
        <v>2904</v>
      </c>
      <c r="AD189" s="105" t="s">
        <v>2815</v>
      </c>
      <c r="AE189" s="105" t="s">
        <v>2604</v>
      </c>
    </row>
    <row r="190" spans="4:31" s="105" customFormat="1">
      <c r="D190" s="108"/>
      <c r="E190" s="117"/>
      <c r="G190" s="99"/>
      <c r="H190" s="99"/>
      <c r="K190" s="99"/>
      <c r="L190" s="96"/>
      <c r="O190" s="111"/>
      <c r="P190" s="111"/>
      <c r="R190" s="154"/>
      <c r="S190" s="111"/>
      <c r="T190" s="101"/>
      <c r="AB190" s="105" t="s">
        <v>2905</v>
      </c>
      <c r="AD190" s="105" t="s">
        <v>2809</v>
      </c>
      <c r="AE190" s="105" t="s">
        <v>2239</v>
      </c>
    </row>
    <row r="191" spans="4:31" s="105" customFormat="1">
      <c r="D191" s="108"/>
      <c r="E191" s="117"/>
      <c r="G191" s="99"/>
      <c r="H191" s="99"/>
      <c r="K191" s="99"/>
      <c r="L191" s="96"/>
      <c r="O191" s="111"/>
      <c r="P191" s="111"/>
      <c r="R191" s="154"/>
      <c r="S191" s="111"/>
      <c r="T191" s="101"/>
      <c r="AB191" s="105" t="s">
        <v>2986</v>
      </c>
      <c r="AD191" s="105" t="s">
        <v>2810</v>
      </c>
      <c r="AE191" s="105" t="s">
        <v>74</v>
      </c>
    </row>
    <row r="192" spans="4:31" s="105" customFormat="1">
      <c r="D192" s="108"/>
      <c r="E192" s="117"/>
      <c r="G192" s="99"/>
      <c r="H192" s="99"/>
      <c r="K192" s="99"/>
      <c r="L192" s="96"/>
      <c r="O192" s="111"/>
      <c r="P192" s="111"/>
      <c r="R192" s="154"/>
      <c r="S192" s="111"/>
      <c r="T192" s="101"/>
      <c r="AB192" s="105" t="s">
        <v>2536</v>
      </c>
      <c r="AD192" s="105" t="s">
        <v>2811</v>
      </c>
      <c r="AE192" s="105" t="s">
        <v>246</v>
      </c>
    </row>
    <row r="193" spans="4:31" s="105" customFormat="1" ht="13.6">
      <c r="D193" s="108"/>
      <c r="E193" s="117"/>
      <c r="G193" s="99"/>
      <c r="H193" s="99"/>
      <c r="K193" s="99"/>
      <c r="L193" s="96"/>
      <c r="O193" s="111"/>
      <c r="P193" s="111"/>
      <c r="R193" s="154"/>
      <c r="S193" s="111"/>
      <c r="T193" s="101"/>
      <c r="AB193" s="107" t="s">
        <v>2906</v>
      </c>
      <c r="AD193" s="105" t="s">
        <v>2815</v>
      </c>
      <c r="AE193" s="105" t="s">
        <v>2612</v>
      </c>
    </row>
    <row r="194" spans="4:31" s="105" customFormat="1" ht="13.6">
      <c r="D194" s="108"/>
      <c r="E194" s="117"/>
      <c r="G194" s="99"/>
      <c r="H194" s="99"/>
      <c r="K194" s="99"/>
      <c r="L194" s="96"/>
      <c r="O194" s="111"/>
      <c r="P194" s="111"/>
      <c r="R194" s="154"/>
      <c r="S194" s="111"/>
      <c r="T194" s="101"/>
      <c r="AB194" s="107" t="s">
        <v>2907</v>
      </c>
      <c r="AD194" s="105" t="s">
        <v>2812</v>
      </c>
      <c r="AE194" s="105" t="s">
        <v>2322</v>
      </c>
    </row>
    <row r="195" spans="4:31" s="105" customFormat="1">
      <c r="D195" s="108"/>
      <c r="E195" s="117"/>
      <c r="G195" s="99"/>
      <c r="H195" s="99"/>
      <c r="K195" s="99"/>
      <c r="L195" s="96"/>
      <c r="O195" s="111"/>
      <c r="P195" s="111"/>
      <c r="R195" s="154"/>
      <c r="S195" s="111"/>
      <c r="T195" s="101"/>
      <c r="AB195" s="105" t="s">
        <v>2908</v>
      </c>
      <c r="AD195" s="105" t="s">
        <v>2815</v>
      </c>
      <c r="AE195" s="105" t="s">
        <v>75</v>
      </c>
    </row>
    <row r="196" spans="4:31" s="105" customFormat="1">
      <c r="D196" s="108"/>
      <c r="E196" s="117"/>
      <c r="G196" s="99"/>
      <c r="H196" s="99"/>
      <c r="K196" s="99"/>
      <c r="L196" s="96"/>
      <c r="O196" s="111"/>
      <c r="P196" s="111"/>
      <c r="R196" s="154"/>
      <c r="S196" s="111"/>
      <c r="T196" s="101"/>
      <c r="AB196" s="105" t="s">
        <v>2909</v>
      </c>
      <c r="AD196" s="105" t="s">
        <v>2813</v>
      </c>
      <c r="AE196" s="105" t="s">
        <v>76</v>
      </c>
    </row>
    <row r="197" spans="4:31" s="105" customFormat="1">
      <c r="D197" s="108"/>
      <c r="E197" s="117"/>
      <c r="G197" s="99"/>
      <c r="H197" s="99"/>
      <c r="K197" s="99"/>
      <c r="L197" s="96"/>
      <c r="O197" s="111"/>
      <c r="P197" s="111"/>
      <c r="R197" s="154"/>
      <c r="S197" s="111"/>
      <c r="T197" s="101"/>
      <c r="AB197" s="105" t="s">
        <v>2910</v>
      </c>
      <c r="AD197" s="105" t="s">
        <v>2814</v>
      </c>
      <c r="AE197" s="105" t="s">
        <v>2622</v>
      </c>
    </row>
    <row r="198" spans="4:31" s="105" customFormat="1">
      <c r="D198" s="108"/>
      <c r="E198" s="117"/>
      <c r="G198" s="99"/>
      <c r="H198" s="99"/>
      <c r="K198" s="99"/>
      <c r="L198" s="96"/>
      <c r="O198" s="111"/>
      <c r="P198" s="111"/>
      <c r="R198" s="154"/>
      <c r="S198" s="111"/>
      <c r="T198" s="101"/>
      <c r="AB198" s="104" t="s">
        <v>2987</v>
      </c>
      <c r="AD198" s="105" t="s">
        <v>2815</v>
      </c>
      <c r="AE198" s="105" t="s">
        <v>2628</v>
      </c>
    </row>
    <row r="199" spans="4:31" s="105" customFormat="1">
      <c r="D199" s="108"/>
      <c r="E199" s="117"/>
      <c r="G199" s="99"/>
      <c r="H199" s="99"/>
      <c r="K199" s="99"/>
      <c r="L199" s="96"/>
      <c r="O199" s="111"/>
      <c r="P199" s="111"/>
      <c r="R199" s="154"/>
      <c r="S199" s="111"/>
      <c r="T199" s="101"/>
      <c r="AB199" s="115" t="s">
        <v>2537</v>
      </c>
      <c r="AD199" s="105" t="s">
        <v>2815</v>
      </c>
      <c r="AE199" s="105" t="s">
        <v>77</v>
      </c>
    </row>
    <row r="200" spans="4:31" s="105" customFormat="1">
      <c r="D200" s="108"/>
      <c r="E200" s="117"/>
      <c r="G200" s="99"/>
      <c r="H200" s="99"/>
      <c r="K200" s="99"/>
      <c r="L200" s="96"/>
      <c r="O200" s="111"/>
      <c r="P200" s="111"/>
      <c r="R200" s="154"/>
      <c r="S200" s="111"/>
      <c r="T200" s="101"/>
      <c r="AB200" s="130" t="s">
        <v>2911</v>
      </c>
      <c r="AD200" s="105" t="s">
        <v>2272</v>
      </c>
      <c r="AE200" s="105" t="s">
        <v>1</v>
      </c>
    </row>
    <row r="201" spans="4:31" s="105" customFormat="1">
      <c r="D201" s="108"/>
      <c r="E201" s="117"/>
      <c r="G201" s="99"/>
      <c r="H201" s="99"/>
      <c r="K201" s="99"/>
      <c r="L201" s="96"/>
      <c r="O201" s="111"/>
      <c r="P201" s="111"/>
      <c r="R201" s="154"/>
      <c r="S201" s="111"/>
      <c r="T201" s="101"/>
      <c r="AB201" s="130" t="s">
        <v>2912</v>
      </c>
      <c r="AD201" s="105" t="s">
        <v>2273</v>
      </c>
      <c r="AE201" s="105" t="s">
        <v>927</v>
      </c>
    </row>
    <row r="202" spans="4:31" s="105" customFormat="1">
      <c r="D202" s="108"/>
      <c r="E202" s="117"/>
      <c r="G202" s="99"/>
      <c r="H202" s="99"/>
      <c r="K202" s="99"/>
      <c r="L202" s="96"/>
      <c r="O202" s="111"/>
      <c r="P202" s="111"/>
      <c r="R202" s="154"/>
      <c r="S202" s="111"/>
      <c r="T202" s="101"/>
      <c r="AB202" s="130" t="s">
        <v>2913</v>
      </c>
      <c r="AD202" s="105" t="s">
        <v>2274</v>
      </c>
      <c r="AE202" s="105" t="s">
        <v>928</v>
      </c>
    </row>
    <row r="203" spans="4:31" s="105" customFormat="1">
      <c r="D203" s="108"/>
      <c r="E203" s="117"/>
      <c r="G203" s="99"/>
      <c r="H203" s="99"/>
      <c r="K203" s="99"/>
      <c r="L203" s="96"/>
      <c r="O203" s="111"/>
      <c r="P203" s="111"/>
      <c r="R203" s="154"/>
      <c r="S203" s="111"/>
      <c r="T203" s="101"/>
      <c r="AB203" s="130" t="s">
        <v>2914</v>
      </c>
      <c r="AD203" s="105" t="s">
        <v>2275</v>
      </c>
      <c r="AE203" s="105" t="s">
        <v>929</v>
      </c>
    </row>
    <row r="204" spans="4:31" s="105" customFormat="1">
      <c r="D204" s="108"/>
      <c r="E204" s="117"/>
      <c r="G204" s="99"/>
      <c r="H204" s="99"/>
      <c r="K204" s="99"/>
      <c r="L204" s="96"/>
      <c r="O204" s="111"/>
      <c r="P204" s="111"/>
      <c r="R204" s="154"/>
      <c r="S204" s="111"/>
      <c r="T204" s="101"/>
      <c r="AB204" s="130" t="s">
        <v>2915</v>
      </c>
      <c r="AD204" s="105" t="s">
        <v>2276</v>
      </c>
      <c r="AE204" s="105" t="s">
        <v>930</v>
      </c>
    </row>
    <row r="205" spans="4:31" s="105" customFormat="1">
      <c r="D205" s="108"/>
      <c r="E205" s="117"/>
      <c r="G205" s="99"/>
      <c r="H205" s="99"/>
      <c r="K205" s="99"/>
      <c r="L205" s="96"/>
      <c r="O205" s="111"/>
      <c r="P205" s="111"/>
      <c r="R205" s="154"/>
      <c r="S205" s="111"/>
      <c r="T205" s="101"/>
      <c r="AB205" s="130" t="s">
        <v>2988</v>
      </c>
      <c r="AD205" s="105" t="s">
        <v>2277</v>
      </c>
      <c r="AE205" s="105" t="s">
        <v>931</v>
      </c>
    </row>
    <row r="206" spans="4:31" s="105" customFormat="1">
      <c r="D206" s="108"/>
      <c r="E206" s="117"/>
      <c r="G206" s="99"/>
      <c r="H206" s="99"/>
      <c r="K206" s="99"/>
      <c r="L206" s="96"/>
      <c r="O206" s="111"/>
      <c r="P206" s="111"/>
      <c r="R206" s="154"/>
      <c r="S206" s="111"/>
      <c r="T206" s="101"/>
      <c r="AB206" s="130" t="s">
        <v>2538</v>
      </c>
      <c r="AD206" s="105" t="s">
        <v>2278</v>
      </c>
      <c r="AE206" s="105" t="s">
        <v>2</v>
      </c>
    </row>
    <row r="207" spans="4:31" s="105" customFormat="1">
      <c r="D207" s="108"/>
      <c r="E207" s="117"/>
      <c r="G207" s="99"/>
      <c r="H207" s="99"/>
      <c r="K207" s="99"/>
      <c r="L207" s="96"/>
      <c r="O207" s="111"/>
      <c r="P207" s="111"/>
      <c r="R207" s="154"/>
      <c r="S207" s="111"/>
      <c r="T207" s="101"/>
      <c r="AB207" s="130" t="s">
        <v>2916</v>
      </c>
      <c r="AD207" s="105" t="s">
        <v>2279</v>
      </c>
      <c r="AE207" s="105" t="s">
        <v>236</v>
      </c>
    </row>
    <row r="208" spans="4:31" s="105" customFormat="1">
      <c r="D208" s="108"/>
      <c r="E208" s="117"/>
      <c r="G208" s="99"/>
      <c r="H208" s="99"/>
      <c r="K208" s="99"/>
      <c r="L208" s="96"/>
      <c r="O208" s="111"/>
      <c r="P208" s="111"/>
      <c r="R208" s="154"/>
      <c r="S208" s="111"/>
      <c r="T208" s="101"/>
      <c r="AB208" s="130" t="s">
        <v>2917</v>
      </c>
      <c r="AD208" s="105" t="s">
        <v>2971</v>
      </c>
      <c r="AE208" s="105" t="s">
        <v>247</v>
      </c>
    </row>
    <row r="209" spans="4:31" s="105" customFormat="1">
      <c r="D209" s="108"/>
      <c r="E209" s="117"/>
      <c r="G209" s="99"/>
      <c r="H209" s="99"/>
      <c r="K209" s="99"/>
      <c r="L209" s="96"/>
      <c r="O209" s="111"/>
      <c r="P209" s="111"/>
      <c r="R209" s="154"/>
      <c r="S209" s="111"/>
      <c r="T209" s="101"/>
      <c r="AB209" s="130" t="s">
        <v>2918</v>
      </c>
      <c r="AD209" s="105" t="s">
        <v>2971</v>
      </c>
      <c r="AE209" s="105" t="s">
        <v>248</v>
      </c>
    </row>
    <row r="210" spans="4:31" s="105" customFormat="1">
      <c r="D210" s="108"/>
      <c r="E210" s="117"/>
      <c r="G210" s="99"/>
      <c r="H210" s="99"/>
      <c r="K210" s="99"/>
      <c r="L210" s="96"/>
      <c r="O210" s="111"/>
      <c r="P210" s="111"/>
      <c r="R210" s="154"/>
      <c r="S210" s="111"/>
      <c r="T210" s="101"/>
      <c r="AB210" s="130" t="s">
        <v>2919</v>
      </c>
      <c r="AD210" s="105" t="s">
        <v>2830</v>
      </c>
      <c r="AE210" s="105" t="s">
        <v>249</v>
      </c>
    </row>
    <row r="211" spans="4:31" s="105" customFormat="1">
      <c r="D211" s="108"/>
      <c r="E211" s="117"/>
      <c r="G211" s="99"/>
      <c r="H211" s="99"/>
      <c r="K211" s="99"/>
      <c r="L211" s="96"/>
      <c r="O211" s="111"/>
      <c r="P211" s="111"/>
      <c r="R211" s="154"/>
      <c r="S211" s="111"/>
      <c r="T211" s="101"/>
      <c r="AB211" s="130" t="s">
        <v>2920</v>
      </c>
      <c r="AD211" s="105" t="s">
        <v>2830</v>
      </c>
      <c r="AE211" s="105" t="s">
        <v>250</v>
      </c>
    </row>
    <row r="212" spans="4:31" s="105" customFormat="1">
      <c r="D212" s="108"/>
      <c r="E212" s="117"/>
      <c r="G212" s="99"/>
      <c r="H212" s="99"/>
      <c r="K212" s="99"/>
      <c r="L212" s="96"/>
      <c r="O212" s="111"/>
      <c r="P212" s="111"/>
      <c r="R212" s="154"/>
      <c r="S212" s="111"/>
      <c r="T212" s="101"/>
      <c r="AB212" s="130" t="s">
        <v>2989</v>
      </c>
      <c r="AD212" s="105" t="s">
        <v>2971</v>
      </c>
      <c r="AE212" s="105" t="s">
        <v>251</v>
      </c>
    </row>
    <row r="213" spans="4:31" s="105" customFormat="1">
      <c r="D213" s="108"/>
      <c r="E213" s="117"/>
      <c r="G213" s="99"/>
      <c r="H213" s="99"/>
      <c r="K213" s="99"/>
      <c r="L213" s="96"/>
      <c r="O213" s="111"/>
      <c r="P213" s="111"/>
      <c r="R213" s="154"/>
      <c r="S213" s="111"/>
      <c r="T213" s="101"/>
      <c r="AB213" s="109" t="s">
        <v>2539</v>
      </c>
      <c r="AD213" s="105" t="s">
        <v>2971</v>
      </c>
      <c r="AE213" s="105" t="s">
        <v>252</v>
      </c>
    </row>
    <row r="214" spans="4:31" s="105" customFormat="1">
      <c r="D214" s="122"/>
      <c r="E214" s="128"/>
      <c r="G214" s="99"/>
      <c r="H214" s="99"/>
      <c r="K214" s="99"/>
      <c r="L214" s="96"/>
      <c r="O214" s="111"/>
      <c r="P214" s="111"/>
      <c r="R214" s="154"/>
      <c r="S214" s="111"/>
      <c r="T214" s="101"/>
      <c r="AB214" s="105" t="s">
        <v>2921</v>
      </c>
      <c r="AD214" s="105" t="s">
        <v>2971</v>
      </c>
      <c r="AE214" s="105" t="s">
        <v>253</v>
      </c>
    </row>
    <row r="215" spans="4:31" s="105" customFormat="1">
      <c r="D215" s="122"/>
      <c r="E215" s="128"/>
      <c r="G215" s="99"/>
      <c r="H215" s="99"/>
      <c r="K215" s="99"/>
      <c r="L215" s="96"/>
      <c r="O215" s="111"/>
      <c r="P215" s="111"/>
      <c r="R215" s="154"/>
      <c r="S215" s="111"/>
      <c r="T215" s="101"/>
      <c r="AB215" s="105" t="s">
        <v>2922</v>
      </c>
      <c r="AD215" s="105" t="s">
        <v>2971</v>
      </c>
      <c r="AE215" s="105" t="s">
        <v>2242</v>
      </c>
    </row>
    <row r="216" spans="4:31" s="105" customFormat="1">
      <c r="D216" s="122"/>
      <c r="E216" s="128"/>
      <c r="G216" s="99"/>
      <c r="H216" s="99"/>
      <c r="K216" s="99"/>
      <c r="L216" s="96"/>
      <c r="O216" s="111"/>
      <c r="P216" s="111"/>
      <c r="R216" s="154"/>
      <c r="S216" s="111"/>
      <c r="T216" s="101"/>
      <c r="AB216" s="105" t="s">
        <v>2923</v>
      </c>
      <c r="AD216" s="105" t="s">
        <v>2971</v>
      </c>
      <c r="AE216" s="105" t="s">
        <v>254</v>
      </c>
    </row>
    <row r="217" spans="4:31" s="105" customFormat="1">
      <c r="D217" s="122"/>
      <c r="E217" s="128"/>
      <c r="G217" s="99"/>
      <c r="H217" s="99"/>
      <c r="K217" s="99"/>
      <c r="L217" s="96"/>
      <c r="O217" s="111"/>
      <c r="P217" s="111"/>
      <c r="R217" s="154"/>
      <c r="S217" s="111"/>
      <c r="T217" s="101"/>
      <c r="AB217" s="105" t="s">
        <v>2924</v>
      </c>
      <c r="AD217" s="105" t="s">
        <v>2827</v>
      </c>
      <c r="AE217" s="105" t="s">
        <v>255</v>
      </c>
    </row>
    <row r="218" spans="4:31" s="105" customFormat="1">
      <c r="D218" s="122"/>
      <c r="E218" s="128"/>
      <c r="G218" s="99"/>
      <c r="H218" s="99"/>
      <c r="K218" s="99"/>
      <c r="L218" s="96"/>
      <c r="O218" s="111"/>
      <c r="P218" s="111"/>
      <c r="R218" s="154"/>
      <c r="S218" s="111"/>
      <c r="T218" s="101"/>
      <c r="AB218" s="105" t="s">
        <v>2925</v>
      </c>
      <c r="AD218" s="105" t="s">
        <v>2971</v>
      </c>
      <c r="AE218" s="105" t="s">
        <v>256</v>
      </c>
    </row>
    <row r="219" spans="4:31" s="105" customFormat="1">
      <c r="D219" s="122"/>
      <c r="E219" s="128"/>
      <c r="G219" s="99"/>
      <c r="H219" s="99"/>
      <c r="K219" s="99"/>
      <c r="L219" s="96"/>
      <c r="O219" s="111"/>
      <c r="P219" s="111"/>
      <c r="R219" s="154"/>
      <c r="S219" s="111"/>
      <c r="T219" s="101"/>
      <c r="AB219" s="105" t="s">
        <v>2990</v>
      </c>
      <c r="AD219" s="105" t="s">
        <v>2971</v>
      </c>
      <c r="AE219" s="105" t="s">
        <v>257</v>
      </c>
    </row>
    <row r="220" spans="4:31" s="105" customFormat="1">
      <c r="D220" s="122"/>
      <c r="E220" s="128"/>
      <c r="G220" s="99"/>
      <c r="H220" s="99"/>
      <c r="K220" s="99"/>
      <c r="L220" s="96"/>
      <c r="O220" s="111"/>
      <c r="P220" s="111"/>
      <c r="R220" s="154"/>
      <c r="S220" s="111"/>
      <c r="T220" s="101"/>
      <c r="AB220" s="105" t="s">
        <v>2540</v>
      </c>
      <c r="AD220" s="105" t="s">
        <v>2971</v>
      </c>
      <c r="AE220" s="105" t="s">
        <v>258</v>
      </c>
    </row>
    <row r="221" spans="4:31" s="105" customFormat="1">
      <c r="D221" s="122"/>
      <c r="E221" s="128"/>
      <c r="G221" s="99"/>
      <c r="H221" s="99"/>
      <c r="K221" s="99"/>
      <c r="L221" s="96"/>
      <c r="O221" s="111"/>
      <c r="P221" s="111"/>
      <c r="R221" s="154"/>
      <c r="S221" s="111"/>
      <c r="T221" s="101"/>
      <c r="AB221" s="105" t="s">
        <v>2926</v>
      </c>
      <c r="AD221" s="105" t="s">
        <v>2971</v>
      </c>
      <c r="AE221" s="105" t="s">
        <v>259</v>
      </c>
    </row>
    <row r="222" spans="4:31" s="105" customFormat="1">
      <c r="D222" s="122"/>
      <c r="E222" s="128"/>
      <c r="G222" s="99"/>
      <c r="H222" s="99"/>
      <c r="K222" s="99"/>
      <c r="L222" s="96"/>
      <c r="O222" s="111"/>
      <c r="P222" s="111"/>
      <c r="R222" s="154"/>
      <c r="S222" s="111"/>
      <c r="T222" s="101"/>
      <c r="AB222" s="105" t="s">
        <v>2927</v>
      </c>
      <c r="AD222" s="105" t="s">
        <v>2971</v>
      </c>
      <c r="AE222" s="105" t="s">
        <v>260</v>
      </c>
    </row>
    <row r="223" spans="4:31" s="105" customFormat="1">
      <c r="D223" s="122"/>
      <c r="E223" s="128"/>
      <c r="G223" s="99"/>
      <c r="H223" s="99"/>
      <c r="K223" s="99"/>
      <c r="L223" s="96"/>
      <c r="O223" s="111"/>
      <c r="P223" s="111"/>
      <c r="R223" s="154"/>
      <c r="S223" s="111"/>
      <c r="T223" s="101"/>
      <c r="AB223" s="105" t="s">
        <v>2928</v>
      </c>
      <c r="AD223" s="105" t="s">
        <v>2827</v>
      </c>
      <c r="AE223" s="105" t="s">
        <v>261</v>
      </c>
    </row>
    <row r="224" spans="4:31" s="105" customFormat="1">
      <c r="D224" s="122"/>
      <c r="E224" s="128"/>
      <c r="G224" s="99"/>
      <c r="H224" s="99"/>
      <c r="K224" s="99"/>
      <c r="L224" s="96"/>
      <c r="O224" s="111"/>
      <c r="P224" s="111"/>
      <c r="R224" s="154"/>
      <c r="S224" s="111"/>
      <c r="T224" s="101"/>
      <c r="AB224" s="105" t="s">
        <v>2929</v>
      </c>
      <c r="AD224" s="105" t="s">
        <v>2971</v>
      </c>
      <c r="AE224" s="105" t="s">
        <v>262</v>
      </c>
    </row>
    <row r="225" spans="18:31" s="105" customFormat="1">
      <c r="R225" s="154"/>
      <c r="AB225" s="105" t="s">
        <v>2930</v>
      </c>
      <c r="AD225" s="105" t="s">
        <v>2829</v>
      </c>
      <c r="AE225" s="105" t="s">
        <v>263</v>
      </c>
    </row>
    <row r="226" spans="18:31" s="105" customFormat="1">
      <c r="R226" s="154"/>
      <c r="AB226" s="105" t="s">
        <v>2991</v>
      </c>
      <c r="AD226" s="105" t="s">
        <v>2971</v>
      </c>
      <c r="AE226" s="105" t="s">
        <v>264</v>
      </c>
    </row>
    <row r="227" spans="18:31" s="105" customFormat="1">
      <c r="R227" s="154"/>
      <c r="AB227" s="105" t="s">
        <v>2541</v>
      </c>
      <c r="AD227" s="105" t="s">
        <v>2971</v>
      </c>
      <c r="AE227" s="105" t="s">
        <v>265</v>
      </c>
    </row>
    <row r="228" spans="18:31" s="105" customFormat="1">
      <c r="R228" s="154"/>
      <c r="AB228" s="104" t="s">
        <v>2931</v>
      </c>
      <c r="AD228" s="105" t="s">
        <v>2827</v>
      </c>
      <c r="AE228" s="105" t="s">
        <v>266</v>
      </c>
    </row>
    <row r="229" spans="18:31" s="105" customFormat="1">
      <c r="R229" s="154"/>
      <c r="AB229" s="105" t="s">
        <v>2932</v>
      </c>
      <c r="AD229" s="105" t="s">
        <v>2971</v>
      </c>
      <c r="AE229" s="105" t="s">
        <v>267</v>
      </c>
    </row>
    <row r="230" spans="18:31" s="105" customFormat="1">
      <c r="R230" s="154"/>
      <c r="AB230" s="105" t="s">
        <v>2933</v>
      </c>
      <c r="AD230" s="105" t="s">
        <v>2971</v>
      </c>
      <c r="AE230" s="105" t="s">
        <v>1829</v>
      </c>
    </row>
    <row r="231" spans="18:31" s="105" customFormat="1">
      <c r="R231" s="154"/>
      <c r="AB231" s="105" t="s">
        <v>2934</v>
      </c>
      <c r="AD231" s="105" t="s">
        <v>2971</v>
      </c>
      <c r="AE231" s="105" t="s">
        <v>2712</v>
      </c>
    </row>
    <row r="232" spans="18:31" s="105" customFormat="1">
      <c r="R232" s="154"/>
      <c r="AB232" s="105" t="s">
        <v>2935</v>
      </c>
      <c r="AD232" s="105" t="s">
        <v>2971</v>
      </c>
      <c r="AE232" s="105" t="s">
        <v>1830</v>
      </c>
    </row>
    <row r="233" spans="18:31" s="105" customFormat="1">
      <c r="R233" s="154"/>
      <c r="AB233" s="105" t="s">
        <v>2992</v>
      </c>
      <c r="AD233" s="105" t="s">
        <v>2828</v>
      </c>
      <c r="AE233" s="105" t="s">
        <v>268</v>
      </c>
    </row>
    <row r="234" spans="18:31" s="105" customFormat="1">
      <c r="R234" s="154"/>
      <c r="AB234" s="105" t="s">
        <v>2542</v>
      </c>
      <c r="AD234" s="105" t="s">
        <v>2828</v>
      </c>
      <c r="AE234" s="105" t="s">
        <v>269</v>
      </c>
    </row>
    <row r="235" spans="18:31" s="105" customFormat="1">
      <c r="R235" s="154"/>
      <c r="AB235" s="105" t="s">
        <v>2936</v>
      </c>
      <c r="AD235" s="105" t="s">
        <v>2828</v>
      </c>
      <c r="AE235" s="105" t="s">
        <v>270</v>
      </c>
    </row>
    <row r="236" spans="18:31" s="105" customFormat="1">
      <c r="R236" s="154"/>
      <c r="AB236" s="105" t="s">
        <v>2937</v>
      </c>
      <c r="AD236" s="105" t="s">
        <v>2828</v>
      </c>
      <c r="AE236" s="105" t="s">
        <v>271</v>
      </c>
    </row>
    <row r="237" spans="18:31" s="105" customFormat="1">
      <c r="R237" s="154"/>
      <c r="AB237" s="105" t="s">
        <v>2938</v>
      </c>
      <c r="AD237" s="105" t="s">
        <v>2828</v>
      </c>
      <c r="AE237" s="105" t="s">
        <v>272</v>
      </c>
    </row>
    <row r="238" spans="18:31" s="105" customFormat="1">
      <c r="R238" s="154"/>
      <c r="AB238" s="105" t="s">
        <v>2939</v>
      </c>
      <c r="AD238" s="105" t="s">
        <v>2828</v>
      </c>
      <c r="AE238" s="105" t="s">
        <v>273</v>
      </c>
    </row>
    <row r="239" spans="18:31" s="105" customFormat="1">
      <c r="R239" s="154"/>
      <c r="AB239" s="105" t="s">
        <v>2940</v>
      </c>
      <c r="AD239" s="105" t="s">
        <v>2828</v>
      </c>
      <c r="AE239" s="105" t="s">
        <v>274</v>
      </c>
    </row>
    <row r="240" spans="18:31" s="105" customFormat="1">
      <c r="R240" s="154"/>
      <c r="AB240" s="105" t="s">
        <v>2993</v>
      </c>
      <c r="AD240" s="105" t="s">
        <v>2826</v>
      </c>
      <c r="AE240" s="105" t="s">
        <v>275</v>
      </c>
    </row>
    <row r="241" spans="18:105" s="105" customFormat="1">
      <c r="R241" s="154"/>
      <c r="AB241" s="105" t="s">
        <v>2543</v>
      </c>
      <c r="AD241" s="105" t="s">
        <v>2828</v>
      </c>
      <c r="AE241" s="105" t="s">
        <v>276</v>
      </c>
    </row>
    <row r="242" spans="18:105" s="105" customFormat="1">
      <c r="R242" s="154"/>
      <c r="AB242" s="105" t="s">
        <v>2941</v>
      </c>
      <c r="AD242" s="105" t="s">
        <v>2828</v>
      </c>
      <c r="AE242" s="105" t="s">
        <v>277</v>
      </c>
    </row>
    <row r="243" spans="18:105" s="105" customFormat="1">
      <c r="R243" s="154"/>
      <c r="AB243" s="104" t="s">
        <v>2942</v>
      </c>
      <c r="AD243" s="105" t="s">
        <v>2828</v>
      </c>
      <c r="AE243" s="105" t="s">
        <v>278</v>
      </c>
    </row>
    <row r="244" spans="18:105" s="105" customFormat="1">
      <c r="R244" s="154"/>
      <c r="AB244" s="105" t="s">
        <v>2943</v>
      </c>
      <c r="AD244" s="105" t="s">
        <v>2828</v>
      </c>
      <c r="AE244" s="105" t="s">
        <v>279</v>
      </c>
    </row>
    <row r="245" spans="18:105" s="105" customFormat="1">
      <c r="R245" s="154"/>
      <c r="AB245" s="105" t="s">
        <v>2944</v>
      </c>
      <c r="AD245" s="105" t="s">
        <v>2828</v>
      </c>
      <c r="AE245" s="105" t="s">
        <v>280</v>
      </c>
      <c r="CV245" s="119"/>
      <c r="CW245" s="119"/>
      <c r="CX245" s="119"/>
      <c r="CY245" s="119"/>
      <c r="CZ245" s="119"/>
      <c r="DA245" s="119"/>
    </row>
    <row r="246" spans="18:105" s="105" customFormat="1">
      <c r="R246" s="154"/>
      <c r="AB246" s="105" t="s">
        <v>2945</v>
      </c>
      <c r="AD246" s="105" t="s">
        <v>2828</v>
      </c>
      <c r="AE246" s="105" t="s">
        <v>281</v>
      </c>
    </row>
    <row r="247" spans="18:105" s="105" customFormat="1">
      <c r="R247" s="154"/>
      <c r="AB247" s="105" t="s">
        <v>2994</v>
      </c>
      <c r="AD247" s="105" t="s">
        <v>2828</v>
      </c>
      <c r="AE247" s="105" t="s">
        <v>282</v>
      </c>
      <c r="CV247" s="119"/>
      <c r="CW247" s="119"/>
      <c r="CX247" s="119"/>
      <c r="CY247" s="119"/>
      <c r="CZ247" s="119"/>
      <c r="DA247" s="119"/>
    </row>
    <row r="248" spans="18:105" s="105" customFormat="1">
      <c r="R248" s="154"/>
      <c r="AB248" s="105" t="s">
        <v>2544</v>
      </c>
      <c r="AD248" s="105" t="s">
        <v>2828</v>
      </c>
      <c r="AE248" s="105" t="s">
        <v>283</v>
      </c>
      <c r="CV248" s="119"/>
      <c r="CW248" s="119"/>
      <c r="CX248" s="119"/>
      <c r="CY248" s="119"/>
      <c r="CZ248" s="119"/>
      <c r="DA248" s="119"/>
    </row>
    <row r="249" spans="18:105" s="105" customFormat="1">
      <c r="R249" s="154"/>
      <c r="AB249" s="105" t="s">
        <v>2946</v>
      </c>
      <c r="AD249" s="105" t="s">
        <v>2828</v>
      </c>
      <c r="AE249" s="105" t="s">
        <v>284</v>
      </c>
    </row>
    <row r="250" spans="18:105" s="105" customFormat="1">
      <c r="R250" s="154"/>
      <c r="AB250" s="105" t="s">
        <v>2947</v>
      </c>
      <c r="AD250" s="105" t="s">
        <v>2828</v>
      </c>
      <c r="AE250" s="105" t="s">
        <v>285</v>
      </c>
    </row>
    <row r="251" spans="18:105" s="105" customFormat="1">
      <c r="R251" s="154"/>
      <c r="AB251" s="105" t="s">
        <v>2948</v>
      </c>
      <c r="AD251" s="105" t="s">
        <v>2828</v>
      </c>
      <c r="AE251" s="105" t="s">
        <v>286</v>
      </c>
    </row>
    <row r="252" spans="18:105" s="105" customFormat="1">
      <c r="R252" s="154"/>
      <c r="AB252" s="105" t="s">
        <v>2949</v>
      </c>
      <c r="AD252" s="105" t="s">
        <v>2828</v>
      </c>
      <c r="AE252" s="105" t="s">
        <v>287</v>
      </c>
    </row>
    <row r="253" spans="18:105" s="105" customFormat="1">
      <c r="R253" s="154"/>
      <c r="AB253" s="105" t="s">
        <v>2950</v>
      </c>
      <c r="AD253" s="105" t="s">
        <v>2828</v>
      </c>
      <c r="AE253" s="105" t="s">
        <v>288</v>
      </c>
    </row>
    <row r="254" spans="18:105" s="105" customFormat="1">
      <c r="R254" s="154"/>
      <c r="AB254" s="105" t="s">
        <v>2995</v>
      </c>
      <c r="AD254" s="105" t="s">
        <v>2828</v>
      </c>
      <c r="AE254" s="105" t="s">
        <v>289</v>
      </c>
    </row>
    <row r="255" spans="18:105" s="105" customFormat="1">
      <c r="R255" s="154"/>
      <c r="AB255" s="105" t="s">
        <v>2545</v>
      </c>
      <c r="AD255" s="105" t="s">
        <v>2828</v>
      </c>
      <c r="AE255" s="105" t="s">
        <v>290</v>
      </c>
    </row>
    <row r="256" spans="18:105" s="105" customFormat="1">
      <c r="R256" s="154"/>
      <c r="AB256" s="105" t="s">
        <v>2951</v>
      </c>
      <c r="AD256" s="105" t="s">
        <v>2828</v>
      </c>
      <c r="AE256" s="105" t="s">
        <v>291</v>
      </c>
    </row>
    <row r="257" spans="18:31" s="105" customFormat="1">
      <c r="R257" s="154"/>
      <c r="AB257" s="105" t="s">
        <v>2952</v>
      </c>
      <c r="AD257" s="105" t="s">
        <v>2827</v>
      </c>
      <c r="AE257" s="105" t="s">
        <v>292</v>
      </c>
    </row>
    <row r="258" spans="18:31" s="105" customFormat="1">
      <c r="R258" s="154"/>
      <c r="AB258" s="104" t="s">
        <v>2953</v>
      </c>
      <c r="AD258" s="105" t="s">
        <v>2971</v>
      </c>
      <c r="AE258" s="105" t="s">
        <v>293</v>
      </c>
    </row>
    <row r="259" spans="18:31" s="105" customFormat="1">
      <c r="R259" s="154"/>
      <c r="AB259" s="130" t="s">
        <v>2954</v>
      </c>
      <c r="AD259" s="105" t="s">
        <v>2827</v>
      </c>
      <c r="AE259" s="105" t="s">
        <v>294</v>
      </c>
    </row>
    <row r="260" spans="18:31" s="105" customFormat="1">
      <c r="R260" s="154"/>
      <c r="AB260" s="130" t="s">
        <v>2955</v>
      </c>
      <c r="AD260" s="105" t="s">
        <v>2828</v>
      </c>
      <c r="AE260" s="105" t="s">
        <v>295</v>
      </c>
    </row>
    <row r="261" spans="18:31" s="105" customFormat="1">
      <c r="R261" s="154"/>
      <c r="AB261" s="130" t="s">
        <v>2996</v>
      </c>
      <c r="AD261" s="105" t="s">
        <v>2828</v>
      </c>
      <c r="AE261" s="105" t="s">
        <v>1831</v>
      </c>
    </row>
    <row r="262" spans="18:31" s="105" customFormat="1">
      <c r="R262" s="154"/>
      <c r="AB262" s="130" t="s">
        <v>2546</v>
      </c>
      <c r="AD262" s="105" t="s">
        <v>2828</v>
      </c>
      <c r="AE262" s="105" t="s">
        <v>296</v>
      </c>
    </row>
    <row r="263" spans="18:31" s="105" customFormat="1">
      <c r="R263" s="154"/>
      <c r="AB263" s="130" t="s">
        <v>2956</v>
      </c>
      <c r="AD263" s="105" t="s">
        <v>2971</v>
      </c>
      <c r="AE263" s="105" t="s">
        <v>297</v>
      </c>
    </row>
    <row r="264" spans="18:31" s="105" customFormat="1">
      <c r="R264" s="154"/>
      <c r="AB264" s="130" t="s">
        <v>2957</v>
      </c>
      <c r="AD264" s="105" t="s">
        <v>2971</v>
      </c>
      <c r="AE264" s="105" t="s">
        <v>2713</v>
      </c>
    </row>
    <row r="265" spans="18:31" s="105" customFormat="1">
      <c r="R265" s="154"/>
      <c r="AB265" s="130" t="s">
        <v>2958</v>
      </c>
      <c r="AD265" s="105" t="s">
        <v>2971</v>
      </c>
      <c r="AE265" s="105" t="s">
        <v>298</v>
      </c>
    </row>
    <row r="266" spans="18:31" s="105" customFormat="1">
      <c r="R266" s="154"/>
      <c r="AB266" s="130" t="s">
        <v>2959</v>
      </c>
      <c r="AD266" s="105" t="s">
        <v>2971</v>
      </c>
      <c r="AE266" s="105" t="s">
        <v>299</v>
      </c>
    </row>
    <row r="267" spans="18:31" s="105" customFormat="1">
      <c r="R267" s="154"/>
      <c r="AB267" s="130" t="s">
        <v>2960</v>
      </c>
      <c r="AD267" s="105" t="s">
        <v>2827</v>
      </c>
      <c r="AE267" s="105" t="s">
        <v>300</v>
      </c>
    </row>
    <row r="268" spans="18:31" s="105" customFormat="1">
      <c r="R268" s="154"/>
      <c r="AB268" s="130" t="s">
        <v>2997</v>
      </c>
      <c r="AD268" s="105" t="s">
        <v>2971</v>
      </c>
      <c r="AE268" s="105" t="s">
        <v>2714</v>
      </c>
    </row>
    <row r="269" spans="18:31" s="105" customFormat="1">
      <c r="R269" s="154"/>
      <c r="AB269" s="130" t="s">
        <v>2547</v>
      </c>
      <c r="AD269" s="105" t="s">
        <v>2971</v>
      </c>
      <c r="AE269" s="105" t="s">
        <v>1832</v>
      </c>
    </row>
    <row r="270" spans="18:31" s="105" customFormat="1">
      <c r="R270" s="154"/>
      <c r="AB270" s="130" t="s">
        <v>2961</v>
      </c>
      <c r="AD270" s="105" t="s">
        <v>2971</v>
      </c>
      <c r="AE270" s="105" t="s">
        <v>301</v>
      </c>
    </row>
    <row r="271" spans="18:31" s="105" customFormat="1">
      <c r="R271" s="154"/>
      <c r="AB271" s="130" t="s">
        <v>2962</v>
      </c>
      <c r="AD271" s="105" t="s">
        <v>2971</v>
      </c>
      <c r="AE271" s="105" t="s">
        <v>2291</v>
      </c>
    </row>
    <row r="272" spans="18:31" s="105" customFormat="1">
      <c r="R272" s="154"/>
      <c r="AB272" s="130" t="s">
        <v>2963</v>
      </c>
      <c r="AD272" s="105" t="s">
        <v>2521</v>
      </c>
      <c r="AE272" s="105" t="s">
        <v>302</v>
      </c>
    </row>
    <row r="273" spans="18:31" s="105" customFormat="1">
      <c r="R273" s="154"/>
      <c r="AB273" s="130" t="s">
        <v>2964</v>
      </c>
      <c r="AD273" s="105" t="s">
        <v>2972</v>
      </c>
      <c r="AE273" s="105" t="s">
        <v>303</v>
      </c>
    </row>
    <row r="274" spans="18:31" s="105" customFormat="1">
      <c r="R274" s="154"/>
      <c r="AB274" s="130" t="s">
        <v>2965</v>
      </c>
      <c r="AD274" s="105" t="s">
        <v>2972</v>
      </c>
      <c r="AE274" s="105" t="s">
        <v>304</v>
      </c>
    </row>
    <row r="275" spans="18:31" s="105" customFormat="1">
      <c r="R275" s="154"/>
      <c r="AB275" s="105" t="s">
        <v>2998</v>
      </c>
      <c r="AD275" s="105" t="s">
        <v>2835</v>
      </c>
      <c r="AE275" s="105" t="s">
        <v>305</v>
      </c>
    </row>
    <row r="276" spans="18:31" s="105" customFormat="1">
      <c r="R276" s="154"/>
      <c r="AB276" s="105" t="s">
        <v>2548</v>
      </c>
      <c r="AD276" s="105" t="s">
        <v>2835</v>
      </c>
      <c r="AE276" s="105" t="s">
        <v>306</v>
      </c>
    </row>
    <row r="277" spans="18:31" s="105" customFormat="1">
      <c r="R277" s="154"/>
      <c r="AB277" s="105" t="s">
        <v>2966</v>
      </c>
      <c r="AD277" s="105" t="s">
        <v>2972</v>
      </c>
      <c r="AE277" s="105" t="s">
        <v>307</v>
      </c>
    </row>
    <row r="278" spans="18:31" s="105" customFormat="1">
      <c r="R278" s="154"/>
      <c r="AB278" s="105" t="s">
        <v>2967</v>
      </c>
      <c r="AD278" s="105" t="s">
        <v>2972</v>
      </c>
      <c r="AE278" s="105" t="s">
        <v>308</v>
      </c>
    </row>
    <row r="279" spans="18:31" s="105" customFormat="1">
      <c r="R279" s="154"/>
      <c r="AB279" s="105" t="s">
        <v>2968</v>
      </c>
      <c r="AD279" s="105" t="s">
        <v>2972</v>
      </c>
      <c r="AE279" s="105" t="s">
        <v>309</v>
      </c>
    </row>
    <row r="280" spans="18:31" s="105" customFormat="1">
      <c r="R280" s="154"/>
      <c r="AB280" s="105" t="s">
        <v>2969</v>
      </c>
      <c r="AD280" s="105" t="s">
        <v>2972</v>
      </c>
      <c r="AE280" s="105" t="s">
        <v>2243</v>
      </c>
    </row>
    <row r="281" spans="18:31" s="105" customFormat="1">
      <c r="R281" s="154"/>
      <c r="AB281" s="104" t="s">
        <v>2970</v>
      </c>
      <c r="AD281" s="105" t="s">
        <v>2972</v>
      </c>
      <c r="AE281" s="105" t="s">
        <v>310</v>
      </c>
    </row>
    <row r="282" spans="18:31" s="105" customFormat="1">
      <c r="R282" s="154"/>
      <c r="AB282" s="105" t="s">
        <v>2999</v>
      </c>
      <c r="AD282" s="105" t="s">
        <v>2832</v>
      </c>
      <c r="AE282" s="105" t="s">
        <v>311</v>
      </c>
    </row>
    <row r="283" spans="18:31" s="105" customFormat="1">
      <c r="R283" s="154"/>
      <c r="AB283" s="105" t="s">
        <v>2549</v>
      </c>
      <c r="AD283" s="105" t="s">
        <v>2972</v>
      </c>
      <c r="AE283" s="105" t="s">
        <v>312</v>
      </c>
    </row>
    <row r="284" spans="18:31" s="105" customFormat="1">
      <c r="R284" s="154"/>
      <c r="AB284" s="105" t="s">
        <v>993</v>
      </c>
      <c r="AD284" s="105" t="s">
        <v>2972</v>
      </c>
      <c r="AE284" s="105" t="s">
        <v>313</v>
      </c>
    </row>
    <row r="285" spans="18:31" s="105" customFormat="1">
      <c r="R285" s="154"/>
      <c r="AB285" s="105" t="s">
        <v>994</v>
      </c>
      <c r="AD285" s="105" t="s">
        <v>2972</v>
      </c>
      <c r="AE285" s="105" t="s">
        <v>314</v>
      </c>
    </row>
    <row r="286" spans="18:31" s="105" customFormat="1">
      <c r="R286" s="154"/>
      <c r="AB286" s="105" t="s">
        <v>995</v>
      </c>
      <c r="AD286" s="105" t="s">
        <v>2972</v>
      </c>
      <c r="AE286" s="105" t="s">
        <v>315</v>
      </c>
    </row>
    <row r="287" spans="18:31" s="105" customFormat="1">
      <c r="R287" s="154"/>
      <c r="AB287" s="105" t="s">
        <v>996</v>
      </c>
      <c r="AD287" s="105" t="s">
        <v>2972</v>
      </c>
      <c r="AE287" s="105" t="s">
        <v>316</v>
      </c>
    </row>
    <row r="288" spans="18:31" s="105" customFormat="1">
      <c r="R288" s="154"/>
      <c r="AB288" s="105" t="s">
        <v>997</v>
      </c>
      <c r="AD288" s="105" t="s">
        <v>2832</v>
      </c>
      <c r="AE288" s="105" t="s">
        <v>317</v>
      </c>
    </row>
    <row r="289" spans="18:31" s="105" customFormat="1">
      <c r="R289" s="154"/>
      <c r="AB289" s="105" t="s">
        <v>2288</v>
      </c>
      <c r="AD289" s="105" t="s">
        <v>2972</v>
      </c>
      <c r="AE289" s="105" t="s">
        <v>318</v>
      </c>
    </row>
    <row r="290" spans="18:31" s="105" customFormat="1">
      <c r="R290" s="154"/>
      <c r="AB290" s="105" t="s">
        <v>998</v>
      </c>
      <c r="AD290" s="105" t="s">
        <v>2834</v>
      </c>
      <c r="AE290" s="105" t="s">
        <v>319</v>
      </c>
    </row>
    <row r="291" spans="18:31" s="105" customFormat="1">
      <c r="R291" s="154"/>
      <c r="AB291" s="105" t="s">
        <v>999</v>
      </c>
      <c r="AD291" s="105" t="s">
        <v>2972</v>
      </c>
      <c r="AE291" s="105" t="s">
        <v>320</v>
      </c>
    </row>
    <row r="292" spans="18:31" s="105" customFormat="1">
      <c r="R292" s="154"/>
      <c r="AB292" s="105" t="s">
        <v>1000</v>
      </c>
      <c r="AD292" s="105" t="s">
        <v>2972</v>
      </c>
      <c r="AE292" s="105" t="s">
        <v>321</v>
      </c>
    </row>
    <row r="293" spans="18:31" s="105" customFormat="1">
      <c r="R293" s="154"/>
      <c r="AB293" s="105" t="s">
        <v>1001</v>
      </c>
      <c r="AD293" s="105" t="s">
        <v>2832</v>
      </c>
      <c r="AE293" s="105" t="s">
        <v>322</v>
      </c>
    </row>
    <row r="294" spans="18:31" s="105" customFormat="1">
      <c r="R294" s="154"/>
      <c r="AB294" s="105" t="s">
        <v>1002</v>
      </c>
      <c r="AD294" s="105" t="s">
        <v>2972</v>
      </c>
      <c r="AE294" s="105" t="s">
        <v>323</v>
      </c>
    </row>
    <row r="295" spans="18:31" s="105" customFormat="1">
      <c r="R295" s="154"/>
      <c r="AD295" s="105" t="s">
        <v>2972</v>
      </c>
      <c r="AE295" s="105" t="s">
        <v>1833</v>
      </c>
    </row>
    <row r="296" spans="18:31" s="105" customFormat="1">
      <c r="R296" s="154"/>
      <c r="AB296" s="104"/>
      <c r="AD296" s="105" t="s">
        <v>2972</v>
      </c>
      <c r="AE296" s="105" t="s">
        <v>2709</v>
      </c>
    </row>
    <row r="297" spans="18:31" s="105" customFormat="1">
      <c r="R297" s="154"/>
      <c r="AD297" s="105" t="s">
        <v>2972</v>
      </c>
      <c r="AE297" s="105" t="s">
        <v>1834</v>
      </c>
    </row>
    <row r="298" spans="18:31" s="105" customFormat="1">
      <c r="R298" s="154"/>
      <c r="AD298" s="105" t="s">
        <v>2833</v>
      </c>
      <c r="AE298" s="105" t="s">
        <v>324</v>
      </c>
    </row>
    <row r="299" spans="18:31" s="105" customFormat="1">
      <c r="R299" s="154"/>
      <c r="AD299" s="105" t="s">
        <v>2833</v>
      </c>
      <c r="AE299" s="105" t="s">
        <v>325</v>
      </c>
    </row>
    <row r="300" spans="18:31" s="105" customFormat="1">
      <c r="R300" s="154"/>
      <c r="AD300" s="105" t="s">
        <v>2833</v>
      </c>
      <c r="AE300" s="105" t="s">
        <v>326</v>
      </c>
    </row>
    <row r="301" spans="18:31" s="105" customFormat="1">
      <c r="R301" s="154"/>
      <c r="AD301" s="105" t="s">
        <v>2833</v>
      </c>
      <c r="AE301" s="105" t="s">
        <v>327</v>
      </c>
    </row>
    <row r="302" spans="18:31" s="105" customFormat="1">
      <c r="R302" s="154"/>
      <c r="AB302" s="130"/>
      <c r="AD302" s="105" t="s">
        <v>2833</v>
      </c>
      <c r="AE302" s="105" t="s">
        <v>328</v>
      </c>
    </row>
    <row r="303" spans="18:31" s="105" customFormat="1">
      <c r="R303" s="154"/>
      <c r="AB303" s="130"/>
      <c r="AD303" s="105" t="s">
        <v>2833</v>
      </c>
      <c r="AE303" s="105" t="s">
        <v>329</v>
      </c>
    </row>
    <row r="304" spans="18:31" s="105" customFormat="1">
      <c r="R304" s="154"/>
      <c r="AB304" s="130"/>
      <c r="AD304" s="105" t="s">
        <v>2833</v>
      </c>
      <c r="AE304" s="105" t="s">
        <v>330</v>
      </c>
    </row>
    <row r="305" spans="18:31" s="105" customFormat="1">
      <c r="R305" s="154"/>
      <c r="AB305" s="130"/>
      <c r="AD305" s="105" t="s">
        <v>2831</v>
      </c>
      <c r="AE305" s="105" t="s">
        <v>331</v>
      </c>
    </row>
    <row r="306" spans="18:31" s="105" customFormat="1">
      <c r="R306" s="154"/>
      <c r="AB306" s="130"/>
      <c r="AD306" s="105" t="s">
        <v>2833</v>
      </c>
      <c r="AE306" s="105" t="s">
        <v>332</v>
      </c>
    </row>
    <row r="307" spans="18:31" s="105" customFormat="1">
      <c r="R307" s="154"/>
      <c r="AB307" s="130"/>
      <c r="AD307" s="105" t="s">
        <v>2833</v>
      </c>
      <c r="AE307" s="105" t="s">
        <v>333</v>
      </c>
    </row>
    <row r="308" spans="18:31" s="105" customFormat="1">
      <c r="R308" s="154"/>
      <c r="AB308" s="130"/>
      <c r="AD308" s="105" t="s">
        <v>2833</v>
      </c>
      <c r="AE308" s="105" t="s">
        <v>334</v>
      </c>
    </row>
    <row r="309" spans="18:31" s="105" customFormat="1">
      <c r="R309" s="154"/>
      <c r="AB309" s="130"/>
      <c r="AD309" s="105" t="s">
        <v>2833</v>
      </c>
      <c r="AE309" s="105" t="s">
        <v>335</v>
      </c>
    </row>
    <row r="310" spans="18:31" s="105" customFormat="1">
      <c r="R310" s="154"/>
      <c r="AB310" s="130"/>
      <c r="AD310" s="105" t="s">
        <v>2833</v>
      </c>
      <c r="AE310" s="105" t="s">
        <v>336</v>
      </c>
    </row>
    <row r="311" spans="18:31" s="105" customFormat="1">
      <c r="R311" s="154"/>
      <c r="AB311" s="109"/>
      <c r="AD311" s="105" t="s">
        <v>2833</v>
      </c>
      <c r="AE311" s="105" t="s">
        <v>337</v>
      </c>
    </row>
    <row r="312" spans="18:31" s="105" customFormat="1">
      <c r="R312" s="154"/>
      <c r="AD312" s="105" t="s">
        <v>2833</v>
      </c>
      <c r="AE312" s="105" t="s">
        <v>338</v>
      </c>
    </row>
    <row r="313" spans="18:31" s="105" customFormat="1">
      <c r="R313" s="154"/>
      <c r="AD313" s="105" t="s">
        <v>2833</v>
      </c>
      <c r="AE313" s="105" t="s">
        <v>339</v>
      </c>
    </row>
    <row r="314" spans="18:31" s="105" customFormat="1">
      <c r="R314" s="154"/>
      <c r="AD314" s="105" t="s">
        <v>2833</v>
      </c>
      <c r="AE314" s="105" t="s">
        <v>340</v>
      </c>
    </row>
    <row r="315" spans="18:31" s="105" customFormat="1">
      <c r="R315" s="154"/>
      <c r="AD315" s="105" t="s">
        <v>2833</v>
      </c>
      <c r="AE315" s="105" t="s">
        <v>341</v>
      </c>
    </row>
    <row r="316" spans="18:31" s="105" customFormat="1">
      <c r="R316" s="154"/>
      <c r="AD316" s="105" t="s">
        <v>2833</v>
      </c>
      <c r="AE316" s="105" t="s">
        <v>342</v>
      </c>
    </row>
    <row r="317" spans="18:31" s="105" customFormat="1">
      <c r="R317" s="154"/>
      <c r="AD317" s="105" t="s">
        <v>2833</v>
      </c>
      <c r="AE317" s="105" t="s">
        <v>343</v>
      </c>
    </row>
    <row r="318" spans="18:31" s="105" customFormat="1">
      <c r="R318" s="154"/>
      <c r="AD318" s="105" t="s">
        <v>2833</v>
      </c>
      <c r="AE318" s="105" t="s">
        <v>344</v>
      </c>
    </row>
    <row r="319" spans="18:31" s="105" customFormat="1">
      <c r="R319" s="154"/>
      <c r="AD319" s="105" t="s">
        <v>2833</v>
      </c>
      <c r="AE319" s="105" t="s">
        <v>345</v>
      </c>
    </row>
    <row r="320" spans="18:31" s="105" customFormat="1">
      <c r="R320" s="154"/>
      <c r="AD320" s="105" t="s">
        <v>2833</v>
      </c>
      <c r="AE320" s="105" t="s">
        <v>346</v>
      </c>
    </row>
    <row r="321" spans="18:31" s="105" customFormat="1">
      <c r="R321" s="154"/>
      <c r="AD321" s="105" t="s">
        <v>2833</v>
      </c>
      <c r="AE321" s="105" t="s">
        <v>347</v>
      </c>
    </row>
    <row r="322" spans="18:31" s="105" customFormat="1">
      <c r="R322" s="154"/>
      <c r="AD322" s="105" t="s">
        <v>2832</v>
      </c>
      <c r="AE322" s="105" t="s">
        <v>348</v>
      </c>
    </row>
    <row r="323" spans="18:31" s="105" customFormat="1">
      <c r="R323" s="154"/>
      <c r="AD323" s="105" t="s">
        <v>2972</v>
      </c>
      <c r="AE323" s="105" t="s">
        <v>349</v>
      </c>
    </row>
    <row r="324" spans="18:31" s="105" customFormat="1">
      <c r="R324" s="154"/>
      <c r="AD324" s="105" t="s">
        <v>2832</v>
      </c>
      <c r="AE324" s="105" t="s">
        <v>350</v>
      </c>
    </row>
    <row r="325" spans="18:31" s="105" customFormat="1">
      <c r="R325" s="154"/>
      <c r="AD325" s="105" t="s">
        <v>2833</v>
      </c>
      <c r="AE325" s="105" t="s">
        <v>351</v>
      </c>
    </row>
    <row r="326" spans="18:31" s="105" customFormat="1">
      <c r="R326" s="154"/>
      <c r="AB326" s="104"/>
      <c r="AD326" s="105" t="s">
        <v>2833</v>
      </c>
      <c r="AE326" s="105" t="s">
        <v>1835</v>
      </c>
    </row>
    <row r="327" spans="18:31" s="105" customFormat="1">
      <c r="R327" s="154"/>
      <c r="AD327" s="105" t="s">
        <v>2833</v>
      </c>
      <c r="AE327" s="105" t="s">
        <v>352</v>
      </c>
    </row>
    <row r="328" spans="18:31" s="105" customFormat="1">
      <c r="R328" s="154"/>
      <c r="AD328" s="105" t="s">
        <v>2972</v>
      </c>
      <c r="AE328" s="105" t="s">
        <v>353</v>
      </c>
    </row>
    <row r="329" spans="18:31" s="105" customFormat="1">
      <c r="R329" s="154"/>
      <c r="AD329" s="105" t="s">
        <v>2972</v>
      </c>
      <c r="AE329" s="105" t="s">
        <v>2710</v>
      </c>
    </row>
    <row r="330" spans="18:31" s="105" customFormat="1">
      <c r="R330" s="154"/>
      <c r="AD330" s="105" t="s">
        <v>2972</v>
      </c>
      <c r="AE330" s="105" t="s">
        <v>354</v>
      </c>
    </row>
    <row r="331" spans="18:31" s="105" customFormat="1">
      <c r="R331" s="154"/>
      <c r="AD331" s="105" t="s">
        <v>2972</v>
      </c>
      <c r="AE331" s="105" t="s">
        <v>355</v>
      </c>
    </row>
    <row r="332" spans="18:31" s="105" customFormat="1">
      <c r="R332" s="154"/>
      <c r="AD332" s="105" t="s">
        <v>2832</v>
      </c>
      <c r="AE332" s="105" t="s">
        <v>356</v>
      </c>
    </row>
    <row r="333" spans="18:31" s="105" customFormat="1">
      <c r="R333" s="154"/>
      <c r="AD333" s="105" t="s">
        <v>2972</v>
      </c>
      <c r="AE333" s="105" t="s">
        <v>2711</v>
      </c>
    </row>
    <row r="334" spans="18:31" s="105" customFormat="1">
      <c r="R334" s="154"/>
      <c r="AD334" s="105" t="s">
        <v>2972</v>
      </c>
      <c r="AE334" s="105" t="s">
        <v>1836</v>
      </c>
    </row>
    <row r="335" spans="18:31" s="105" customFormat="1">
      <c r="R335" s="154"/>
      <c r="AD335" s="105" t="s">
        <v>2972</v>
      </c>
      <c r="AE335" s="105" t="s">
        <v>357</v>
      </c>
    </row>
    <row r="336" spans="18:31" s="105" customFormat="1">
      <c r="R336" s="154"/>
      <c r="AD336" s="105" t="s">
        <v>2972</v>
      </c>
      <c r="AE336" s="105" t="s">
        <v>2292</v>
      </c>
    </row>
    <row r="337" spans="18:31" s="105" customFormat="1">
      <c r="R337" s="154"/>
      <c r="AD337" s="105" t="s">
        <v>2522</v>
      </c>
      <c r="AE337" s="105" t="s">
        <v>358</v>
      </c>
    </row>
    <row r="338" spans="18:31" s="105" customFormat="1">
      <c r="R338" s="154"/>
      <c r="AD338" s="105" t="s">
        <v>2973</v>
      </c>
      <c r="AE338" s="105" t="s">
        <v>359</v>
      </c>
    </row>
    <row r="339" spans="18:31" s="105" customFormat="1">
      <c r="R339" s="154"/>
      <c r="AD339" s="105" t="s">
        <v>2973</v>
      </c>
      <c r="AE339" s="105" t="s">
        <v>360</v>
      </c>
    </row>
    <row r="340" spans="18:31" s="105" customFormat="1">
      <c r="R340" s="154"/>
      <c r="AD340" s="105" t="s">
        <v>2840</v>
      </c>
      <c r="AE340" s="105" t="s">
        <v>361</v>
      </c>
    </row>
    <row r="341" spans="18:31" s="105" customFormat="1">
      <c r="R341" s="154"/>
      <c r="AB341" s="104"/>
      <c r="AD341" s="105" t="s">
        <v>2840</v>
      </c>
      <c r="AE341" s="105" t="s">
        <v>362</v>
      </c>
    </row>
    <row r="342" spans="18:31" s="105" customFormat="1">
      <c r="R342" s="154"/>
      <c r="AD342" s="105" t="s">
        <v>2973</v>
      </c>
      <c r="AE342" s="105" t="s">
        <v>363</v>
      </c>
    </row>
    <row r="343" spans="18:31" s="105" customFormat="1">
      <c r="R343" s="154"/>
      <c r="AD343" s="105" t="s">
        <v>2973</v>
      </c>
      <c r="AE343" s="105" t="s">
        <v>364</v>
      </c>
    </row>
    <row r="344" spans="18:31" s="105" customFormat="1">
      <c r="R344" s="154"/>
      <c r="AD344" s="105" t="s">
        <v>2973</v>
      </c>
      <c r="AE344" s="105" t="s">
        <v>365</v>
      </c>
    </row>
    <row r="345" spans="18:31" s="105" customFormat="1">
      <c r="R345" s="154"/>
      <c r="AD345" s="105" t="s">
        <v>2973</v>
      </c>
      <c r="AE345" s="105" t="s">
        <v>2244</v>
      </c>
    </row>
    <row r="346" spans="18:31" s="105" customFormat="1">
      <c r="R346" s="154"/>
      <c r="AD346" s="105" t="s">
        <v>2973</v>
      </c>
      <c r="AE346" s="105" t="s">
        <v>366</v>
      </c>
    </row>
    <row r="347" spans="18:31" s="105" customFormat="1">
      <c r="R347" s="154"/>
      <c r="AD347" s="105" t="s">
        <v>2837</v>
      </c>
      <c r="AE347" s="105" t="s">
        <v>367</v>
      </c>
    </row>
    <row r="348" spans="18:31" s="105" customFormat="1">
      <c r="R348" s="154"/>
      <c r="AD348" s="105" t="s">
        <v>2973</v>
      </c>
      <c r="AE348" s="105" t="s">
        <v>368</v>
      </c>
    </row>
    <row r="349" spans="18:31" s="105" customFormat="1">
      <c r="R349" s="154"/>
      <c r="AD349" s="105" t="s">
        <v>2973</v>
      </c>
      <c r="AE349" s="105" t="s">
        <v>369</v>
      </c>
    </row>
    <row r="350" spans="18:31" s="105" customFormat="1">
      <c r="R350" s="154"/>
      <c r="AD350" s="105" t="s">
        <v>2973</v>
      </c>
      <c r="AE350" s="105" t="s">
        <v>370</v>
      </c>
    </row>
    <row r="351" spans="18:31" s="105" customFormat="1">
      <c r="R351" s="154"/>
      <c r="AD351" s="105" t="s">
        <v>2973</v>
      </c>
      <c r="AE351" s="105" t="s">
        <v>371</v>
      </c>
    </row>
    <row r="352" spans="18:31" s="105" customFormat="1">
      <c r="R352" s="154"/>
      <c r="AD352" s="105" t="s">
        <v>2973</v>
      </c>
      <c r="AE352" s="105" t="s">
        <v>372</v>
      </c>
    </row>
    <row r="353" spans="18:31" s="105" customFormat="1">
      <c r="R353" s="154"/>
      <c r="AD353" s="105" t="s">
        <v>2837</v>
      </c>
      <c r="AE353" s="105" t="s">
        <v>373</v>
      </c>
    </row>
    <row r="354" spans="18:31" s="105" customFormat="1">
      <c r="R354" s="154"/>
      <c r="AD354" s="105" t="s">
        <v>2973</v>
      </c>
      <c r="AE354" s="105" t="s">
        <v>374</v>
      </c>
    </row>
    <row r="355" spans="18:31" s="105" customFormat="1">
      <c r="R355" s="154"/>
      <c r="AD355" s="105" t="s">
        <v>2839</v>
      </c>
      <c r="AE355" s="105" t="s">
        <v>375</v>
      </c>
    </row>
    <row r="356" spans="18:31" s="105" customFormat="1">
      <c r="R356" s="154"/>
      <c r="AB356" s="104"/>
      <c r="AD356" s="105" t="s">
        <v>2973</v>
      </c>
      <c r="AE356" s="105" t="s">
        <v>376</v>
      </c>
    </row>
    <row r="357" spans="18:31" s="105" customFormat="1">
      <c r="R357" s="154"/>
      <c r="AB357" s="130"/>
      <c r="AD357" s="105" t="s">
        <v>2973</v>
      </c>
      <c r="AE357" s="105" t="s">
        <v>377</v>
      </c>
    </row>
    <row r="358" spans="18:31" s="105" customFormat="1">
      <c r="R358" s="154"/>
      <c r="AB358" s="130"/>
      <c r="AD358" s="105" t="s">
        <v>2837</v>
      </c>
      <c r="AE358" s="105" t="s">
        <v>378</v>
      </c>
    </row>
    <row r="359" spans="18:31" s="105" customFormat="1">
      <c r="R359" s="154"/>
      <c r="AB359" s="130"/>
      <c r="AD359" s="105" t="s">
        <v>2973</v>
      </c>
      <c r="AE359" s="105" t="s">
        <v>379</v>
      </c>
    </row>
    <row r="360" spans="18:31" s="105" customFormat="1">
      <c r="R360" s="154"/>
      <c r="AB360" s="130"/>
      <c r="AD360" s="105" t="s">
        <v>2973</v>
      </c>
      <c r="AE360" s="105" t="s">
        <v>1837</v>
      </c>
    </row>
    <row r="361" spans="18:31" s="105" customFormat="1">
      <c r="R361" s="154"/>
      <c r="AB361" s="130"/>
      <c r="AD361" s="105" t="s">
        <v>2973</v>
      </c>
      <c r="AE361" s="105" t="s">
        <v>2706</v>
      </c>
    </row>
    <row r="362" spans="18:31" s="105" customFormat="1">
      <c r="R362" s="154"/>
      <c r="AB362" s="130"/>
      <c r="AD362" s="105" t="s">
        <v>2973</v>
      </c>
      <c r="AE362" s="105" t="s">
        <v>1838</v>
      </c>
    </row>
    <row r="363" spans="18:31" s="105" customFormat="1">
      <c r="R363" s="154"/>
      <c r="AB363" s="130"/>
      <c r="AD363" s="105" t="s">
        <v>2838</v>
      </c>
      <c r="AE363" s="105" t="s">
        <v>380</v>
      </c>
    </row>
    <row r="364" spans="18:31" s="105" customFormat="1">
      <c r="R364" s="154"/>
      <c r="AB364" s="130"/>
      <c r="AD364" s="105" t="s">
        <v>2838</v>
      </c>
      <c r="AE364" s="105" t="s">
        <v>381</v>
      </c>
    </row>
    <row r="365" spans="18:31" s="105" customFormat="1">
      <c r="R365" s="154"/>
      <c r="AB365" s="130"/>
      <c r="AD365" s="105" t="s">
        <v>2838</v>
      </c>
      <c r="AE365" s="105" t="s">
        <v>382</v>
      </c>
    </row>
    <row r="366" spans="18:31" s="105" customFormat="1">
      <c r="R366" s="154"/>
      <c r="AB366" s="130"/>
      <c r="AD366" s="105" t="s">
        <v>2838</v>
      </c>
      <c r="AE366" s="105" t="s">
        <v>383</v>
      </c>
    </row>
    <row r="367" spans="18:31" s="105" customFormat="1">
      <c r="R367" s="154"/>
      <c r="AB367" s="130"/>
      <c r="AD367" s="105" t="s">
        <v>2838</v>
      </c>
      <c r="AE367" s="105" t="s">
        <v>384</v>
      </c>
    </row>
    <row r="368" spans="18:31" s="105" customFormat="1">
      <c r="R368" s="154"/>
      <c r="AB368" s="130"/>
      <c r="AD368" s="105" t="s">
        <v>2838</v>
      </c>
      <c r="AE368" s="105" t="s">
        <v>385</v>
      </c>
    </row>
    <row r="369" spans="18:31" s="105" customFormat="1">
      <c r="R369" s="154"/>
      <c r="AB369" s="130"/>
      <c r="AD369" s="105" t="s">
        <v>2838</v>
      </c>
      <c r="AE369" s="105" t="s">
        <v>386</v>
      </c>
    </row>
    <row r="370" spans="18:31" s="105" customFormat="1">
      <c r="R370" s="154"/>
      <c r="AB370" s="130"/>
      <c r="AD370" s="105" t="s">
        <v>2836</v>
      </c>
      <c r="AE370" s="105" t="s">
        <v>387</v>
      </c>
    </row>
    <row r="371" spans="18:31" s="105" customFormat="1">
      <c r="R371" s="154"/>
      <c r="AB371" s="109"/>
      <c r="AD371" s="105" t="s">
        <v>2838</v>
      </c>
      <c r="AE371" s="105" t="s">
        <v>388</v>
      </c>
    </row>
    <row r="372" spans="18:31" s="105" customFormat="1">
      <c r="R372" s="154"/>
      <c r="AD372" s="105" t="s">
        <v>2838</v>
      </c>
      <c r="AE372" s="105" t="s">
        <v>389</v>
      </c>
    </row>
    <row r="373" spans="18:31" s="105" customFormat="1">
      <c r="R373" s="154"/>
      <c r="AD373" s="105" t="s">
        <v>2838</v>
      </c>
      <c r="AE373" s="105" t="s">
        <v>390</v>
      </c>
    </row>
    <row r="374" spans="18:31" s="105" customFormat="1">
      <c r="R374" s="154"/>
      <c r="AD374" s="105" t="s">
        <v>2838</v>
      </c>
      <c r="AE374" s="105" t="s">
        <v>391</v>
      </c>
    </row>
    <row r="375" spans="18:31" s="105" customFormat="1">
      <c r="R375" s="154"/>
      <c r="AD375" s="105" t="s">
        <v>2838</v>
      </c>
      <c r="AE375" s="105" t="s">
        <v>392</v>
      </c>
    </row>
    <row r="376" spans="18:31" s="105" customFormat="1">
      <c r="R376" s="154"/>
      <c r="AD376" s="105" t="s">
        <v>2838</v>
      </c>
      <c r="AE376" s="105" t="s">
        <v>393</v>
      </c>
    </row>
    <row r="377" spans="18:31" s="105" customFormat="1">
      <c r="R377" s="154"/>
      <c r="AD377" s="105" t="s">
        <v>2838</v>
      </c>
      <c r="AE377" s="105" t="s">
        <v>394</v>
      </c>
    </row>
    <row r="378" spans="18:31" s="105" customFormat="1">
      <c r="R378" s="154"/>
      <c r="AD378" s="105" t="s">
        <v>2838</v>
      </c>
      <c r="AE378" s="105" t="s">
        <v>395</v>
      </c>
    </row>
    <row r="379" spans="18:31" s="105" customFormat="1">
      <c r="R379" s="154"/>
      <c r="AD379" s="105" t="s">
        <v>2838</v>
      </c>
      <c r="AE379" s="105" t="s">
        <v>396</v>
      </c>
    </row>
    <row r="380" spans="18:31" s="105" customFormat="1">
      <c r="R380" s="154"/>
      <c r="AD380" s="105" t="s">
        <v>2838</v>
      </c>
      <c r="AE380" s="105" t="s">
        <v>397</v>
      </c>
    </row>
    <row r="381" spans="18:31" s="105" customFormat="1">
      <c r="R381" s="154"/>
      <c r="AD381" s="105" t="s">
        <v>2838</v>
      </c>
      <c r="AE381" s="105" t="s">
        <v>398</v>
      </c>
    </row>
    <row r="382" spans="18:31" s="105" customFormat="1">
      <c r="R382" s="154"/>
      <c r="AD382" s="105" t="s">
        <v>2838</v>
      </c>
      <c r="AE382" s="105" t="s">
        <v>399</v>
      </c>
    </row>
    <row r="383" spans="18:31" s="105" customFormat="1">
      <c r="R383" s="154"/>
      <c r="AD383" s="105" t="s">
        <v>2838</v>
      </c>
      <c r="AE383" s="105" t="s">
        <v>400</v>
      </c>
    </row>
    <row r="384" spans="18:31" s="105" customFormat="1">
      <c r="R384" s="154"/>
      <c r="AD384" s="105" t="s">
        <v>2838</v>
      </c>
      <c r="AE384" s="105" t="s">
        <v>401</v>
      </c>
    </row>
    <row r="385" spans="3:31" s="105" customFormat="1">
      <c r="D385" s="122"/>
      <c r="E385" s="128"/>
      <c r="G385" s="99"/>
      <c r="H385" s="99"/>
      <c r="K385" s="99"/>
      <c r="L385" s="96"/>
      <c r="O385" s="111"/>
      <c r="P385" s="111"/>
      <c r="R385" s="154"/>
      <c r="S385" s="111"/>
      <c r="T385" s="101"/>
      <c r="AD385" s="105" t="s">
        <v>2838</v>
      </c>
      <c r="AE385" s="105" t="s">
        <v>402</v>
      </c>
    </row>
    <row r="386" spans="3:31" s="105" customFormat="1">
      <c r="D386" s="122"/>
      <c r="E386" s="128"/>
      <c r="G386" s="99"/>
      <c r="H386" s="99"/>
      <c r="K386" s="99"/>
      <c r="L386" s="96"/>
      <c r="O386" s="111"/>
      <c r="P386" s="111"/>
      <c r="R386" s="154"/>
      <c r="S386" s="111"/>
      <c r="T386" s="101"/>
      <c r="AB386" s="104"/>
      <c r="AD386" s="105" t="s">
        <v>2838</v>
      </c>
      <c r="AE386" s="105" t="s">
        <v>403</v>
      </c>
    </row>
    <row r="387" spans="3:31" s="105" customFormat="1">
      <c r="D387" s="122"/>
      <c r="E387" s="128"/>
      <c r="G387" s="99"/>
      <c r="H387" s="99"/>
      <c r="K387" s="99"/>
      <c r="L387" s="96"/>
      <c r="O387" s="111"/>
      <c r="P387" s="111"/>
      <c r="R387" s="154"/>
      <c r="S387" s="111"/>
      <c r="T387" s="101"/>
      <c r="AD387" s="105" t="s">
        <v>2837</v>
      </c>
      <c r="AE387" s="105" t="s">
        <v>404</v>
      </c>
    </row>
    <row r="388" spans="3:31" s="105" customFormat="1">
      <c r="D388" s="122"/>
      <c r="E388" s="128"/>
      <c r="G388" s="99"/>
      <c r="H388" s="99"/>
      <c r="K388" s="99"/>
      <c r="L388" s="96"/>
      <c r="O388" s="111"/>
      <c r="P388" s="111"/>
      <c r="R388" s="154"/>
      <c r="S388" s="111"/>
      <c r="T388" s="101"/>
      <c r="AD388" s="105" t="s">
        <v>2973</v>
      </c>
      <c r="AE388" s="105" t="s">
        <v>405</v>
      </c>
    </row>
    <row r="389" spans="3:31" s="105" customFormat="1">
      <c r="D389" s="122"/>
      <c r="E389" s="128"/>
      <c r="G389" s="99"/>
      <c r="H389" s="99"/>
      <c r="K389" s="99"/>
      <c r="L389" s="96"/>
      <c r="O389" s="111"/>
      <c r="P389" s="111"/>
      <c r="R389" s="154"/>
      <c r="S389" s="111"/>
      <c r="T389" s="101"/>
      <c r="AD389" s="105" t="s">
        <v>2837</v>
      </c>
      <c r="AE389" s="105" t="s">
        <v>406</v>
      </c>
    </row>
    <row r="390" spans="3:31" s="105" customFormat="1">
      <c r="D390" s="122"/>
      <c r="E390" s="128"/>
      <c r="G390" s="99"/>
      <c r="H390" s="99"/>
      <c r="K390" s="99"/>
      <c r="L390" s="96"/>
      <c r="O390" s="111"/>
      <c r="P390" s="111"/>
      <c r="R390" s="154"/>
      <c r="S390" s="111"/>
      <c r="T390" s="101"/>
      <c r="AD390" s="105" t="s">
        <v>2838</v>
      </c>
      <c r="AE390" s="105" t="s">
        <v>407</v>
      </c>
    </row>
    <row r="391" spans="3:31" s="105" customFormat="1">
      <c r="D391" s="122"/>
      <c r="E391" s="128"/>
      <c r="G391" s="99"/>
      <c r="H391" s="99"/>
      <c r="K391" s="99"/>
      <c r="L391" s="96"/>
      <c r="O391" s="111"/>
      <c r="P391" s="111"/>
      <c r="R391" s="154"/>
      <c r="S391" s="111"/>
      <c r="T391" s="101"/>
      <c r="AD391" s="105" t="s">
        <v>2838</v>
      </c>
      <c r="AE391" s="105" t="s">
        <v>1839</v>
      </c>
    </row>
    <row r="392" spans="3:31" s="105" customFormat="1">
      <c r="D392" s="122"/>
      <c r="E392" s="128"/>
      <c r="G392" s="99"/>
      <c r="H392" s="99"/>
      <c r="K392" s="99"/>
      <c r="L392" s="96"/>
      <c r="O392" s="111"/>
      <c r="P392" s="111"/>
      <c r="R392" s="154"/>
      <c r="S392" s="111"/>
      <c r="T392" s="101"/>
      <c r="AD392" s="105" t="s">
        <v>2838</v>
      </c>
      <c r="AE392" s="105" t="s">
        <v>408</v>
      </c>
    </row>
    <row r="393" spans="3:31" s="105" customFormat="1">
      <c r="D393" s="122"/>
      <c r="E393" s="128"/>
      <c r="G393" s="99"/>
      <c r="H393" s="99"/>
      <c r="K393" s="99"/>
      <c r="L393" s="96"/>
      <c r="O393" s="111"/>
      <c r="P393" s="111"/>
      <c r="R393" s="154"/>
      <c r="S393" s="111"/>
      <c r="T393" s="101"/>
      <c r="AD393" s="105" t="s">
        <v>2973</v>
      </c>
      <c r="AE393" s="105" t="s">
        <v>409</v>
      </c>
    </row>
    <row r="394" spans="3:31" s="105" customFormat="1">
      <c r="D394" s="122"/>
      <c r="E394" s="128"/>
      <c r="G394" s="99"/>
      <c r="H394" s="99"/>
      <c r="K394" s="99"/>
      <c r="L394" s="96"/>
      <c r="O394" s="111"/>
      <c r="P394" s="111"/>
      <c r="R394" s="154"/>
      <c r="S394" s="111"/>
      <c r="T394" s="101"/>
      <c r="AD394" s="105" t="s">
        <v>2973</v>
      </c>
      <c r="AE394" s="105" t="s">
        <v>2707</v>
      </c>
    </row>
    <row r="395" spans="3:31" s="105" customFormat="1">
      <c r="D395" s="122"/>
      <c r="E395" s="128"/>
      <c r="G395" s="99"/>
      <c r="H395" s="99"/>
      <c r="K395" s="99"/>
      <c r="L395" s="96"/>
      <c r="O395" s="111"/>
      <c r="P395" s="111"/>
      <c r="R395" s="154"/>
      <c r="S395" s="111"/>
      <c r="T395" s="101"/>
      <c r="AD395" s="105" t="s">
        <v>2973</v>
      </c>
      <c r="AE395" s="105" t="s">
        <v>410</v>
      </c>
    </row>
    <row r="396" spans="3:31" s="105" customFormat="1">
      <c r="C396" s="115"/>
      <c r="D396" s="122"/>
      <c r="E396" s="128"/>
      <c r="G396" s="99"/>
      <c r="H396" s="99"/>
      <c r="K396" s="99"/>
      <c r="L396" s="96"/>
      <c r="O396" s="111"/>
      <c r="P396" s="111"/>
      <c r="R396" s="154"/>
      <c r="S396" s="111"/>
      <c r="T396" s="101"/>
      <c r="AD396" s="105" t="s">
        <v>2973</v>
      </c>
      <c r="AE396" s="105" t="s">
        <v>411</v>
      </c>
    </row>
    <row r="397" spans="3:31" s="105" customFormat="1">
      <c r="D397" s="122"/>
      <c r="E397" s="128"/>
      <c r="G397" s="99"/>
      <c r="H397" s="99"/>
      <c r="K397" s="99"/>
      <c r="L397" s="96"/>
      <c r="O397" s="111"/>
      <c r="P397" s="111"/>
      <c r="R397" s="154"/>
      <c r="S397" s="111"/>
      <c r="T397" s="101"/>
      <c r="AD397" s="105" t="s">
        <v>2837</v>
      </c>
      <c r="AE397" s="105" t="s">
        <v>412</v>
      </c>
    </row>
    <row r="398" spans="3:31" s="105" customFormat="1">
      <c r="D398" s="122"/>
      <c r="E398" s="128"/>
      <c r="G398" s="99"/>
      <c r="H398" s="99"/>
      <c r="K398" s="99"/>
      <c r="L398" s="96"/>
      <c r="O398" s="111"/>
      <c r="P398" s="111"/>
      <c r="R398" s="154"/>
      <c r="S398" s="111"/>
      <c r="T398" s="101"/>
      <c r="AD398" s="105" t="s">
        <v>2973</v>
      </c>
      <c r="AE398" s="105" t="s">
        <v>2708</v>
      </c>
    </row>
    <row r="399" spans="3:31" s="105" customFormat="1">
      <c r="D399" s="122"/>
      <c r="E399" s="128"/>
      <c r="G399" s="99"/>
      <c r="H399" s="99"/>
      <c r="K399" s="99"/>
      <c r="L399" s="96"/>
      <c r="O399" s="111"/>
      <c r="P399" s="111"/>
      <c r="R399" s="154"/>
      <c r="S399" s="111"/>
      <c r="T399" s="101"/>
      <c r="AD399" s="105" t="s">
        <v>2973</v>
      </c>
      <c r="AE399" s="105" t="s">
        <v>1840</v>
      </c>
    </row>
    <row r="400" spans="3:31" s="105" customFormat="1">
      <c r="D400" s="122"/>
      <c r="E400" s="128"/>
      <c r="G400" s="99"/>
      <c r="H400" s="99"/>
      <c r="K400" s="99"/>
      <c r="L400" s="96"/>
      <c r="O400" s="111"/>
      <c r="P400" s="111"/>
      <c r="R400" s="154"/>
      <c r="S400" s="111"/>
      <c r="T400" s="101"/>
      <c r="AD400" s="105" t="s">
        <v>2973</v>
      </c>
      <c r="AE400" s="105" t="s">
        <v>413</v>
      </c>
    </row>
    <row r="401" spans="17:31" s="105" customFormat="1">
      <c r="R401" s="154"/>
      <c r="S401" s="111"/>
      <c r="T401" s="101"/>
      <c r="AB401" s="104"/>
      <c r="AD401" s="105" t="s">
        <v>2973</v>
      </c>
      <c r="AE401" s="105" t="s">
        <v>2293</v>
      </c>
    </row>
    <row r="402" spans="17:31" s="105" customFormat="1">
      <c r="R402" s="154"/>
      <c r="S402" s="111"/>
      <c r="T402" s="101"/>
      <c r="AD402" s="105" t="s">
        <v>2523</v>
      </c>
      <c r="AE402" s="105" t="s">
        <v>414</v>
      </c>
    </row>
    <row r="403" spans="17:31" s="105" customFormat="1">
      <c r="R403" s="154"/>
      <c r="S403" s="111"/>
      <c r="T403" s="101"/>
      <c r="AD403" s="105" t="s">
        <v>2974</v>
      </c>
      <c r="AE403" s="105" t="s">
        <v>415</v>
      </c>
    </row>
    <row r="404" spans="17:31" s="105" customFormat="1">
      <c r="R404" s="154"/>
      <c r="S404" s="111"/>
      <c r="T404" s="101"/>
      <c r="AD404" s="105" t="s">
        <v>2974</v>
      </c>
      <c r="AE404" s="105" t="s">
        <v>416</v>
      </c>
    </row>
    <row r="405" spans="17:31" s="105" customFormat="1">
      <c r="R405" s="154"/>
      <c r="S405" s="111"/>
      <c r="T405" s="101"/>
      <c r="AD405" s="105" t="s">
        <v>2845</v>
      </c>
      <c r="AE405" s="105" t="s">
        <v>417</v>
      </c>
    </row>
    <row r="406" spans="17:31" s="105" customFormat="1">
      <c r="R406" s="154"/>
      <c r="S406" s="111"/>
      <c r="T406" s="101"/>
      <c r="AD406" s="105" t="s">
        <v>2845</v>
      </c>
      <c r="AE406" s="105" t="s">
        <v>418</v>
      </c>
    </row>
    <row r="407" spans="17:31" s="105" customFormat="1">
      <c r="R407" s="154"/>
      <c r="S407" s="111"/>
      <c r="T407" s="101"/>
      <c r="AD407" s="105" t="s">
        <v>2974</v>
      </c>
      <c r="AE407" s="105" t="s">
        <v>419</v>
      </c>
    </row>
    <row r="408" spans="17:31" s="105" customFormat="1">
      <c r="R408" s="154"/>
      <c r="S408" s="111"/>
      <c r="T408" s="101"/>
      <c r="AD408" s="105" t="s">
        <v>2974</v>
      </c>
      <c r="AE408" s="105" t="s">
        <v>420</v>
      </c>
    </row>
    <row r="409" spans="17:31" s="105" customFormat="1" ht="13.6">
      <c r="Q409" s="107"/>
      <c r="R409" s="154"/>
      <c r="S409" s="111"/>
      <c r="T409" s="101"/>
      <c r="AD409" s="105" t="s">
        <v>2974</v>
      </c>
      <c r="AE409" s="105" t="s">
        <v>421</v>
      </c>
    </row>
    <row r="410" spans="17:31" s="105" customFormat="1" ht="13.6">
      <c r="Q410" s="107"/>
      <c r="R410" s="154"/>
      <c r="S410" s="111"/>
      <c r="T410" s="101"/>
      <c r="AD410" s="105" t="s">
        <v>2974</v>
      </c>
      <c r="AE410" s="105" t="s">
        <v>2245</v>
      </c>
    </row>
    <row r="411" spans="17:31" s="105" customFormat="1" ht="13.6">
      <c r="Q411" s="107"/>
      <c r="R411" s="154"/>
      <c r="S411" s="111"/>
      <c r="T411" s="101"/>
      <c r="AD411" s="105" t="s">
        <v>2974</v>
      </c>
      <c r="AE411" s="105" t="s">
        <v>422</v>
      </c>
    </row>
    <row r="412" spans="17:31" s="105" customFormat="1" ht="13.6">
      <c r="Q412" s="107"/>
      <c r="R412" s="154"/>
      <c r="S412" s="111"/>
      <c r="T412" s="101"/>
      <c r="AD412" s="105" t="s">
        <v>2842</v>
      </c>
      <c r="AE412" s="105" t="s">
        <v>423</v>
      </c>
    </row>
    <row r="413" spans="17:31" s="105" customFormat="1">
      <c r="R413" s="154"/>
      <c r="S413" s="111"/>
      <c r="T413" s="101"/>
      <c r="AD413" s="105" t="s">
        <v>2974</v>
      </c>
      <c r="AE413" s="105" t="s">
        <v>424</v>
      </c>
    </row>
    <row r="414" spans="17:31" s="105" customFormat="1">
      <c r="R414" s="154"/>
      <c r="S414" s="111"/>
      <c r="T414" s="101"/>
      <c r="AD414" s="105" t="s">
        <v>2974</v>
      </c>
      <c r="AE414" s="105" t="s">
        <v>425</v>
      </c>
    </row>
    <row r="415" spans="17:31" s="105" customFormat="1">
      <c r="R415" s="154"/>
      <c r="S415" s="111"/>
      <c r="T415" s="101"/>
      <c r="AD415" s="105" t="s">
        <v>2974</v>
      </c>
      <c r="AE415" s="105" t="s">
        <v>426</v>
      </c>
    </row>
    <row r="416" spans="17:31" s="105" customFormat="1" ht="13.6">
      <c r="Q416" s="107"/>
      <c r="R416" s="154"/>
      <c r="S416" s="111"/>
      <c r="T416" s="101"/>
      <c r="AB416" s="104"/>
      <c r="AD416" s="105" t="s">
        <v>2974</v>
      </c>
      <c r="AE416" s="105" t="s">
        <v>427</v>
      </c>
    </row>
    <row r="417" spans="17:31" s="105" customFormat="1" ht="13.6">
      <c r="Q417" s="107"/>
      <c r="R417" s="154"/>
      <c r="S417" s="111"/>
      <c r="T417" s="101"/>
      <c r="AB417" s="11"/>
      <c r="AD417" s="105" t="s">
        <v>2974</v>
      </c>
      <c r="AE417" s="105" t="s">
        <v>428</v>
      </c>
    </row>
    <row r="418" spans="17:31" s="105" customFormat="1" ht="13.6">
      <c r="Q418" s="107"/>
      <c r="R418" s="154"/>
      <c r="S418" s="111"/>
      <c r="T418" s="101"/>
      <c r="AB418" s="11"/>
      <c r="AD418" s="105" t="s">
        <v>2842</v>
      </c>
      <c r="AE418" s="105" t="s">
        <v>429</v>
      </c>
    </row>
    <row r="419" spans="17:31" s="105" customFormat="1" ht="13.6">
      <c r="Q419" s="107"/>
      <c r="R419" s="154"/>
      <c r="S419" s="111"/>
      <c r="T419" s="101"/>
      <c r="AB419" s="11"/>
      <c r="AD419" s="105" t="s">
        <v>2974</v>
      </c>
      <c r="AE419" s="105" t="s">
        <v>430</v>
      </c>
    </row>
    <row r="420" spans="17:31" s="105" customFormat="1" ht="13.6">
      <c r="Q420" s="107"/>
      <c r="R420" s="154"/>
      <c r="S420" s="111"/>
      <c r="T420" s="101"/>
      <c r="AB420" s="11"/>
      <c r="AD420" s="105" t="s">
        <v>2844</v>
      </c>
      <c r="AE420" s="105" t="s">
        <v>431</v>
      </c>
    </row>
    <row r="421" spans="17:31" s="105" customFormat="1" ht="13.6">
      <c r="Q421" s="107"/>
      <c r="R421" s="154"/>
      <c r="S421" s="111"/>
      <c r="T421" s="101"/>
      <c r="AB421" s="11"/>
      <c r="AD421" s="105" t="s">
        <v>2974</v>
      </c>
      <c r="AE421" s="105" t="s">
        <v>432</v>
      </c>
    </row>
    <row r="422" spans="17:31" s="105" customFormat="1" ht="13.6">
      <c r="Q422" s="107"/>
      <c r="R422" s="154"/>
      <c r="S422" s="111"/>
      <c r="T422" s="101"/>
      <c r="AB422" s="11"/>
      <c r="AD422" s="105" t="s">
        <v>2974</v>
      </c>
      <c r="AE422" s="105" t="s">
        <v>433</v>
      </c>
    </row>
    <row r="423" spans="17:31" s="105" customFormat="1" ht="13.6">
      <c r="Q423" s="107"/>
      <c r="R423" s="154"/>
      <c r="S423" s="111"/>
      <c r="T423" s="101"/>
      <c r="AB423" s="11"/>
      <c r="AD423" s="105" t="s">
        <v>2842</v>
      </c>
      <c r="AE423" s="105" t="s">
        <v>434</v>
      </c>
    </row>
    <row r="424" spans="17:31" s="105" customFormat="1" ht="13.6">
      <c r="Q424" s="107"/>
      <c r="R424" s="154"/>
      <c r="S424" s="111"/>
      <c r="T424" s="101"/>
      <c r="AB424" s="11"/>
      <c r="AD424" s="105" t="s">
        <v>2974</v>
      </c>
      <c r="AE424" s="105" t="s">
        <v>435</v>
      </c>
    </row>
    <row r="425" spans="17:31" s="105" customFormat="1" ht="13.6">
      <c r="Q425" s="107"/>
      <c r="R425" s="154"/>
      <c r="S425" s="111"/>
      <c r="T425" s="101"/>
      <c r="AB425" s="11"/>
      <c r="AD425" s="105" t="s">
        <v>2974</v>
      </c>
      <c r="AE425" s="105" t="s">
        <v>1841</v>
      </c>
    </row>
    <row r="426" spans="17:31" s="105" customFormat="1" ht="13.6">
      <c r="Q426" s="107"/>
      <c r="R426" s="154"/>
      <c r="S426" s="111"/>
      <c r="T426" s="101"/>
      <c r="AB426" s="11"/>
      <c r="AD426" s="105" t="s">
        <v>2974</v>
      </c>
      <c r="AE426" s="105" t="s">
        <v>2715</v>
      </c>
    </row>
    <row r="427" spans="17:31" s="105" customFormat="1" ht="13.6">
      <c r="Q427" s="107"/>
      <c r="R427" s="154"/>
      <c r="S427" s="111"/>
      <c r="T427" s="101"/>
      <c r="AB427" s="11"/>
      <c r="AD427" s="105" t="s">
        <v>2974</v>
      </c>
      <c r="AE427" s="105" t="s">
        <v>1842</v>
      </c>
    </row>
    <row r="428" spans="17:31" s="105" customFormat="1" ht="13.6">
      <c r="Q428" s="107"/>
      <c r="R428" s="154"/>
      <c r="S428" s="111"/>
      <c r="T428" s="101"/>
      <c r="AB428" s="11"/>
      <c r="AD428" s="105" t="s">
        <v>2843</v>
      </c>
      <c r="AE428" s="105" t="s">
        <v>436</v>
      </c>
    </row>
    <row r="429" spans="17:31" s="105" customFormat="1" ht="13.6">
      <c r="Q429" s="107"/>
      <c r="R429" s="154"/>
      <c r="S429" s="111"/>
      <c r="T429" s="101"/>
      <c r="AB429" s="11"/>
      <c r="AD429" s="105" t="s">
        <v>2843</v>
      </c>
      <c r="AE429" s="105" t="s">
        <v>437</v>
      </c>
    </row>
    <row r="430" spans="17:31" s="105" customFormat="1" ht="13.6">
      <c r="Q430" s="107"/>
      <c r="R430" s="154"/>
      <c r="S430" s="111"/>
      <c r="T430" s="101"/>
      <c r="AB430" s="11"/>
      <c r="AD430" s="105" t="s">
        <v>2843</v>
      </c>
      <c r="AE430" s="105" t="s">
        <v>438</v>
      </c>
    </row>
    <row r="431" spans="17:31" s="105" customFormat="1" ht="13.6">
      <c r="Q431" s="107"/>
      <c r="R431" s="154"/>
      <c r="S431" s="111"/>
      <c r="T431" s="101"/>
      <c r="AB431" s="113"/>
      <c r="AD431" s="105" t="s">
        <v>2843</v>
      </c>
      <c r="AE431" s="105" t="s">
        <v>439</v>
      </c>
    </row>
    <row r="432" spans="17:31" s="105" customFormat="1" ht="13.6">
      <c r="Q432" s="107"/>
      <c r="R432" s="154"/>
      <c r="S432" s="111"/>
      <c r="T432" s="101"/>
      <c r="AB432" s="11"/>
      <c r="AD432" s="105" t="s">
        <v>2843</v>
      </c>
      <c r="AE432" s="105" t="s">
        <v>440</v>
      </c>
    </row>
    <row r="433" spans="17:31" s="105" customFormat="1" ht="13.6">
      <c r="Q433" s="107"/>
      <c r="R433" s="154"/>
      <c r="S433" s="111"/>
      <c r="T433" s="101"/>
      <c r="AB433" s="11"/>
      <c r="AD433" s="105" t="s">
        <v>2843</v>
      </c>
      <c r="AE433" s="105" t="s">
        <v>441</v>
      </c>
    </row>
    <row r="434" spans="17:31" s="105" customFormat="1" ht="13.6">
      <c r="Q434" s="107"/>
      <c r="R434" s="154"/>
      <c r="S434" s="111"/>
      <c r="T434" s="101"/>
      <c r="AB434" s="11"/>
      <c r="AD434" s="105" t="s">
        <v>2843</v>
      </c>
      <c r="AE434" s="105" t="s">
        <v>442</v>
      </c>
    </row>
    <row r="435" spans="17:31" s="105" customFormat="1" ht="13.6">
      <c r="Q435" s="107"/>
      <c r="R435" s="154"/>
      <c r="S435" s="111"/>
      <c r="T435" s="101"/>
      <c r="AB435" s="11"/>
      <c r="AD435" s="105" t="s">
        <v>2841</v>
      </c>
      <c r="AE435" s="105" t="s">
        <v>443</v>
      </c>
    </row>
    <row r="436" spans="17:31" s="105" customFormat="1" ht="13.6">
      <c r="Q436" s="107"/>
      <c r="R436" s="154"/>
      <c r="S436" s="111"/>
      <c r="T436" s="101"/>
      <c r="AB436" s="11"/>
      <c r="AD436" s="105" t="s">
        <v>2843</v>
      </c>
      <c r="AE436" s="105" t="s">
        <v>444</v>
      </c>
    </row>
    <row r="437" spans="17:31" s="105" customFormat="1" ht="13.6">
      <c r="Q437" s="107"/>
      <c r="R437" s="154"/>
      <c r="S437" s="111"/>
      <c r="T437" s="101"/>
      <c r="AB437" s="11"/>
      <c r="AD437" s="105" t="s">
        <v>2843</v>
      </c>
      <c r="AE437" s="105" t="s">
        <v>445</v>
      </c>
    </row>
    <row r="438" spans="17:31" s="105" customFormat="1" ht="13.6">
      <c r="Q438" s="107"/>
      <c r="R438" s="154"/>
      <c r="S438" s="111"/>
      <c r="T438" s="101"/>
      <c r="AB438" s="11"/>
      <c r="AD438" s="105" t="s">
        <v>2843</v>
      </c>
      <c r="AE438" s="105" t="s">
        <v>446</v>
      </c>
    </row>
    <row r="439" spans="17:31" s="105" customFormat="1" ht="13.6">
      <c r="Q439" s="107"/>
      <c r="R439" s="154"/>
      <c r="S439" s="111"/>
      <c r="T439" s="101"/>
      <c r="AB439" s="11"/>
      <c r="AD439" s="105" t="s">
        <v>2843</v>
      </c>
      <c r="AE439" s="105" t="s">
        <v>447</v>
      </c>
    </row>
    <row r="440" spans="17:31" s="105" customFormat="1" ht="13.6">
      <c r="Q440" s="107"/>
      <c r="R440" s="154"/>
      <c r="S440" s="111"/>
      <c r="T440" s="101"/>
      <c r="AB440" s="11"/>
      <c r="AD440" s="105" t="s">
        <v>2843</v>
      </c>
      <c r="AE440" s="105" t="s">
        <v>448</v>
      </c>
    </row>
    <row r="441" spans="17:31" s="105" customFormat="1" ht="13.6">
      <c r="Q441" s="107"/>
      <c r="R441" s="154"/>
      <c r="S441" s="111"/>
      <c r="T441" s="101"/>
      <c r="AB441" s="11"/>
      <c r="AD441" s="105" t="s">
        <v>2843</v>
      </c>
      <c r="AE441" s="105" t="s">
        <v>449</v>
      </c>
    </row>
    <row r="442" spans="17:31" s="105" customFormat="1" ht="13.6">
      <c r="Q442" s="107"/>
      <c r="R442" s="154"/>
      <c r="S442" s="111"/>
      <c r="T442" s="101"/>
      <c r="AB442" s="11"/>
      <c r="AD442" s="105" t="s">
        <v>2843</v>
      </c>
      <c r="AE442" s="105" t="s">
        <v>450</v>
      </c>
    </row>
    <row r="443" spans="17:31" s="105" customFormat="1" ht="13.6">
      <c r="Q443" s="107"/>
      <c r="R443" s="154"/>
      <c r="S443" s="111"/>
      <c r="T443" s="101"/>
      <c r="AB443" s="11"/>
      <c r="AD443" s="105" t="s">
        <v>2843</v>
      </c>
      <c r="AE443" s="105" t="s">
        <v>451</v>
      </c>
    </row>
    <row r="444" spans="17:31" s="105" customFormat="1" ht="13.6">
      <c r="Q444" s="107"/>
      <c r="R444" s="154"/>
      <c r="S444" s="111"/>
      <c r="T444" s="101"/>
      <c r="AB444" s="11"/>
      <c r="AD444" s="105" t="s">
        <v>2843</v>
      </c>
      <c r="AE444" s="105" t="s">
        <v>452</v>
      </c>
    </row>
    <row r="445" spans="17:31" s="105" customFormat="1" ht="13.6">
      <c r="Q445" s="107"/>
      <c r="R445" s="154"/>
      <c r="S445" s="111"/>
      <c r="T445" s="101"/>
      <c r="AB445" s="11"/>
      <c r="AD445" s="105" t="s">
        <v>2843</v>
      </c>
      <c r="AE445" s="105" t="s">
        <v>453</v>
      </c>
    </row>
    <row r="446" spans="17:31" s="105" customFormat="1" ht="13.6">
      <c r="Q446" s="107"/>
      <c r="R446" s="154"/>
      <c r="S446" s="111"/>
      <c r="T446" s="101"/>
      <c r="AB446" s="113"/>
      <c r="AD446" s="105" t="s">
        <v>2843</v>
      </c>
      <c r="AE446" s="105" t="s">
        <v>454</v>
      </c>
    </row>
    <row r="447" spans="17:31" s="105" customFormat="1" ht="13.6">
      <c r="Q447" s="107"/>
      <c r="R447" s="154"/>
      <c r="S447" s="111"/>
      <c r="T447" s="101"/>
      <c r="AB447" s="130"/>
      <c r="AD447" s="105" t="s">
        <v>2843</v>
      </c>
      <c r="AE447" s="105" t="s">
        <v>455</v>
      </c>
    </row>
    <row r="448" spans="17:31" s="105" customFormat="1" ht="13.6">
      <c r="Q448" s="107"/>
      <c r="R448" s="154"/>
      <c r="S448" s="111"/>
      <c r="T448" s="101"/>
      <c r="AB448" s="130"/>
      <c r="AD448" s="105" t="s">
        <v>2843</v>
      </c>
      <c r="AE448" s="105" t="s">
        <v>456</v>
      </c>
    </row>
    <row r="449" spans="17:31" s="105" customFormat="1" ht="13.6">
      <c r="Q449" s="107"/>
      <c r="R449" s="154"/>
      <c r="S449" s="111"/>
      <c r="T449" s="101"/>
      <c r="AB449" s="130"/>
      <c r="AD449" s="105" t="s">
        <v>2843</v>
      </c>
      <c r="AE449" s="105" t="s">
        <v>457</v>
      </c>
    </row>
    <row r="450" spans="17:31" s="105" customFormat="1" ht="13.6">
      <c r="Q450" s="107"/>
      <c r="R450" s="154"/>
      <c r="S450" s="111"/>
      <c r="T450" s="101"/>
      <c r="AB450" s="130"/>
      <c r="AD450" s="105" t="s">
        <v>2843</v>
      </c>
      <c r="AE450" s="105" t="s">
        <v>458</v>
      </c>
    </row>
    <row r="451" spans="17:31" s="105" customFormat="1" ht="13.6">
      <c r="Q451" s="107"/>
      <c r="R451" s="154"/>
      <c r="S451" s="111"/>
      <c r="T451" s="101"/>
      <c r="AB451" s="130"/>
      <c r="AD451" s="105" t="s">
        <v>2843</v>
      </c>
      <c r="AE451" s="105" t="s">
        <v>459</v>
      </c>
    </row>
    <row r="452" spans="17:31" s="105" customFormat="1" ht="13.6">
      <c r="Q452" s="107"/>
      <c r="R452" s="154"/>
      <c r="S452" s="111"/>
      <c r="T452" s="101"/>
      <c r="AB452" s="130"/>
      <c r="AD452" s="105" t="s">
        <v>2842</v>
      </c>
      <c r="AE452" s="105" t="s">
        <v>460</v>
      </c>
    </row>
    <row r="453" spans="17:31" s="105" customFormat="1" ht="13.6">
      <c r="Q453" s="107"/>
      <c r="R453" s="154"/>
      <c r="S453" s="111"/>
      <c r="T453" s="101"/>
      <c r="AB453" s="130"/>
      <c r="AD453" s="105" t="s">
        <v>2974</v>
      </c>
      <c r="AE453" s="105" t="s">
        <v>461</v>
      </c>
    </row>
    <row r="454" spans="17:31" s="105" customFormat="1" ht="13.6">
      <c r="Q454" s="107"/>
      <c r="R454" s="154"/>
      <c r="S454" s="111"/>
      <c r="T454" s="101"/>
      <c r="AB454" s="130"/>
      <c r="AD454" s="105" t="s">
        <v>2842</v>
      </c>
      <c r="AE454" s="105" t="s">
        <v>462</v>
      </c>
    </row>
    <row r="455" spans="17:31" s="105" customFormat="1" ht="13.6">
      <c r="Q455" s="107"/>
      <c r="R455" s="154"/>
      <c r="S455" s="111"/>
      <c r="T455" s="101"/>
      <c r="AB455" s="130"/>
      <c r="AD455" s="105" t="s">
        <v>2843</v>
      </c>
      <c r="AE455" s="105" t="s">
        <v>463</v>
      </c>
    </row>
    <row r="456" spans="17:31" s="105" customFormat="1" ht="13.6">
      <c r="Q456" s="107"/>
      <c r="R456" s="154"/>
      <c r="S456" s="111"/>
      <c r="T456" s="101"/>
      <c r="AB456" s="130"/>
      <c r="AD456" s="105" t="s">
        <v>2843</v>
      </c>
      <c r="AE456" s="105" t="s">
        <v>1843</v>
      </c>
    </row>
    <row r="457" spans="17:31" s="105" customFormat="1" ht="13.6">
      <c r="Q457" s="107"/>
      <c r="R457" s="154"/>
      <c r="S457" s="111"/>
      <c r="T457" s="101"/>
      <c r="AB457" s="130"/>
      <c r="AD457" s="105" t="s">
        <v>2843</v>
      </c>
      <c r="AE457" s="105" t="s">
        <v>464</v>
      </c>
    </row>
    <row r="458" spans="17:31" s="105" customFormat="1" ht="13.6">
      <c r="Q458" s="107"/>
      <c r="R458" s="154"/>
      <c r="S458" s="111"/>
      <c r="T458" s="101"/>
      <c r="AB458" s="130"/>
      <c r="AD458" s="105" t="s">
        <v>2974</v>
      </c>
      <c r="AE458" s="105" t="s">
        <v>465</v>
      </c>
    </row>
    <row r="459" spans="17:31" s="105" customFormat="1" ht="13.6">
      <c r="Q459" s="107"/>
      <c r="R459" s="154"/>
      <c r="S459" s="111"/>
      <c r="T459" s="101"/>
      <c r="AB459" s="130"/>
      <c r="AD459" s="105" t="s">
        <v>2974</v>
      </c>
      <c r="AE459" s="105" t="s">
        <v>2716</v>
      </c>
    </row>
    <row r="460" spans="17:31" s="105" customFormat="1" ht="13.6">
      <c r="Q460" s="107"/>
      <c r="R460" s="154"/>
      <c r="S460" s="111"/>
      <c r="T460" s="101"/>
      <c r="AB460" s="130"/>
      <c r="AD460" s="105" t="s">
        <v>2974</v>
      </c>
      <c r="AE460" s="105" t="s">
        <v>466</v>
      </c>
    </row>
    <row r="461" spans="17:31" s="105" customFormat="1" ht="13.6">
      <c r="Q461" s="107"/>
      <c r="R461" s="154"/>
      <c r="S461" s="111"/>
      <c r="T461" s="101"/>
      <c r="AB461" s="109"/>
      <c r="AD461" s="105" t="s">
        <v>2974</v>
      </c>
      <c r="AE461" s="105" t="s">
        <v>467</v>
      </c>
    </row>
    <row r="462" spans="17:31" s="105" customFormat="1" ht="13.6">
      <c r="Q462" s="107"/>
      <c r="R462" s="154"/>
      <c r="S462" s="111"/>
      <c r="T462" s="101"/>
      <c r="AD462" s="105" t="s">
        <v>2842</v>
      </c>
      <c r="AE462" s="105" t="s">
        <v>468</v>
      </c>
    </row>
    <row r="463" spans="17:31" s="105" customFormat="1" ht="13.6">
      <c r="Q463" s="107"/>
      <c r="R463" s="154"/>
      <c r="S463" s="111"/>
      <c r="T463" s="101"/>
      <c r="AD463" s="105" t="s">
        <v>2974</v>
      </c>
      <c r="AE463" s="105" t="s">
        <v>2717</v>
      </c>
    </row>
    <row r="464" spans="17:31" s="105" customFormat="1" ht="13.6">
      <c r="Q464" s="107"/>
      <c r="R464" s="154"/>
      <c r="S464" s="111"/>
      <c r="T464" s="101"/>
      <c r="AD464" s="105" t="s">
        <v>2974</v>
      </c>
      <c r="AE464" s="105" t="s">
        <v>1844</v>
      </c>
    </row>
    <row r="465" spans="17:31" s="105" customFormat="1" ht="13.6">
      <c r="Q465" s="107"/>
      <c r="R465" s="154"/>
      <c r="S465" s="111"/>
      <c r="T465" s="101"/>
      <c r="AD465" s="105" t="s">
        <v>2974</v>
      </c>
      <c r="AE465" s="105" t="s">
        <v>469</v>
      </c>
    </row>
    <row r="466" spans="17:31" s="105" customFormat="1" ht="13.6">
      <c r="Q466" s="107"/>
      <c r="R466" s="154"/>
      <c r="S466" s="111"/>
      <c r="T466" s="101"/>
      <c r="AD466" s="105" t="s">
        <v>2974</v>
      </c>
      <c r="AE466" s="105" t="s">
        <v>2294</v>
      </c>
    </row>
    <row r="467" spans="17:31" s="105" customFormat="1" ht="13.6">
      <c r="Q467" s="107"/>
      <c r="R467" s="154"/>
      <c r="S467" s="111"/>
      <c r="T467" s="101"/>
      <c r="AD467" s="105" t="s">
        <v>2524</v>
      </c>
      <c r="AE467" s="105" t="s">
        <v>470</v>
      </c>
    </row>
    <row r="468" spans="17:31" s="105" customFormat="1" ht="13.6">
      <c r="Q468" s="107"/>
      <c r="R468" s="154"/>
      <c r="S468" s="111"/>
      <c r="T468" s="101"/>
      <c r="AD468" s="105" t="s">
        <v>2975</v>
      </c>
      <c r="AE468" s="105" t="s">
        <v>1925</v>
      </c>
    </row>
    <row r="469" spans="17:31" s="105" customFormat="1" ht="13.6">
      <c r="Q469" s="107"/>
      <c r="R469" s="154"/>
      <c r="S469" s="111"/>
      <c r="T469" s="101"/>
      <c r="AD469" s="105" t="s">
        <v>2975</v>
      </c>
      <c r="AE469" s="105" t="s">
        <v>1926</v>
      </c>
    </row>
    <row r="470" spans="17:31" s="105" customFormat="1" ht="13.6">
      <c r="Q470" s="107"/>
      <c r="R470" s="154"/>
      <c r="S470" s="111"/>
      <c r="T470" s="101"/>
      <c r="AD470" s="105" t="s">
        <v>2850</v>
      </c>
      <c r="AE470" s="105" t="s">
        <v>1927</v>
      </c>
    </row>
    <row r="471" spans="17:31" s="105" customFormat="1" ht="13.6">
      <c r="Q471" s="107"/>
      <c r="R471" s="154"/>
      <c r="S471" s="111"/>
      <c r="T471" s="101"/>
      <c r="AD471" s="105" t="s">
        <v>2850</v>
      </c>
      <c r="AE471" s="105" t="s">
        <v>1928</v>
      </c>
    </row>
    <row r="472" spans="17:31" s="105" customFormat="1" ht="13.6">
      <c r="Q472" s="107"/>
      <c r="R472" s="154"/>
      <c r="S472" s="111"/>
      <c r="T472" s="101"/>
      <c r="AD472" s="105" t="s">
        <v>2975</v>
      </c>
      <c r="AE472" s="105" t="s">
        <v>1929</v>
      </c>
    </row>
    <row r="473" spans="17:31" s="105" customFormat="1" ht="13.6">
      <c r="Q473" s="107"/>
      <c r="R473" s="154"/>
      <c r="S473" s="111"/>
      <c r="T473" s="101"/>
      <c r="AD473" s="105" t="s">
        <v>2975</v>
      </c>
      <c r="AE473" s="105" t="s">
        <v>1930</v>
      </c>
    </row>
    <row r="474" spans="17:31" s="105" customFormat="1" ht="13.6">
      <c r="Q474" s="107"/>
      <c r="R474" s="154"/>
      <c r="S474" s="111"/>
      <c r="T474" s="101"/>
      <c r="AD474" s="105" t="s">
        <v>2975</v>
      </c>
      <c r="AE474" s="105" t="s">
        <v>1931</v>
      </c>
    </row>
    <row r="475" spans="17:31" s="105" customFormat="1" ht="13.6">
      <c r="Q475" s="107"/>
      <c r="R475" s="154"/>
      <c r="S475" s="111"/>
      <c r="T475" s="101"/>
      <c r="AD475" s="105" t="s">
        <v>2975</v>
      </c>
      <c r="AE475" s="105" t="s">
        <v>2246</v>
      </c>
    </row>
    <row r="476" spans="17:31" s="105" customFormat="1" ht="13.6">
      <c r="Q476" s="107"/>
      <c r="R476" s="154"/>
      <c r="S476" s="111"/>
      <c r="T476" s="101"/>
      <c r="AB476" s="104"/>
      <c r="AD476" s="105" t="s">
        <v>2975</v>
      </c>
      <c r="AE476" s="105" t="s">
        <v>1932</v>
      </c>
    </row>
    <row r="477" spans="17:31" s="105" customFormat="1" ht="13.6">
      <c r="Q477" s="107"/>
      <c r="R477" s="154"/>
      <c r="S477" s="111"/>
      <c r="T477" s="101"/>
      <c r="AB477" s="130"/>
      <c r="AD477" s="105" t="s">
        <v>2847</v>
      </c>
      <c r="AE477" s="105" t="s">
        <v>1933</v>
      </c>
    </row>
    <row r="478" spans="17:31" s="105" customFormat="1" ht="13.6">
      <c r="Q478" s="107"/>
      <c r="R478" s="154"/>
      <c r="S478" s="111"/>
      <c r="T478" s="101"/>
      <c r="AB478" s="130"/>
      <c r="AD478" s="105" t="s">
        <v>2975</v>
      </c>
      <c r="AE478" s="105" t="s">
        <v>1934</v>
      </c>
    </row>
    <row r="479" spans="17:31" s="105" customFormat="1" ht="13.6">
      <c r="Q479" s="107"/>
      <c r="R479" s="154"/>
      <c r="S479" s="111"/>
      <c r="T479" s="101"/>
      <c r="AB479" s="130"/>
      <c r="AD479" s="105" t="s">
        <v>2975</v>
      </c>
      <c r="AE479" s="105" t="s">
        <v>1935</v>
      </c>
    </row>
    <row r="480" spans="17:31" s="105" customFormat="1" ht="13.6">
      <c r="Q480" s="107"/>
      <c r="R480" s="154"/>
      <c r="S480" s="111"/>
      <c r="T480" s="101"/>
      <c r="AB480" s="130"/>
      <c r="AD480" s="105" t="s">
        <v>2975</v>
      </c>
      <c r="AE480" s="105" t="s">
        <v>1936</v>
      </c>
    </row>
    <row r="481" spans="17:31" s="105" customFormat="1" ht="13.6">
      <c r="Q481" s="107"/>
      <c r="R481" s="154"/>
      <c r="S481" s="111"/>
      <c r="T481" s="101"/>
      <c r="AB481" s="130"/>
      <c r="AD481" s="105" t="s">
        <v>2975</v>
      </c>
      <c r="AE481" s="105" t="s">
        <v>1937</v>
      </c>
    </row>
    <row r="482" spans="17:31" s="105" customFormat="1" ht="13.6">
      <c r="Q482" s="107"/>
      <c r="R482" s="154"/>
      <c r="S482" s="111"/>
      <c r="T482" s="101"/>
      <c r="AB482" s="130"/>
      <c r="AD482" s="105" t="s">
        <v>2975</v>
      </c>
      <c r="AE482" s="105" t="s">
        <v>1938</v>
      </c>
    </row>
    <row r="483" spans="17:31" s="105" customFormat="1" ht="13.6">
      <c r="Q483" s="107"/>
      <c r="R483" s="154"/>
      <c r="S483" s="111"/>
      <c r="T483" s="101"/>
      <c r="AB483" s="130"/>
      <c r="AD483" s="105" t="s">
        <v>2847</v>
      </c>
      <c r="AE483" s="105" t="s">
        <v>1939</v>
      </c>
    </row>
    <row r="484" spans="17:31" s="105" customFormat="1" ht="13.6">
      <c r="Q484" s="107"/>
      <c r="R484" s="154"/>
      <c r="S484" s="111"/>
      <c r="T484" s="101"/>
      <c r="AB484" s="130"/>
      <c r="AD484" s="105" t="s">
        <v>2975</v>
      </c>
      <c r="AE484" s="105" t="s">
        <v>1940</v>
      </c>
    </row>
    <row r="485" spans="17:31" s="105" customFormat="1" ht="13.6">
      <c r="Q485" s="107"/>
      <c r="R485" s="154"/>
      <c r="S485" s="111"/>
      <c r="T485" s="101"/>
      <c r="AB485" s="130"/>
      <c r="AD485" s="105" t="s">
        <v>2849</v>
      </c>
      <c r="AE485" s="105" t="s">
        <v>1941</v>
      </c>
    </row>
    <row r="486" spans="17:31" s="105" customFormat="1" ht="13.6">
      <c r="Q486" s="107"/>
      <c r="R486" s="154"/>
      <c r="S486" s="111"/>
      <c r="T486" s="101"/>
      <c r="AB486" s="130"/>
      <c r="AD486" s="105" t="s">
        <v>2975</v>
      </c>
      <c r="AE486" s="105" t="s">
        <v>1942</v>
      </c>
    </row>
    <row r="487" spans="17:31" s="105" customFormat="1" ht="13.6">
      <c r="Q487" s="107"/>
      <c r="R487" s="154"/>
      <c r="S487" s="111"/>
      <c r="T487" s="101"/>
      <c r="AB487" s="130"/>
      <c r="AD487" s="105" t="s">
        <v>2975</v>
      </c>
      <c r="AE487" s="105" t="s">
        <v>1943</v>
      </c>
    </row>
    <row r="488" spans="17:31" s="105" customFormat="1" ht="13.6">
      <c r="Q488" s="107"/>
      <c r="R488" s="154"/>
      <c r="S488" s="111"/>
      <c r="T488" s="101"/>
      <c r="AB488" s="130"/>
      <c r="AD488" s="105" t="s">
        <v>2847</v>
      </c>
      <c r="AE488" s="105" t="s">
        <v>1944</v>
      </c>
    </row>
    <row r="489" spans="17:31" s="105" customFormat="1" ht="13.6">
      <c r="Q489" s="107"/>
      <c r="R489" s="154"/>
      <c r="S489" s="111"/>
      <c r="T489" s="101"/>
      <c r="AB489" s="130"/>
      <c r="AD489" s="105" t="s">
        <v>2975</v>
      </c>
      <c r="AE489" s="105" t="s">
        <v>1945</v>
      </c>
    </row>
    <row r="490" spans="17:31" s="105" customFormat="1" ht="13.6">
      <c r="Q490" s="107"/>
      <c r="R490" s="154"/>
      <c r="S490" s="111"/>
      <c r="T490" s="101"/>
      <c r="AB490" s="130"/>
      <c r="AD490" s="105" t="s">
        <v>2975</v>
      </c>
      <c r="AE490" s="105" t="s">
        <v>1946</v>
      </c>
    </row>
    <row r="491" spans="17:31" s="105" customFormat="1" ht="13.6">
      <c r="Q491" s="107"/>
      <c r="R491" s="154"/>
      <c r="S491" s="111"/>
      <c r="T491" s="101"/>
      <c r="AB491" s="109"/>
      <c r="AD491" s="105" t="s">
        <v>2975</v>
      </c>
      <c r="AE491" s="105" t="s">
        <v>2700</v>
      </c>
    </row>
    <row r="492" spans="17:31" s="105" customFormat="1" ht="13.6">
      <c r="Q492" s="107"/>
      <c r="R492" s="154"/>
      <c r="S492" s="111"/>
      <c r="T492" s="101"/>
      <c r="AD492" s="105" t="s">
        <v>2975</v>
      </c>
      <c r="AE492" s="105" t="s">
        <v>1947</v>
      </c>
    </row>
    <row r="493" spans="17:31" s="105" customFormat="1" ht="13.6">
      <c r="Q493" s="107"/>
      <c r="R493" s="154"/>
      <c r="S493" s="111"/>
      <c r="T493" s="101"/>
      <c r="AD493" s="105" t="s">
        <v>2848</v>
      </c>
      <c r="AE493" s="105" t="s">
        <v>1948</v>
      </c>
    </row>
    <row r="494" spans="17:31" s="105" customFormat="1" ht="13.6">
      <c r="Q494" s="107"/>
      <c r="R494" s="154"/>
      <c r="S494" s="111"/>
      <c r="T494" s="101"/>
      <c r="AD494" s="105" t="s">
        <v>2848</v>
      </c>
      <c r="AE494" s="105" t="s">
        <v>1949</v>
      </c>
    </row>
    <row r="495" spans="17:31" s="105" customFormat="1" ht="13.6">
      <c r="Q495" s="107"/>
      <c r="R495" s="154"/>
      <c r="S495" s="111"/>
      <c r="T495" s="101"/>
      <c r="AD495" s="105" t="s">
        <v>2848</v>
      </c>
      <c r="AE495" s="105" t="s">
        <v>1950</v>
      </c>
    </row>
    <row r="496" spans="17:31" s="105" customFormat="1" ht="13.6">
      <c r="Q496" s="107"/>
      <c r="R496" s="154"/>
      <c r="S496" s="111"/>
      <c r="T496" s="101"/>
      <c r="AD496" s="105" t="s">
        <v>2848</v>
      </c>
      <c r="AE496" s="105" t="s">
        <v>1951</v>
      </c>
    </row>
    <row r="497" spans="17:31" s="105" customFormat="1" ht="13.6">
      <c r="Q497" s="107"/>
      <c r="R497" s="154"/>
      <c r="S497" s="111"/>
      <c r="T497" s="101"/>
      <c r="AD497" s="105" t="s">
        <v>2848</v>
      </c>
      <c r="AE497" s="105" t="s">
        <v>1952</v>
      </c>
    </row>
    <row r="498" spans="17:31" s="105" customFormat="1" ht="13.6">
      <c r="Q498" s="107"/>
      <c r="R498" s="154"/>
      <c r="S498" s="111"/>
      <c r="T498" s="101"/>
      <c r="AD498" s="105" t="s">
        <v>2848</v>
      </c>
      <c r="AE498" s="105" t="s">
        <v>1953</v>
      </c>
    </row>
    <row r="499" spans="17:31" s="105" customFormat="1" ht="13.6">
      <c r="Q499" s="107"/>
      <c r="R499" s="154"/>
      <c r="S499" s="111"/>
      <c r="T499" s="101"/>
      <c r="AD499" s="105" t="s">
        <v>2848</v>
      </c>
      <c r="AE499" s="105" t="s">
        <v>1954</v>
      </c>
    </row>
    <row r="500" spans="17:31" s="105" customFormat="1" ht="13.6">
      <c r="Q500" s="107"/>
      <c r="R500" s="154"/>
      <c r="S500" s="111"/>
      <c r="T500" s="101"/>
      <c r="AD500" s="105" t="s">
        <v>2846</v>
      </c>
      <c r="AE500" s="105" t="s">
        <v>1955</v>
      </c>
    </row>
    <row r="501" spans="17:31" s="105" customFormat="1" ht="13.6">
      <c r="Q501" s="107"/>
      <c r="R501" s="154"/>
      <c r="S501" s="111"/>
      <c r="T501" s="101"/>
      <c r="AD501" s="105" t="s">
        <v>2848</v>
      </c>
      <c r="AE501" s="105" t="s">
        <v>1956</v>
      </c>
    </row>
    <row r="502" spans="17:31" s="105" customFormat="1" ht="13.6">
      <c r="Q502" s="107"/>
      <c r="R502" s="154"/>
      <c r="S502" s="111"/>
      <c r="T502" s="101"/>
      <c r="AD502" s="105" t="s">
        <v>2848</v>
      </c>
      <c r="AE502" s="105" t="s">
        <v>1957</v>
      </c>
    </row>
    <row r="503" spans="17:31" s="105" customFormat="1" ht="13.6">
      <c r="Q503" s="107"/>
      <c r="R503" s="154"/>
      <c r="S503" s="111"/>
      <c r="T503" s="101"/>
      <c r="AD503" s="105" t="s">
        <v>2848</v>
      </c>
      <c r="AE503" s="105" t="s">
        <v>1958</v>
      </c>
    </row>
    <row r="504" spans="17:31" s="105" customFormat="1" ht="13.6">
      <c r="Q504" s="107"/>
      <c r="R504" s="154"/>
      <c r="S504" s="111"/>
      <c r="T504" s="101"/>
      <c r="AD504" s="105" t="s">
        <v>2848</v>
      </c>
      <c r="AE504" s="105" t="s">
        <v>1959</v>
      </c>
    </row>
    <row r="505" spans="17:31" s="105" customFormat="1" ht="13.6">
      <c r="Q505" s="107"/>
      <c r="R505" s="154"/>
      <c r="S505" s="111"/>
      <c r="T505" s="101"/>
      <c r="AD505" s="105" t="s">
        <v>2848</v>
      </c>
      <c r="AE505" s="105" t="s">
        <v>1960</v>
      </c>
    </row>
    <row r="506" spans="17:31" s="105" customFormat="1" ht="13.6">
      <c r="Q506" s="107"/>
      <c r="R506" s="154"/>
      <c r="S506" s="111"/>
      <c r="T506" s="101"/>
      <c r="AB506" s="104"/>
      <c r="AD506" s="105" t="s">
        <v>2848</v>
      </c>
      <c r="AE506" s="105" t="s">
        <v>1961</v>
      </c>
    </row>
    <row r="507" spans="17:31" s="105" customFormat="1" ht="13.6">
      <c r="Q507" s="107"/>
      <c r="R507" s="154"/>
      <c r="S507" s="111"/>
      <c r="T507" s="101"/>
      <c r="AD507" s="105" t="s">
        <v>2848</v>
      </c>
      <c r="AE507" s="105" t="s">
        <v>1962</v>
      </c>
    </row>
    <row r="508" spans="17:31" s="105" customFormat="1" ht="13.6">
      <c r="Q508" s="107"/>
      <c r="R508" s="154"/>
      <c r="S508" s="111"/>
      <c r="T508" s="101"/>
      <c r="AB508" s="130"/>
      <c r="AD508" s="105" t="s">
        <v>2848</v>
      </c>
      <c r="AE508" s="105" t="s">
        <v>1963</v>
      </c>
    </row>
    <row r="509" spans="17:31" s="105" customFormat="1" ht="13.6">
      <c r="Q509" s="107"/>
      <c r="R509" s="154"/>
      <c r="S509" s="111"/>
      <c r="T509" s="101"/>
      <c r="AB509" s="130"/>
      <c r="AD509" s="105" t="s">
        <v>2848</v>
      </c>
      <c r="AE509" s="105" t="s">
        <v>1964</v>
      </c>
    </row>
    <row r="510" spans="17:31" s="105" customFormat="1" ht="13.6">
      <c r="Q510" s="107"/>
      <c r="R510" s="154"/>
      <c r="S510" s="111"/>
      <c r="T510" s="101"/>
      <c r="AB510" s="130"/>
      <c r="AD510" s="105" t="s">
        <v>2848</v>
      </c>
      <c r="AE510" s="105" t="s">
        <v>1965</v>
      </c>
    </row>
    <row r="511" spans="17:31" s="105" customFormat="1" ht="13.6">
      <c r="Q511" s="107"/>
      <c r="R511" s="154"/>
      <c r="S511" s="111"/>
      <c r="T511" s="101"/>
      <c r="AB511" s="130"/>
      <c r="AD511" s="105" t="s">
        <v>2848</v>
      </c>
      <c r="AE511" s="105" t="s">
        <v>1966</v>
      </c>
    </row>
    <row r="512" spans="17:31" s="105" customFormat="1" ht="13.6">
      <c r="Q512" s="107"/>
      <c r="R512" s="154"/>
      <c r="S512" s="111"/>
      <c r="T512" s="101"/>
      <c r="AB512" s="130"/>
      <c r="AD512" s="105" t="s">
        <v>2848</v>
      </c>
      <c r="AE512" s="105" t="s">
        <v>1967</v>
      </c>
    </row>
    <row r="513" spans="17:31" s="105" customFormat="1" ht="13.6">
      <c r="Q513" s="107"/>
      <c r="R513" s="154"/>
      <c r="S513" s="111"/>
      <c r="T513" s="101"/>
      <c r="AB513" s="130"/>
      <c r="AD513" s="105" t="s">
        <v>2848</v>
      </c>
      <c r="AE513" s="105" t="s">
        <v>1968</v>
      </c>
    </row>
    <row r="514" spans="17:31" s="105" customFormat="1" ht="13.6">
      <c r="Q514" s="107"/>
      <c r="R514" s="154"/>
      <c r="S514" s="111"/>
      <c r="T514" s="101"/>
      <c r="AB514" s="130"/>
      <c r="AD514" s="105" t="s">
        <v>2848</v>
      </c>
      <c r="AE514" s="105" t="s">
        <v>1969</v>
      </c>
    </row>
    <row r="515" spans="17:31" s="105" customFormat="1" ht="13.6">
      <c r="Q515" s="107"/>
      <c r="R515" s="154"/>
      <c r="S515" s="111"/>
      <c r="T515" s="101"/>
      <c r="AB515" s="130"/>
      <c r="AD515" s="105" t="s">
        <v>2848</v>
      </c>
      <c r="AE515" s="105" t="s">
        <v>1970</v>
      </c>
    </row>
    <row r="516" spans="17:31" s="105" customFormat="1" ht="13.6">
      <c r="Q516" s="107"/>
      <c r="R516" s="154"/>
      <c r="S516" s="111"/>
      <c r="T516" s="101"/>
      <c r="AB516" s="130"/>
      <c r="AD516" s="105" t="s">
        <v>2848</v>
      </c>
      <c r="AE516" s="105" t="s">
        <v>1971</v>
      </c>
    </row>
    <row r="517" spans="17:31" s="105" customFormat="1" ht="13.6">
      <c r="Q517" s="107"/>
      <c r="R517" s="154"/>
      <c r="S517" s="111"/>
      <c r="T517" s="101"/>
      <c r="AB517" s="130"/>
      <c r="AD517" s="105" t="s">
        <v>2847</v>
      </c>
      <c r="AE517" s="105" t="s">
        <v>1972</v>
      </c>
    </row>
    <row r="518" spans="17:31" s="105" customFormat="1" ht="13.6">
      <c r="Q518" s="107"/>
      <c r="R518" s="154"/>
      <c r="S518" s="111"/>
      <c r="T518" s="101"/>
      <c r="AB518" s="130"/>
      <c r="AD518" s="105" t="s">
        <v>2975</v>
      </c>
      <c r="AE518" s="105" t="s">
        <v>1973</v>
      </c>
    </row>
    <row r="519" spans="17:31" s="105" customFormat="1" ht="13.6">
      <c r="Q519" s="107"/>
      <c r="R519" s="154"/>
      <c r="S519" s="111"/>
      <c r="T519" s="101"/>
      <c r="AB519" s="130"/>
      <c r="AD519" s="105" t="s">
        <v>2847</v>
      </c>
      <c r="AE519" s="105" t="s">
        <v>1974</v>
      </c>
    </row>
    <row r="520" spans="17:31" s="105" customFormat="1" ht="13.6">
      <c r="Q520" s="107"/>
      <c r="R520" s="154"/>
      <c r="S520" s="111"/>
      <c r="T520" s="101"/>
      <c r="AB520" s="130"/>
      <c r="AD520" s="105" t="s">
        <v>2848</v>
      </c>
      <c r="AE520" s="105" t="s">
        <v>1975</v>
      </c>
    </row>
    <row r="521" spans="17:31" s="105" customFormat="1" ht="13.6">
      <c r="Q521" s="107"/>
      <c r="R521" s="154"/>
      <c r="S521" s="111"/>
      <c r="T521" s="101"/>
      <c r="AB521" s="109"/>
      <c r="AD521" s="105" t="s">
        <v>2848</v>
      </c>
      <c r="AE521" s="105" t="s">
        <v>1976</v>
      </c>
    </row>
    <row r="522" spans="17:31" s="105" customFormat="1" ht="13.6">
      <c r="Q522" s="107"/>
      <c r="R522" s="154"/>
      <c r="S522" s="111"/>
      <c r="T522" s="101"/>
      <c r="AD522" s="105" t="s">
        <v>2848</v>
      </c>
      <c r="AE522" s="105" t="s">
        <v>1977</v>
      </c>
    </row>
    <row r="523" spans="17:31" s="105" customFormat="1" ht="13.6">
      <c r="Q523" s="107"/>
      <c r="R523" s="154"/>
      <c r="S523" s="111"/>
      <c r="T523" s="101"/>
      <c r="AD523" s="105" t="s">
        <v>2975</v>
      </c>
      <c r="AE523" s="105" t="s">
        <v>1978</v>
      </c>
    </row>
    <row r="524" spans="17:31" s="105" customFormat="1" ht="13.6">
      <c r="Q524" s="107"/>
      <c r="R524" s="154"/>
      <c r="S524" s="111"/>
      <c r="T524" s="101"/>
      <c r="AD524" s="105" t="s">
        <v>2975</v>
      </c>
      <c r="AE524" s="105" t="s">
        <v>2701</v>
      </c>
    </row>
    <row r="525" spans="17:31" s="105" customFormat="1" ht="13.6">
      <c r="Q525" s="107"/>
      <c r="R525" s="154"/>
      <c r="S525" s="111"/>
      <c r="T525" s="101"/>
      <c r="AD525" s="105" t="s">
        <v>2975</v>
      </c>
      <c r="AE525" s="105" t="s">
        <v>1979</v>
      </c>
    </row>
    <row r="526" spans="17:31" s="105" customFormat="1" ht="13.6">
      <c r="Q526" s="107"/>
      <c r="R526" s="154"/>
      <c r="S526" s="111"/>
      <c r="T526" s="101"/>
      <c r="AD526" s="105" t="s">
        <v>2975</v>
      </c>
      <c r="AE526" s="105" t="s">
        <v>1980</v>
      </c>
    </row>
    <row r="527" spans="17:31" s="105" customFormat="1" ht="13.6">
      <c r="Q527" s="107"/>
      <c r="R527" s="154"/>
      <c r="S527" s="111"/>
      <c r="T527" s="101"/>
      <c r="AD527" s="105" t="s">
        <v>2847</v>
      </c>
      <c r="AE527" s="105" t="s">
        <v>1981</v>
      </c>
    </row>
    <row r="528" spans="17:31" s="105" customFormat="1" ht="13.6">
      <c r="Q528" s="107"/>
      <c r="R528" s="154"/>
      <c r="S528" s="111"/>
      <c r="T528" s="101"/>
      <c r="AD528" s="105" t="s">
        <v>2975</v>
      </c>
      <c r="AE528" s="105" t="s">
        <v>2702</v>
      </c>
    </row>
    <row r="529" spans="3:31" s="105" customFormat="1" ht="13.6">
      <c r="D529" s="122"/>
      <c r="E529" s="128"/>
      <c r="G529" s="99"/>
      <c r="H529" s="99"/>
      <c r="K529" s="99"/>
      <c r="L529" s="96"/>
      <c r="O529" s="111"/>
      <c r="P529" s="111"/>
      <c r="Q529" s="107"/>
      <c r="R529" s="154"/>
      <c r="S529" s="111"/>
      <c r="T529" s="101"/>
      <c r="AD529" s="105" t="s">
        <v>2975</v>
      </c>
      <c r="AE529" s="105" t="s">
        <v>1982</v>
      </c>
    </row>
    <row r="530" spans="3:31" s="105" customFormat="1" ht="13.6">
      <c r="D530" s="122"/>
      <c r="E530" s="128"/>
      <c r="G530" s="99"/>
      <c r="H530" s="99"/>
      <c r="K530" s="99"/>
      <c r="L530" s="96"/>
      <c r="O530" s="111"/>
      <c r="P530" s="111"/>
      <c r="Q530" s="107"/>
      <c r="R530" s="154"/>
      <c r="S530" s="111"/>
      <c r="T530" s="101"/>
      <c r="AD530" s="105" t="s">
        <v>2975</v>
      </c>
      <c r="AE530" s="105" t="s">
        <v>1983</v>
      </c>
    </row>
    <row r="531" spans="3:31" s="105" customFormat="1" ht="13.6">
      <c r="D531" s="122"/>
      <c r="E531" s="128"/>
      <c r="G531" s="99"/>
      <c r="H531" s="99"/>
      <c r="K531" s="99"/>
      <c r="L531" s="96"/>
      <c r="O531" s="111"/>
      <c r="P531" s="111"/>
      <c r="Q531" s="107"/>
      <c r="R531" s="154"/>
      <c r="S531" s="111"/>
      <c r="T531" s="101"/>
      <c r="AD531" s="105" t="s">
        <v>2975</v>
      </c>
      <c r="AE531" s="105" t="s">
        <v>2317</v>
      </c>
    </row>
    <row r="532" spans="3:31" s="105" customFormat="1" ht="13.6">
      <c r="D532" s="122"/>
      <c r="E532" s="128"/>
      <c r="G532" s="99"/>
      <c r="H532" s="99"/>
      <c r="K532" s="99"/>
      <c r="L532" s="96"/>
      <c r="O532" s="111"/>
      <c r="P532" s="111"/>
      <c r="Q532" s="107"/>
      <c r="R532" s="154"/>
      <c r="S532" s="111"/>
      <c r="T532" s="101"/>
      <c r="AD532" s="105" t="s">
        <v>2525</v>
      </c>
      <c r="AE532" s="105" t="s">
        <v>1984</v>
      </c>
    </row>
    <row r="533" spans="3:31" s="105" customFormat="1">
      <c r="D533" s="122"/>
      <c r="E533" s="128"/>
      <c r="G533" s="99"/>
      <c r="H533" s="99"/>
      <c r="K533" s="99"/>
      <c r="L533" s="96"/>
      <c r="O533" s="111"/>
      <c r="P533" s="111"/>
      <c r="R533" s="154"/>
      <c r="S533" s="111"/>
      <c r="T533" s="101"/>
      <c r="AB533" s="130"/>
      <c r="AD533" s="105" t="s">
        <v>2976</v>
      </c>
      <c r="AE533" s="105" t="s">
        <v>1985</v>
      </c>
    </row>
    <row r="534" spans="3:31" s="105" customFormat="1">
      <c r="D534" s="122"/>
      <c r="E534" s="128"/>
      <c r="G534" s="99"/>
      <c r="H534" s="99"/>
      <c r="K534" s="99"/>
      <c r="L534" s="96"/>
      <c r="O534" s="111"/>
      <c r="P534" s="111"/>
      <c r="R534" s="154"/>
      <c r="S534" s="111"/>
      <c r="T534" s="101"/>
      <c r="AB534" s="130"/>
      <c r="AD534" s="105" t="s">
        <v>2976</v>
      </c>
      <c r="AE534" s="105" t="s">
        <v>1986</v>
      </c>
    </row>
    <row r="535" spans="3:31" s="105" customFormat="1">
      <c r="D535" s="122"/>
      <c r="E535" s="128"/>
      <c r="G535" s="99"/>
      <c r="H535" s="99"/>
      <c r="K535" s="99"/>
      <c r="L535" s="96"/>
      <c r="O535" s="111"/>
      <c r="P535" s="111"/>
      <c r="R535" s="154"/>
      <c r="S535" s="111"/>
      <c r="T535" s="101"/>
      <c r="AB535" s="130"/>
      <c r="AD535" s="105" t="s">
        <v>2855</v>
      </c>
      <c r="AE535" s="105" t="s">
        <v>1987</v>
      </c>
    </row>
    <row r="536" spans="3:31" s="105" customFormat="1">
      <c r="D536" s="122"/>
      <c r="E536" s="128"/>
      <c r="G536" s="99"/>
      <c r="H536" s="99"/>
      <c r="K536" s="99"/>
      <c r="L536" s="96"/>
      <c r="O536" s="111"/>
      <c r="P536" s="111"/>
      <c r="R536" s="154"/>
      <c r="S536" s="111"/>
      <c r="T536" s="101"/>
      <c r="AB536" s="130"/>
      <c r="AD536" s="105" t="s">
        <v>2855</v>
      </c>
      <c r="AE536" s="105" t="s">
        <v>1988</v>
      </c>
    </row>
    <row r="537" spans="3:31" s="105" customFormat="1">
      <c r="D537" s="122"/>
      <c r="E537" s="128"/>
      <c r="G537" s="99"/>
      <c r="H537" s="99"/>
      <c r="K537" s="99"/>
      <c r="L537" s="96"/>
      <c r="O537" s="111"/>
      <c r="P537" s="111"/>
      <c r="R537" s="154"/>
      <c r="S537" s="111"/>
      <c r="T537" s="101"/>
      <c r="AB537" s="130"/>
      <c r="AD537" s="105" t="s">
        <v>2976</v>
      </c>
      <c r="AE537" s="105" t="s">
        <v>1989</v>
      </c>
    </row>
    <row r="538" spans="3:31" s="105" customFormat="1">
      <c r="D538" s="122"/>
      <c r="E538" s="128"/>
      <c r="G538" s="99"/>
      <c r="H538" s="99"/>
      <c r="K538" s="99"/>
      <c r="L538" s="96"/>
      <c r="O538" s="111"/>
      <c r="P538" s="111"/>
      <c r="R538" s="154"/>
      <c r="S538" s="111"/>
      <c r="T538" s="101"/>
      <c r="AB538" s="130"/>
      <c r="AD538" s="105" t="s">
        <v>2976</v>
      </c>
      <c r="AE538" s="105" t="s">
        <v>1990</v>
      </c>
    </row>
    <row r="539" spans="3:31" s="105" customFormat="1">
      <c r="C539" s="115"/>
      <c r="D539" s="122"/>
      <c r="E539" s="128"/>
      <c r="G539" s="99"/>
      <c r="H539" s="99"/>
      <c r="K539" s="99"/>
      <c r="L539" s="96"/>
      <c r="O539" s="111"/>
      <c r="P539" s="111"/>
      <c r="R539" s="154"/>
      <c r="S539" s="111"/>
      <c r="T539" s="101"/>
      <c r="AB539" s="130"/>
      <c r="AD539" s="105" t="s">
        <v>2976</v>
      </c>
      <c r="AE539" s="105" t="s">
        <v>1991</v>
      </c>
    </row>
    <row r="540" spans="3:31" s="105" customFormat="1">
      <c r="D540" s="122"/>
      <c r="E540" s="128"/>
      <c r="G540" s="99"/>
      <c r="H540" s="99"/>
      <c r="K540" s="99"/>
      <c r="L540" s="96"/>
      <c r="O540" s="111"/>
      <c r="P540" s="111"/>
      <c r="R540" s="154"/>
      <c r="S540" s="111"/>
      <c r="T540" s="101"/>
      <c r="AB540" s="130"/>
      <c r="AD540" s="105" t="s">
        <v>2976</v>
      </c>
      <c r="AE540" s="105" t="s">
        <v>2247</v>
      </c>
    </row>
    <row r="541" spans="3:31" s="105" customFormat="1">
      <c r="D541" s="122"/>
      <c r="E541" s="128"/>
      <c r="G541" s="99"/>
      <c r="H541" s="99"/>
      <c r="K541" s="99"/>
      <c r="L541" s="96"/>
      <c r="O541" s="111"/>
      <c r="P541" s="111"/>
      <c r="R541" s="154"/>
      <c r="S541" s="111"/>
      <c r="T541" s="101"/>
      <c r="AB541" s="130"/>
      <c r="AD541" s="105" t="s">
        <v>2976</v>
      </c>
      <c r="AE541" s="105" t="s">
        <v>1992</v>
      </c>
    </row>
    <row r="542" spans="3:31" s="105" customFormat="1">
      <c r="D542" s="122"/>
      <c r="E542" s="128"/>
      <c r="G542" s="99"/>
      <c r="H542" s="99"/>
      <c r="K542" s="99"/>
      <c r="L542" s="96"/>
      <c r="O542" s="111"/>
      <c r="P542" s="111"/>
      <c r="R542" s="154"/>
      <c r="S542" s="111"/>
      <c r="T542" s="101"/>
      <c r="AB542" s="130"/>
      <c r="AD542" s="105" t="s">
        <v>2852</v>
      </c>
      <c r="AE542" s="105" t="s">
        <v>1993</v>
      </c>
    </row>
    <row r="543" spans="3:31" s="105" customFormat="1">
      <c r="D543" s="122"/>
      <c r="E543" s="128"/>
      <c r="G543" s="99"/>
      <c r="H543" s="99"/>
      <c r="K543" s="99"/>
      <c r="L543" s="96"/>
      <c r="O543" s="111"/>
      <c r="P543" s="111"/>
      <c r="R543" s="154"/>
      <c r="S543" s="111"/>
      <c r="T543" s="101"/>
      <c r="AB543" s="130"/>
      <c r="AD543" s="105" t="s">
        <v>2976</v>
      </c>
      <c r="AE543" s="105" t="s">
        <v>1994</v>
      </c>
    </row>
    <row r="544" spans="3:31" s="105" customFormat="1">
      <c r="D544" s="122"/>
      <c r="E544" s="128"/>
      <c r="G544" s="99"/>
      <c r="H544" s="99"/>
      <c r="K544" s="99"/>
      <c r="L544" s="96"/>
      <c r="O544" s="111"/>
      <c r="P544" s="111"/>
      <c r="R544" s="154"/>
      <c r="S544" s="111"/>
      <c r="T544" s="101"/>
      <c r="AB544" s="130"/>
      <c r="AD544" s="105" t="s">
        <v>2976</v>
      </c>
      <c r="AE544" s="105" t="s">
        <v>1995</v>
      </c>
    </row>
    <row r="545" spans="18:31" s="105" customFormat="1">
      <c r="R545" s="154"/>
      <c r="AB545" s="130"/>
      <c r="AD545" s="105" t="s">
        <v>2976</v>
      </c>
      <c r="AE545" s="105" t="s">
        <v>1996</v>
      </c>
    </row>
    <row r="546" spans="18:31" s="105" customFormat="1">
      <c r="R546" s="154"/>
      <c r="AB546" s="130"/>
      <c r="AD546" s="105" t="s">
        <v>2976</v>
      </c>
      <c r="AE546" s="105" t="s">
        <v>1997</v>
      </c>
    </row>
    <row r="547" spans="18:31" s="105" customFormat="1">
      <c r="R547" s="154"/>
      <c r="AB547" s="130"/>
      <c r="AD547" s="105" t="s">
        <v>2976</v>
      </c>
      <c r="AE547" s="105" t="s">
        <v>1998</v>
      </c>
    </row>
    <row r="548" spans="18:31" s="105" customFormat="1">
      <c r="R548" s="154"/>
      <c r="AB548" s="130"/>
      <c r="AD548" s="105" t="s">
        <v>2852</v>
      </c>
      <c r="AE548" s="105" t="s">
        <v>1999</v>
      </c>
    </row>
    <row r="549" spans="18:31" s="105" customFormat="1">
      <c r="R549" s="154"/>
      <c r="AB549" s="130"/>
      <c r="AD549" s="105" t="s">
        <v>2976</v>
      </c>
      <c r="AE549" s="105" t="s">
        <v>2000</v>
      </c>
    </row>
    <row r="550" spans="18:31" s="105" customFormat="1">
      <c r="R550" s="154"/>
      <c r="AB550" s="130"/>
      <c r="AD550" s="105" t="s">
        <v>2854</v>
      </c>
      <c r="AE550" s="105" t="s">
        <v>2001</v>
      </c>
    </row>
    <row r="551" spans="18:31" s="105" customFormat="1">
      <c r="R551" s="154"/>
      <c r="AB551" s="130"/>
      <c r="AD551" s="105" t="s">
        <v>2976</v>
      </c>
      <c r="AE551" s="105" t="s">
        <v>2002</v>
      </c>
    </row>
    <row r="552" spans="18:31" s="105" customFormat="1">
      <c r="R552" s="154"/>
      <c r="AB552" s="130"/>
      <c r="AD552" s="105" t="s">
        <v>2976</v>
      </c>
      <c r="AE552" s="105" t="s">
        <v>2003</v>
      </c>
    </row>
    <row r="553" spans="18:31" s="105" customFormat="1">
      <c r="R553" s="154"/>
      <c r="AB553" s="130"/>
      <c r="AD553" s="105" t="s">
        <v>2852</v>
      </c>
      <c r="AE553" s="105" t="s">
        <v>2004</v>
      </c>
    </row>
    <row r="554" spans="18:31" s="105" customFormat="1">
      <c r="R554" s="154"/>
      <c r="AB554" s="130"/>
      <c r="AD554" s="105" t="s">
        <v>2976</v>
      </c>
      <c r="AE554" s="105" t="s">
        <v>2005</v>
      </c>
    </row>
    <row r="555" spans="18:31" s="105" customFormat="1">
      <c r="R555" s="154"/>
      <c r="AB555" s="130"/>
      <c r="AD555" s="105" t="s">
        <v>2976</v>
      </c>
      <c r="AE555" s="105" t="s">
        <v>2006</v>
      </c>
    </row>
    <row r="556" spans="18:31" s="105" customFormat="1">
      <c r="R556" s="154"/>
      <c r="AB556" s="130"/>
      <c r="AD556" s="105" t="s">
        <v>2976</v>
      </c>
      <c r="AE556" s="105" t="s">
        <v>2695</v>
      </c>
    </row>
    <row r="557" spans="18:31" s="105" customFormat="1">
      <c r="R557" s="154"/>
      <c r="AB557" s="130"/>
      <c r="AD557" s="105" t="s">
        <v>2976</v>
      </c>
      <c r="AE557" s="105" t="s">
        <v>2007</v>
      </c>
    </row>
    <row r="558" spans="18:31" s="105" customFormat="1">
      <c r="R558" s="154"/>
      <c r="AB558" s="130"/>
      <c r="AD558" s="105" t="s">
        <v>2853</v>
      </c>
      <c r="AE558" s="105" t="s">
        <v>2008</v>
      </c>
    </row>
    <row r="559" spans="18:31" s="105" customFormat="1">
      <c r="R559" s="154"/>
      <c r="AB559" s="130"/>
      <c r="AD559" s="105" t="s">
        <v>2853</v>
      </c>
      <c r="AE559" s="105" t="s">
        <v>2009</v>
      </c>
    </row>
    <row r="560" spans="18:31" s="105" customFormat="1">
      <c r="R560" s="154"/>
      <c r="AB560" s="130"/>
      <c r="AD560" s="105" t="s">
        <v>2853</v>
      </c>
      <c r="AE560" s="105" t="s">
        <v>2010</v>
      </c>
    </row>
    <row r="561" spans="18:31" s="105" customFormat="1">
      <c r="R561" s="154"/>
      <c r="AB561" s="130"/>
      <c r="AD561" s="105" t="s">
        <v>2853</v>
      </c>
      <c r="AE561" s="105" t="s">
        <v>2011</v>
      </c>
    </row>
    <row r="562" spans="18:31" s="105" customFormat="1">
      <c r="R562" s="154"/>
      <c r="AB562" s="130"/>
      <c r="AD562" s="105" t="s">
        <v>2853</v>
      </c>
      <c r="AE562" s="105" t="s">
        <v>2012</v>
      </c>
    </row>
    <row r="563" spans="18:31" s="105" customFormat="1">
      <c r="R563" s="154"/>
      <c r="AB563" s="130"/>
      <c r="AD563" s="105" t="s">
        <v>2853</v>
      </c>
      <c r="AE563" s="105" t="s">
        <v>2013</v>
      </c>
    </row>
    <row r="564" spans="18:31" s="105" customFormat="1">
      <c r="R564" s="154"/>
      <c r="AB564" s="130"/>
      <c r="AD564" s="105" t="s">
        <v>2853</v>
      </c>
      <c r="AE564" s="105" t="s">
        <v>2014</v>
      </c>
    </row>
    <row r="565" spans="18:31" s="105" customFormat="1">
      <c r="R565" s="154"/>
      <c r="AB565" s="130"/>
      <c r="AD565" s="105" t="s">
        <v>2851</v>
      </c>
      <c r="AE565" s="105" t="s">
        <v>2015</v>
      </c>
    </row>
    <row r="566" spans="18:31" s="105" customFormat="1">
      <c r="R566" s="154"/>
      <c r="AB566" s="130"/>
      <c r="AD566" s="105" t="s">
        <v>2853</v>
      </c>
      <c r="AE566" s="105" t="s">
        <v>2016</v>
      </c>
    </row>
    <row r="567" spans="18:31" s="105" customFormat="1">
      <c r="R567" s="154"/>
      <c r="AB567" s="130"/>
      <c r="AD567" s="105" t="s">
        <v>2853</v>
      </c>
      <c r="AE567" s="105" t="s">
        <v>2017</v>
      </c>
    </row>
    <row r="568" spans="18:31" s="105" customFormat="1">
      <c r="R568" s="154"/>
      <c r="AB568" s="130"/>
      <c r="AD568" s="105" t="s">
        <v>2853</v>
      </c>
      <c r="AE568" s="105" t="s">
        <v>2018</v>
      </c>
    </row>
    <row r="569" spans="18:31" s="105" customFormat="1">
      <c r="R569" s="154"/>
      <c r="AB569" s="130"/>
      <c r="AD569" s="105" t="s">
        <v>2853</v>
      </c>
      <c r="AE569" s="105" t="s">
        <v>2019</v>
      </c>
    </row>
    <row r="570" spans="18:31" s="105" customFormat="1">
      <c r="R570" s="154"/>
      <c r="AB570" s="130"/>
      <c r="AD570" s="105" t="s">
        <v>2853</v>
      </c>
      <c r="AE570" s="105" t="s">
        <v>2020</v>
      </c>
    </row>
    <row r="571" spans="18:31" s="105" customFormat="1">
      <c r="R571" s="154"/>
      <c r="AB571" s="130"/>
      <c r="AD571" s="105" t="s">
        <v>2853</v>
      </c>
      <c r="AE571" s="105" t="s">
        <v>2021</v>
      </c>
    </row>
    <row r="572" spans="18:31" s="105" customFormat="1">
      <c r="R572" s="154"/>
      <c r="AB572" s="130"/>
      <c r="AD572" s="105" t="s">
        <v>2853</v>
      </c>
      <c r="AE572" s="105" t="s">
        <v>2022</v>
      </c>
    </row>
    <row r="573" spans="18:31" s="105" customFormat="1">
      <c r="R573" s="154"/>
      <c r="AB573" s="130"/>
      <c r="AD573" s="105" t="s">
        <v>2853</v>
      </c>
      <c r="AE573" s="105" t="s">
        <v>2023</v>
      </c>
    </row>
    <row r="574" spans="18:31" s="105" customFormat="1">
      <c r="R574" s="154"/>
      <c r="AB574" s="130"/>
      <c r="AD574" s="105" t="s">
        <v>2853</v>
      </c>
      <c r="AE574" s="105" t="s">
        <v>2024</v>
      </c>
    </row>
    <row r="575" spans="18:31" s="105" customFormat="1">
      <c r="R575" s="154"/>
      <c r="AB575" s="130"/>
      <c r="AD575" s="105" t="s">
        <v>2853</v>
      </c>
      <c r="AE575" s="105" t="s">
        <v>2025</v>
      </c>
    </row>
    <row r="576" spans="18:31" s="105" customFormat="1">
      <c r="R576" s="154"/>
      <c r="AB576" s="130"/>
      <c r="AD576" s="105" t="s">
        <v>2853</v>
      </c>
      <c r="AE576" s="105" t="s">
        <v>2026</v>
      </c>
    </row>
    <row r="577" spans="18:31" s="105" customFormat="1">
      <c r="R577" s="154"/>
      <c r="AB577" s="130"/>
      <c r="AD577" s="105" t="s">
        <v>2853</v>
      </c>
      <c r="AE577" s="105" t="s">
        <v>2027</v>
      </c>
    </row>
    <row r="578" spans="18:31" s="105" customFormat="1">
      <c r="R578" s="154"/>
      <c r="AB578" s="130"/>
      <c r="AD578" s="105" t="s">
        <v>2853</v>
      </c>
      <c r="AE578" s="105" t="s">
        <v>2028</v>
      </c>
    </row>
    <row r="579" spans="18:31" s="105" customFormat="1">
      <c r="R579" s="154"/>
      <c r="AB579" s="130"/>
      <c r="AD579" s="105" t="s">
        <v>2853</v>
      </c>
      <c r="AE579" s="105" t="s">
        <v>2029</v>
      </c>
    </row>
    <row r="580" spans="18:31" s="105" customFormat="1">
      <c r="R580" s="154"/>
      <c r="AB580" s="130"/>
      <c r="AD580" s="105" t="s">
        <v>2853</v>
      </c>
      <c r="AE580" s="105" t="s">
        <v>2030</v>
      </c>
    </row>
    <row r="581" spans="18:31" s="105" customFormat="1">
      <c r="R581" s="154"/>
      <c r="AB581" s="130"/>
      <c r="AD581" s="105" t="s">
        <v>2853</v>
      </c>
      <c r="AE581" s="105" t="s">
        <v>2031</v>
      </c>
    </row>
    <row r="582" spans="18:31" s="105" customFormat="1">
      <c r="R582" s="154"/>
      <c r="AB582" s="130"/>
      <c r="AD582" s="105" t="s">
        <v>2852</v>
      </c>
      <c r="AE582" s="105" t="s">
        <v>2032</v>
      </c>
    </row>
    <row r="583" spans="18:31" s="105" customFormat="1">
      <c r="R583" s="154"/>
      <c r="AB583" s="130"/>
      <c r="AD583" s="105" t="s">
        <v>2976</v>
      </c>
      <c r="AE583" s="105" t="s">
        <v>2033</v>
      </c>
    </row>
    <row r="584" spans="18:31" s="105" customFormat="1">
      <c r="R584" s="154"/>
      <c r="AB584" s="130"/>
      <c r="AD584" s="105" t="s">
        <v>2852</v>
      </c>
      <c r="AE584" s="105" t="s">
        <v>2034</v>
      </c>
    </row>
    <row r="585" spans="18:31" s="105" customFormat="1">
      <c r="R585" s="154"/>
      <c r="AB585" s="130"/>
      <c r="AD585" s="105" t="s">
        <v>2853</v>
      </c>
      <c r="AE585" s="105" t="s">
        <v>2035</v>
      </c>
    </row>
    <row r="586" spans="18:31" s="105" customFormat="1">
      <c r="R586" s="154"/>
      <c r="AB586" s="130"/>
      <c r="AD586" s="105" t="s">
        <v>2853</v>
      </c>
      <c r="AE586" s="105" t="s">
        <v>2036</v>
      </c>
    </row>
    <row r="587" spans="18:31" s="105" customFormat="1">
      <c r="R587" s="154"/>
      <c r="AB587" s="130"/>
      <c r="AD587" s="105" t="s">
        <v>2853</v>
      </c>
      <c r="AE587" s="105" t="s">
        <v>2037</v>
      </c>
    </row>
    <row r="588" spans="18:31" s="105" customFormat="1">
      <c r="R588" s="154"/>
      <c r="AB588" s="130"/>
      <c r="AD588" s="105" t="s">
        <v>2976</v>
      </c>
      <c r="AE588" s="105" t="s">
        <v>2038</v>
      </c>
    </row>
    <row r="589" spans="18:31" s="105" customFormat="1">
      <c r="R589" s="154"/>
      <c r="AB589" s="130"/>
      <c r="AD589" s="105" t="s">
        <v>2976</v>
      </c>
      <c r="AE589" s="105" t="s">
        <v>2698</v>
      </c>
    </row>
    <row r="590" spans="18:31" s="105" customFormat="1">
      <c r="R590" s="154"/>
      <c r="AB590" s="130"/>
      <c r="AD590" s="105" t="s">
        <v>2976</v>
      </c>
      <c r="AE590" s="105" t="s">
        <v>2039</v>
      </c>
    </row>
    <row r="591" spans="18:31" s="105" customFormat="1">
      <c r="R591" s="154"/>
      <c r="AB591" s="130"/>
      <c r="AD591" s="105" t="s">
        <v>2976</v>
      </c>
      <c r="AE591" s="105" t="s">
        <v>2040</v>
      </c>
    </row>
    <row r="592" spans="18:31" s="105" customFormat="1">
      <c r="R592" s="154"/>
      <c r="AB592" s="130"/>
      <c r="AD592" s="105" t="s">
        <v>2852</v>
      </c>
      <c r="AE592" s="105" t="s">
        <v>2041</v>
      </c>
    </row>
    <row r="593" spans="18:31" s="105" customFormat="1">
      <c r="R593" s="154"/>
      <c r="AB593" s="130"/>
      <c r="AD593" s="105" t="s">
        <v>2976</v>
      </c>
      <c r="AE593" s="105" t="s">
        <v>2699</v>
      </c>
    </row>
    <row r="594" spans="18:31" s="105" customFormat="1">
      <c r="R594" s="154"/>
      <c r="AB594" s="130"/>
      <c r="AD594" s="105" t="s">
        <v>2976</v>
      </c>
      <c r="AE594" s="105" t="s">
        <v>2042</v>
      </c>
    </row>
    <row r="595" spans="18:31" s="105" customFormat="1">
      <c r="R595" s="154"/>
      <c r="AB595" s="130"/>
      <c r="AD595" s="105" t="s">
        <v>2976</v>
      </c>
      <c r="AE595" s="105" t="s">
        <v>2043</v>
      </c>
    </row>
    <row r="596" spans="18:31" s="105" customFormat="1">
      <c r="R596" s="154"/>
      <c r="AB596" s="130"/>
      <c r="AD596" s="105" t="s">
        <v>2976</v>
      </c>
      <c r="AE596" s="105" t="s">
        <v>2318</v>
      </c>
    </row>
    <row r="597" spans="18:31" s="105" customFormat="1">
      <c r="R597" s="154"/>
      <c r="AB597" s="130"/>
      <c r="AD597" s="105" t="s">
        <v>2526</v>
      </c>
      <c r="AE597" s="105" t="s">
        <v>2044</v>
      </c>
    </row>
    <row r="598" spans="18:31" s="105" customFormat="1">
      <c r="R598" s="154"/>
      <c r="AB598" s="130"/>
      <c r="AD598" s="105" t="s">
        <v>2977</v>
      </c>
      <c r="AE598" s="105" t="s">
        <v>2045</v>
      </c>
    </row>
    <row r="599" spans="18:31" s="105" customFormat="1">
      <c r="R599" s="154"/>
      <c r="AB599" s="130"/>
      <c r="AD599" s="105" t="s">
        <v>2977</v>
      </c>
      <c r="AE599" s="105" t="s">
        <v>2046</v>
      </c>
    </row>
    <row r="600" spans="18:31" s="105" customFormat="1">
      <c r="R600" s="154"/>
      <c r="AB600" s="130"/>
      <c r="AD600" s="105" t="s">
        <v>2860</v>
      </c>
      <c r="AE600" s="105" t="s">
        <v>2047</v>
      </c>
    </row>
    <row r="601" spans="18:31" s="105" customFormat="1">
      <c r="R601" s="154"/>
      <c r="AB601" s="130"/>
      <c r="AD601" s="105" t="s">
        <v>2860</v>
      </c>
      <c r="AE601" s="105" t="s">
        <v>2048</v>
      </c>
    </row>
    <row r="602" spans="18:31" s="105" customFormat="1">
      <c r="R602" s="154"/>
      <c r="AB602" s="130"/>
      <c r="AD602" s="105" t="s">
        <v>2977</v>
      </c>
      <c r="AE602" s="105" t="s">
        <v>2049</v>
      </c>
    </row>
    <row r="603" spans="18:31" s="105" customFormat="1">
      <c r="R603" s="154"/>
      <c r="AB603" s="130"/>
      <c r="AD603" s="105" t="s">
        <v>2977</v>
      </c>
      <c r="AE603" s="105" t="s">
        <v>2050</v>
      </c>
    </row>
    <row r="604" spans="18:31" s="105" customFormat="1">
      <c r="R604" s="154"/>
      <c r="AB604" s="130"/>
      <c r="AD604" s="105" t="s">
        <v>2977</v>
      </c>
      <c r="AE604" s="105" t="s">
        <v>2051</v>
      </c>
    </row>
    <row r="605" spans="18:31" s="105" customFormat="1">
      <c r="R605" s="154"/>
      <c r="AB605" s="130"/>
      <c r="AD605" s="105" t="s">
        <v>2977</v>
      </c>
      <c r="AE605" s="105" t="s">
        <v>2248</v>
      </c>
    </row>
    <row r="606" spans="18:31" s="105" customFormat="1">
      <c r="R606" s="154"/>
      <c r="AB606" s="130"/>
      <c r="AD606" s="105" t="s">
        <v>2977</v>
      </c>
      <c r="AE606" s="105" t="s">
        <v>2052</v>
      </c>
    </row>
    <row r="607" spans="18:31" s="105" customFormat="1">
      <c r="R607" s="154"/>
      <c r="AB607" s="130"/>
      <c r="AD607" s="105" t="s">
        <v>2857</v>
      </c>
      <c r="AE607" s="105" t="s">
        <v>2053</v>
      </c>
    </row>
    <row r="608" spans="18:31" s="105" customFormat="1">
      <c r="R608" s="154"/>
      <c r="AB608" s="130"/>
      <c r="AD608" s="105" t="s">
        <v>2977</v>
      </c>
      <c r="AE608" s="105" t="s">
        <v>2054</v>
      </c>
    </row>
    <row r="609" spans="18:31" s="105" customFormat="1">
      <c r="R609" s="154"/>
      <c r="AB609" s="130"/>
      <c r="AD609" s="105" t="s">
        <v>2977</v>
      </c>
      <c r="AE609" s="105" t="s">
        <v>2055</v>
      </c>
    </row>
    <row r="610" spans="18:31" s="105" customFormat="1">
      <c r="R610" s="154"/>
      <c r="AB610" s="130"/>
      <c r="AD610" s="105" t="s">
        <v>2977</v>
      </c>
      <c r="AE610" s="105" t="s">
        <v>2056</v>
      </c>
    </row>
    <row r="611" spans="18:31" s="105" customFormat="1">
      <c r="R611" s="154"/>
      <c r="AB611" s="130"/>
      <c r="AD611" s="105" t="s">
        <v>2977</v>
      </c>
      <c r="AE611" s="105" t="s">
        <v>2057</v>
      </c>
    </row>
    <row r="612" spans="18:31" s="105" customFormat="1">
      <c r="R612" s="154"/>
      <c r="AB612" s="130"/>
      <c r="AD612" s="105" t="s">
        <v>2977</v>
      </c>
      <c r="AE612" s="105" t="s">
        <v>2058</v>
      </c>
    </row>
    <row r="613" spans="18:31" s="105" customFormat="1">
      <c r="R613" s="154"/>
      <c r="AB613" s="130"/>
      <c r="AD613" s="105" t="s">
        <v>2857</v>
      </c>
      <c r="AE613" s="105" t="s">
        <v>2059</v>
      </c>
    </row>
    <row r="614" spans="18:31" s="105" customFormat="1">
      <c r="R614" s="154"/>
      <c r="AB614" s="130"/>
      <c r="AD614" s="105" t="s">
        <v>2977</v>
      </c>
      <c r="AE614" s="105" t="s">
        <v>2060</v>
      </c>
    </row>
    <row r="615" spans="18:31" s="105" customFormat="1">
      <c r="R615" s="154"/>
      <c r="AB615" s="130"/>
      <c r="AD615" s="105" t="s">
        <v>2859</v>
      </c>
      <c r="AE615" s="105" t="s">
        <v>2061</v>
      </c>
    </row>
    <row r="616" spans="18:31" s="105" customFormat="1">
      <c r="R616" s="154"/>
      <c r="AB616" s="130"/>
      <c r="AD616" s="105" t="s">
        <v>2977</v>
      </c>
      <c r="AE616" s="105" t="s">
        <v>2062</v>
      </c>
    </row>
    <row r="617" spans="18:31" s="105" customFormat="1">
      <c r="R617" s="154"/>
      <c r="AB617" s="130"/>
      <c r="AD617" s="105" t="s">
        <v>2977</v>
      </c>
      <c r="AE617" s="105" t="s">
        <v>2063</v>
      </c>
    </row>
    <row r="618" spans="18:31" s="105" customFormat="1">
      <c r="R618" s="154"/>
      <c r="AB618" s="130"/>
      <c r="AD618" s="105" t="s">
        <v>2857</v>
      </c>
      <c r="AE618" s="105" t="s">
        <v>2064</v>
      </c>
    </row>
    <row r="619" spans="18:31" s="105" customFormat="1">
      <c r="R619" s="154"/>
      <c r="AB619" s="130"/>
      <c r="AD619" s="105" t="s">
        <v>2977</v>
      </c>
      <c r="AE619" s="105" t="s">
        <v>2065</v>
      </c>
    </row>
    <row r="620" spans="18:31" s="105" customFormat="1">
      <c r="R620" s="154"/>
      <c r="AB620" s="130"/>
      <c r="AD620" s="105" t="s">
        <v>2977</v>
      </c>
      <c r="AE620" s="105" t="s">
        <v>2066</v>
      </c>
    </row>
    <row r="621" spans="18:31" s="105" customFormat="1">
      <c r="R621" s="154"/>
      <c r="AB621" s="130"/>
      <c r="AD621" s="105" t="s">
        <v>2977</v>
      </c>
      <c r="AE621" s="105" t="s">
        <v>2689</v>
      </c>
    </row>
    <row r="622" spans="18:31" s="105" customFormat="1">
      <c r="R622" s="154"/>
      <c r="AB622" s="130"/>
      <c r="AD622" s="105" t="s">
        <v>2977</v>
      </c>
      <c r="AE622" s="105" t="s">
        <v>2067</v>
      </c>
    </row>
    <row r="623" spans="18:31" s="105" customFormat="1">
      <c r="R623" s="154"/>
      <c r="AB623" s="130"/>
      <c r="AD623" s="105" t="s">
        <v>2858</v>
      </c>
      <c r="AE623" s="105" t="s">
        <v>2068</v>
      </c>
    </row>
    <row r="624" spans="18:31" s="105" customFormat="1">
      <c r="R624" s="154"/>
      <c r="AB624" s="130"/>
      <c r="AD624" s="105" t="s">
        <v>2858</v>
      </c>
      <c r="AE624" s="105" t="s">
        <v>2069</v>
      </c>
    </row>
    <row r="625" spans="18:31" s="105" customFormat="1">
      <c r="R625" s="154"/>
      <c r="AB625" s="130"/>
      <c r="AD625" s="105" t="s">
        <v>2858</v>
      </c>
      <c r="AE625" s="105" t="s">
        <v>2070</v>
      </c>
    </row>
    <row r="626" spans="18:31" s="105" customFormat="1">
      <c r="R626" s="154"/>
      <c r="AB626" s="130"/>
      <c r="AD626" s="105" t="s">
        <v>2858</v>
      </c>
      <c r="AE626" s="105" t="s">
        <v>2071</v>
      </c>
    </row>
    <row r="627" spans="18:31" s="105" customFormat="1">
      <c r="R627" s="154"/>
      <c r="AB627" s="130"/>
      <c r="AD627" s="105" t="s">
        <v>2858</v>
      </c>
      <c r="AE627" s="105" t="s">
        <v>2072</v>
      </c>
    </row>
    <row r="628" spans="18:31" s="105" customFormat="1">
      <c r="R628" s="154"/>
      <c r="AB628" s="130"/>
      <c r="AD628" s="105" t="s">
        <v>2858</v>
      </c>
      <c r="AE628" s="105" t="s">
        <v>2073</v>
      </c>
    </row>
    <row r="629" spans="18:31" s="105" customFormat="1">
      <c r="R629" s="154"/>
      <c r="AB629" s="130"/>
      <c r="AD629" s="105" t="s">
        <v>2858</v>
      </c>
      <c r="AE629" s="105" t="s">
        <v>2074</v>
      </c>
    </row>
    <row r="630" spans="18:31" s="105" customFormat="1">
      <c r="R630" s="154"/>
      <c r="AB630" s="130"/>
      <c r="AD630" s="105" t="s">
        <v>2856</v>
      </c>
      <c r="AE630" s="105" t="s">
        <v>2075</v>
      </c>
    </row>
    <row r="631" spans="18:31" s="105" customFormat="1">
      <c r="R631" s="154"/>
      <c r="AB631" s="130"/>
      <c r="AD631" s="105" t="s">
        <v>2858</v>
      </c>
      <c r="AE631" s="105" t="s">
        <v>2076</v>
      </c>
    </row>
    <row r="632" spans="18:31" s="105" customFormat="1">
      <c r="R632" s="154"/>
      <c r="AB632" s="130"/>
      <c r="AD632" s="105" t="s">
        <v>2858</v>
      </c>
      <c r="AE632" s="105" t="s">
        <v>2077</v>
      </c>
    </row>
    <row r="633" spans="18:31" s="105" customFormat="1">
      <c r="R633" s="154"/>
      <c r="AB633" s="130"/>
      <c r="AD633" s="105" t="s">
        <v>2858</v>
      </c>
      <c r="AE633" s="105" t="s">
        <v>2078</v>
      </c>
    </row>
    <row r="634" spans="18:31" s="105" customFormat="1">
      <c r="R634" s="154"/>
      <c r="AB634" s="130"/>
      <c r="AD634" s="105" t="s">
        <v>2858</v>
      </c>
      <c r="AE634" s="105" t="s">
        <v>2079</v>
      </c>
    </row>
    <row r="635" spans="18:31" s="105" customFormat="1">
      <c r="R635" s="154"/>
      <c r="AB635" s="130"/>
      <c r="AD635" s="105" t="s">
        <v>2858</v>
      </c>
      <c r="AE635" s="105" t="s">
        <v>2080</v>
      </c>
    </row>
    <row r="636" spans="18:31" s="105" customFormat="1">
      <c r="R636" s="154"/>
      <c r="AB636" s="130"/>
      <c r="AD636" s="105" t="s">
        <v>2858</v>
      </c>
      <c r="AE636" s="105" t="s">
        <v>2081</v>
      </c>
    </row>
    <row r="637" spans="18:31" s="105" customFormat="1">
      <c r="R637" s="154"/>
      <c r="AB637" s="130"/>
      <c r="AD637" s="105" t="s">
        <v>2858</v>
      </c>
      <c r="AE637" s="105" t="s">
        <v>2082</v>
      </c>
    </row>
    <row r="638" spans="18:31" s="105" customFormat="1">
      <c r="R638" s="154"/>
      <c r="AB638" s="130"/>
      <c r="AD638" s="105" t="s">
        <v>2858</v>
      </c>
      <c r="AE638" s="105" t="s">
        <v>2083</v>
      </c>
    </row>
    <row r="639" spans="18:31" s="105" customFormat="1">
      <c r="R639" s="154"/>
      <c r="AB639" s="130"/>
      <c r="AD639" s="105" t="s">
        <v>2858</v>
      </c>
      <c r="AE639" s="105" t="s">
        <v>2084</v>
      </c>
    </row>
    <row r="640" spans="18:31" s="105" customFormat="1">
      <c r="R640" s="154"/>
      <c r="AB640" s="130"/>
      <c r="AD640" s="105" t="s">
        <v>2858</v>
      </c>
      <c r="AE640" s="105" t="s">
        <v>2085</v>
      </c>
    </row>
    <row r="641" spans="18:31" s="105" customFormat="1">
      <c r="R641" s="154"/>
      <c r="AB641" s="130"/>
      <c r="AD641" s="105" t="s">
        <v>2858</v>
      </c>
      <c r="AE641" s="105" t="s">
        <v>2086</v>
      </c>
    </row>
    <row r="642" spans="18:31" s="105" customFormat="1">
      <c r="R642" s="154"/>
      <c r="AB642" s="130"/>
      <c r="AD642" s="105" t="s">
        <v>2858</v>
      </c>
      <c r="AE642" s="105" t="s">
        <v>2087</v>
      </c>
    </row>
    <row r="643" spans="18:31" s="105" customFormat="1">
      <c r="R643" s="154"/>
      <c r="AB643" s="130"/>
      <c r="AD643" s="105" t="s">
        <v>2858</v>
      </c>
      <c r="AE643" s="105" t="s">
        <v>2088</v>
      </c>
    </row>
    <row r="644" spans="18:31" s="105" customFormat="1">
      <c r="R644" s="154"/>
      <c r="AB644" s="130"/>
      <c r="AD644" s="105" t="s">
        <v>2858</v>
      </c>
      <c r="AE644" s="105" t="s">
        <v>2089</v>
      </c>
    </row>
    <row r="645" spans="18:31" s="105" customFormat="1">
      <c r="R645" s="154"/>
      <c r="AB645" s="130"/>
      <c r="AD645" s="105" t="s">
        <v>2858</v>
      </c>
      <c r="AE645" s="105" t="s">
        <v>2090</v>
      </c>
    </row>
    <row r="646" spans="18:31" s="105" customFormat="1">
      <c r="R646" s="154"/>
      <c r="AB646" s="130"/>
      <c r="AD646" s="105" t="s">
        <v>2858</v>
      </c>
      <c r="AE646" s="105" t="s">
        <v>2091</v>
      </c>
    </row>
    <row r="647" spans="18:31" s="105" customFormat="1">
      <c r="R647" s="154"/>
      <c r="AB647" s="130"/>
      <c r="AD647" s="105" t="s">
        <v>2857</v>
      </c>
      <c r="AE647" s="105" t="s">
        <v>2092</v>
      </c>
    </row>
    <row r="648" spans="18:31" s="105" customFormat="1">
      <c r="R648" s="154"/>
      <c r="AB648" s="130"/>
      <c r="AD648" s="105" t="s">
        <v>2977</v>
      </c>
      <c r="AE648" s="105" t="s">
        <v>2093</v>
      </c>
    </row>
    <row r="649" spans="18:31" s="105" customFormat="1">
      <c r="R649" s="154"/>
      <c r="AB649" s="130"/>
      <c r="AD649" s="105" t="s">
        <v>2857</v>
      </c>
      <c r="AE649" s="105" t="s">
        <v>2094</v>
      </c>
    </row>
    <row r="650" spans="18:31" s="105" customFormat="1">
      <c r="R650" s="154"/>
      <c r="AB650" s="130"/>
      <c r="AD650" s="105" t="s">
        <v>2858</v>
      </c>
      <c r="AE650" s="105" t="s">
        <v>2095</v>
      </c>
    </row>
    <row r="651" spans="18:31" s="105" customFormat="1">
      <c r="R651" s="154"/>
      <c r="AB651" s="130"/>
      <c r="AD651" s="105" t="s">
        <v>2858</v>
      </c>
      <c r="AE651" s="105" t="s">
        <v>2096</v>
      </c>
    </row>
    <row r="652" spans="18:31" s="105" customFormat="1">
      <c r="R652" s="154"/>
      <c r="AB652" s="130"/>
      <c r="AD652" s="105" t="s">
        <v>2858</v>
      </c>
      <c r="AE652" s="105" t="s">
        <v>2097</v>
      </c>
    </row>
    <row r="653" spans="18:31" s="105" customFormat="1">
      <c r="R653" s="154"/>
      <c r="AB653" s="130"/>
      <c r="AD653" s="105" t="s">
        <v>2977</v>
      </c>
      <c r="AE653" s="105" t="s">
        <v>2098</v>
      </c>
    </row>
    <row r="654" spans="18:31" s="105" customFormat="1">
      <c r="R654" s="154"/>
      <c r="AB654" s="130"/>
      <c r="AD654" s="105" t="s">
        <v>2977</v>
      </c>
      <c r="AE654" s="105" t="s">
        <v>2692</v>
      </c>
    </row>
    <row r="655" spans="18:31" s="105" customFormat="1">
      <c r="R655" s="154"/>
      <c r="AB655" s="130"/>
      <c r="AD655" s="105" t="s">
        <v>2977</v>
      </c>
      <c r="AE655" s="105" t="s">
        <v>2099</v>
      </c>
    </row>
    <row r="656" spans="18:31" s="105" customFormat="1">
      <c r="R656" s="154"/>
      <c r="AB656" s="130"/>
      <c r="AD656" s="105" t="s">
        <v>2977</v>
      </c>
      <c r="AE656" s="105" t="s">
        <v>2100</v>
      </c>
    </row>
    <row r="657" spans="18:31" s="105" customFormat="1">
      <c r="R657" s="154"/>
      <c r="AB657" s="130"/>
      <c r="AD657" s="105" t="s">
        <v>2857</v>
      </c>
      <c r="AE657" s="105" t="s">
        <v>2101</v>
      </c>
    </row>
    <row r="658" spans="18:31" s="105" customFormat="1">
      <c r="R658" s="154"/>
      <c r="AB658" s="130"/>
      <c r="AD658" s="105" t="s">
        <v>2977</v>
      </c>
      <c r="AE658" s="105" t="s">
        <v>2693</v>
      </c>
    </row>
    <row r="659" spans="18:31" s="105" customFormat="1">
      <c r="R659" s="154"/>
      <c r="AB659" s="130"/>
      <c r="AD659" s="105" t="s">
        <v>2977</v>
      </c>
      <c r="AE659" s="105" t="s">
        <v>2102</v>
      </c>
    </row>
    <row r="660" spans="18:31" s="105" customFormat="1">
      <c r="R660" s="154"/>
      <c r="AB660" s="130"/>
      <c r="AD660" s="105" t="s">
        <v>2977</v>
      </c>
      <c r="AE660" s="105" t="s">
        <v>2103</v>
      </c>
    </row>
    <row r="661" spans="18:31" s="105" customFormat="1">
      <c r="R661" s="154"/>
      <c r="AB661" s="130"/>
      <c r="AD661" s="105" t="s">
        <v>2977</v>
      </c>
      <c r="AE661" s="105" t="s">
        <v>2319</v>
      </c>
    </row>
    <row r="662" spans="18:31" s="105" customFormat="1">
      <c r="R662" s="154"/>
      <c r="AB662" s="130"/>
      <c r="AD662" s="105" t="s">
        <v>2527</v>
      </c>
      <c r="AE662" s="105" t="s">
        <v>2104</v>
      </c>
    </row>
    <row r="663" spans="18:31" s="105" customFormat="1">
      <c r="R663" s="154"/>
      <c r="AB663" s="130"/>
      <c r="AD663" s="105" t="s">
        <v>2978</v>
      </c>
      <c r="AE663" s="105" t="s">
        <v>2105</v>
      </c>
    </row>
    <row r="664" spans="18:31" s="105" customFormat="1">
      <c r="R664" s="154"/>
      <c r="AB664" s="130"/>
      <c r="AD664" s="105" t="s">
        <v>2978</v>
      </c>
      <c r="AE664" s="105" t="s">
        <v>2106</v>
      </c>
    </row>
    <row r="665" spans="18:31" s="105" customFormat="1">
      <c r="R665" s="154"/>
      <c r="AB665" s="130"/>
      <c r="AD665" s="105" t="s">
        <v>2865</v>
      </c>
      <c r="AE665" s="105" t="s">
        <v>2107</v>
      </c>
    </row>
    <row r="666" spans="18:31" s="105" customFormat="1">
      <c r="R666" s="154"/>
      <c r="AB666" s="130"/>
      <c r="AD666" s="105" t="s">
        <v>2865</v>
      </c>
      <c r="AE666" s="105" t="s">
        <v>2108</v>
      </c>
    </row>
    <row r="667" spans="18:31" s="105" customFormat="1">
      <c r="R667" s="154"/>
      <c r="AB667" s="130"/>
      <c r="AD667" s="105" t="s">
        <v>2978</v>
      </c>
      <c r="AE667" s="105" t="s">
        <v>2109</v>
      </c>
    </row>
    <row r="668" spans="18:31" s="105" customFormat="1">
      <c r="R668" s="154"/>
      <c r="AB668" s="130"/>
      <c r="AD668" s="105" t="s">
        <v>2978</v>
      </c>
      <c r="AE668" s="105" t="s">
        <v>2110</v>
      </c>
    </row>
    <row r="669" spans="18:31" s="105" customFormat="1">
      <c r="R669" s="154"/>
      <c r="AB669" s="130"/>
      <c r="AD669" s="105" t="s">
        <v>2978</v>
      </c>
      <c r="AE669" s="105" t="s">
        <v>2111</v>
      </c>
    </row>
    <row r="670" spans="18:31" s="105" customFormat="1">
      <c r="R670" s="154"/>
      <c r="AB670" s="130"/>
      <c r="AD670" s="105" t="s">
        <v>2978</v>
      </c>
      <c r="AE670" s="105" t="s">
        <v>2249</v>
      </c>
    </row>
    <row r="671" spans="18:31" s="105" customFormat="1">
      <c r="R671" s="154"/>
      <c r="AB671" s="130"/>
      <c r="AD671" s="105" t="s">
        <v>2978</v>
      </c>
      <c r="AE671" s="105" t="s">
        <v>2112</v>
      </c>
    </row>
    <row r="672" spans="18:31" s="105" customFormat="1">
      <c r="R672" s="154"/>
      <c r="AB672" s="130"/>
      <c r="AD672" s="105" t="s">
        <v>2862</v>
      </c>
      <c r="AE672" s="105" t="s">
        <v>2113</v>
      </c>
    </row>
    <row r="673" spans="3:31" s="105" customFormat="1">
      <c r="D673" s="122"/>
      <c r="E673" s="128"/>
      <c r="G673" s="99"/>
      <c r="H673" s="99"/>
      <c r="K673" s="99"/>
      <c r="L673" s="96"/>
      <c r="O673" s="111"/>
      <c r="P673" s="111"/>
      <c r="R673" s="154"/>
      <c r="S673" s="111"/>
      <c r="T673" s="101"/>
      <c r="AB673" s="130"/>
      <c r="AD673" s="105" t="s">
        <v>2978</v>
      </c>
      <c r="AE673" s="105" t="s">
        <v>2114</v>
      </c>
    </row>
    <row r="674" spans="3:31" s="105" customFormat="1">
      <c r="C674" s="115"/>
      <c r="D674" s="122"/>
      <c r="E674" s="128"/>
      <c r="G674" s="99"/>
      <c r="H674" s="99"/>
      <c r="K674" s="99"/>
      <c r="L674" s="96"/>
      <c r="O674" s="111"/>
      <c r="P674" s="111"/>
      <c r="R674" s="154"/>
      <c r="S674" s="111"/>
      <c r="T674" s="101"/>
      <c r="AB674" s="130"/>
      <c r="AD674" s="105" t="s">
        <v>2978</v>
      </c>
      <c r="AE674" s="105" t="s">
        <v>2115</v>
      </c>
    </row>
    <row r="675" spans="3:31" s="105" customFormat="1">
      <c r="D675" s="122"/>
      <c r="E675" s="128"/>
      <c r="G675" s="99"/>
      <c r="H675" s="99"/>
      <c r="K675" s="99"/>
      <c r="L675" s="96"/>
      <c r="O675" s="111"/>
      <c r="P675" s="111"/>
      <c r="R675" s="154"/>
      <c r="S675" s="111"/>
      <c r="T675" s="101"/>
      <c r="AB675" s="130"/>
      <c r="AD675" s="105" t="s">
        <v>2978</v>
      </c>
      <c r="AE675" s="105" t="s">
        <v>2116</v>
      </c>
    </row>
    <row r="676" spans="3:31" s="105" customFormat="1">
      <c r="D676" s="122"/>
      <c r="E676" s="128"/>
      <c r="G676" s="99"/>
      <c r="H676" s="99"/>
      <c r="K676" s="99"/>
      <c r="L676" s="96"/>
      <c r="O676" s="111"/>
      <c r="P676" s="111"/>
      <c r="R676" s="154"/>
      <c r="S676" s="111"/>
      <c r="T676" s="101"/>
      <c r="AB676" s="130"/>
      <c r="AD676" s="105" t="s">
        <v>2978</v>
      </c>
      <c r="AE676" s="105" t="s">
        <v>2117</v>
      </c>
    </row>
    <row r="677" spans="3:31" s="105" customFormat="1">
      <c r="D677" s="122"/>
      <c r="E677" s="128"/>
      <c r="G677" s="99"/>
      <c r="H677" s="99"/>
      <c r="K677" s="99"/>
      <c r="L677" s="96"/>
      <c r="O677" s="111"/>
      <c r="P677" s="111"/>
      <c r="R677" s="154"/>
      <c r="S677" s="111"/>
      <c r="T677" s="101"/>
      <c r="AB677" s="130"/>
      <c r="AD677" s="105" t="s">
        <v>2978</v>
      </c>
      <c r="AE677" s="105" t="s">
        <v>2118</v>
      </c>
    </row>
    <row r="678" spans="3:31" s="105" customFormat="1">
      <c r="C678" s="115"/>
      <c r="D678" s="122"/>
      <c r="E678" s="128"/>
      <c r="G678" s="99"/>
      <c r="H678" s="99"/>
      <c r="K678" s="99"/>
      <c r="L678" s="96"/>
      <c r="O678" s="111"/>
      <c r="P678" s="111"/>
      <c r="R678" s="154"/>
      <c r="S678" s="111"/>
      <c r="T678" s="101"/>
      <c r="AB678" s="130"/>
      <c r="AD678" s="105" t="s">
        <v>2862</v>
      </c>
      <c r="AE678" s="105" t="s">
        <v>2119</v>
      </c>
    </row>
    <row r="679" spans="3:31" s="105" customFormat="1">
      <c r="C679" s="115"/>
      <c r="D679" s="122"/>
      <c r="E679" s="128"/>
      <c r="G679" s="99"/>
      <c r="H679" s="99"/>
      <c r="K679" s="99"/>
      <c r="L679" s="96"/>
      <c r="O679" s="111"/>
      <c r="P679" s="111"/>
      <c r="R679" s="154"/>
      <c r="S679" s="111"/>
      <c r="T679" s="101"/>
      <c r="AB679" s="130"/>
      <c r="AD679" s="105" t="s">
        <v>2978</v>
      </c>
      <c r="AE679" s="105" t="s">
        <v>2120</v>
      </c>
    </row>
    <row r="680" spans="3:31" s="105" customFormat="1">
      <c r="D680" s="122"/>
      <c r="E680" s="128"/>
      <c r="G680" s="99"/>
      <c r="H680" s="99"/>
      <c r="K680" s="99"/>
      <c r="L680" s="96"/>
      <c r="O680" s="111"/>
      <c r="P680" s="111"/>
      <c r="R680" s="154"/>
      <c r="S680" s="111"/>
      <c r="T680" s="101"/>
      <c r="AB680" s="130"/>
      <c r="AD680" s="105" t="s">
        <v>2864</v>
      </c>
      <c r="AE680" s="105" t="s">
        <v>2121</v>
      </c>
    </row>
    <row r="681" spans="3:31" s="105" customFormat="1">
      <c r="C681" s="115"/>
      <c r="D681" s="122"/>
      <c r="E681" s="128"/>
      <c r="G681" s="99"/>
      <c r="H681" s="99"/>
      <c r="K681" s="99"/>
      <c r="L681" s="96"/>
      <c r="O681" s="111"/>
      <c r="P681" s="111"/>
      <c r="R681" s="154"/>
      <c r="S681" s="111"/>
      <c r="T681" s="101"/>
      <c r="AB681" s="130"/>
      <c r="AD681" s="105" t="s">
        <v>2978</v>
      </c>
      <c r="AE681" s="105" t="s">
        <v>2122</v>
      </c>
    </row>
    <row r="682" spans="3:31" s="105" customFormat="1">
      <c r="D682" s="122"/>
      <c r="E682" s="128"/>
      <c r="G682" s="99"/>
      <c r="H682" s="99"/>
      <c r="K682" s="99"/>
      <c r="L682" s="96"/>
      <c r="O682" s="111"/>
      <c r="P682" s="111"/>
      <c r="R682" s="154"/>
      <c r="S682" s="111"/>
      <c r="T682" s="101"/>
      <c r="AB682" s="130"/>
      <c r="AD682" s="105" t="s">
        <v>2978</v>
      </c>
      <c r="AE682" s="105" t="s">
        <v>2123</v>
      </c>
    </row>
    <row r="683" spans="3:31" s="105" customFormat="1">
      <c r="D683" s="122"/>
      <c r="E683" s="128"/>
      <c r="G683" s="99"/>
      <c r="H683" s="99"/>
      <c r="K683" s="99"/>
      <c r="L683" s="96"/>
      <c r="O683" s="111"/>
      <c r="P683" s="111"/>
      <c r="R683" s="154"/>
      <c r="S683" s="111"/>
      <c r="T683" s="101"/>
      <c r="AB683" s="130"/>
      <c r="AD683" s="105" t="s">
        <v>2862</v>
      </c>
      <c r="AE683" s="105" t="s">
        <v>2124</v>
      </c>
    </row>
    <row r="684" spans="3:31" s="105" customFormat="1">
      <c r="C684" s="115"/>
      <c r="D684" s="122"/>
      <c r="E684" s="128"/>
      <c r="G684" s="99"/>
      <c r="H684" s="99"/>
      <c r="K684" s="99"/>
      <c r="L684" s="96"/>
      <c r="O684" s="111"/>
      <c r="P684" s="111"/>
      <c r="R684" s="154"/>
      <c r="S684" s="111"/>
      <c r="T684" s="101"/>
      <c r="AB684" s="130"/>
      <c r="AD684" s="105" t="s">
        <v>2978</v>
      </c>
      <c r="AE684" s="105" t="s">
        <v>2125</v>
      </c>
    </row>
    <row r="685" spans="3:31" s="105" customFormat="1">
      <c r="D685" s="122"/>
      <c r="E685" s="128"/>
      <c r="G685" s="99"/>
      <c r="H685" s="99"/>
      <c r="K685" s="99"/>
      <c r="L685" s="96"/>
      <c r="O685" s="111"/>
      <c r="P685" s="111"/>
      <c r="R685" s="154"/>
      <c r="S685" s="111"/>
      <c r="T685" s="101"/>
      <c r="AB685" s="130"/>
      <c r="AD685" s="105" t="s">
        <v>2978</v>
      </c>
      <c r="AE685" s="105" t="s">
        <v>2126</v>
      </c>
    </row>
    <row r="686" spans="3:31" s="105" customFormat="1">
      <c r="D686" s="122"/>
      <c r="E686" s="128"/>
      <c r="G686" s="99"/>
      <c r="H686" s="99"/>
      <c r="K686" s="99"/>
      <c r="L686" s="96"/>
      <c r="O686" s="111"/>
      <c r="P686" s="111"/>
      <c r="R686" s="154"/>
      <c r="S686" s="111"/>
      <c r="T686" s="101"/>
      <c r="AB686" s="130"/>
      <c r="AD686" s="105" t="s">
        <v>2978</v>
      </c>
      <c r="AE686" s="105" t="s">
        <v>2703</v>
      </c>
    </row>
    <row r="687" spans="3:31" s="105" customFormat="1">
      <c r="D687" s="122"/>
      <c r="E687" s="128"/>
      <c r="G687" s="99"/>
      <c r="H687" s="99"/>
      <c r="K687" s="99"/>
      <c r="L687" s="96"/>
      <c r="O687" s="111"/>
      <c r="P687" s="111"/>
      <c r="R687" s="154"/>
      <c r="S687" s="111"/>
      <c r="T687" s="101"/>
      <c r="AB687" s="130"/>
      <c r="AD687" s="105" t="s">
        <v>2978</v>
      </c>
      <c r="AE687" s="105" t="s">
        <v>2127</v>
      </c>
    </row>
    <row r="688" spans="3:31" s="105" customFormat="1">
      <c r="D688" s="122"/>
      <c r="E688" s="128"/>
      <c r="G688" s="99"/>
      <c r="H688" s="99"/>
      <c r="K688" s="99"/>
      <c r="L688" s="96"/>
      <c r="O688" s="111"/>
      <c r="P688" s="111"/>
      <c r="R688" s="154"/>
      <c r="S688" s="111"/>
      <c r="T688" s="101"/>
      <c r="AB688" s="130"/>
      <c r="AD688" s="105" t="s">
        <v>2863</v>
      </c>
      <c r="AE688" s="105" t="s">
        <v>2128</v>
      </c>
    </row>
    <row r="689" spans="3:31" s="105" customFormat="1">
      <c r="D689" s="122"/>
      <c r="E689" s="128"/>
      <c r="G689" s="99"/>
      <c r="H689" s="99"/>
      <c r="K689" s="99"/>
      <c r="L689" s="96"/>
      <c r="O689" s="111"/>
      <c r="P689" s="111"/>
      <c r="R689" s="154"/>
      <c r="S689" s="111"/>
      <c r="T689" s="101"/>
      <c r="AB689" s="130"/>
      <c r="AD689" s="105" t="s">
        <v>2863</v>
      </c>
      <c r="AE689" s="105" t="s">
        <v>2129</v>
      </c>
    </row>
    <row r="690" spans="3:31" s="105" customFormat="1">
      <c r="C690" s="115"/>
      <c r="D690" s="122"/>
      <c r="E690" s="128"/>
      <c r="G690" s="99"/>
      <c r="H690" s="99"/>
      <c r="K690" s="99"/>
      <c r="L690" s="96"/>
      <c r="O690" s="111"/>
      <c r="P690" s="111"/>
      <c r="R690" s="154"/>
      <c r="S690" s="111"/>
      <c r="T690" s="101"/>
      <c r="AB690" s="130"/>
      <c r="AD690" s="105" t="s">
        <v>2863</v>
      </c>
      <c r="AE690" s="105" t="s">
        <v>2130</v>
      </c>
    </row>
    <row r="691" spans="3:31" s="105" customFormat="1">
      <c r="C691" s="115"/>
      <c r="D691" s="122"/>
      <c r="E691" s="128"/>
      <c r="G691" s="99"/>
      <c r="H691" s="99"/>
      <c r="K691" s="99"/>
      <c r="L691" s="96"/>
      <c r="O691" s="111"/>
      <c r="P691" s="111"/>
      <c r="R691" s="154"/>
      <c r="S691" s="111"/>
      <c r="T691" s="101"/>
      <c r="AB691" s="130"/>
      <c r="AD691" s="105" t="s">
        <v>2863</v>
      </c>
      <c r="AE691" s="105" t="s">
        <v>2131</v>
      </c>
    </row>
    <row r="692" spans="3:31" s="105" customFormat="1">
      <c r="D692" s="122"/>
      <c r="E692" s="128"/>
      <c r="G692" s="99"/>
      <c r="H692" s="99"/>
      <c r="K692" s="99"/>
      <c r="L692" s="96"/>
      <c r="O692" s="111"/>
      <c r="P692" s="111"/>
      <c r="R692" s="154"/>
      <c r="S692" s="111"/>
      <c r="T692" s="101"/>
      <c r="AB692" s="130"/>
      <c r="AD692" s="105" t="s">
        <v>2863</v>
      </c>
      <c r="AE692" s="105" t="s">
        <v>2132</v>
      </c>
    </row>
    <row r="693" spans="3:31" s="105" customFormat="1">
      <c r="C693" s="115"/>
      <c r="D693" s="122"/>
      <c r="E693" s="128"/>
      <c r="G693" s="99"/>
      <c r="H693" s="99"/>
      <c r="K693" s="99"/>
      <c r="L693" s="96"/>
      <c r="O693" s="111"/>
      <c r="P693" s="111"/>
      <c r="R693" s="154"/>
      <c r="S693" s="111"/>
      <c r="T693" s="101"/>
      <c r="AB693" s="130"/>
      <c r="AD693" s="105" t="s">
        <v>2863</v>
      </c>
      <c r="AE693" s="105" t="s">
        <v>2133</v>
      </c>
    </row>
    <row r="694" spans="3:31" s="105" customFormat="1">
      <c r="C694" s="115"/>
      <c r="D694" s="122"/>
      <c r="E694" s="128"/>
      <c r="G694" s="99"/>
      <c r="H694" s="99"/>
      <c r="K694" s="99"/>
      <c r="L694" s="96"/>
      <c r="O694" s="111"/>
      <c r="P694" s="111"/>
      <c r="R694" s="154"/>
      <c r="S694" s="111"/>
      <c r="T694" s="101"/>
      <c r="AB694" s="130"/>
      <c r="AD694" s="105" t="s">
        <v>2863</v>
      </c>
      <c r="AE694" s="105" t="s">
        <v>2134</v>
      </c>
    </row>
    <row r="695" spans="3:31" s="105" customFormat="1">
      <c r="C695" s="115"/>
      <c r="D695" s="122"/>
      <c r="E695" s="128"/>
      <c r="G695" s="99"/>
      <c r="H695" s="99"/>
      <c r="K695" s="99"/>
      <c r="L695" s="96"/>
      <c r="O695" s="111"/>
      <c r="P695" s="111"/>
      <c r="R695" s="154"/>
      <c r="S695" s="111"/>
      <c r="T695" s="101"/>
      <c r="AB695" s="130"/>
      <c r="AD695" s="105" t="s">
        <v>2861</v>
      </c>
      <c r="AE695" s="105" t="s">
        <v>2135</v>
      </c>
    </row>
    <row r="696" spans="3:31" s="105" customFormat="1">
      <c r="C696" s="115"/>
      <c r="D696" s="122"/>
      <c r="E696" s="128"/>
      <c r="G696" s="99"/>
      <c r="H696" s="99"/>
      <c r="K696" s="99"/>
      <c r="L696" s="96"/>
      <c r="O696" s="111"/>
      <c r="P696" s="111"/>
      <c r="R696" s="154"/>
      <c r="S696" s="111"/>
      <c r="T696" s="101"/>
      <c r="AB696" s="130"/>
      <c r="AD696" s="105" t="s">
        <v>2863</v>
      </c>
      <c r="AE696" s="105" t="s">
        <v>2136</v>
      </c>
    </row>
    <row r="697" spans="3:31" s="105" customFormat="1">
      <c r="D697" s="122"/>
      <c r="E697" s="128"/>
      <c r="G697" s="99"/>
      <c r="H697" s="99"/>
      <c r="K697" s="99"/>
      <c r="L697" s="96"/>
      <c r="O697" s="111"/>
      <c r="P697" s="111"/>
      <c r="R697" s="154"/>
      <c r="S697" s="111"/>
      <c r="T697" s="101"/>
      <c r="AB697" s="130"/>
      <c r="AD697" s="105" t="s">
        <v>2863</v>
      </c>
      <c r="AE697" s="105" t="s">
        <v>2137</v>
      </c>
    </row>
    <row r="698" spans="3:31" s="105" customFormat="1">
      <c r="D698" s="122"/>
      <c r="E698" s="128"/>
      <c r="G698" s="99"/>
      <c r="H698" s="99"/>
      <c r="K698" s="99"/>
      <c r="L698" s="96"/>
      <c r="O698" s="111"/>
      <c r="P698" s="111"/>
      <c r="R698" s="154"/>
      <c r="S698" s="111"/>
      <c r="T698" s="101"/>
      <c r="AB698" s="130"/>
      <c r="AD698" s="105" t="s">
        <v>2863</v>
      </c>
      <c r="AE698" s="105" t="s">
        <v>2138</v>
      </c>
    </row>
    <row r="699" spans="3:31" s="105" customFormat="1">
      <c r="D699" s="122"/>
      <c r="E699" s="128"/>
      <c r="G699" s="99"/>
      <c r="H699" s="99"/>
      <c r="K699" s="99"/>
      <c r="L699" s="96"/>
      <c r="O699" s="111"/>
      <c r="P699" s="111"/>
      <c r="R699" s="154"/>
      <c r="S699" s="111"/>
      <c r="T699" s="101"/>
      <c r="AB699" s="130"/>
      <c r="AD699" s="105" t="s">
        <v>2863</v>
      </c>
      <c r="AE699" s="105" t="s">
        <v>2139</v>
      </c>
    </row>
    <row r="700" spans="3:31" s="105" customFormat="1">
      <c r="C700" s="115"/>
      <c r="D700" s="122"/>
      <c r="E700" s="128"/>
      <c r="G700" s="99"/>
      <c r="H700" s="99"/>
      <c r="K700" s="99"/>
      <c r="L700" s="96"/>
      <c r="O700" s="111"/>
      <c r="P700" s="111"/>
      <c r="R700" s="154"/>
      <c r="S700" s="111"/>
      <c r="T700" s="101"/>
      <c r="AB700" s="130"/>
      <c r="AD700" s="105" t="s">
        <v>2863</v>
      </c>
      <c r="AE700" s="105" t="s">
        <v>2140</v>
      </c>
    </row>
    <row r="701" spans="3:31" s="105" customFormat="1">
      <c r="D701" s="122"/>
      <c r="E701" s="128"/>
      <c r="G701" s="99"/>
      <c r="H701" s="99"/>
      <c r="K701" s="99"/>
      <c r="L701" s="96"/>
      <c r="O701" s="111"/>
      <c r="P701" s="111"/>
      <c r="R701" s="154"/>
      <c r="S701" s="111"/>
      <c r="T701" s="101"/>
      <c r="AB701" s="130"/>
      <c r="AD701" s="105" t="s">
        <v>2863</v>
      </c>
      <c r="AE701" s="105" t="s">
        <v>2141</v>
      </c>
    </row>
    <row r="702" spans="3:31" s="105" customFormat="1">
      <c r="C702" s="115"/>
      <c r="D702" s="122"/>
      <c r="E702" s="128"/>
      <c r="G702" s="99"/>
      <c r="H702" s="99"/>
      <c r="K702" s="99"/>
      <c r="L702" s="96"/>
      <c r="O702" s="111"/>
      <c r="P702" s="111"/>
      <c r="R702" s="154"/>
      <c r="S702" s="111"/>
      <c r="T702" s="101"/>
      <c r="AB702" s="130"/>
      <c r="AD702" s="105" t="s">
        <v>2863</v>
      </c>
      <c r="AE702" s="105" t="s">
        <v>2142</v>
      </c>
    </row>
    <row r="703" spans="3:31" s="105" customFormat="1">
      <c r="D703" s="122"/>
      <c r="E703" s="128"/>
      <c r="G703" s="99"/>
      <c r="H703" s="99"/>
      <c r="K703" s="99"/>
      <c r="L703" s="96"/>
      <c r="O703" s="111"/>
      <c r="P703" s="111"/>
      <c r="R703" s="154"/>
      <c r="S703" s="111"/>
      <c r="T703" s="101"/>
      <c r="AB703" s="130"/>
      <c r="AD703" s="105" t="s">
        <v>2863</v>
      </c>
      <c r="AE703" s="105" t="s">
        <v>2143</v>
      </c>
    </row>
    <row r="704" spans="3:31" s="105" customFormat="1">
      <c r="D704" s="122"/>
      <c r="E704" s="128"/>
      <c r="G704" s="99"/>
      <c r="H704" s="99"/>
      <c r="K704" s="99"/>
      <c r="L704" s="96"/>
      <c r="O704" s="111"/>
      <c r="P704" s="111"/>
      <c r="R704" s="154"/>
      <c r="S704" s="111"/>
      <c r="T704" s="101"/>
      <c r="AB704" s="130"/>
      <c r="AD704" s="105" t="s">
        <v>2863</v>
      </c>
      <c r="AE704" s="105" t="s">
        <v>2144</v>
      </c>
    </row>
    <row r="705" spans="3:31" s="105" customFormat="1">
      <c r="C705" s="115"/>
      <c r="D705" s="122"/>
      <c r="E705" s="128"/>
      <c r="G705" s="99"/>
      <c r="H705" s="99"/>
      <c r="K705" s="99"/>
      <c r="L705" s="96"/>
      <c r="O705" s="111"/>
      <c r="P705" s="111"/>
      <c r="R705" s="154"/>
      <c r="S705" s="111"/>
      <c r="T705" s="101"/>
      <c r="AB705" s="130"/>
      <c r="AD705" s="105" t="s">
        <v>2863</v>
      </c>
      <c r="AE705" s="105" t="s">
        <v>2145</v>
      </c>
    </row>
    <row r="706" spans="3:31" s="105" customFormat="1">
      <c r="C706" s="115"/>
      <c r="D706" s="122"/>
      <c r="E706" s="128"/>
      <c r="G706" s="99"/>
      <c r="H706" s="99"/>
      <c r="K706" s="99"/>
      <c r="L706" s="96"/>
      <c r="O706" s="111"/>
      <c r="P706" s="111"/>
      <c r="R706" s="154"/>
      <c r="S706" s="111"/>
      <c r="T706" s="101"/>
      <c r="AB706" s="130"/>
      <c r="AD706" s="105" t="s">
        <v>2863</v>
      </c>
      <c r="AE706" s="105" t="s">
        <v>2146</v>
      </c>
    </row>
    <row r="707" spans="3:31" s="105" customFormat="1">
      <c r="C707" s="115"/>
      <c r="D707" s="122"/>
      <c r="E707" s="128"/>
      <c r="G707" s="99"/>
      <c r="H707" s="99"/>
      <c r="K707" s="99"/>
      <c r="L707" s="96"/>
      <c r="O707" s="111"/>
      <c r="P707" s="111"/>
      <c r="R707" s="154"/>
      <c r="S707" s="111"/>
      <c r="T707" s="101"/>
      <c r="AB707" s="130"/>
      <c r="AD707" s="105" t="s">
        <v>2863</v>
      </c>
      <c r="AE707" s="105" t="s">
        <v>2147</v>
      </c>
    </row>
    <row r="708" spans="3:31" s="105" customFormat="1">
      <c r="C708" s="115"/>
      <c r="D708" s="122"/>
      <c r="E708" s="128"/>
      <c r="G708" s="99"/>
      <c r="H708" s="99"/>
      <c r="K708" s="99"/>
      <c r="L708" s="96"/>
      <c r="O708" s="111"/>
      <c r="P708" s="111"/>
      <c r="R708" s="154"/>
      <c r="S708" s="111"/>
      <c r="T708" s="101"/>
      <c r="AB708" s="130"/>
      <c r="AD708" s="105" t="s">
        <v>2863</v>
      </c>
      <c r="AE708" s="105" t="s">
        <v>2148</v>
      </c>
    </row>
    <row r="709" spans="3:31" s="105" customFormat="1">
      <c r="C709" s="115"/>
      <c r="D709" s="122"/>
      <c r="E709" s="128"/>
      <c r="G709" s="99"/>
      <c r="H709" s="99"/>
      <c r="K709" s="99"/>
      <c r="L709" s="96"/>
      <c r="O709" s="111"/>
      <c r="P709" s="111"/>
      <c r="R709" s="154"/>
      <c r="S709" s="111"/>
      <c r="T709" s="101"/>
      <c r="AB709" s="130"/>
      <c r="AD709" s="105" t="s">
        <v>2863</v>
      </c>
      <c r="AE709" s="105" t="s">
        <v>2149</v>
      </c>
    </row>
    <row r="710" spans="3:31" s="105" customFormat="1">
      <c r="C710" s="115"/>
      <c r="D710" s="122"/>
      <c r="E710" s="128"/>
      <c r="G710" s="99"/>
      <c r="H710" s="99"/>
      <c r="K710" s="99"/>
      <c r="L710" s="96"/>
      <c r="O710" s="111"/>
      <c r="P710" s="111"/>
      <c r="R710" s="154"/>
      <c r="S710" s="111"/>
      <c r="T710" s="101"/>
      <c r="AB710" s="130"/>
      <c r="AD710" s="105" t="s">
        <v>2863</v>
      </c>
      <c r="AE710" s="105" t="s">
        <v>2150</v>
      </c>
    </row>
    <row r="711" spans="3:31" s="105" customFormat="1">
      <c r="C711" s="115"/>
      <c r="D711" s="122"/>
      <c r="E711" s="128"/>
      <c r="G711" s="99"/>
      <c r="H711" s="99"/>
      <c r="K711" s="99"/>
      <c r="L711" s="96"/>
      <c r="O711" s="111"/>
      <c r="P711" s="111"/>
      <c r="R711" s="154"/>
      <c r="S711" s="111"/>
      <c r="T711" s="101"/>
      <c r="AB711" s="130"/>
      <c r="AD711" s="105" t="s">
        <v>2863</v>
      </c>
      <c r="AE711" s="105" t="s">
        <v>2151</v>
      </c>
    </row>
    <row r="712" spans="3:31" s="105" customFormat="1">
      <c r="C712" s="115"/>
      <c r="D712" s="122"/>
      <c r="E712" s="128"/>
      <c r="G712" s="99"/>
      <c r="H712" s="99"/>
      <c r="K712" s="99"/>
      <c r="L712" s="96"/>
      <c r="O712" s="111"/>
      <c r="P712" s="111"/>
      <c r="R712" s="154"/>
      <c r="S712" s="111"/>
      <c r="T712" s="101"/>
      <c r="AB712" s="130"/>
      <c r="AD712" s="105" t="s">
        <v>2862</v>
      </c>
      <c r="AE712" s="105" t="s">
        <v>2152</v>
      </c>
    </row>
    <row r="713" spans="3:31" s="105" customFormat="1">
      <c r="C713" s="115"/>
      <c r="D713" s="122"/>
      <c r="E713" s="128"/>
      <c r="G713" s="99"/>
      <c r="H713" s="99"/>
      <c r="K713" s="99"/>
      <c r="L713" s="96"/>
      <c r="O713" s="111"/>
      <c r="P713" s="111"/>
      <c r="R713" s="154"/>
      <c r="S713" s="111"/>
      <c r="T713" s="101"/>
      <c r="AB713" s="130"/>
      <c r="AD713" s="105" t="s">
        <v>2978</v>
      </c>
      <c r="AE713" s="105" t="s">
        <v>2153</v>
      </c>
    </row>
    <row r="714" spans="3:31" s="105" customFormat="1">
      <c r="C714" s="115"/>
      <c r="D714" s="122"/>
      <c r="E714" s="128"/>
      <c r="G714" s="99"/>
      <c r="H714" s="99"/>
      <c r="K714" s="99"/>
      <c r="L714" s="96"/>
      <c r="O714" s="111"/>
      <c r="P714" s="111"/>
      <c r="R714" s="154"/>
      <c r="S714" s="111"/>
      <c r="T714" s="101"/>
      <c r="AB714" s="130"/>
      <c r="AD714" s="105" t="s">
        <v>2862</v>
      </c>
      <c r="AE714" s="105" t="s">
        <v>2154</v>
      </c>
    </row>
    <row r="715" spans="3:31" s="105" customFormat="1">
      <c r="C715" s="115"/>
      <c r="D715" s="122"/>
      <c r="E715" s="128"/>
      <c r="G715" s="99"/>
      <c r="H715" s="99"/>
      <c r="K715" s="99"/>
      <c r="L715" s="96"/>
      <c r="O715" s="111"/>
      <c r="P715" s="111"/>
      <c r="R715" s="154"/>
      <c r="S715" s="111"/>
      <c r="T715" s="101"/>
      <c r="AB715" s="130"/>
      <c r="AD715" s="105" t="s">
        <v>2863</v>
      </c>
      <c r="AE715" s="105" t="s">
        <v>2155</v>
      </c>
    </row>
    <row r="716" spans="3:31" s="105" customFormat="1">
      <c r="C716" s="115"/>
      <c r="D716" s="122"/>
      <c r="E716" s="128"/>
      <c r="G716" s="99"/>
      <c r="H716" s="99"/>
      <c r="K716" s="99"/>
      <c r="L716" s="96"/>
      <c r="O716" s="111"/>
      <c r="P716" s="111"/>
      <c r="R716" s="154"/>
      <c r="S716" s="111"/>
      <c r="T716" s="101"/>
      <c r="AB716" s="130"/>
      <c r="AD716" s="105" t="s">
        <v>2863</v>
      </c>
      <c r="AE716" s="105" t="s">
        <v>2156</v>
      </c>
    </row>
    <row r="717" spans="3:31" s="105" customFormat="1">
      <c r="C717" s="115"/>
      <c r="D717" s="122"/>
      <c r="E717" s="128"/>
      <c r="G717" s="99"/>
      <c r="H717" s="99"/>
      <c r="K717" s="99"/>
      <c r="L717" s="96"/>
      <c r="O717" s="111"/>
      <c r="P717" s="111"/>
      <c r="R717" s="154"/>
      <c r="S717" s="111"/>
      <c r="T717" s="101"/>
      <c r="AB717" s="130"/>
      <c r="AD717" s="105" t="s">
        <v>2863</v>
      </c>
      <c r="AE717" s="105" t="s">
        <v>2157</v>
      </c>
    </row>
    <row r="718" spans="3:31" s="105" customFormat="1">
      <c r="C718" s="115"/>
      <c r="D718" s="122"/>
      <c r="E718" s="128"/>
      <c r="G718" s="99"/>
      <c r="H718" s="99"/>
      <c r="K718" s="99"/>
      <c r="L718" s="96"/>
      <c r="O718" s="111"/>
      <c r="P718" s="111"/>
      <c r="R718" s="154"/>
      <c r="S718" s="111"/>
      <c r="T718" s="101"/>
      <c r="AB718" s="130"/>
      <c r="AD718" s="105" t="s">
        <v>2978</v>
      </c>
      <c r="AE718" s="105" t="s">
        <v>2158</v>
      </c>
    </row>
    <row r="719" spans="3:31" s="105" customFormat="1">
      <c r="C719" s="115"/>
      <c r="D719" s="122"/>
      <c r="E719" s="128"/>
      <c r="G719" s="99"/>
      <c r="H719" s="99"/>
      <c r="K719" s="99"/>
      <c r="L719" s="96"/>
      <c r="O719" s="111"/>
      <c r="P719" s="111"/>
      <c r="R719" s="154"/>
      <c r="S719" s="111"/>
      <c r="T719" s="101"/>
      <c r="AB719" s="130"/>
      <c r="AD719" s="105" t="s">
        <v>2978</v>
      </c>
      <c r="AE719" s="105" t="s">
        <v>2704</v>
      </c>
    </row>
    <row r="720" spans="3:31" s="105" customFormat="1">
      <c r="D720" s="122"/>
      <c r="E720" s="128"/>
      <c r="G720" s="99"/>
      <c r="H720" s="99"/>
      <c r="K720" s="99"/>
      <c r="L720" s="96"/>
      <c r="O720" s="111"/>
      <c r="P720" s="111"/>
      <c r="R720" s="154"/>
      <c r="S720" s="111"/>
      <c r="T720" s="101"/>
      <c r="AB720" s="130"/>
      <c r="AD720" s="105" t="s">
        <v>2978</v>
      </c>
      <c r="AE720" s="105" t="s">
        <v>2159</v>
      </c>
    </row>
    <row r="721" spans="3:31" s="105" customFormat="1">
      <c r="D721" s="122"/>
      <c r="E721" s="128"/>
      <c r="G721" s="99"/>
      <c r="H721" s="99"/>
      <c r="K721" s="99"/>
      <c r="L721" s="96"/>
      <c r="O721" s="111"/>
      <c r="P721" s="111"/>
      <c r="R721" s="154"/>
      <c r="S721" s="111"/>
      <c r="T721" s="101"/>
      <c r="AB721" s="130"/>
      <c r="AD721" s="105" t="s">
        <v>2978</v>
      </c>
      <c r="AE721" s="105" t="s">
        <v>2160</v>
      </c>
    </row>
    <row r="722" spans="3:31" s="105" customFormat="1">
      <c r="D722" s="122"/>
      <c r="E722" s="128"/>
      <c r="G722" s="99"/>
      <c r="H722" s="99"/>
      <c r="K722" s="99"/>
      <c r="L722" s="96"/>
      <c r="O722" s="111"/>
      <c r="P722" s="111"/>
      <c r="R722" s="154"/>
      <c r="S722" s="111"/>
      <c r="T722" s="101"/>
      <c r="AB722" s="130"/>
      <c r="AD722" s="105" t="s">
        <v>2862</v>
      </c>
      <c r="AE722" s="105" t="s">
        <v>2161</v>
      </c>
    </row>
    <row r="723" spans="3:31" s="105" customFormat="1">
      <c r="D723" s="122"/>
      <c r="E723" s="128"/>
      <c r="G723" s="99"/>
      <c r="H723" s="99"/>
      <c r="K723" s="99"/>
      <c r="L723" s="96"/>
      <c r="O723" s="111"/>
      <c r="P723" s="111"/>
      <c r="R723" s="154"/>
      <c r="S723" s="111"/>
      <c r="T723" s="101"/>
      <c r="AB723" s="130"/>
      <c r="AD723" s="105" t="s">
        <v>2978</v>
      </c>
      <c r="AE723" s="105" t="s">
        <v>2705</v>
      </c>
    </row>
    <row r="724" spans="3:31" s="105" customFormat="1">
      <c r="D724" s="122"/>
      <c r="E724" s="128"/>
      <c r="G724" s="99"/>
      <c r="H724" s="99"/>
      <c r="K724" s="99"/>
      <c r="L724" s="96"/>
      <c r="O724" s="111"/>
      <c r="P724" s="111"/>
      <c r="R724" s="154"/>
      <c r="S724" s="111"/>
      <c r="T724" s="101"/>
      <c r="AB724" s="130"/>
      <c r="AD724" s="105" t="s">
        <v>2978</v>
      </c>
      <c r="AE724" s="105" t="s">
        <v>2162</v>
      </c>
    </row>
    <row r="725" spans="3:31" s="105" customFormat="1">
      <c r="D725" s="122"/>
      <c r="E725" s="128"/>
      <c r="G725" s="99"/>
      <c r="H725" s="99"/>
      <c r="K725" s="99"/>
      <c r="L725" s="96"/>
      <c r="O725" s="111"/>
      <c r="P725" s="111"/>
      <c r="R725" s="154"/>
      <c r="S725" s="111"/>
      <c r="T725" s="101"/>
      <c r="AB725" s="130"/>
      <c r="AD725" s="105" t="s">
        <v>2978</v>
      </c>
      <c r="AE725" s="105" t="s">
        <v>2163</v>
      </c>
    </row>
    <row r="726" spans="3:31" s="105" customFormat="1">
      <c r="D726" s="122"/>
      <c r="E726" s="128"/>
      <c r="G726" s="99"/>
      <c r="H726" s="99"/>
      <c r="K726" s="99"/>
      <c r="L726" s="96"/>
      <c r="O726" s="111"/>
      <c r="P726" s="111"/>
      <c r="R726" s="154"/>
      <c r="S726" s="111"/>
      <c r="T726" s="101"/>
      <c r="AB726" s="130"/>
      <c r="AD726" s="105" t="s">
        <v>2978</v>
      </c>
      <c r="AE726" s="105" t="s">
        <v>2320</v>
      </c>
    </row>
    <row r="727" spans="3:31" s="105" customFormat="1">
      <c r="D727" s="122"/>
      <c r="E727" s="128"/>
      <c r="G727" s="99"/>
      <c r="H727" s="99"/>
      <c r="K727" s="99"/>
      <c r="L727" s="96"/>
      <c r="O727" s="111"/>
      <c r="P727" s="111"/>
      <c r="R727" s="154"/>
      <c r="S727" s="111"/>
      <c r="T727" s="101"/>
      <c r="AB727" s="130"/>
      <c r="AD727" s="105" t="s">
        <v>2528</v>
      </c>
      <c r="AE727" s="105" t="s">
        <v>2164</v>
      </c>
    </row>
    <row r="728" spans="3:31" s="105" customFormat="1">
      <c r="D728" s="122"/>
      <c r="E728" s="128"/>
      <c r="G728" s="99"/>
      <c r="H728" s="99"/>
      <c r="K728" s="99"/>
      <c r="L728" s="96"/>
      <c r="O728" s="111"/>
      <c r="P728" s="111"/>
      <c r="R728" s="154"/>
      <c r="S728" s="111"/>
      <c r="T728" s="101"/>
      <c r="AB728" s="130"/>
      <c r="AD728" s="105" t="s">
        <v>2979</v>
      </c>
      <c r="AE728" s="105" t="s">
        <v>471</v>
      </c>
    </row>
    <row r="729" spans="3:31" s="105" customFormat="1">
      <c r="D729" s="122"/>
      <c r="E729" s="128"/>
      <c r="G729" s="99"/>
      <c r="H729" s="99"/>
      <c r="K729" s="99"/>
      <c r="L729" s="96"/>
      <c r="O729" s="111"/>
      <c r="P729" s="111"/>
      <c r="R729" s="154"/>
      <c r="S729" s="111"/>
      <c r="T729" s="101"/>
      <c r="AB729" s="130"/>
      <c r="AD729" s="105" t="s">
        <v>2979</v>
      </c>
      <c r="AE729" s="105" t="s">
        <v>472</v>
      </c>
    </row>
    <row r="730" spans="3:31" s="105" customFormat="1">
      <c r="D730" s="122"/>
      <c r="E730" s="128"/>
      <c r="G730" s="99"/>
      <c r="H730" s="99"/>
      <c r="K730" s="99"/>
      <c r="L730" s="96"/>
      <c r="O730" s="111"/>
      <c r="P730" s="111"/>
      <c r="R730" s="154"/>
      <c r="S730" s="111"/>
      <c r="T730" s="101"/>
      <c r="AB730" s="130"/>
      <c r="AD730" s="105" t="s">
        <v>2870</v>
      </c>
      <c r="AE730" s="105" t="s">
        <v>473</v>
      </c>
    </row>
    <row r="731" spans="3:31" s="105" customFormat="1">
      <c r="D731" s="122"/>
      <c r="E731" s="128"/>
      <c r="G731" s="99"/>
      <c r="H731" s="99"/>
      <c r="K731" s="99"/>
      <c r="L731" s="96"/>
      <c r="O731" s="111"/>
      <c r="P731" s="111"/>
      <c r="R731" s="154"/>
      <c r="S731" s="111"/>
      <c r="T731" s="101"/>
      <c r="AB731" s="130"/>
      <c r="AD731" s="105" t="s">
        <v>2870</v>
      </c>
      <c r="AE731" s="105" t="s">
        <v>474</v>
      </c>
    </row>
    <row r="732" spans="3:31" s="105" customFormat="1">
      <c r="D732" s="122"/>
      <c r="E732" s="128"/>
      <c r="G732" s="99"/>
      <c r="H732" s="99"/>
      <c r="K732" s="99"/>
      <c r="L732" s="96"/>
      <c r="O732" s="111"/>
      <c r="P732" s="111"/>
      <c r="R732" s="154"/>
      <c r="S732" s="111"/>
      <c r="T732" s="101"/>
      <c r="AB732" s="130"/>
      <c r="AD732" s="105" t="s">
        <v>2979</v>
      </c>
      <c r="AE732" s="105" t="s">
        <v>475</v>
      </c>
    </row>
    <row r="733" spans="3:31" s="105" customFormat="1">
      <c r="D733" s="122"/>
      <c r="E733" s="128"/>
      <c r="G733" s="99"/>
      <c r="H733" s="99"/>
      <c r="K733" s="99"/>
      <c r="L733" s="96"/>
      <c r="O733" s="111"/>
      <c r="P733" s="111"/>
      <c r="R733" s="154"/>
      <c r="S733" s="111"/>
      <c r="T733" s="101"/>
      <c r="AB733" s="130"/>
      <c r="AD733" s="105" t="s">
        <v>2979</v>
      </c>
      <c r="AE733" s="105" t="s">
        <v>476</v>
      </c>
    </row>
    <row r="734" spans="3:31" s="105" customFormat="1">
      <c r="D734" s="122"/>
      <c r="E734" s="128"/>
      <c r="G734" s="99"/>
      <c r="H734" s="99"/>
      <c r="K734" s="99"/>
      <c r="L734" s="96"/>
      <c r="O734" s="111"/>
      <c r="P734" s="111"/>
      <c r="R734" s="154"/>
      <c r="S734" s="111"/>
      <c r="T734" s="101"/>
      <c r="AB734" s="130"/>
      <c r="AD734" s="105" t="s">
        <v>2979</v>
      </c>
      <c r="AE734" s="105" t="s">
        <v>477</v>
      </c>
    </row>
    <row r="735" spans="3:31" s="105" customFormat="1">
      <c r="C735" s="115"/>
      <c r="D735" s="122"/>
      <c r="E735" s="128"/>
      <c r="G735" s="99"/>
      <c r="H735" s="99"/>
      <c r="K735" s="99"/>
      <c r="L735" s="96"/>
      <c r="O735" s="111"/>
      <c r="P735" s="111"/>
      <c r="R735" s="154"/>
      <c r="S735" s="111"/>
      <c r="T735" s="101"/>
      <c r="AB735" s="130"/>
      <c r="AD735" s="105" t="s">
        <v>2979</v>
      </c>
      <c r="AE735" s="105" t="s">
        <v>2250</v>
      </c>
    </row>
    <row r="736" spans="3:31" s="105" customFormat="1">
      <c r="D736" s="122"/>
      <c r="E736" s="128"/>
      <c r="G736" s="99"/>
      <c r="H736" s="99"/>
      <c r="K736" s="99"/>
      <c r="L736" s="96"/>
      <c r="O736" s="111"/>
      <c r="P736" s="111"/>
      <c r="R736" s="154"/>
      <c r="S736" s="111"/>
      <c r="T736" s="101"/>
      <c r="AB736" s="130"/>
      <c r="AD736" s="105" t="s">
        <v>2979</v>
      </c>
      <c r="AE736" s="105" t="s">
        <v>478</v>
      </c>
    </row>
    <row r="737" spans="3:31" s="105" customFormat="1">
      <c r="D737" s="122"/>
      <c r="E737" s="128"/>
      <c r="G737" s="99"/>
      <c r="H737" s="99"/>
      <c r="K737" s="99"/>
      <c r="L737" s="96"/>
      <c r="O737" s="111"/>
      <c r="P737" s="111"/>
      <c r="R737" s="154"/>
      <c r="S737" s="111"/>
      <c r="T737" s="101"/>
      <c r="AB737" s="130"/>
      <c r="AD737" s="105" t="s">
        <v>2867</v>
      </c>
      <c r="AE737" s="105" t="s">
        <v>479</v>
      </c>
    </row>
    <row r="738" spans="3:31" s="105" customFormat="1">
      <c r="D738" s="122"/>
      <c r="E738" s="128"/>
      <c r="G738" s="99"/>
      <c r="H738" s="99"/>
      <c r="K738" s="99"/>
      <c r="L738" s="96"/>
      <c r="O738" s="111"/>
      <c r="P738" s="111"/>
      <c r="R738" s="154"/>
      <c r="S738" s="111"/>
      <c r="T738" s="101"/>
      <c r="AB738" s="130"/>
      <c r="AD738" s="105" t="s">
        <v>2979</v>
      </c>
      <c r="AE738" s="105" t="s">
        <v>480</v>
      </c>
    </row>
    <row r="739" spans="3:31" s="105" customFormat="1">
      <c r="D739" s="122"/>
      <c r="E739" s="128"/>
      <c r="G739" s="99"/>
      <c r="H739" s="99"/>
      <c r="K739" s="99"/>
      <c r="L739" s="96"/>
      <c r="O739" s="111"/>
      <c r="P739" s="111"/>
      <c r="R739" s="154"/>
      <c r="S739" s="111"/>
      <c r="T739" s="101"/>
      <c r="AB739" s="130"/>
      <c r="AD739" s="105" t="s">
        <v>2979</v>
      </c>
      <c r="AE739" s="105" t="s">
        <v>481</v>
      </c>
    </row>
    <row r="740" spans="3:31" s="105" customFormat="1">
      <c r="D740" s="122"/>
      <c r="E740" s="128"/>
      <c r="G740" s="99"/>
      <c r="H740" s="99"/>
      <c r="K740" s="99"/>
      <c r="L740" s="96"/>
      <c r="O740" s="111"/>
      <c r="P740" s="111"/>
      <c r="R740" s="154"/>
      <c r="S740" s="111"/>
      <c r="T740" s="101"/>
      <c r="AB740" s="130"/>
      <c r="AD740" s="105" t="s">
        <v>2979</v>
      </c>
      <c r="AE740" s="105" t="s">
        <v>482</v>
      </c>
    </row>
    <row r="741" spans="3:31" s="105" customFormat="1">
      <c r="D741" s="122"/>
      <c r="E741" s="128"/>
      <c r="G741" s="99"/>
      <c r="H741" s="99"/>
      <c r="K741" s="99"/>
      <c r="L741" s="96"/>
      <c r="O741" s="111"/>
      <c r="P741" s="111"/>
      <c r="R741" s="154"/>
      <c r="S741" s="111"/>
      <c r="T741" s="101"/>
      <c r="AB741" s="130"/>
      <c r="AD741" s="105" t="s">
        <v>2979</v>
      </c>
      <c r="AE741" s="105" t="s">
        <v>483</v>
      </c>
    </row>
    <row r="742" spans="3:31" s="105" customFormat="1">
      <c r="D742" s="122"/>
      <c r="E742" s="128"/>
      <c r="G742" s="99"/>
      <c r="H742" s="99"/>
      <c r="K742" s="99"/>
      <c r="L742" s="96"/>
      <c r="O742" s="111"/>
      <c r="P742" s="111"/>
      <c r="R742" s="154"/>
      <c r="S742" s="111"/>
      <c r="T742" s="101"/>
      <c r="AB742" s="130"/>
      <c r="AD742" s="105" t="s">
        <v>2979</v>
      </c>
      <c r="AE742" s="105" t="s">
        <v>484</v>
      </c>
    </row>
    <row r="743" spans="3:31" s="105" customFormat="1">
      <c r="D743" s="122"/>
      <c r="E743" s="128"/>
      <c r="G743" s="99"/>
      <c r="H743" s="99"/>
      <c r="K743" s="99"/>
      <c r="L743" s="96"/>
      <c r="O743" s="111"/>
      <c r="P743" s="111"/>
      <c r="R743" s="154"/>
      <c r="S743" s="111"/>
      <c r="T743" s="101"/>
      <c r="AB743" s="130"/>
      <c r="AD743" s="105" t="s">
        <v>2867</v>
      </c>
      <c r="AE743" s="105" t="s">
        <v>485</v>
      </c>
    </row>
    <row r="744" spans="3:31" s="105" customFormat="1">
      <c r="D744" s="122"/>
      <c r="E744" s="128"/>
      <c r="G744" s="99"/>
      <c r="H744" s="99"/>
      <c r="K744" s="99"/>
      <c r="L744" s="96"/>
      <c r="O744" s="111"/>
      <c r="P744" s="111"/>
      <c r="R744" s="154"/>
      <c r="S744" s="111"/>
      <c r="T744" s="101"/>
      <c r="AB744" s="130"/>
      <c r="AD744" s="105" t="s">
        <v>2979</v>
      </c>
      <c r="AE744" s="105" t="s">
        <v>486</v>
      </c>
    </row>
    <row r="745" spans="3:31" s="105" customFormat="1">
      <c r="D745" s="122"/>
      <c r="E745" s="128"/>
      <c r="G745" s="99"/>
      <c r="H745" s="99"/>
      <c r="K745" s="99"/>
      <c r="L745" s="96"/>
      <c r="O745" s="111"/>
      <c r="P745" s="111"/>
      <c r="R745" s="154"/>
      <c r="S745" s="111"/>
      <c r="T745" s="101"/>
      <c r="AB745" s="130"/>
      <c r="AD745" s="105" t="s">
        <v>2869</v>
      </c>
      <c r="AE745" s="105" t="s">
        <v>487</v>
      </c>
    </row>
    <row r="746" spans="3:31" s="105" customFormat="1">
      <c r="D746" s="122"/>
      <c r="E746" s="128"/>
      <c r="G746" s="99"/>
      <c r="H746" s="99"/>
      <c r="K746" s="99"/>
      <c r="L746" s="96"/>
      <c r="O746" s="111"/>
      <c r="P746" s="111"/>
      <c r="R746" s="154"/>
      <c r="S746" s="111"/>
      <c r="T746" s="101"/>
      <c r="AB746" s="130"/>
      <c r="AD746" s="105" t="s">
        <v>2979</v>
      </c>
      <c r="AE746" s="105" t="s">
        <v>488</v>
      </c>
    </row>
    <row r="747" spans="3:31" s="105" customFormat="1">
      <c r="C747" s="115"/>
      <c r="D747" s="122"/>
      <c r="E747" s="128"/>
      <c r="G747" s="99"/>
      <c r="H747" s="99"/>
      <c r="K747" s="99"/>
      <c r="L747" s="96"/>
      <c r="O747" s="111"/>
      <c r="P747" s="111"/>
      <c r="R747" s="154"/>
      <c r="S747" s="111"/>
      <c r="T747" s="101"/>
      <c r="AB747" s="130"/>
      <c r="AD747" s="105" t="s">
        <v>2979</v>
      </c>
      <c r="AE747" s="105" t="s">
        <v>489</v>
      </c>
    </row>
    <row r="748" spans="3:31" s="105" customFormat="1">
      <c r="C748" s="115"/>
      <c r="D748" s="122"/>
      <c r="E748" s="128"/>
      <c r="G748" s="99"/>
      <c r="H748" s="99"/>
      <c r="K748" s="99"/>
      <c r="L748" s="96"/>
      <c r="O748" s="111"/>
      <c r="P748" s="111"/>
      <c r="R748" s="154"/>
      <c r="S748" s="111"/>
      <c r="T748" s="101"/>
      <c r="AB748" s="130"/>
      <c r="AD748" s="105" t="s">
        <v>2867</v>
      </c>
      <c r="AE748" s="105" t="s">
        <v>490</v>
      </c>
    </row>
    <row r="749" spans="3:31" s="105" customFormat="1">
      <c r="D749" s="122"/>
      <c r="E749" s="128"/>
      <c r="G749" s="99"/>
      <c r="H749" s="99"/>
      <c r="K749" s="99"/>
      <c r="L749" s="96"/>
      <c r="O749" s="111"/>
      <c r="P749" s="111"/>
      <c r="R749" s="154"/>
      <c r="S749" s="111"/>
      <c r="T749" s="101"/>
      <c r="AB749" s="130"/>
      <c r="AD749" s="105" t="s">
        <v>2979</v>
      </c>
      <c r="AE749" s="105" t="s">
        <v>491</v>
      </c>
    </row>
    <row r="750" spans="3:31" s="105" customFormat="1">
      <c r="C750" s="115"/>
      <c r="D750" s="122"/>
      <c r="E750" s="128"/>
      <c r="G750" s="99"/>
      <c r="H750" s="99"/>
      <c r="K750" s="99"/>
      <c r="L750" s="96"/>
      <c r="O750" s="111"/>
      <c r="P750" s="111"/>
      <c r="R750" s="154"/>
      <c r="S750" s="111"/>
      <c r="T750" s="101"/>
      <c r="AB750" s="130"/>
      <c r="AD750" s="105" t="s">
        <v>2979</v>
      </c>
      <c r="AE750" s="105" t="s">
        <v>1845</v>
      </c>
    </row>
    <row r="751" spans="3:31" s="105" customFormat="1">
      <c r="C751" s="115"/>
      <c r="D751" s="122"/>
      <c r="E751" s="128"/>
      <c r="G751" s="99"/>
      <c r="H751" s="99"/>
      <c r="K751" s="99"/>
      <c r="L751" s="96"/>
      <c r="O751" s="111"/>
      <c r="P751" s="111"/>
      <c r="R751" s="154"/>
      <c r="S751" s="111"/>
      <c r="T751" s="101"/>
      <c r="AB751" s="130"/>
      <c r="AD751" s="105" t="s">
        <v>2979</v>
      </c>
      <c r="AE751" s="105" t="s">
        <v>2677</v>
      </c>
    </row>
    <row r="752" spans="3:31" s="105" customFormat="1">
      <c r="D752" s="122"/>
      <c r="E752" s="128"/>
      <c r="G752" s="99"/>
      <c r="H752" s="99"/>
      <c r="K752" s="99"/>
      <c r="L752" s="96"/>
      <c r="O752" s="111"/>
      <c r="P752" s="111"/>
      <c r="R752" s="154"/>
      <c r="S752" s="111"/>
      <c r="T752" s="101"/>
      <c r="AB752" s="130"/>
      <c r="AD752" s="105" t="s">
        <v>2979</v>
      </c>
      <c r="AE752" s="105" t="s">
        <v>1846</v>
      </c>
    </row>
    <row r="753" spans="3:31" s="105" customFormat="1">
      <c r="D753" s="122"/>
      <c r="E753" s="128"/>
      <c r="G753" s="99"/>
      <c r="H753" s="99"/>
      <c r="K753" s="99"/>
      <c r="L753" s="96"/>
      <c r="O753" s="111"/>
      <c r="P753" s="111"/>
      <c r="R753" s="154"/>
      <c r="S753" s="111"/>
      <c r="T753" s="101"/>
      <c r="AB753" s="130"/>
      <c r="AD753" s="105" t="s">
        <v>2868</v>
      </c>
      <c r="AE753" s="105" t="s">
        <v>492</v>
      </c>
    </row>
    <row r="754" spans="3:31" s="105" customFormat="1">
      <c r="C754" s="115"/>
      <c r="D754" s="122"/>
      <c r="E754" s="128"/>
      <c r="G754" s="99"/>
      <c r="H754" s="99"/>
      <c r="K754" s="99"/>
      <c r="L754" s="96"/>
      <c r="O754" s="111"/>
      <c r="P754" s="111"/>
      <c r="R754" s="154"/>
      <c r="S754" s="111"/>
      <c r="T754" s="101"/>
      <c r="AB754" s="130"/>
      <c r="AD754" s="105" t="s">
        <v>2868</v>
      </c>
      <c r="AE754" s="105" t="s">
        <v>493</v>
      </c>
    </row>
    <row r="755" spans="3:31" s="105" customFormat="1">
      <c r="C755" s="115"/>
      <c r="D755" s="122"/>
      <c r="E755" s="128"/>
      <c r="G755" s="99"/>
      <c r="H755" s="99"/>
      <c r="K755" s="99"/>
      <c r="L755" s="96"/>
      <c r="O755" s="111"/>
      <c r="P755" s="111"/>
      <c r="R755" s="154"/>
      <c r="S755" s="111"/>
      <c r="T755" s="101"/>
      <c r="AB755" s="130"/>
      <c r="AD755" s="105" t="s">
        <v>2868</v>
      </c>
      <c r="AE755" s="105" t="s">
        <v>494</v>
      </c>
    </row>
    <row r="756" spans="3:31" s="105" customFormat="1">
      <c r="C756" s="115"/>
      <c r="D756" s="122"/>
      <c r="E756" s="128"/>
      <c r="G756" s="99"/>
      <c r="H756" s="99"/>
      <c r="K756" s="99"/>
      <c r="L756" s="96"/>
      <c r="O756" s="111"/>
      <c r="P756" s="111"/>
      <c r="R756" s="154"/>
      <c r="S756" s="111"/>
      <c r="T756" s="101"/>
      <c r="AB756" s="130"/>
      <c r="AD756" s="105" t="s">
        <v>2868</v>
      </c>
      <c r="AE756" s="105" t="s">
        <v>495</v>
      </c>
    </row>
    <row r="757" spans="3:31" s="105" customFormat="1">
      <c r="C757" s="115"/>
      <c r="D757" s="122"/>
      <c r="E757" s="128"/>
      <c r="G757" s="99"/>
      <c r="H757" s="99"/>
      <c r="K757" s="99"/>
      <c r="L757" s="96"/>
      <c r="O757" s="111"/>
      <c r="P757" s="111"/>
      <c r="R757" s="154"/>
      <c r="S757" s="111"/>
      <c r="T757" s="101"/>
      <c r="AB757" s="130"/>
      <c r="AD757" s="105" t="s">
        <v>2868</v>
      </c>
      <c r="AE757" s="105" t="s">
        <v>496</v>
      </c>
    </row>
    <row r="758" spans="3:31" s="105" customFormat="1">
      <c r="C758" s="115"/>
      <c r="D758" s="122"/>
      <c r="E758" s="128"/>
      <c r="G758" s="99"/>
      <c r="H758" s="99"/>
      <c r="K758" s="99"/>
      <c r="L758" s="96"/>
      <c r="O758" s="111"/>
      <c r="P758" s="111"/>
      <c r="R758" s="154"/>
      <c r="S758" s="111"/>
      <c r="T758" s="101"/>
      <c r="AB758" s="130"/>
      <c r="AD758" s="105" t="s">
        <v>2868</v>
      </c>
      <c r="AE758" s="105" t="s">
        <v>497</v>
      </c>
    </row>
    <row r="759" spans="3:31" s="105" customFormat="1">
      <c r="C759" s="115"/>
      <c r="D759" s="122"/>
      <c r="E759" s="128"/>
      <c r="G759" s="99"/>
      <c r="H759" s="99"/>
      <c r="K759" s="99"/>
      <c r="L759" s="96"/>
      <c r="O759" s="111"/>
      <c r="P759" s="111"/>
      <c r="R759" s="154"/>
      <c r="S759" s="111"/>
      <c r="T759" s="101"/>
      <c r="AB759" s="130"/>
      <c r="AD759" s="105" t="s">
        <v>2868</v>
      </c>
      <c r="AE759" s="105" t="s">
        <v>498</v>
      </c>
    </row>
    <row r="760" spans="3:31" s="105" customFormat="1">
      <c r="C760" s="115"/>
      <c r="D760" s="122"/>
      <c r="E760" s="128"/>
      <c r="G760" s="99"/>
      <c r="H760" s="99"/>
      <c r="K760" s="99"/>
      <c r="L760" s="96"/>
      <c r="O760" s="111"/>
      <c r="P760" s="111"/>
      <c r="R760" s="154"/>
      <c r="S760" s="111"/>
      <c r="T760" s="101"/>
      <c r="AB760" s="130"/>
      <c r="AD760" s="105" t="s">
        <v>2866</v>
      </c>
      <c r="AE760" s="105" t="s">
        <v>499</v>
      </c>
    </row>
    <row r="761" spans="3:31" s="105" customFormat="1">
      <c r="C761" s="115"/>
      <c r="D761" s="122"/>
      <c r="E761" s="128"/>
      <c r="G761" s="99"/>
      <c r="H761" s="99"/>
      <c r="K761" s="99"/>
      <c r="L761" s="96"/>
      <c r="O761" s="111"/>
      <c r="P761" s="111"/>
      <c r="R761" s="154"/>
      <c r="S761" s="111"/>
      <c r="T761" s="101"/>
      <c r="AB761" s="130"/>
      <c r="AD761" s="105" t="s">
        <v>2868</v>
      </c>
      <c r="AE761" s="105" t="s">
        <v>500</v>
      </c>
    </row>
    <row r="762" spans="3:31" s="105" customFormat="1">
      <c r="C762" s="115"/>
      <c r="D762" s="122"/>
      <c r="E762" s="128"/>
      <c r="G762" s="99"/>
      <c r="H762" s="99"/>
      <c r="K762" s="99"/>
      <c r="L762" s="96"/>
      <c r="O762" s="111"/>
      <c r="P762" s="111"/>
      <c r="R762" s="154"/>
      <c r="S762" s="111"/>
      <c r="T762" s="101"/>
      <c r="AB762" s="130"/>
      <c r="AD762" s="105" t="s">
        <v>2868</v>
      </c>
      <c r="AE762" s="105" t="s">
        <v>501</v>
      </c>
    </row>
    <row r="763" spans="3:31" s="105" customFormat="1">
      <c r="C763" s="115"/>
      <c r="D763" s="122"/>
      <c r="E763" s="128"/>
      <c r="G763" s="99"/>
      <c r="H763" s="99"/>
      <c r="K763" s="99"/>
      <c r="L763" s="96"/>
      <c r="O763" s="111"/>
      <c r="P763" s="111"/>
      <c r="R763" s="154"/>
      <c r="S763" s="111"/>
      <c r="T763" s="101"/>
      <c r="AB763" s="130"/>
      <c r="AD763" s="105" t="s">
        <v>2868</v>
      </c>
      <c r="AE763" s="105" t="s">
        <v>502</v>
      </c>
    </row>
    <row r="764" spans="3:31" s="105" customFormat="1">
      <c r="C764" s="115"/>
      <c r="D764" s="122"/>
      <c r="E764" s="128"/>
      <c r="G764" s="99"/>
      <c r="H764" s="99"/>
      <c r="K764" s="99"/>
      <c r="L764" s="96"/>
      <c r="O764" s="111"/>
      <c r="P764" s="111"/>
      <c r="R764" s="154"/>
      <c r="S764" s="111"/>
      <c r="T764" s="101"/>
      <c r="AB764" s="130"/>
      <c r="AD764" s="105" t="s">
        <v>2868</v>
      </c>
      <c r="AE764" s="105" t="s">
        <v>503</v>
      </c>
    </row>
    <row r="765" spans="3:31" s="105" customFormat="1">
      <c r="D765" s="122"/>
      <c r="E765" s="128"/>
      <c r="G765" s="99"/>
      <c r="H765" s="99"/>
      <c r="K765" s="99"/>
      <c r="L765" s="96"/>
      <c r="O765" s="111"/>
      <c r="P765" s="111"/>
      <c r="R765" s="154"/>
      <c r="S765" s="111"/>
      <c r="T765" s="101"/>
      <c r="AB765" s="130"/>
      <c r="AD765" s="105" t="s">
        <v>2868</v>
      </c>
      <c r="AE765" s="105" t="s">
        <v>504</v>
      </c>
    </row>
    <row r="766" spans="3:31" s="105" customFormat="1">
      <c r="C766" s="115"/>
      <c r="D766" s="122"/>
      <c r="E766" s="128"/>
      <c r="G766" s="99"/>
      <c r="H766" s="99"/>
      <c r="K766" s="99"/>
      <c r="L766" s="96"/>
      <c r="O766" s="111"/>
      <c r="P766" s="111"/>
      <c r="R766" s="154"/>
      <c r="S766" s="111"/>
      <c r="T766" s="101"/>
      <c r="AB766" s="130"/>
      <c r="AD766" s="105" t="s">
        <v>2868</v>
      </c>
      <c r="AE766" s="105" t="s">
        <v>505</v>
      </c>
    </row>
    <row r="767" spans="3:31" s="105" customFormat="1">
      <c r="C767" s="115"/>
      <c r="D767" s="122"/>
      <c r="E767" s="128"/>
      <c r="G767" s="99"/>
      <c r="H767" s="99"/>
      <c r="K767" s="99"/>
      <c r="L767" s="96"/>
      <c r="O767" s="111"/>
      <c r="P767" s="111"/>
      <c r="R767" s="154"/>
      <c r="S767" s="111"/>
      <c r="T767" s="101"/>
      <c r="AB767" s="130"/>
      <c r="AD767" s="105" t="s">
        <v>2868</v>
      </c>
      <c r="AE767" s="105" t="s">
        <v>506</v>
      </c>
    </row>
    <row r="768" spans="3:31" s="105" customFormat="1">
      <c r="C768" s="115"/>
      <c r="D768" s="122"/>
      <c r="E768" s="128"/>
      <c r="G768" s="99"/>
      <c r="H768" s="99"/>
      <c r="K768" s="99"/>
      <c r="L768" s="96"/>
      <c r="O768" s="111"/>
      <c r="P768" s="111"/>
      <c r="R768" s="154"/>
      <c r="S768" s="111"/>
      <c r="T768" s="101"/>
      <c r="AB768" s="130"/>
      <c r="AD768" s="105" t="s">
        <v>2868</v>
      </c>
      <c r="AE768" s="105" t="s">
        <v>507</v>
      </c>
    </row>
    <row r="769" spans="3:31" s="105" customFormat="1">
      <c r="C769" s="115"/>
      <c r="D769" s="122"/>
      <c r="E769" s="128"/>
      <c r="G769" s="99"/>
      <c r="H769" s="99"/>
      <c r="K769" s="99"/>
      <c r="L769" s="96"/>
      <c r="O769" s="111"/>
      <c r="P769" s="111"/>
      <c r="R769" s="154"/>
      <c r="S769" s="111"/>
      <c r="T769" s="101"/>
      <c r="AB769" s="130"/>
      <c r="AD769" s="105" t="s">
        <v>2868</v>
      </c>
      <c r="AE769" s="105" t="s">
        <v>508</v>
      </c>
    </row>
    <row r="770" spans="3:31" s="105" customFormat="1">
      <c r="D770" s="122"/>
      <c r="E770" s="128"/>
      <c r="G770" s="99"/>
      <c r="H770" s="99"/>
      <c r="K770" s="99"/>
      <c r="L770" s="96"/>
      <c r="O770" s="111"/>
      <c r="P770" s="111"/>
      <c r="R770" s="154"/>
      <c r="S770" s="111"/>
      <c r="T770" s="101"/>
      <c r="AB770" s="130"/>
      <c r="AD770" s="105" t="s">
        <v>2868</v>
      </c>
      <c r="AE770" s="105" t="s">
        <v>509</v>
      </c>
    </row>
    <row r="771" spans="3:31" s="105" customFormat="1">
      <c r="C771" s="115"/>
      <c r="D771" s="122"/>
      <c r="E771" s="128"/>
      <c r="G771" s="99"/>
      <c r="H771" s="99"/>
      <c r="K771" s="99"/>
      <c r="L771" s="96"/>
      <c r="O771" s="111"/>
      <c r="P771" s="111"/>
      <c r="R771" s="154"/>
      <c r="S771" s="111"/>
      <c r="T771" s="101"/>
      <c r="AB771" s="130"/>
      <c r="AD771" s="105" t="s">
        <v>2868</v>
      </c>
      <c r="AE771" s="105" t="s">
        <v>510</v>
      </c>
    </row>
    <row r="772" spans="3:31" s="105" customFormat="1">
      <c r="C772" s="115"/>
      <c r="D772" s="122"/>
      <c r="E772" s="128"/>
      <c r="G772" s="99"/>
      <c r="H772" s="99"/>
      <c r="K772" s="99"/>
      <c r="L772" s="96"/>
      <c r="O772" s="111"/>
      <c r="P772" s="111"/>
      <c r="R772" s="154"/>
      <c r="S772" s="111"/>
      <c r="T772" s="101"/>
      <c r="AB772" s="130"/>
      <c r="AD772" s="105" t="s">
        <v>2868</v>
      </c>
      <c r="AE772" s="105" t="s">
        <v>511</v>
      </c>
    </row>
    <row r="773" spans="3:31" s="105" customFormat="1">
      <c r="C773" s="115"/>
      <c r="D773" s="122"/>
      <c r="E773" s="128"/>
      <c r="G773" s="99"/>
      <c r="H773" s="99"/>
      <c r="K773" s="99"/>
      <c r="L773" s="96"/>
      <c r="O773" s="111"/>
      <c r="P773" s="111"/>
      <c r="R773" s="154"/>
      <c r="S773" s="111"/>
      <c r="T773" s="101"/>
      <c r="AB773" s="130"/>
      <c r="AD773" s="105" t="s">
        <v>2868</v>
      </c>
      <c r="AE773" s="105" t="s">
        <v>512</v>
      </c>
    </row>
    <row r="774" spans="3:31" s="105" customFormat="1">
      <c r="C774" s="115"/>
      <c r="D774" s="122"/>
      <c r="E774" s="128"/>
      <c r="G774" s="99"/>
      <c r="H774" s="99"/>
      <c r="K774" s="99"/>
      <c r="L774" s="96"/>
      <c r="O774" s="111"/>
      <c r="P774" s="111"/>
      <c r="R774" s="154"/>
      <c r="S774" s="111"/>
      <c r="T774" s="101"/>
      <c r="AB774" s="130"/>
      <c r="AD774" s="105" t="s">
        <v>2868</v>
      </c>
      <c r="AE774" s="105" t="s">
        <v>513</v>
      </c>
    </row>
    <row r="775" spans="3:31" s="105" customFormat="1">
      <c r="C775" s="115"/>
      <c r="D775" s="122"/>
      <c r="E775" s="128"/>
      <c r="G775" s="99"/>
      <c r="H775" s="99"/>
      <c r="K775" s="99"/>
      <c r="L775" s="96"/>
      <c r="O775" s="111"/>
      <c r="P775" s="111"/>
      <c r="R775" s="154"/>
      <c r="S775" s="111"/>
      <c r="T775" s="101"/>
      <c r="AB775" s="130"/>
      <c r="AD775" s="105" t="s">
        <v>2868</v>
      </c>
      <c r="AE775" s="105" t="s">
        <v>514</v>
      </c>
    </row>
    <row r="776" spans="3:31" s="105" customFormat="1">
      <c r="C776" s="115"/>
      <c r="D776" s="122"/>
      <c r="E776" s="128"/>
      <c r="G776" s="99"/>
      <c r="H776" s="99"/>
      <c r="K776" s="99"/>
      <c r="L776" s="96"/>
      <c r="O776" s="111"/>
      <c r="P776" s="111"/>
      <c r="R776" s="154"/>
      <c r="S776" s="111"/>
      <c r="T776" s="101"/>
      <c r="AB776" s="130"/>
      <c r="AD776" s="105" t="s">
        <v>2868</v>
      </c>
      <c r="AE776" s="105" t="s">
        <v>515</v>
      </c>
    </row>
    <row r="777" spans="3:31" s="105" customFormat="1">
      <c r="C777" s="115"/>
      <c r="D777" s="122"/>
      <c r="E777" s="128"/>
      <c r="G777" s="99"/>
      <c r="H777" s="99"/>
      <c r="K777" s="99"/>
      <c r="L777" s="96"/>
      <c r="O777" s="111"/>
      <c r="P777" s="111"/>
      <c r="R777" s="154"/>
      <c r="S777" s="111"/>
      <c r="T777" s="101"/>
      <c r="AB777" s="130"/>
      <c r="AD777" s="105" t="s">
        <v>2867</v>
      </c>
      <c r="AE777" s="105" t="s">
        <v>516</v>
      </c>
    </row>
    <row r="778" spans="3:31" s="105" customFormat="1">
      <c r="C778" s="115"/>
      <c r="D778" s="122"/>
      <c r="E778" s="128"/>
      <c r="G778" s="99"/>
      <c r="H778" s="99"/>
      <c r="K778" s="99"/>
      <c r="L778" s="96"/>
      <c r="O778" s="111"/>
      <c r="P778" s="111"/>
      <c r="R778" s="154"/>
      <c r="S778" s="111"/>
      <c r="T778" s="101"/>
      <c r="AB778" s="130"/>
      <c r="AD778" s="105" t="s">
        <v>2979</v>
      </c>
      <c r="AE778" s="105" t="s">
        <v>517</v>
      </c>
    </row>
    <row r="779" spans="3:31" s="105" customFormat="1">
      <c r="C779" s="115"/>
      <c r="D779" s="122"/>
      <c r="E779" s="128"/>
      <c r="G779" s="99"/>
      <c r="H779" s="99"/>
      <c r="K779" s="99"/>
      <c r="L779" s="96"/>
      <c r="O779" s="111"/>
      <c r="P779" s="111"/>
      <c r="R779" s="154"/>
      <c r="S779" s="111"/>
      <c r="T779" s="101"/>
      <c r="AB779" s="130"/>
      <c r="AD779" s="105" t="s">
        <v>2867</v>
      </c>
      <c r="AE779" s="105" t="s">
        <v>518</v>
      </c>
    </row>
    <row r="780" spans="3:31" s="105" customFormat="1">
      <c r="C780" s="115"/>
      <c r="D780" s="122"/>
      <c r="E780" s="128"/>
      <c r="G780" s="99"/>
      <c r="H780" s="99"/>
      <c r="K780" s="99"/>
      <c r="L780" s="96"/>
      <c r="O780" s="111"/>
      <c r="P780" s="111"/>
      <c r="R780" s="154"/>
      <c r="S780" s="111"/>
      <c r="T780" s="101"/>
      <c r="AB780" s="130"/>
      <c r="AD780" s="105" t="s">
        <v>2868</v>
      </c>
      <c r="AE780" s="105" t="s">
        <v>519</v>
      </c>
    </row>
    <row r="781" spans="3:31" s="105" customFormat="1">
      <c r="C781" s="115"/>
      <c r="D781" s="122"/>
      <c r="E781" s="128"/>
      <c r="G781" s="99"/>
      <c r="H781" s="99"/>
      <c r="K781" s="99"/>
      <c r="L781" s="96"/>
      <c r="O781" s="111"/>
      <c r="P781" s="111"/>
      <c r="R781" s="154"/>
      <c r="S781" s="111"/>
      <c r="T781" s="101"/>
      <c r="AB781" s="130"/>
      <c r="AD781" s="105" t="s">
        <v>2868</v>
      </c>
      <c r="AE781" s="105" t="s">
        <v>1847</v>
      </c>
    </row>
    <row r="782" spans="3:31" s="105" customFormat="1">
      <c r="C782" s="115"/>
      <c r="D782" s="122"/>
      <c r="E782" s="128"/>
      <c r="G782" s="99"/>
      <c r="H782" s="99"/>
      <c r="K782" s="99"/>
      <c r="L782" s="96"/>
      <c r="O782" s="111"/>
      <c r="P782" s="111"/>
      <c r="R782" s="154"/>
      <c r="S782" s="111"/>
      <c r="T782" s="101"/>
      <c r="AB782" s="130"/>
      <c r="AD782" s="105" t="s">
        <v>2868</v>
      </c>
      <c r="AE782" s="105" t="s">
        <v>520</v>
      </c>
    </row>
    <row r="783" spans="3:31" s="105" customFormat="1">
      <c r="C783" s="115"/>
      <c r="D783" s="122"/>
      <c r="E783" s="128"/>
      <c r="G783" s="99"/>
      <c r="H783" s="99"/>
      <c r="K783" s="99"/>
      <c r="L783" s="96"/>
      <c r="O783" s="111"/>
      <c r="P783" s="111"/>
      <c r="R783" s="154"/>
      <c r="S783" s="111"/>
      <c r="T783" s="101"/>
      <c r="AB783" s="130"/>
      <c r="AD783" s="105" t="s">
        <v>2979</v>
      </c>
      <c r="AE783" s="105" t="s">
        <v>521</v>
      </c>
    </row>
    <row r="784" spans="3:31" s="105" customFormat="1">
      <c r="C784" s="115"/>
      <c r="D784" s="122"/>
      <c r="E784" s="128"/>
      <c r="G784" s="99"/>
      <c r="H784" s="99"/>
      <c r="K784" s="99"/>
      <c r="L784" s="96"/>
      <c r="O784" s="111"/>
      <c r="P784" s="111"/>
      <c r="R784" s="154"/>
      <c r="S784" s="111"/>
      <c r="T784" s="101"/>
      <c r="AB784" s="130"/>
      <c r="AD784" s="105" t="s">
        <v>2979</v>
      </c>
      <c r="AE784" s="105" t="s">
        <v>2680</v>
      </c>
    </row>
    <row r="785" spans="3:31" s="105" customFormat="1">
      <c r="C785" s="115"/>
      <c r="D785" s="122"/>
      <c r="E785" s="128"/>
      <c r="G785" s="99"/>
      <c r="H785" s="99"/>
      <c r="K785" s="99"/>
      <c r="L785" s="96"/>
      <c r="O785" s="111"/>
      <c r="P785" s="111"/>
      <c r="R785" s="154"/>
      <c r="S785" s="111"/>
      <c r="T785" s="101"/>
      <c r="AB785" s="130"/>
      <c r="AD785" s="105" t="s">
        <v>2979</v>
      </c>
      <c r="AE785" s="105" t="s">
        <v>522</v>
      </c>
    </row>
    <row r="786" spans="3:31" s="105" customFormat="1">
      <c r="C786" s="115"/>
      <c r="D786" s="122"/>
      <c r="E786" s="128"/>
      <c r="G786" s="99"/>
      <c r="H786" s="99"/>
      <c r="K786" s="99"/>
      <c r="L786" s="96"/>
      <c r="O786" s="111"/>
      <c r="P786" s="111"/>
      <c r="R786" s="154"/>
      <c r="S786" s="111"/>
      <c r="T786" s="101"/>
      <c r="AB786" s="130"/>
      <c r="AD786" s="105" t="s">
        <v>2979</v>
      </c>
      <c r="AE786" s="105" t="s">
        <v>523</v>
      </c>
    </row>
    <row r="787" spans="3:31" s="105" customFormat="1">
      <c r="C787" s="115"/>
      <c r="D787" s="122"/>
      <c r="E787" s="128"/>
      <c r="G787" s="99"/>
      <c r="H787" s="99"/>
      <c r="K787" s="99"/>
      <c r="L787" s="96"/>
      <c r="O787" s="111"/>
      <c r="P787" s="111"/>
      <c r="R787" s="154"/>
      <c r="S787" s="111"/>
      <c r="T787" s="101"/>
      <c r="AB787" s="130"/>
      <c r="AD787" s="105" t="s">
        <v>2867</v>
      </c>
      <c r="AE787" s="105" t="s">
        <v>524</v>
      </c>
    </row>
    <row r="788" spans="3:31" s="105" customFormat="1">
      <c r="C788" s="115"/>
      <c r="D788" s="122"/>
      <c r="E788" s="128"/>
      <c r="G788" s="99"/>
      <c r="H788" s="99"/>
      <c r="K788" s="99"/>
      <c r="L788" s="96"/>
      <c r="O788" s="111"/>
      <c r="P788" s="111"/>
      <c r="R788" s="154"/>
      <c r="S788" s="111"/>
      <c r="T788" s="101"/>
      <c r="AB788" s="130"/>
      <c r="AD788" s="105" t="s">
        <v>2979</v>
      </c>
      <c r="AE788" s="105" t="s">
        <v>2681</v>
      </c>
    </row>
    <row r="789" spans="3:31" s="105" customFormat="1">
      <c r="C789" s="115"/>
      <c r="D789" s="122"/>
      <c r="E789" s="128"/>
      <c r="G789" s="99"/>
      <c r="H789" s="99"/>
      <c r="K789" s="99"/>
      <c r="L789" s="96"/>
      <c r="O789" s="111"/>
      <c r="P789" s="111"/>
      <c r="R789" s="154"/>
      <c r="S789" s="111"/>
      <c r="T789" s="101"/>
      <c r="AB789" s="130"/>
      <c r="AD789" s="105" t="s">
        <v>2979</v>
      </c>
      <c r="AE789" s="105" t="s">
        <v>1848</v>
      </c>
    </row>
    <row r="790" spans="3:31" s="105" customFormat="1">
      <c r="C790" s="115"/>
      <c r="D790" s="122"/>
      <c r="E790" s="128"/>
      <c r="G790" s="99"/>
      <c r="H790" s="99"/>
      <c r="K790" s="99"/>
      <c r="L790" s="96"/>
      <c r="O790" s="111"/>
      <c r="P790" s="111"/>
      <c r="R790" s="154"/>
      <c r="S790" s="111"/>
      <c r="T790" s="101"/>
      <c r="AB790" s="130"/>
      <c r="AD790" s="105" t="s">
        <v>2979</v>
      </c>
      <c r="AE790" s="105" t="s">
        <v>525</v>
      </c>
    </row>
    <row r="791" spans="3:31" s="105" customFormat="1">
      <c r="C791" s="115"/>
      <c r="D791" s="122"/>
      <c r="E791" s="128"/>
      <c r="G791" s="99"/>
      <c r="H791" s="99"/>
      <c r="K791" s="99"/>
      <c r="L791" s="96"/>
      <c r="O791" s="111"/>
      <c r="P791" s="111"/>
      <c r="R791" s="154"/>
      <c r="S791" s="111"/>
      <c r="T791" s="101"/>
      <c r="AB791" s="130"/>
      <c r="AD791" s="105" t="s">
        <v>2979</v>
      </c>
      <c r="AE791" s="105" t="s">
        <v>2305</v>
      </c>
    </row>
    <row r="792" spans="3:31" s="105" customFormat="1">
      <c r="C792" s="115"/>
      <c r="D792" s="122"/>
      <c r="E792" s="128"/>
      <c r="G792" s="99"/>
      <c r="H792" s="99"/>
      <c r="K792" s="99"/>
      <c r="L792" s="96"/>
      <c r="O792" s="111"/>
      <c r="P792" s="111"/>
      <c r="R792" s="154"/>
      <c r="S792" s="111"/>
      <c r="T792" s="101"/>
      <c r="AB792" s="130"/>
      <c r="AD792" s="105" t="s">
        <v>2529</v>
      </c>
      <c r="AE792" s="105" t="s">
        <v>526</v>
      </c>
    </row>
    <row r="793" spans="3:31" s="105" customFormat="1">
      <c r="C793" s="115"/>
      <c r="D793" s="122"/>
      <c r="E793" s="128"/>
      <c r="G793" s="99"/>
      <c r="H793" s="99"/>
      <c r="K793" s="99"/>
      <c r="L793" s="96"/>
      <c r="O793" s="111"/>
      <c r="P793" s="111"/>
      <c r="R793" s="154"/>
      <c r="S793" s="111"/>
      <c r="T793" s="101"/>
      <c r="AB793" s="130"/>
      <c r="AD793" s="105" t="s">
        <v>2980</v>
      </c>
      <c r="AE793" s="105" t="s">
        <v>527</v>
      </c>
    </row>
    <row r="794" spans="3:31" s="105" customFormat="1">
      <c r="C794" s="115"/>
      <c r="D794" s="122"/>
      <c r="E794" s="128"/>
      <c r="G794" s="99"/>
      <c r="H794" s="99"/>
      <c r="K794" s="99"/>
      <c r="L794" s="96"/>
      <c r="O794" s="111"/>
      <c r="P794" s="111"/>
      <c r="R794" s="154"/>
      <c r="S794" s="111"/>
      <c r="T794" s="101"/>
      <c r="AB794" s="130"/>
      <c r="AD794" s="105" t="s">
        <v>2980</v>
      </c>
      <c r="AE794" s="105" t="s">
        <v>528</v>
      </c>
    </row>
    <row r="795" spans="3:31" s="105" customFormat="1">
      <c r="C795" s="115"/>
      <c r="D795" s="122"/>
      <c r="E795" s="128"/>
      <c r="G795" s="99"/>
      <c r="H795" s="99"/>
      <c r="K795" s="99"/>
      <c r="L795" s="96"/>
      <c r="O795" s="111"/>
      <c r="P795" s="111"/>
      <c r="R795" s="154"/>
      <c r="S795" s="111"/>
      <c r="T795" s="101"/>
      <c r="AB795" s="130"/>
      <c r="AD795" s="105" t="s">
        <v>2875</v>
      </c>
      <c r="AE795" s="105" t="s">
        <v>529</v>
      </c>
    </row>
    <row r="796" spans="3:31" s="105" customFormat="1">
      <c r="C796" s="115"/>
      <c r="D796" s="122"/>
      <c r="E796" s="128"/>
      <c r="G796" s="99"/>
      <c r="H796" s="99"/>
      <c r="K796" s="99"/>
      <c r="L796" s="96"/>
      <c r="O796" s="111"/>
      <c r="P796" s="111"/>
      <c r="R796" s="154"/>
      <c r="S796" s="111"/>
      <c r="T796" s="101"/>
      <c r="AB796" s="130"/>
      <c r="AD796" s="105" t="s">
        <v>2875</v>
      </c>
      <c r="AE796" s="105" t="s">
        <v>530</v>
      </c>
    </row>
    <row r="797" spans="3:31" s="105" customFormat="1">
      <c r="C797" s="115"/>
      <c r="D797" s="122"/>
      <c r="E797" s="128"/>
      <c r="G797" s="99"/>
      <c r="H797" s="99"/>
      <c r="K797" s="99"/>
      <c r="L797" s="96"/>
      <c r="O797" s="111"/>
      <c r="P797" s="111"/>
      <c r="R797" s="154"/>
      <c r="S797" s="111"/>
      <c r="T797" s="101"/>
      <c r="AB797" s="130"/>
      <c r="AD797" s="105" t="s">
        <v>2980</v>
      </c>
      <c r="AE797" s="105" t="s">
        <v>531</v>
      </c>
    </row>
    <row r="798" spans="3:31" s="105" customFormat="1">
      <c r="C798" s="115"/>
      <c r="D798" s="122"/>
      <c r="E798" s="128"/>
      <c r="G798" s="99"/>
      <c r="H798" s="99"/>
      <c r="K798" s="99"/>
      <c r="L798" s="96"/>
      <c r="O798" s="111"/>
      <c r="P798" s="111"/>
      <c r="R798" s="154"/>
      <c r="S798" s="111"/>
      <c r="T798" s="101"/>
      <c r="AB798" s="130"/>
      <c r="AD798" s="105" t="s">
        <v>2980</v>
      </c>
      <c r="AE798" s="105" t="s">
        <v>532</v>
      </c>
    </row>
    <row r="799" spans="3:31" s="105" customFormat="1">
      <c r="C799" s="115"/>
      <c r="D799" s="122"/>
      <c r="E799" s="128"/>
      <c r="G799" s="99"/>
      <c r="H799" s="99"/>
      <c r="K799" s="99"/>
      <c r="L799" s="96"/>
      <c r="O799" s="111"/>
      <c r="P799" s="111"/>
      <c r="R799" s="154"/>
      <c r="S799" s="111"/>
      <c r="T799" s="101"/>
      <c r="AB799" s="130"/>
      <c r="AD799" s="105" t="s">
        <v>2980</v>
      </c>
      <c r="AE799" s="105" t="s">
        <v>533</v>
      </c>
    </row>
    <row r="800" spans="3:31" s="105" customFormat="1">
      <c r="C800" s="115"/>
      <c r="D800" s="122"/>
      <c r="E800" s="128"/>
      <c r="G800" s="99"/>
      <c r="H800" s="99"/>
      <c r="K800" s="99"/>
      <c r="L800" s="96"/>
      <c r="O800" s="111"/>
      <c r="P800" s="111"/>
      <c r="R800" s="154"/>
      <c r="S800" s="111"/>
      <c r="T800" s="101"/>
      <c r="AB800" s="130"/>
      <c r="AD800" s="105" t="s">
        <v>2980</v>
      </c>
      <c r="AE800" s="105" t="s">
        <v>2251</v>
      </c>
    </row>
    <row r="801" spans="3:31" s="105" customFormat="1">
      <c r="C801" s="115"/>
      <c r="D801" s="122"/>
      <c r="E801" s="128"/>
      <c r="G801" s="99"/>
      <c r="H801" s="99"/>
      <c r="K801" s="99"/>
      <c r="L801" s="96"/>
      <c r="O801" s="111"/>
      <c r="P801" s="111"/>
      <c r="R801" s="154"/>
      <c r="S801" s="111"/>
      <c r="T801" s="101"/>
      <c r="AB801" s="130"/>
      <c r="AD801" s="105" t="s">
        <v>2980</v>
      </c>
      <c r="AE801" s="105" t="s">
        <v>534</v>
      </c>
    </row>
    <row r="802" spans="3:31" s="105" customFormat="1">
      <c r="C802" s="115"/>
      <c r="D802" s="122"/>
      <c r="E802" s="128"/>
      <c r="G802" s="99"/>
      <c r="H802" s="99"/>
      <c r="K802" s="99"/>
      <c r="L802" s="96"/>
      <c r="O802" s="111"/>
      <c r="P802" s="111"/>
      <c r="R802" s="154"/>
      <c r="S802" s="111"/>
      <c r="T802" s="101"/>
      <c r="AB802" s="130"/>
      <c r="AD802" s="105" t="s">
        <v>2872</v>
      </c>
      <c r="AE802" s="105" t="s">
        <v>535</v>
      </c>
    </row>
    <row r="803" spans="3:31" s="105" customFormat="1">
      <c r="D803" s="122"/>
      <c r="E803" s="128"/>
      <c r="G803" s="99"/>
      <c r="H803" s="99"/>
      <c r="K803" s="99"/>
      <c r="L803" s="96"/>
      <c r="O803" s="111"/>
      <c r="P803" s="111"/>
      <c r="R803" s="154"/>
      <c r="S803" s="111"/>
      <c r="T803" s="101"/>
      <c r="AB803" s="130"/>
      <c r="AD803" s="105" t="s">
        <v>2980</v>
      </c>
      <c r="AE803" s="105" t="s">
        <v>536</v>
      </c>
    </row>
    <row r="804" spans="3:31" s="105" customFormat="1">
      <c r="C804" s="115"/>
      <c r="D804" s="122"/>
      <c r="E804" s="128"/>
      <c r="G804" s="99"/>
      <c r="H804" s="99"/>
      <c r="K804" s="99"/>
      <c r="L804" s="96"/>
      <c r="O804" s="111"/>
      <c r="P804" s="111"/>
      <c r="R804" s="154"/>
      <c r="S804" s="111"/>
      <c r="T804" s="101"/>
      <c r="AB804" s="130"/>
      <c r="AD804" s="105" t="s">
        <v>2980</v>
      </c>
      <c r="AE804" s="105" t="s">
        <v>537</v>
      </c>
    </row>
    <row r="805" spans="3:31" s="105" customFormat="1">
      <c r="C805" s="115"/>
      <c r="D805" s="122"/>
      <c r="E805" s="128"/>
      <c r="G805" s="99"/>
      <c r="H805" s="99"/>
      <c r="K805" s="99"/>
      <c r="L805" s="96"/>
      <c r="O805" s="111"/>
      <c r="P805" s="111"/>
      <c r="R805" s="154"/>
      <c r="S805" s="111"/>
      <c r="T805" s="101"/>
      <c r="AB805" s="130"/>
      <c r="AD805" s="105" t="s">
        <v>2980</v>
      </c>
      <c r="AE805" s="105" t="s">
        <v>538</v>
      </c>
    </row>
    <row r="806" spans="3:31" s="105" customFormat="1">
      <c r="D806" s="122"/>
      <c r="E806" s="128"/>
      <c r="G806" s="99"/>
      <c r="H806" s="99"/>
      <c r="K806" s="99"/>
      <c r="L806" s="96"/>
      <c r="O806" s="111"/>
      <c r="P806" s="111"/>
      <c r="R806" s="154"/>
      <c r="S806" s="111"/>
      <c r="T806" s="101"/>
      <c r="AB806" s="130"/>
      <c r="AD806" s="105" t="s">
        <v>2980</v>
      </c>
      <c r="AE806" s="105" t="s">
        <v>539</v>
      </c>
    </row>
    <row r="807" spans="3:31" s="105" customFormat="1">
      <c r="D807" s="122"/>
      <c r="E807" s="128"/>
      <c r="G807" s="99"/>
      <c r="H807" s="99"/>
      <c r="K807" s="99"/>
      <c r="L807" s="96"/>
      <c r="O807" s="111"/>
      <c r="P807" s="111"/>
      <c r="R807" s="154"/>
      <c r="S807" s="111"/>
      <c r="T807" s="101"/>
      <c r="AB807" s="130"/>
      <c r="AD807" s="105" t="s">
        <v>2980</v>
      </c>
      <c r="AE807" s="105" t="s">
        <v>540</v>
      </c>
    </row>
    <row r="808" spans="3:31" s="105" customFormat="1">
      <c r="D808" s="122"/>
      <c r="E808" s="128"/>
      <c r="G808" s="99"/>
      <c r="H808" s="99"/>
      <c r="K808" s="99"/>
      <c r="L808" s="96"/>
      <c r="O808" s="111"/>
      <c r="P808" s="111"/>
      <c r="R808" s="154"/>
      <c r="S808" s="111"/>
      <c r="T808" s="101"/>
      <c r="AB808" s="130"/>
      <c r="AD808" s="105" t="s">
        <v>2872</v>
      </c>
      <c r="AE808" s="105" t="s">
        <v>541</v>
      </c>
    </row>
    <row r="809" spans="3:31" s="105" customFormat="1">
      <c r="C809" s="115"/>
      <c r="D809" s="122"/>
      <c r="E809" s="128"/>
      <c r="G809" s="99"/>
      <c r="H809" s="99"/>
      <c r="K809" s="99"/>
      <c r="L809" s="96"/>
      <c r="O809" s="111"/>
      <c r="P809" s="111"/>
      <c r="R809" s="154"/>
      <c r="S809" s="111"/>
      <c r="T809" s="101"/>
      <c r="AB809" s="130"/>
      <c r="AD809" s="105" t="s">
        <v>2980</v>
      </c>
      <c r="AE809" s="105" t="s">
        <v>542</v>
      </c>
    </row>
    <row r="810" spans="3:31" s="105" customFormat="1">
      <c r="D810" s="122"/>
      <c r="E810" s="128"/>
      <c r="G810" s="99"/>
      <c r="H810" s="99"/>
      <c r="K810" s="99"/>
      <c r="L810" s="96"/>
      <c r="O810" s="111"/>
      <c r="P810" s="111"/>
      <c r="R810" s="154"/>
      <c r="S810" s="111"/>
      <c r="T810" s="101"/>
      <c r="AB810" s="130"/>
      <c r="AD810" s="105" t="s">
        <v>2874</v>
      </c>
      <c r="AE810" s="105" t="s">
        <v>543</v>
      </c>
    </row>
    <row r="811" spans="3:31" s="105" customFormat="1">
      <c r="D811" s="122"/>
      <c r="E811" s="128"/>
      <c r="G811" s="99"/>
      <c r="H811" s="99"/>
      <c r="K811" s="99"/>
      <c r="L811" s="96"/>
      <c r="O811" s="111"/>
      <c r="P811" s="111"/>
      <c r="R811" s="154"/>
      <c r="S811" s="111"/>
      <c r="T811" s="101"/>
      <c r="AB811" s="130"/>
      <c r="AD811" s="105" t="s">
        <v>2980</v>
      </c>
      <c r="AE811" s="105" t="s">
        <v>544</v>
      </c>
    </row>
    <row r="812" spans="3:31" s="105" customFormat="1">
      <c r="D812" s="122"/>
      <c r="E812" s="128"/>
      <c r="G812" s="99"/>
      <c r="H812" s="99"/>
      <c r="K812" s="99"/>
      <c r="L812" s="96"/>
      <c r="O812" s="111"/>
      <c r="P812" s="111"/>
      <c r="R812" s="154"/>
      <c r="S812" s="111"/>
      <c r="T812" s="101"/>
      <c r="AB812" s="130"/>
      <c r="AD812" s="105" t="s">
        <v>2980</v>
      </c>
      <c r="AE812" s="105" t="s">
        <v>545</v>
      </c>
    </row>
    <row r="813" spans="3:31" s="105" customFormat="1">
      <c r="D813" s="122"/>
      <c r="E813" s="128"/>
      <c r="G813" s="99"/>
      <c r="H813" s="99"/>
      <c r="K813" s="99"/>
      <c r="L813" s="96"/>
      <c r="O813" s="111"/>
      <c r="P813" s="111"/>
      <c r="R813" s="154"/>
      <c r="S813" s="111"/>
      <c r="T813" s="101"/>
      <c r="AB813" s="130"/>
      <c r="AD813" s="105" t="s">
        <v>2872</v>
      </c>
      <c r="AE813" s="105" t="s">
        <v>546</v>
      </c>
    </row>
    <row r="814" spans="3:31" s="105" customFormat="1">
      <c r="C814" s="115"/>
      <c r="D814" s="122"/>
      <c r="E814" s="128"/>
      <c r="G814" s="99"/>
      <c r="H814" s="99"/>
      <c r="K814" s="99"/>
      <c r="L814" s="96"/>
      <c r="O814" s="111"/>
      <c r="P814" s="111"/>
      <c r="R814" s="154"/>
      <c r="S814" s="111"/>
      <c r="T814" s="101"/>
      <c r="AB814" s="130"/>
      <c r="AD814" s="105" t="s">
        <v>2980</v>
      </c>
      <c r="AE814" s="105" t="s">
        <v>547</v>
      </c>
    </row>
    <row r="815" spans="3:31" s="105" customFormat="1">
      <c r="D815" s="122"/>
      <c r="E815" s="128"/>
      <c r="G815" s="99"/>
      <c r="H815" s="99"/>
      <c r="K815" s="99"/>
      <c r="L815" s="96"/>
      <c r="O815" s="111"/>
      <c r="P815" s="111"/>
      <c r="R815" s="154"/>
      <c r="S815" s="111"/>
      <c r="T815" s="101"/>
      <c r="AB815" s="130"/>
      <c r="AD815" s="105" t="s">
        <v>2980</v>
      </c>
      <c r="AE815" s="105" t="s">
        <v>1849</v>
      </c>
    </row>
    <row r="816" spans="3:31" s="105" customFormat="1">
      <c r="C816" s="115"/>
      <c r="D816" s="122"/>
      <c r="E816" s="128"/>
      <c r="G816" s="99"/>
      <c r="H816" s="99"/>
      <c r="K816" s="99"/>
      <c r="L816" s="96"/>
      <c r="O816" s="111"/>
      <c r="P816" s="111"/>
      <c r="R816" s="154"/>
      <c r="S816" s="111"/>
      <c r="T816" s="101"/>
      <c r="AB816" s="130"/>
      <c r="AD816" s="105" t="s">
        <v>2980</v>
      </c>
      <c r="AE816" s="105" t="s">
        <v>2671</v>
      </c>
    </row>
    <row r="817" spans="3:31" s="105" customFormat="1">
      <c r="D817" s="122"/>
      <c r="E817" s="128"/>
      <c r="G817" s="99"/>
      <c r="H817" s="99"/>
      <c r="K817" s="99"/>
      <c r="L817" s="96"/>
      <c r="O817" s="111"/>
      <c r="P817" s="111"/>
      <c r="R817" s="154"/>
      <c r="S817" s="111"/>
      <c r="T817" s="101"/>
      <c r="AB817" s="130"/>
      <c r="AD817" s="105" t="s">
        <v>2980</v>
      </c>
      <c r="AE817" s="105" t="s">
        <v>1850</v>
      </c>
    </row>
    <row r="818" spans="3:31" s="105" customFormat="1">
      <c r="D818" s="122"/>
      <c r="E818" s="128"/>
      <c r="G818" s="99"/>
      <c r="H818" s="99"/>
      <c r="K818" s="99"/>
      <c r="L818" s="96"/>
      <c r="O818" s="111"/>
      <c r="P818" s="111"/>
      <c r="R818" s="154"/>
      <c r="S818" s="111"/>
      <c r="T818" s="101"/>
      <c r="AB818" s="130"/>
      <c r="AD818" s="105" t="s">
        <v>2873</v>
      </c>
      <c r="AE818" s="105" t="s">
        <v>548</v>
      </c>
    </row>
    <row r="819" spans="3:31" s="105" customFormat="1">
      <c r="C819" s="115"/>
      <c r="D819" s="122"/>
      <c r="E819" s="128"/>
      <c r="G819" s="99"/>
      <c r="H819" s="99"/>
      <c r="K819" s="99"/>
      <c r="L819" s="96"/>
      <c r="O819" s="111"/>
      <c r="P819" s="111"/>
      <c r="R819" s="154"/>
      <c r="S819" s="111"/>
      <c r="T819" s="101"/>
      <c r="AB819" s="130"/>
      <c r="AD819" s="105" t="s">
        <v>2873</v>
      </c>
      <c r="AE819" s="105" t="s">
        <v>549</v>
      </c>
    </row>
    <row r="820" spans="3:31" s="105" customFormat="1">
      <c r="D820" s="122"/>
      <c r="E820" s="128"/>
      <c r="G820" s="99"/>
      <c r="H820" s="99"/>
      <c r="K820" s="99"/>
      <c r="L820" s="96"/>
      <c r="O820" s="111"/>
      <c r="P820" s="111"/>
      <c r="R820" s="154"/>
      <c r="S820" s="111"/>
      <c r="T820" s="101"/>
      <c r="AB820" s="130"/>
      <c r="AD820" s="105" t="s">
        <v>2873</v>
      </c>
      <c r="AE820" s="105" t="s">
        <v>550</v>
      </c>
    </row>
    <row r="821" spans="3:31" s="105" customFormat="1">
      <c r="D821" s="122"/>
      <c r="E821" s="128"/>
      <c r="G821" s="99"/>
      <c r="H821" s="99"/>
      <c r="K821" s="99"/>
      <c r="L821" s="96"/>
      <c r="O821" s="111"/>
      <c r="P821" s="111"/>
      <c r="R821" s="154"/>
      <c r="S821" s="111"/>
      <c r="T821" s="101"/>
      <c r="AB821" s="130"/>
      <c r="AD821" s="105" t="s">
        <v>2873</v>
      </c>
      <c r="AE821" s="105" t="s">
        <v>551</v>
      </c>
    </row>
    <row r="822" spans="3:31" s="105" customFormat="1">
      <c r="D822" s="122"/>
      <c r="E822" s="128"/>
      <c r="G822" s="99"/>
      <c r="H822" s="99"/>
      <c r="K822" s="99"/>
      <c r="L822" s="96"/>
      <c r="O822" s="111"/>
      <c r="P822" s="111"/>
      <c r="R822" s="154"/>
      <c r="S822" s="111"/>
      <c r="T822" s="101"/>
      <c r="AB822" s="130"/>
      <c r="AD822" s="105" t="s">
        <v>2873</v>
      </c>
      <c r="AE822" s="105" t="s">
        <v>552</v>
      </c>
    </row>
    <row r="823" spans="3:31" s="105" customFormat="1">
      <c r="D823" s="122"/>
      <c r="E823" s="128"/>
      <c r="G823" s="99"/>
      <c r="H823" s="99"/>
      <c r="K823" s="99"/>
      <c r="L823" s="96"/>
      <c r="O823" s="111"/>
      <c r="P823" s="111"/>
      <c r="R823" s="154"/>
      <c r="S823" s="111"/>
      <c r="T823" s="101"/>
      <c r="AB823" s="130"/>
      <c r="AD823" s="105" t="s">
        <v>2873</v>
      </c>
      <c r="AE823" s="105" t="s">
        <v>553</v>
      </c>
    </row>
    <row r="824" spans="3:31" s="105" customFormat="1">
      <c r="D824" s="122"/>
      <c r="E824" s="128"/>
      <c r="G824" s="99"/>
      <c r="H824" s="99"/>
      <c r="K824" s="99"/>
      <c r="L824" s="96"/>
      <c r="O824" s="111"/>
      <c r="P824" s="111"/>
      <c r="R824" s="154"/>
      <c r="S824" s="111"/>
      <c r="T824" s="101"/>
      <c r="AB824" s="130"/>
      <c r="AD824" s="105" t="s">
        <v>2873</v>
      </c>
      <c r="AE824" s="105" t="s">
        <v>554</v>
      </c>
    </row>
    <row r="825" spans="3:31" s="105" customFormat="1">
      <c r="C825" s="115"/>
      <c r="D825" s="122"/>
      <c r="E825" s="128"/>
      <c r="G825" s="99"/>
      <c r="H825" s="99"/>
      <c r="K825" s="99"/>
      <c r="L825" s="96"/>
      <c r="O825" s="111"/>
      <c r="P825" s="111"/>
      <c r="R825" s="154"/>
      <c r="S825" s="111"/>
      <c r="T825" s="101"/>
      <c r="AB825" s="130"/>
      <c r="AD825" s="105" t="s">
        <v>2871</v>
      </c>
      <c r="AE825" s="105" t="s">
        <v>555</v>
      </c>
    </row>
    <row r="826" spans="3:31" s="105" customFormat="1">
      <c r="C826" s="115"/>
      <c r="D826" s="122"/>
      <c r="E826" s="128"/>
      <c r="G826" s="99"/>
      <c r="H826" s="99"/>
      <c r="K826" s="99"/>
      <c r="L826" s="96"/>
      <c r="O826" s="111"/>
      <c r="P826" s="111"/>
      <c r="R826" s="154"/>
      <c r="S826" s="111"/>
      <c r="T826" s="101"/>
      <c r="AB826" s="130"/>
      <c r="AD826" s="105" t="s">
        <v>2873</v>
      </c>
      <c r="AE826" s="105" t="s">
        <v>556</v>
      </c>
    </row>
    <row r="827" spans="3:31" s="105" customFormat="1">
      <c r="D827" s="122"/>
      <c r="E827" s="128"/>
      <c r="G827" s="99"/>
      <c r="H827" s="99"/>
      <c r="K827" s="99"/>
      <c r="L827" s="96"/>
      <c r="O827" s="111"/>
      <c r="P827" s="111"/>
      <c r="R827" s="154"/>
      <c r="S827" s="111"/>
      <c r="T827" s="101"/>
      <c r="AB827" s="130"/>
      <c r="AD827" s="105" t="s">
        <v>2873</v>
      </c>
      <c r="AE827" s="105" t="s">
        <v>557</v>
      </c>
    </row>
    <row r="828" spans="3:31" s="105" customFormat="1">
      <c r="C828" s="115"/>
      <c r="D828" s="122"/>
      <c r="E828" s="128"/>
      <c r="G828" s="99"/>
      <c r="H828" s="99"/>
      <c r="K828" s="99"/>
      <c r="L828" s="96"/>
      <c r="O828" s="111"/>
      <c r="P828" s="111"/>
      <c r="R828" s="154"/>
      <c r="S828" s="111"/>
      <c r="T828" s="101"/>
      <c r="AB828" s="130"/>
      <c r="AD828" s="105" t="s">
        <v>2873</v>
      </c>
      <c r="AE828" s="105" t="s">
        <v>558</v>
      </c>
    </row>
    <row r="829" spans="3:31" s="105" customFormat="1">
      <c r="C829" s="115"/>
      <c r="D829" s="122"/>
      <c r="E829" s="128"/>
      <c r="G829" s="99"/>
      <c r="H829" s="99"/>
      <c r="K829" s="99"/>
      <c r="L829" s="96"/>
      <c r="O829" s="111"/>
      <c r="P829" s="111"/>
      <c r="R829" s="154"/>
      <c r="S829" s="111"/>
      <c r="T829" s="101"/>
      <c r="AB829" s="130"/>
      <c r="AD829" s="105" t="s">
        <v>2873</v>
      </c>
      <c r="AE829" s="105" t="s">
        <v>559</v>
      </c>
    </row>
    <row r="830" spans="3:31" s="105" customFormat="1">
      <c r="C830" s="115"/>
      <c r="D830" s="122"/>
      <c r="E830" s="128"/>
      <c r="G830" s="99"/>
      <c r="H830" s="99"/>
      <c r="K830" s="99"/>
      <c r="L830" s="96"/>
      <c r="O830" s="111"/>
      <c r="P830" s="111"/>
      <c r="R830" s="154"/>
      <c r="S830" s="111"/>
      <c r="T830" s="101"/>
      <c r="AB830" s="130"/>
      <c r="AD830" s="105" t="s">
        <v>2873</v>
      </c>
      <c r="AE830" s="105" t="s">
        <v>560</v>
      </c>
    </row>
    <row r="831" spans="3:31" s="105" customFormat="1">
      <c r="C831" s="115"/>
      <c r="D831" s="122"/>
      <c r="E831" s="128"/>
      <c r="G831" s="99"/>
      <c r="H831" s="99"/>
      <c r="K831" s="99"/>
      <c r="L831" s="96"/>
      <c r="O831" s="111"/>
      <c r="P831" s="111"/>
      <c r="R831" s="154"/>
      <c r="S831" s="111"/>
      <c r="T831" s="101"/>
      <c r="AB831" s="130"/>
      <c r="AD831" s="105" t="s">
        <v>2873</v>
      </c>
      <c r="AE831" s="105" t="s">
        <v>561</v>
      </c>
    </row>
    <row r="832" spans="3:31" s="105" customFormat="1">
      <c r="D832" s="122"/>
      <c r="E832" s="128"/>
      <c r="G832" s="99"/>
      <c r="H832" s="99"/>
      <c r="K832" s="99"/>
      <c r="L832" s="96"/>
      <c r="O832" s="111"/>
      <c r="P832" s="111"/>
      <c r="R832" s="154"/>
      <c r="S832" s="111"/>
      <c r="T832" s="101"/>
      <c r="AB832" s="130"/>
      <c r="AD832" s="105" t="s">
        <v>2873</v>
      </c>
      <c r="AE832" s="105" t="s">
        <v>562</v>
      </c>
    </row>
    <row r="833" spans="3:31" s="105" customFormat="1">
      <c r="D833" s="122"/>
      <c r="E833" s="128"/>
      <c r="G833" s="99"/>
      <c r="H833" s="99"/>
      <c r="K833" s="99"/>
      <c r="L833" s="96"/>
      <c r="O833" s="111"/>
      <c r="P833" s="111"/>
      <c r="R833" s="154"/>
      <c r="S833" s="111"/>
      <c r="T833" s="101"/>
      <c r="AB833" s="130"/>
      <c r="AD833" s="105" t="s">
        <v>2873</v>
      </c>
      <c r="AE833" s="105" t="s">
        <v>563</v>
      </c>
    </row>
    <row r="834" spans="3:31" s="105" customFormat="1">
      <c r="D834" s="122"/>
      <c r="E834" s="128"/>
      <c r="G834" s="99"/>
      <c r="H834" s="99"/>
      <c r="K834" s="99"/>
      <c r="L834" s="96"/>
      <c r="O834" s="111"/>
      <c r="P834" s="111"/>
      <c r="R834" s="154"/>
      <c r="S834" s="111"/>
      <c r="T834" s="101"/>
      <c r="AB834" s="130"/>
      <c r="AD834" s="105" t="s">
        <v>2873</v>
      </c>
      <c r="AE834" s="105" t="s">
        <v>564</v>
      </c>
    </row>
    <row r="835" spans="3:31" s="105" customFormat="1">
      <c r="C835" s="115"/>
      <c r="D835" s="122"/>
      <c r="E835" s="128"/>
      <c r="G835" s="99"/>
      <c r="H835" s="99"/>
      <c r="K835" s="99"/>
      <c r="L835" s="96"/>
      <c r="O835" s="111"/>
      <c r="P835" s="111"/>
      <c r="R835" s="154"/>
      <c r="S835" s="111"/>
      <c r="T835" s="101"/>
      <c r="AB835" s="130"/>
      <c r="AD835" s="105" t="s">
        <v>2873</v>
      </c>
      <c r="AE835" s="105" t="s">
        <v>565</v>
      </c>
    </row>
    <row r="836" spans="3:31" s="105" customFormat="1">
      <c r="D836" s="122"/>
      <c r="E836" s="128"/>
      <c r="G836" s="99"/>
      <c r="H836" s="99"/>
      <c r="K836" s="99"/>
      <c r="L836" s="96"/>
      <c r="O836" s="111"/>
      <c r="P836" s="111"/>
      <c r="R836" s="154"/>
      <c r="S836" s="111"/>
      <c r="T836" s="101"/>
      <c r="AB836" s="130"/>
      <c r="AD836" s="105" t="s">
        <v>2873</v>
      </c>
      <c r="AE836" s="105" t="s">
        <v>566</v>
      </c>
    </row>
    <row r="837" spans="3:31" s="105" customFormat="1">
      <c r="C837" s="115"/>
      <c r="D837" s="122"/>
      <c r="E837" s="128"/>
      <c r="G837" s="99"/>
      <c r="H837" s="99"/>
      <c r="K837" s="99"/>
      <c r="L837" s="96"/>
      <c r="O837" s="111"/>
      <c r="P837" s="111"/>
      <c r="R837" s="154"/>
      <c r="S837" s="111"/>
      <c r="T837" s="101"/>
      <c r="AB837" s="130"/>
      <c r="AD837" s="105" t="s">
        <v>2873</v>
      </c>
      <c r="AE837" s="105" t="s">
        <v>567</v>
      </c>
    </row>
    <row r="838" spans="3:31" s="105" customFormat="1">
      <c r="D838" s="122"/>
      <c r="E838" s="128"/>
      <c r="G838" s="99"/>
      <c r="H838" s="99"/>
      <c r="K838" s="99"/>
      <c r="L838" s="96"/>
      <c r="O838" s="111"/>
      <c r="P838" s="111"/>
      <c r="R838" s="154"/>
      <c r="S838" s="111"/>
      <c r="T838" s="101"/>
      <c r="AB838" s="130"/>
      <c r="AD838" s="105" t="s">
        <v>2873</v>
      </c>
      <c r="AE838" s="105" t="s">
        <v>568</v>
      </c>
    </row>
    <row r="839" spans="3:31" s="105" customFormat="1">
      <c r="D839" s="122"/>
      <c r="E839" s="128"/>
      <c r="G839" s="99"/>
      <c r="H839" s="99"/>
      <c r="K839" s="99"/>
      <c r="L839" s="96"/>
      <c r="O839" s="111"/>
      <c r="P839" s="111"/>
      <c r="R839" s="154"/>
      <c r="S839" s="111"/>
      <c r="T839" s="101"/>
      <c r="AB839" s="130"/>
      <c r="AD839" s="105" t="s">
        <v>2873</v>
      </c>
      <c r="AE839" s="105" t="s">
        <v>569</v>
      </c>
    </row>
    <row r="840" spans="3:31" s="105" customFormat="1">
      <c r="C840" s="115"/>
      <c r="D840" s="122"/>
      <c r="E840" s="128"/>
      <c r="G840" s="99"/>
      <c r="H840" s="99"/>
      <c r="K840" s="99"/>
      <c r="L840" s="96"/>
      <c r="O840" s="111"/>
      <c r="P840" s="111"/>
      <c r="R840" s="154"/>
      <c r="S840" s="111"/>
      <c r="T840" s="101"/>
      <c r="AB840" s="130"/>
      <c r="AD840" s="105" t="s">
        <v>2873</v>
      </c>
      <c r="AE840" s="105" t="s">
        <v>570</v>
      </c>
    </row>
    <row r="841" spans="3:31" s="105" customFormat="1">
      <c r="C841" s="115"/>
      <c r="D841" s="122"/>
      <c r="E841" s="128"/>
      <c r="G841" s="99"/>
      <c r="H841" s="99"/>
      <c r="K841" s="99"/>
      <c r="L841" s="96"/>
      <c r="O841" s="111"/>
      <c r="P841" s="111"/>
      <c r="R841" s="154"/>
      <c r="S841" s="111"/>
      <c r="T841" s="101"/>
      <c r="AB841" s="130"/>
      <c r="AD841" s="105" t="s">
        <v>2873</v>
      </c>
      <c r="AE841" s="105" t="s">
        <v>571</v>
      </c>
    </row>
    <row r="842" spans="3:31" s="105" customFormat="1">
      <c r="C842" s="115"/>
      <c r="D842" s="122"/>
      <c r="E842" s="128"/>
      <c r="G842" s="99"/>
      <c r="H842" s="99"/>
      <c r="K842" s="99"/>
      <c r="L842" s="96"/>
      <c r="O842" s="111"/>
      <c r="P842" s="111"/>
      <c r="R842" s="154"/>
      <c r="S842" s="111"/>
      <c r="T842" s="101"/>
      <c r="AB842" s="130"/>
      <c r="AD842" s="105" t="s">
        <v>2872</v>
      </c>
      <c r="AE842" s="105" t="s">
        <v>572</v>
      </c>
    </row>
    <row r="843" spans="3:31" s="105" customFormat="1">
      <c r="C843" s="115"/>
      <c r="D843" s="122"/>
      <c r="E843" s="128"/>
      <c r="G843" s="99"/>
      <c r="H843" s="99"/>
      <c r="K843" s="99"/>
      <c r="L843" s="96"/>
      <c r="O843" s="111"/>
      <c r="P843" s="111"/>
      <c r="R843" s="154"/>
      <c r="S843" s="111"/>
      <c r="T843" s="101"/>
      <c r="AB843" s="130"/>
      <c r="AD843" s="105" t="s">
        <v>2980</v>
      </c>
      <c r="AE843" s="105" t="s">
        <v>573</v>
      </c>
    </row>
    <row r="844" spans="3:31" s="105" customFormat="1">
      <c r="C844" s="115"/>
      <c r="D844" s="122"/>
      <c r="E844" s="128"/>
      <c r="G844" s="99"/>
      <c r="H844" s="99"/>
      <c r="K844" s="99"/>
      <c r="L844" s="96"/>
      <c r="O844" s="111"/>
      <c r="P844" s="111"/>
      <c r="R844" s="154"/>
      <c r="S844" s="111"/>
      <c r="T844" s="101"/>
      <c r="AB844" s="130"/>
      <c r="AD844" s="105" t="s">
        <v>2872</v>
      </c>
      <c r="AE844" s="105" t="s">
        <v>574</v>
      </c>
    </row>
    <row r="845" spans="3:31" s="105" customFormat="1">
      <c r="C845" s="115"/>
      <c r="D845" s="122"/>
      <c r="E845" s="128"/>
      <c r="G845" s="99"/>
      <c r="H845" s="99"/>
      <c r="K845" s="99"/>
      <c r="L845" s="96"/>
      <c r="O845" s="111"/>
      <c r="P845" s="111"/>
      <c r="R845" s="154"/>
      <c r="S845" s="111"/>
      <c r="T845" s="101"/>
      <c r="AB845" s="130"/>
      <c r="AD845" s="105" t="s">
        <v>2873</v>
      </c>
      <c r="AE845" s="105" t="s">
        <v>575</v>
      </c>
    </row>
    <row r="846" spans="3:31" s="105" customFormat="1">
      <c r="C846" s="115"/>
      <c r="D846" s="122"/>
      <c r="E846" s="128"/>
      <c r="G846" s="99"/>
      <c r="H846" s="99"/>
      <c r="K846" s="99"/>
      <c r="L846" s="96"/>
      <c r="O846" s="111"/>
      <c r="P846" s="111"/>
      <c r="R846" s="154"/>
      <c r="S846" s="111"/>
      <c r="T846" s="101"/>
      <c r="AB846" s="130"/>
      <c r="AD846" s="105" t="s">
        <v>2873</v>
      </c>
      <c r="AE846" s="105" t="s">
        <v>1851</v>
      </c>
    </row>
    <row r="847" spans="3:31" s="105" customFormat="1">
      <c r="C847" s="115"/>
      <c r="D847" s="122"/>
      <c r="E847" s="128"/>
      <c r="G847" s="99"/>
      <c r="H847" s="99"/>
      <c r="K847" s="99"/>
      <c r="L847" s="96"/>
      <c r="O847" s="111"/>
      <c r="P847" s="111"/>
      <c r="R847" s="154"/>
      <c r="S847" s="111"/>
      <c r="T847" s="101"/>
      <c r="AB847" s="130"/>
      <c r="AD847" s="105" t="s">
        <v>2873</v>
      </c>
      <c r="AE847" s="105" t="s">
        <v>576</v>
      </c>
    </row>
    <row r="848" spans="3:31" s="105" customFormat="1">
      <c r="C848" s="115"/>
      <c r="D848" s="122"/>
      <c r="E848" s="128"/>
      <c r="G848" s="99"/>
      <c r="H848" s="99"/>
      <c r="K848" s="99"/>
      <c r="L848" s="96"/>
      <c r="O848" s="111"/>
      <c r="P848" s="111"/>
      <c r="R848" s="154"/>
      <c r="S848" s="111"/>
      <c r="T848" s="101"/>
      <c r="AB848" s="130"/>
      <c r="AD848" s="105" t="s">
        <v>2980</v>
      </c>
      <c r="AE848" s="105" t="s">
        <v>577</v>
      </c>
    </row>
    <row r="849" spans="3:31" s="105" customFormat="1">
      <c r="C849" s="115"/>
      <c r="D849" s="122"/>
      <c r="E849" s="128"/>
      <c r="G849" s="99"/>
      <c r="H849" s="99"/>
      <c r="K849" s="99"/>
      <c r="L849" s="96"/>
      <c r="O849" s="111"/>
      <c r="P849" s="111"/>
      <c r="R849" s="154"/>
      <c r="S849" s="111"/>
      <c r="T849" s="101"/>
      <c r="AB849" s="130"/>
      <c r="AD849" s="105" t="s">
        <v>2980</v>
      </c>
      <c r="AE849" s="105" t="s">
        <v>2674</v>
      </c>
    </row>
    <row r="850" spans="3:31" s="105" customFormat="1">
      <c r="C850" s="115"/>
      <c r="D850" s="122"/>
      <c r="E850" s="128"/>
      <c r="G850" s="99"/>
      <c r="H850" s="99"/>
      <c r="K850" s="99"/>
      <c r="L850" s="96"/>
      <c r="O850" s="111"/>
      <c r="P850" s="111"/>
      <c r="R850" s="154"/>
      <c r="S850" s="111"/>
      <c r="T850" s="101"/>
      <c r="AB850" s="130"/>
      <c r="AD850" s="105" t="s">
        <v>2980</v>
      </c>
      <c r="AE850" s="105" t="s">
        <v>578</v>
      </c>
    </row>
    <row r="851" spans="3:31" s="105" customFormat="1">
      <c r="C851" s="115"/>
      <c r="D851" s="122"/>
      <c r="E851" s="128"/>
      <c r="G851" s="99"/>
      <c r="H851" s="99"/>
      <c r="K851" s="99"/>
      <c r="L851" s="96"/>
      <c r="O851" s="111"/>
      <c r="P851" s="111"/>
      <c r="R851" s="154"/>
      <c r="S851" s="111"/>
      <c r="T851" s="101"/>
      <c r="AB851" s="130"/>
      <c r="AD851" s="105" t="s">
        <v>2980</v>
      </c>
      <c r="AE851" s="105" t="s">
        <v>579</v>
      </c>
    </row>
    <row r="852" spans="3:31" s="105" customFormat="1">
      <c r="C852" s="115"/>
      <c r="D852" s="122"/>
      <c r="E852" s="128"/>
      <c r="G852" s="99"/>
      <c r="H852" s="99"/>
      <c r="K852" s="99"/>
      <c r="L852" s="96"/>
      <c r="O852" s="111"/>
      <c r="P852" s="111"/>
      <c r="R852" s="154"/>
      <c r="S852" s="111"/>
      <c r="T852" s="101"/>
      <c r="AB852" s="130"/>
      <c r="AD852" s="105" t="s">
        <v>2872</v>
      </c>
      <c r="AE852" s="105" t="s">
        <v>580</v>
      </c>
    </row>
    <row r="853" spans="3:31" s="105" customFormat="1">
      <c r="C853" s="115"/>
      <c r="D853" s="122"/>
      <c r="E853" s="128"/>
      <c r="G853" s="99"/>
      <c r="H853" s="99"/>
      <c r="K853" s="99"/>
      <c r="L853" s="96"/>
      <c r="O853" s="111"/>
      <c r="P853" s="111"/>
      <c r="R853" s="154"/>
      <c r="S853" s="111"/>
      <c r="T853" s="101"/>
      <c r="AB853" s="130"/>
      <c r="AD853" s="105" t="s">
        <v>2980</v>
      </c>
      <c r="AE853" s="105" t="s">
        <v>2675</v>
      </c>
    </row>
    <row r="854" spans="3:31" s="105" customFormat="1">
      <c r="C854" s="115"/>
      <c r="D854" s="122"/>
      <c r="E854" s="128"/>
      <c r="G854" s="99"/>
      <c r="H854" s="99"/>
      <c r="K854" s="99"/>
      <c r="L854" s="96"/>
      <c r="O854" s="111"/>
      <c r="P854" s="111"/>
      <c r="R854" s="154"/>
      <c r="S854" s="111"/>
      <c r="T854" s="101"/>
      <c r="AB854" s="130"/>
      <c r="AD854" s="105" t="s">
        <v>2980</v>
      </c>
      <c r="AE854" s="105" t="s">
        <v>1852</v>
      </c>
    </row>
    <row r="855" spans="3:31" s="105" customFormat="1">
      <c r="D855" s="122"/>
      <c r="E855" s="128"/>
      <c r="G855" s="99"/>
      <c r="H855" s="99"/>
      <c r="K855" s="99"/>
      <c r="L855" s="96"/>
      <c r="O855" s="111"/>
      <c r="P855" s="111"/>
      <c r="R855" s="154"/>
      <c r="S855" s="111"/>
      <c r="T855" s="101"/>
      <c r="AB855" s="130"/>
      <c r="AD855" s="105" t="s">
        <v>2980</v>
      </c>
      <c r="AE855" s="105" t="s">
        <v>581</v>
      </c>
    </row>
    <row r="856" spans="3:31" s="105" customFormat="1">
      <c r="D856" s="122"/>
      <c r="E856" s="128"/>
      <c r="G856" s="99"/>
      <c r="H856" s="99"/>
      <c r="K856" s="99"/>
      <c r="L856" s="96"/>
      <c r="O856" s="111"/>
      <c r="P856" s="111"/>
      <c r="R856" s="154"/>
      <c r="S856" s="111"/>
      <c r="T856" s="101"/>
      <c r="AB856" s="130"/>
      <c r="AD856" s="105" t="s">
        <v>2980</v>
      </c>
      <c r="AE856" s="105" t="s">
        <v>2304</v>
      </c>
    </row>
    <row r="857" spans="3:31" s="105" customFormat="1">
      <c r="D857" s="122"/>
      <c r="E857" s="128"/>
      <c r="G857" s="99"/>
      <c r="H857" s="99"/>
      <c r="K857" s="99"/>
      <c r="L857" s="96"/>
      <c r="O857" s="111"/>
      <c r="P857" s="111"/>
      <c r="R857" s="154"/>
      <c r="S857" s="111"/>
      <c r="T857" s="101"/>
      <c r="AB857" s="130"/>
      <c r="AD857" s="105" t="s">
        <v>2530</v>
      </c>
      <c r="AE857" s="105" t="s">
        <v>582</v>
      </c>
    </row>
    <row r="858" spans="3:31" s="105" customFormat="1">
      <c r="D858" s="122"/>
      <c r="E858" s="128"/>
      <c r="G858" s="99"/>
      <c r="H858" s="99"/>
      <c r="K858" s="99"/>
      <c r="L858" s="96"/>
      <c r="O858" s="111"/>
      <c r="P858" s="111"/>
      <c r="R858" s="154"/>
      <c r="S858" s="111"/>
      <c r="T858" s="101"/>
      <c r="AB858" s="130"/>
      <c r="AD858" s="105" t="s">
        <v>2981</v>
      </c>
      <c r="AE858" s="105" t="s">
        <v>583</v>
      </c>
    </row>
    <row r="859" spans="3:31" s="105" customFormat="1">
      <c r="D859" s="122"/>
      <c r="E859" s="128"/>
      <c r="G859" s="99"/>
      <c r="H859" s="99"/>
      <c r="K859" s="99"/>
      <c r="L859" s="96"/>
      <c r="O859" s="111"/>
      <c r="P859" s="111"/>
      <c r="R859" s="154"/>
      <c r="S859" s="111"/>
      <c r="T859" s="101"/>
      <c r="AB859" s="130"/>
      <c r="AD859" s="105" t="s">
        <v>2981</v>
      </c>
      <c r="AE859" s="105" t="s">
        <v>584</v>
      </c>
    </row>
    <row r="860" spans="3:31" s="105" customFormat="1">
      <c r="D860" s="122"/>
      <c r="E860" s="128"/>
      <c r="G860" s="99"/>
      <c r="H860" s="99"/>
      <c r="K860" s="99"/>
      <c r="L860" s="96"/>
      <c r="O860" s="111"/>
      <c r="P860" s="111"/>
      <c r="R860" s="154"/>
      <c r="S860" s="111"/>
      <c r="T860" s="101"/>
      <c r="AB860" s="130"/>
      <c r="AD860" s="105" t="s">
        <v>2880</v>
      </c>
      <c r="AE860" s="105" t="s">
        <v>585</v>
      </c>
    </row>
    <row r="861" spans="3:31" s="105" customFormat="1">
      <c r="D861" s="122"/>
      <c r="E861" s="128"/>
      <c r="G861" s="99"/>
      <c r="H861" s="99"/>
      <c r="K861" s="99"/>
      <c r="L861" s="96"/>
      <c r="O861" s="111"/>
      <c r="P861" s="111"/>
      <c r="R861" s="154"/>
      <c r="S861" s="111"/>
      <c r="T861" s="101"/>
      <c r="AB861" s="130"/>
      <c r="AD861" s="105" t="s">
        <v>2880</v>
      </c>
      <c r="AE861" s="105" t="s">
        <v>586</v>
      </c>
    </row>
    <row r="862" spans="3:31" s="105" customFormat="1">
      <c r="D862" s="122"/>
      <c r="E862" s="128"/>
      <c r="G862" s="99"/>
      <c r="H862" s="99"/>
      <c r="K862" s="99"/>
      <c r="L862" s="96"/>
      <c r="O862" s="111"/>
      <c r="P862" s="111"/>
      <c r="R862" s="154"/>
      <c r="S862" s="111"/>
      <c r="T862" s="101"/>
      <c r="AB862" s="130"/>
      <c r="AD862" s="105" t="s">
        <v>2981</v>
      </c>
      <c r="AE862" s="105" t="s">
        <v>587</v>
      </c>
    </row>
    <row r="863" spans="3:31" s="105" customFormat="1">
      <c r="D863" s="122"/>
      <c r="E863" s="128"/>
      <c r="G863" s="99"/>
      <c r="H863" s="99"/>
      <c r="K863" s="99"/>
      <c r="L863" s="96"/>
      <c r="O863" s="111"/>
      <c r="P863" s="111"/>
      <c r="R863" s="154"/>
      <c r="S863" s="111"/>
      <c r="T863" s="101"/>
      <c r="AB863" s="130"/>
      <c r="AD863" s="105" t="s">
        <v>2981</v>
      </c>
      <c r="AE863" s="105" t="s">
        <v>588</v>
      </c>
    </row>
    <row r="864" spans="3:31" s="105" customFormat="1">
      <c r="D864" s="122"/>
      <c r="E864" s="128"/>
      <c r="G864" s="99"/>
      <c r="H864" s="99"/>
      <c r="K864" s="99"/>
      <c r="L864" s="96"/>
      <c r="O864" s="111"/>
      <c r="P864" s="111"/>
      <c r="R864" s="154"/>
      <c r="S864" s="111"/>
      <c r="T864" s="101"/>
      <c r="AB864" s="130"/>
      <c r="AD864" s="105" t="s">
        <v>2981</v>
      </c>
      <c r="AE864" s="105" t="s">
        <v>589</v>
      </c>
    </row>
    <row r="865" spans="18:31" s="105" customFormat="1">
      <c r="R865" s="154"/>
      <c r="AB865" s="130"/>
      <c r="AD865" s="105" t="s">
        <v>2981</v>
      </c>
      <c r="AE865" s="105" t="s">
        <v>2252</v>
      </c>
    </row>
    <row r="866" spans="18:31" s="105" customFormat="1">
      <c r="R866" s="154"/>
      <c r="AB866" s="130"/>
      <c r="AD866" s="105" t="s">
        <v>2981</v>
      </c>
      <c r="AE866" s="105" t="s">
        <v>590</v>
      </c>
    </row>
    <row r="867" spans="18:31" s="105" customFormat="1">
      <c r="R867" s="154"/>
      <c r="AB867" s="130"/>
      <c r="AD867" s="105" t="s">
        <v>2877</v>
      </c>
      <c r="AE867" s="105" t="s">
        <v>591</v>
      </c>
    </row>
    <row r="868" spans="18:31" s="105" customFormat="1">
      <c r="R868" s="154"/>
      <c r="AB868" s="130"/>
      <c r="AD868" s="105" t="s">
        <v>2981</v>
      </c>
      <c r="AE868" s="105" t="s">
        <v>592</v>
      </c>
    </row>
    <row r="869" spans="18:31" s="105" customFormat="1">
      <c r="R869" s="154"/>
      <c r="AB869" s="130"/>
      <c r="AD869" s="105" t="s">
        <v>2981</v>
      </c>
      <c r="AE869" s="105" t="s">
        <v>593</v>
      </c>
    </row>
    <row r="870" spans="18:31" s="105" customFormat="1">
      <c r="R870" s="154"/>
      <c r="AB870" s="130"/>
      <c r="AD870" s="105" t="s">
        <v>2981</v>
      </c>
      <c r="AE870" s="105" t="s">
        <v>594</v>
      </c>
    </row>
    <row r="871" spans="18:31" s="105" customFormat="1">
      <c r="R871" s="154"/>
      <c r="AB871" s="130"/>
      <c r="AD871" s="105" t="s">
        <v>2981</v>
      </c>
      <c r="AE871" s="105" t="s">
        <v>595</v>
      </c>
    </row>
    <row r="872" spans="18:31" s="105" customFormat="1">
      <c r="R872" s="154"/>
      <c r="AB872" s="130"/>
      <c r="AD872" s="105" t="s">
        <v>2981</v>
      </c>
      <c r="AE872" s="105" t="s">
        <v>596</v>
      </c>
    </row>
    <row r="873" spans="18:31" s="105" customFormat="1">
      <c r="R873" s="154"/>
      <c r="AB873" s="130"/>
      <c r="AD873" s="105" t="s">
        <v>2877</v>
      </c>
      <c r="AE873" s="105" t="s">
        <v>597</v>
      </c>
    </row>
    <row r="874" spans="18:31" s="105" customFormat="1">
      <c r="R874" s="154"/>
      <c r="AB874" s="130"/>
      <c r="AD874" s="105" t="s">
        <v>2981</v>
      </c>
      <c r="AE874" s="105" t="s">
        <v>598</v>
      </c>
    </row>
    <row r="875" spans="18:31" s="105" customFormat="1">
      <c r="R875" s="154"/>
      <c r="AB875" s="130"/>
      <c r="AD875" s="105" t="s">
        <v>2879</v>
      </c>
      <c r="AE875" s="105" t="s">
        <v>599</v>
      </c>
    </row>
    <row r="876" spans="18:31" s="105" customFormat="1">
      <c r="R876" s="154"/>
      <c r="AB876" s="130"/>
      <c r="AD876" s="105" t="s">
        <v>2981</v>
      </c>
      <c r="AE876" s="105" t="s">
        <v>600</v>
      </c>
    </row>
    <row r="877" spans="18:31" s="105" customFormat="1">
      <c r="R877" s="154"/>
      <c r="AB877" s="130"/>
      <c r="AD877" s="105" t="s">
        <v>2981</v>
      </c>
      <c r="AE877" s="105" t="s">
        <v>601</v>
      </c>
    </row>
    <row r="878" spans="18:31" s="105" customFormat="1">
      <c r="R878" s="154"/>
      <c r="AB878" s="130"/>
      <c r="AD878" s="105" t="s">
        <v>2877</v>
      </c>
      <c r="AE878" s="105" t="s">
        <v>602</v>
      </c>
    </row>
    <row r="879" spans="18:31" s="105" customFormat="1">
      <c r="R879" s="154"/>
      <c r="AB879" s="130"/>
      <c r="AD879" s="105" t="s">
        <v>2981</v>
      </c>
      <c r="AE879" s="105" t="s">
        <v>603</v>
      </c>
    </row>
    <row r="880" spans="18:31" s="105" customFormat="1">
      <c r="R880" s="154"/>
      <c r="AB880" s="130"/>
      <c r="AD880" s="105" t="s">
        <v>2981</v>
      </c>
      <c r="AE880" s="105" t="s">
        <v>1853</v>
      </c>
    </row>
    <row r="881" spans="3:31" s="105" customFormat="1">
      <c r="D881" s="122"/>
      <c r="E881" s="128"/>
      <c r="G881" s="99"/>
      <c r="H881" s="99"/>
      <c r="K881" s="99"/>
      <c r="L881" s="96"/>
      <c r="O881" s="111"/>
      <c r="P881" s="111"/>
      <c r="R881" s="154"/>
      <c r="S881" s="111"/>
      <c r="T881" s="101"/>
      <c r="AB881" s="130"/>
      <c r="AD881" s="105" t="s">
        <v>2981</v>
      </c>
      <c r="AE881" s="105" t="s">
        <v>2665</v>
      </c>
    </row>
    <row r="882" spans="3:31" s="105" customFormat="1">
      <c r="C882" s="115"/>
      <c r="D882" s="122"/>
      <c r="E882" s="128"/>
      <c r="G882" s="99"/>
      <c r="H882" s="99"/>
      <c r="K882" s="99"/>
      <c r="L882" s="96"/>
      <c r="O882" s="111"/>
      <c r="P882" s="111"/>
      <c r="R882" s="154"/>
      <c r="S882" s="111"/>
      <c r="T882" s="101"/>
      <c r="AB882" s="130"/>
      <c r="AD882" s="105" t="s">
        <v>2981</v>
      </c>
      <c r="AE882" s="105" t="s">
        <v>1854</v>
      </c>
    </row>
    <row r="883" spans="3:31" s="105" customFormat="1">
      <c r="C883" s="115"/>
      <c r="D883" s="122"/>
      <c r="E883" s="128"/>
      <c r="G883" s="99"/>
      <c r="H883" s="99"/>
      <c r="K883" s="99"/>
      <c r="L883" s="96"/>
      <c r="O883" s="111"/>
      <c r="P883" s="111"/>
      <c r="R883" s="154"/>
      <c r="S883" s="111"/>
      <c r="T883" s="101"/>
      <c r="AB883" s="130"/>
      <c r="AD883" s="105" t="s">
        <v>2878</v>
      </c>
      <c r="AE883" s="105" t="s">
        <v>604</v>
      </c>
    </row>
    <row r="884" spans="3:31" s="105" customFormat="1">
      <c r="D884" s="122"/>
      <c r="E884" s="128"/>
      <c r="G884" s="99"/>
      <c r="H884" s="99"/>
      <c r="K884" s="99"/>
      <c r="L884" s="96"/>
      <c r="O884" s="111"/>
      <c r="P884" s="111"/>
      <c r="R884" s="154"/>
      <c r="S884" s="111"/>
      <c r="T884" s="101"/>
      <c r="AB884" s="130"/>
      <c r="AD884" s="105" t="s">
        <v>2878</v>
      </c>
      <c r="AE884" s="105" t="s">
        <v>605</v>
      </c>
    </row>
    <row r="885" spans="3:31" s="105" customFormat="1">
      <c r="C885" s="115"/>
      <c r="D885" s="122"/>
      <c r="E885" s="128"/>
      <c r="G885" s="99"/>
      <c r="H885" s="99"/>
      <c r="K885" s="99"/>
      <c r="L885" s="96"/>
      <c r="O885" s="111"/>
      <c r="P885" s="111"/>
      <c r="R885" s="154"/>
      <c r="S885" s="111"/>
      <c r="T885" s="101"/>
      <c r="AB885" s="130"/>
      <c r="AD885" s="105" t="s">
        <v>2878</v>
      </c>
      <c r="AE885" s="105" t="s">
        <v>606</v>
      </c>
    </row>
    <row r="886" spans="3:31" s="105" customFormat="1">
      <c r="C886" s="115"/>
      <c r="D886" s="122"/>
      <c r="E886" s="128"/>
      <c r="G886" s="99"/>
      <c r="H886" s="99"/>
      <c r="K886" s="99"/>
      <c r="L886" s="96"/>
      <c r="O886" s="111"/>
      <c r="P886" s="111"/>
      <c r="R886" s="154"/>
      <c r="S886" s="111"/>
      <c r="T886" s="101"/>
      <c r="AB886" s="130"/>
      <c r="AD886" s="105" t="s">
        <v>2878</v>
      </c>
      <c r="AE886" s="105" t="s">
        <v>607</v>
      </c>
    </row>
    <row r="887" spans="3:31" s="105" customFormat="1">
      <c r="D887" s="122"/>
      <c r="E887" s="128"/>
      <c r="G887" s="99"/>
      <c r="H887" s="99"/>
      <c r="K887" s="99"/>
      <c r="L887" s="96"/>
      <c r="O887" s="111"/>
      <c r="P887" s="111"/>
      <c r="R887" s="154"/>
      <c r="S887" s="111"/>
      <c r="T887" s="101"/>
      <c r="AB887" s="130"/>
      <c r="AD887" s="105" t="s">
        <v>2878</v>
      </c>
      <c r="AE887" s="105" t="s">
        <v>608</v>
      </c>
    </row>
    <row r="888" spans="3:31" s="105" customFormat="1">
      <c r="D888" s="122"/>
      <c r="E888" s="128"/>
      <c r="G888" s="99"/>
      <c r="H888" s="99"/>
      <c r="K888" s="99"/>
      <c r="L888" s="96"/>
      <c r="O888" s="111"/>
      <c r="P888" s="111"/>
      <c r="R888" s="154"/>
      <c r="S888" s="111"/>
      <c r="T888" s="101"/>
      <c r="AB888" s="130"/>
      <c r="AD888" s="105" t="s">
        <v>2878</v>
      </c>
      <c r="AE888" s="105" t="s">
        <v>609</v>
      </c>
    </row>
    <row r="889" spans="3:31" s="105" customFormat="1">
      <c r="C889" s="115"/>
      <c r="D889" s="122"/>
      <c r="E889" s="128"/>
      <c r="G889" s="99"/>
      <c r="H889" s="99"/>
      <c r="K889" s="99"/>
      <c r="L889" s="96"/>
      <c r="O889" s="111"/>
      <c r="P889" s="111"/>
      <c r="R889" s="154"/>
      <c r="S889" s="111"/>
      <c r="T889" s="101"/>
      <c r="AB889" s="130"/>
      <c r="AD889" s="105" t="s">
        <v>2878</v>
      </c>
      <c r="AE889" s="105" t="s">
        <v>610</v>
      </c>
    </row>
    <row r="890" spans="3:31" s="105" customFormat="1">
      <c r="C890" s="115"/>
      <c r="D890" s="122"/>
      <c r="E890" s="128"/>
      <c r="G890" s="99"/>
      <c r="H890" s="99"/>
      <c r="K890" s="99"/>
      <c r="L890" s="96"/>
      <c r="O890" s="111"/>
      <c r="P890" s="111"/>
      <c r="R890" s="154"/>
      <c r="S890" s="111"/>
      <c r="T890" s="101"/>
      <c r="AB890" s="130"/>
      <c r="AD890" s="105" t="s">
        <v>2876</v>
      </c>
      <c r="AE890" s="105" t="s">
        <v>611</v>
      </c>
    </row>
    <row r="891" spans="3:31" s="105" customFormat="1">
      <c r="C891" s="115"/>
      <c r="D891" s="122"/>
      <c r="E891" s="128"/>
      <c r="G891" s="99"/>
      <c r="H891" s="99"/>
      <c r="K891" s="99"/>
      <c r="L891" s="96"/>
      <c r="O891" s="111"/>
      <c r="P891" s="111"/>
      <c r="R891" s="154"/>
      <c r="S891" s="111"/>
      <c r="T891" s="101"/>
      <c r="AB891" s="130"/>
      <c r="AD891" s="105" t="s">
        <v>2878</v>
      </c>
      <c r="AE891" s="105" t="s">
        <v>612</v>
      </c>
    </row>
    <row r="892" spans="3:31" s="105" customFormat="1">
      <c r="C892" s="115"/>
      <c r="D892" s="122"/>
      <c r="E892" s="128"/>
      <c r="G892" s="99"/>
      <c r="H892" s="99"/>
      <c r="K892" s="99"/>
      <c r="L892" s="96"/>
      <c r="O892" s="111"/>
      <c r="P892" s="111"/>
      <c r="R892" s="154"/>
      <c r="S892" s="111"/>
      <c r="T892" s="101"/>
      <c r="AB892" s="130"/>
      <c r="AD892" s="105" t="s">
        <v>2878</v>
      </c>
      <c r="AE892" s="105" t="s">
        <v>613</v>
      </c>
    </row>
    <row r="893" spans="3:31" s="105" customFormat="1">
      <c r="C893" s="115"/>
      <c r="D893" s="122"/>
      <c r="E893" s="128"/>
      <c r="G893" s="99"/>
      <c r="H893" s="99"/>
      <c r="K893" s="99"/>
      <c r="L893" s="96"/>
      <c r="O893" s="111"/>
      <c r="P893" s="111"/>
      <c r="R893" s="154"/>
      <c r="S893" s="111"/>
      <c r="T893" s="101"/>
      <c r="AB893" s="130"/>
      <c r="AD893" s="105" t="s">
        <v>2878</v>
      </c>
      <c r="AE893" s="105" t="s">
        <v>614</v>
      </c>
    </row>
    <row r="894" spans="3:31" s="105" customFormat="1">
      <c r="C894" s="115"/>
      <c r="D894" s="122"/>
      <c r="E894" s="128"/>
      <c r="G894" s="99"/>
      <c r="H894" s="99"/>
      <c r="K894" s="99"/>
      <c r="L894" s="96"/>
      <c r="O894" s="111"/>
      <c r="P894" s="111"/>
      <c r="R894" s="154"/>
      <c r="S894" s="111"/>
      <c r="T894" s="101"/>
      <c r="AB894" s="130"/>
      <c r="AD894" s="105" t="s">
        <v>2878</v>
      </c>
      <c r="AE894" s="105" t="s">
        <v>615</v>
      </c>
    </row>
    <row r="895" spans="3:31" s="105" customFormat="1">
      <c r="C895" s="115"/>
      <c r="D895" s="122"/>
      <c r="E895" s="128"/>
      <c r="G895" s="99"/>
      <c r="H895" s="99"/>
      <c r="K895" s="99"/>
      <c r="L895" s="96"/>
      <c r="O895" s="111"/>
      <c r="P895" s="111"/>
      <c r="R895" s="154"/>
      <c r="S895" s="111"/>
      <c r="T895" s="101"/>
      <c r="AB895" s="130"/>
      <c r="AD895" s="105" t="s">
        <v>2878</v>
      </c>
      <c r="AE895" s="105" t="s">
        <v>616</v>
      </c>
    </row>
    <row r="896" spans="3:31" s="105" customFormat="1">
      <c r="C896" s="115"/>
      <c r="D896" s="122"/>
      <c r="E896" s="128"/>
      <c r="G896" s="99"/>
      <c r="H896" s="99"/>
      <c r="K896" s="99"/>
      <c r="L896" s="96"/>
      <c r="O896" s="111"/>
      <c r="P896" s="111"/>
      <c r="R896" s="154"/>
      <c r="S896" s="111"/>
      <c r="T896" s="101"/>
      <c r="AB896" s="130"/>
      <c r="AD896" s="105" t="s">
        <v>2878</v>
      </c>
      <c r="AE896" s="105" t="s">
        <v>617</v>
      </c>
    </row>
    <row r="897" spans="3:31" s="105" customFormat="1">
      <c r="C897" s="115"/>
      <c r="D897" s="122"/>
      <c r="E897" s="128"/>
      <c r="G897" s="99"/>
      <c r="H897" s="99"/>
      <c r="K897" s="99"/>
      <c r="L897" s="96"/>
      <c r="O897" s="111"/>
      <c r="P897" s="111"/>
      <c r="R897" s="154"/>
      <c r="S897" s="111"/>
      <c r="T897" s="101"/>
      <c r="AB897" s="130"/>
      <c r="AD897" s="105" t="s">
        <v>2878</v>
      </c>
      <c r="AE897" s="105" t="s">
        <v>618</v>
      </c>
    </row>
    <row r="898" spans="3:31" s="105" customFormat="1">
      <c r="C898" s="115"/>
      <c r="D898" s="122"/>
      <c r="E898" s="128"/>
      <c r="G898" s="99"/>
      <c r="H898" s="99"/>
      <c r="K898" s="99"/>
      <c r="L898" s="96"/>
      <c r="O898" s="111"/>
      <c r="P898" s="111"/>
      <c r="R898" s="154"/>
      <c r="S898" s="111"/>
      <c r="T898" s="101"/>
      <c r="AB898" s="130"/>
      <c r="AD898" s="105" t="s">
        <v>2878</v>
      </c>
      <c r="AE898" s="105" t="s">
        <v>619</v>
      </c>
    </row>
    <row r="899" spans="3:31" s="105" customFormat="1">
      <c r="C899" s="115"/>
      <c r="D899" s="122"/>
      <c r="E899" s="128"/>
      <c r="G899" s="99"/>
      <c r="H899" s="99"/>
      <c r="K899" s="99"/>
      <c r="L899" s="96"/>
      <c r="O899" s="111"/>
      <c r="P899" s="111"/>
      <c r="R899" s="154"/>
      <c r="S899" s="111"/>
      <c r="T899" s="101"/>
      <c r="AB899" s="130"/>
      <c r="AD899" s="105" t="s">
        <v>2878</v>
      </c>
      <c r="AE899" s="105" t="s">
        <v>620</v>
      </c>
    </row>
    <row r="900" spans="3:31" s="105" customFormat="1">
      <c r="D900" s="122"/>
      <c r="E900" s="128"/>
      <c r="G900" s="99"/>
      <c r="H900" s="99"/>
      <c r="K900" s="99"/>
      <c r="L900" s="96"/>
      <c r="O900" s="111"/>
      <c r="P900" s="111"/>
      <c r="R900" s="154"/>
      <c r="S900" s="111"/>
      <c r="T900" s="101"/>
      <c r="AB900" s="130"/>
      <c r="AD900" s="105" t="s">
        <v>2878</v>
      </c>
      <c r="AE900" s="105" t="s">
        <v>621</v>
      </c>
    </row>
    <row r="901" spans="3:31" s="105" customFormat="1">
      <c r="C901" s="115"/>
      <c r="D901" s="122"/>
      <c r="E901" s="128"/>
      <c r="G901" s="99"/>
      <c r="H901" s="99"/>
      <c r="K901" s="99"/>
      <c r="L901" s="96"/>
      <c r="O901" s="111"/>
      <c r="P901" s="111"/>
      <c r="R901" s="154"/>
      <c r="S901" s="111"/>
      <c r="T901" s="101"/>
      <c r="AB901" s="130"/>
      <c r="AD901" s="105" t="s">
        <v>2878</v>
      </c>
      <c r="AE901" s="105" t="s">
        <v>622</v>
      </c>
    </row>
    <row r="902" spans="3:31" s="105" customFormat="1">
      <c r="C902" s="115"/>
      <c r="D902" s="122"/>
      <c r="E902" s="128"/>
      <c r="G902" s="99"/>
      <c r="H902" s="99"/>
      <c r="K902" s="99"/>
      <c r="L902" s="96"/>
      <c r="O902" s="111"/>
      <c r="P902" s="111"/>
      <c r="R902" s="154"/>
      <c r="S902" s="111"/>
      <c r="T902" s="101"/>
      <c r="AB902" s="130"/>
      <c r="AD902" s="105" t="s">
        <v>2878</v>
      </c>
      <c r="AE902" s="105" t="s">
        <v>623</v>
      </c>
    </row>
    <row r="903" spans="3:31" s="105" customFormat="1">
      <c r="C903" s="115"/>
      <c r="D903" s="122"/>
      <c r="E903" s="128"/>
      <c r="G903" s="99"/>
      <c r="H903" s="99"/>
      <c r="K903" s="99"/>
      <c r="L903" s="96"/>
      <c r="O903" s="111"/>
      <c r="P903" s="111"/>
      <c r="R903" s="154"/>
      <c r="S903" s="111"/>
      <c r="T903" s="101"/>
      <c r="AB903" s="130"/>
      <c r="AD903" s="105" t="s">
        <v>2878</v>
      </c>
      <c r="AE903" s="105" t="s">
        <v>624</v>
      </c>
    </row>
    <row r="904" spans="3:31" s="105" customFormat="1">
      <c r="D904" s="122"/>
      <c r="E904" s="128"/>
      <c r="G904" s="99"/>
      <c r="H904" s="99"/>
      <c r="K904" s="99"/>
      <c r="L904" s="96"/>
      <c r="O904" s="111"/>
      <c r="P904" s="111"/>
      <c r="R904" s="154"/>
      <c r="S904" s="111"/>
      <c r="T904" s="101"/>
      <c r="AB904" s="130"/>
      <c r="AD904" s="105" t="s">
        <v>2878</v>
      </c>
      <c r="AE904" s="105" t="s">
        <v>625</v>
      </c>
    </row>
    <row r="905" spans="3:31" s="105" customFormat="1">
      <c r="D905" s="122"/>
      <c r="E905" s="128"/>
      <c r="G905" s="99"/>
      <c r="H905" s="99"/>
      <c r="K905" s="99"/>
      <c r="L905" s="96"/>
      <c r="O905" s="111"/>
      <c r="P905" s="111"/>
      <c r="R905" s="154"/>
      <c r="S905" s="111"/>
      <c r="T905" s="101"/>
      <c r="AB905" s="130"/>
      <c r="AD905" s="105" t="s">
        <v>2878</v>
      </c>
      <c r="AE905" s="105" t="s">
        <v>626</v>
      </c>
    </row>
    <row r="906" spans="3:31" s="105" customFormat="1">
      <c r="C906" s="115"/>
      <c r="D906" s="122"/>
      <c r="E906" s="128"/>
      <c r="G906" s="99"/>
      <c r="H906" s="99"/>
      <c r="K906" s="99"/>
      <c r="L906" s="96"/>
      <c r="O906" s="111"/>
      <c r="P906" s="111"/>
      <c r="R906" s="154"/>
      <c r="S906" s="111"/>
      <c r="T906" s="101"/>
      <c r="AB906" s="130"/>
      <c r="AD906" s="105" t="s">
        <v>2878</v>
      </c>
      <c r="AE906" s="105" t="s">
        <v>627</v>
      </c>
    </row>
    <row r="907" spans="3:31" s="105" customFormat="1">
      <c r="C907" s="115"/>
      <c r="D907" s="122"/>
      <c r="E907" s="128"/>
      <c r="G907" s="99"/>
      <c r="H907" s="99"/>
      <c r="K907" s="99"/>
      <c r="L907" s="96"/>
      <c r="O907" s="111"/>
      <c r="P907" s="111"/>
      <c r="R907" s="154"/>
      <c r="S907" s="111"/>
      <c r="T907" s="101"/>
      <c r="AB907" s="130"/>
      <c r="AD907" s="105" t="s">
        <v>2877</v>
      </c>
      <c r="AE907" s="105" t="s">
        <v>628</v>
      </c>
    </row>
    <row r="908" spans="3:31" s="105" customFormat="1">
      <c r="C908" s="115"/>
      <c r="D908" s="122"/>
      <c r="E908" s="128"/>
      <c r="G908" s="99"/>
      <c r="H908" s="99"/>
      <c r="K908" s="99"/>
      <c r="L908" s="96"/>
      <c r="O908" s="111"/>
      <c r="P908" s="111"/>
      <c r="R908" s="154"/>
      <c r="S908" s="111"/>
      <c r="T908" s="101"/>
      <c r="AB908" s="130"/>
      <c r="AD908" s="105" t="s">
        <v>2981</v>
      </c>
      <c r="AE908" s="105" t="s">
        <v>629</v>
      </c>
    </row>
    <row r="909" spans="3:31" s="105" customFormat="1">
      <c r="C909" s="115"/>
      <c r="D909" s="122"/>
      <c r="E909" s="128"/>
      <c r="G909" s="99"/>
      <c r="H909" s="99"/>
      <c r="K909" s="99"/>
      <c r="L909" s="96"/>
      <c r="O909" s="111"/>
      <c r="P909" s="111"/>
      <c r="R909" s="154"/>
      <c r="S909" s="111"/>
      <c r="T909" s="101"/>
      <c r="AB909" s="130"/>
      <c r="AD909" s="105" t="s">
        <v>2877</v>
      </c>
      <c r="AE909" s="105" t="s">
        <v>630</v>
      </c>
    </row>
    <row r="910" spans="3:31" s="105" customFormat="1">
      <c r="C910" s="115"/>
      <c r="D910" s="122"/>
      <c r="E910" s="128"/>
      <c r="G910" s="99"/>
      <c r="H910" s="99"/>
      <c r="K910" s="99"/>
      <c r="L910" s="96"/>
      <c r="O910" s="111"/>
      <c r="P910" s="111"/>
      <c r="R910" s="154"/>
      <c r="S910" s="111"/>
      <c r="T910" s="101"/>
      <c r="AB910" s="130"/>
      <c r="AD910" s="105" t="s">
        <v>2878</v>
      </c>
      <c r="AE910" s="105" t="s">
        <v>631</v>
      </c>
    </row>
    <row r="911" spans="3:31" s="105" customFormat="1">
      <c r="C911" s="115"/>
      <c r="D911" s="122"/>
      <c r="E911" s="128"/>
      <c r="G911" s="99"/>
      <c r="H911" s="99"/>
      <c r="K911" s="99"/>
      <c r="L911" s="96"/>
      <c r="O911" s="111"/>
      <c r="P911" s="111"/>
      <c r="R911" s="154"/>
      <c r="S911" s="111"/>
      <c r="T911" s="101"/>
      <c r="AB911" s="130"/>
      <c r="AD911" s="105" t="s">
        <v>2878</v>
      </c>
      <c r="AE911" s="105" t="s">
        <v>1855</v>
      </c>
    </row>
    <row r="912" spans="3:31" s="105" customFormat="1">
      <c r="C912" s="115"/>
      <c r="D912" s="122"/>
      <c r="E912" s="128"/>
      <c r="G912" s="99"/>
      <c r="H912" s="99"/>
      <c r="K912" s="99"/>
      <c r="L912" s="96"/>
      <c r="O912" s="111"/>
      <c r="P912" s="111"/>
      <c r="R912" s="154"/>
      <c r="S912" s="111"/>
      <c r="T912" s="101"/>
      <c r="AB912" s="130"/>
      <c r="AD912" s="105" t="s">
        <v>2878</v>
      </c>
      <c r="AE912" s="105" t="s">
        <v>632</v>
      </c>
    </row>
    <row r="913" spans="3:31" s="105" customFormat="1">
      <c r="C913" s="115"/>
      <c r="D913" s="122"/>
      <c r="E913" s="128"/>
      <c r="G913" s="99"/>
      <c r="H913" s="99"/>
      <c r="K913" s="99"/>
      <c r="L913" s="96"/>
      <c r="O913" s="111"/>
      <c r="P913" s="111"/>
      <c r="R913" s="154"/>
      <c r="S913" s="111"/>
      <c r="T913" s="101"/>
      <c r="AB913" s="130"/>
      <c r="AD913" s="105" t="s">
        <v>2981</v>
      </c>
      <c r="AE913" s="105" t="s">
        <v>633</v>
      </c>
    </row>
    <row r="914" spans="3:31" s="105" customFormat="1">
      <c r="C914" s="115"/>
      <c r="D914" s="122"/>
      <c r="E914" s="128"/>
      <c r="G914" s="99"/>
      <c r="H914" s="99"/>
      <c r="K914" s="99"/>
      <c r="L914" s="96"/>
      <c r="O914" s="111"/>
      <c r="P914" s="111"/>
      <c r="R914" s="154"/>
      <c r="S914" s="111"/>
      <c r="T914" s="101"/>
      <c r="AB914" s="130"/>
      <c r="AD914" s="105" t="s">
        <v>2981</v>
      </c>
      <c r="AE914" s="105" t="s">
        <v>2668</v>
      </c>
    </row>
    <row r="915" spans="3:31" s="105" customFormat="1">
      <c r="C915" s="115"/>
      <c r="D915" s="122"/>
      <c r="E915" s="128"/>
      <c r="G915" s="99"/>
      <c r="H915" s="99"/>
      <c r="K915" s="99"/>
      <c r="L915" s="96"/>
      <c r="O915" s="111"/>
      <c r="P915" s="111"/>
      <c r="R915" s="154"/>
      <c r="S915" s="111"/>
      <c r="T915" s="101"/>
      <c r="AB915" s="130"/>
      <c r="AD915" s="105" t="s">
        <v>2981</v>
      </c>
      <c r="AE915" s="105" t="s">
        <v>634</v>
      </c>
    </row>
    <row r="916" spans="3:31" s="105" customFormat="1">
      <c r="C916" s="115"/>
      <c r="D916" s="122"/>
      <c r="E916" s="128"/>
      <c r="G916" s="99"/>
      <c r="H916" s="99"/>
      <c r="K916" s="99"/>
      <c r="L916" s="96"/>
      <c r="O916" s="111"/>
      <c r="P916" s="111"/>
      <c r="R916" s="154"/>
      <c r="S916" s="111"/>
      <c r="T916" s="101"/>
      <c r="AB916" s="130"/>
      <c r="AD916" s="105" t="s">
        <v>2981</v>
      </c>
      <c r="AE916" s="105" t="s">
        <v>635</v>
      </c>
    </row>
    <row r="917" spans="3:31" s="105" customFormat="1">
      <c r="C917" s="115"/>
      <c r="D917" s="122"/>
      <c r="E917" s="128"/>
      <c r="G917" s="99"/>
      <c r="H917" s="99"/>
      <c r="K917" s="99"/>
      <c r="L917" s="96"/>
      <c r="O917" s="111"/>
      <c r="P917" s="111"/>
      <c r="R917" s="154"/>
      <c r="S917" s="111"/>
      <c r="T917" s="101"/>
      <c r="AB917" s="130"/>
      <c r="AD917" s="105" t="s">
        <v>2877</v>
      </c>
      <c r="AE917" s="105" t="s">
        <v>636</v>
      </c>
    </row>
    <row r="918" spans="3:31" s="105" customFormat="1">
      <c r="C918" s="115"/>
      <c r="D918" s="122"/>
      <c r="E918" s="128"/>
      <c r="G918" s="99"/>
      <c r="H918" s="99"/>
      <c r="K918" s="99"/>
      <c r="L918" s="96"/>
      <c r="O918" s="111"/>
      <c r="P918" s="111"/>
      <c r="R918" s="154"/>
      <c r="S918" s="111"/>
      <c r="T918" s="101"/>
      <c r="AB918" s="130"/>
      <c r="AD918" s="105" t="s">
        <v>2981</v>
      </c>
      <c r="AE918" s="105" t="s">
        <v>2669</v>
      </c>
    </row>
    <row r="919" spans="3:31" s="105" customFormat="1">
      <c r="C919" s="115"/>
      <c r="D919" s="122"/>
      <c r="E919" s="128"/>
      <c r="G919" s="99"/>
      <c r="H919" s="99"/>
      <c r="K919" s="99"/>
      <c r="L919" s="96"/>
      <c r="O919" s="111"/>
      <c r="P919" s="111"/>
      <c r="R919" s="154"/>
      <c r="S919" s="111"/>
      <c r="T919" s="101"/>
      <c r="AB919" s="130"/>
      <c r="AD919" s="105" t="s">
        <v>2981</v>
      </c>
      <c r="AE919" s="105" t="s">
        <v>1856</v>
      </c>
    </row>
    <row r="920" spans="3:31" s="105" customFormat="1">
      <c r="C920" s="115"/>
      <c r="D920" s="122"/>
      <c r="E920" s="128"/>
      <c r="G920" s="99"/>
      <c r="H920" s="99"/>
      <c r="K920" s="99"/>
      <c r="L920" s="96"/>
      <c r="O920" s="111"/>
      <c r="P920" s="111"/>
      <c r="R920" s="154"/>
      <c r="S920" s="111"/>
      <c r="T920" s="101"/>
      <c r="AB920" s="130"/>
      <c r="AD920" s="105" t="s">
        <v>2981</v>
      </c>
      <c r="AE920" s="105" t="s">
        <v>637</v>
      </c>
    </row>
    <row r="921" spans="3:31" s="105" customFormat="1">
      <c r="C921" s="115"/>
      <c r="D921" s="122"/>
      <c r="E921" s="128"/>
      <c r="G921" s="99"/>
      <c r="H921" s="99"/>
      <c r="K921" s="99"/>
      <c r="L921" s="96"/>
      <c r="O921" s="111"/>
      <c r="P921" s="111"/>
      <c r="R921" s="154"/>
      <c r="S921" s="111"/>
      <c r="T921" s="101"/>
      <c r="AB921" s="130"/>
      <c r="AD921" s="105" t="s">
        <v>2981</v>
      </c>
      <c r="AE921" s="105" t="s">
        <v>2303</v>
      </c>
    </row>
    <row r="922" spans="3:31" s="105" customFormat="1">
      <c r="C922" s="115"/>
      <c r="D922" s="122"/>
      <c r="E922" s="128"/>
      <c r="G922" s="99"/>
      <c r="H922" s="99"/>
      <c r="K922" s="99"/>
      <c r="L922" s="96"/>
      <c r="O922" s="111"/>
      <c r="P922" s="111"/>
      <c r="R922" s="154"/>
      <c r="S922" s="111"/>
      <c r="T922" s="101"/>
      <c r="AB922" s="130"/>
      <c r="AD922" s="105" t="s">
        <v>2531</v>
      </c>
      <c r="AE922" s="105" t="s">
        <v>638</v>
      </c>
    </row>
    <row r="923" spans="3:31" s="105" customFormat="1">
      <c r="C923" s="115"/>
      <c r="D923" s="122"/>
      <c r="E923" s="128"/>
      <c r="G923" s="99"/>
      <c r="H923" s="99"/>
      <c r="K923" s="99"/>
      <c r="L923" s="96"/>
      <c r="O923" s="111"/>
      <c r="P923" s="111"/>
      <c r="R923" s="154"/>
      <c r="S923" s="111"/>
      <c r="T923" s="101"/>
      <c r="AB923" s="130"/>
      <c r="AD923" s="105" t="s">
        <v>2982</v>
      </c>
      <c r="AE923" s="105" t="s">
        <v>639</v>
      </c>
    </row>
    <row r="924" spans="3:31" s="105" customFormat="1">
      <c r="C924" s="115"/>
      <c r="D924" s="122"/>
      <c r="E924" s="128"/>
      <c r="G924" s="99"/>
      <c r="H924" s="99"/>
      <c r="K924" s="99"/>
      <c r="L924" s="96"/>
      <c r="O924" s="111"/>
      <c r="P924" s="111"/>
      <c r="R924" s="154"/>
      <c r="S924" s="111"/>
      <c r="T924" s="101"/>
      <c r="AB924" s="130"/>
      <c r="AD924" s="105" t="s">
        <v>2982</v>
      </c>
      <c r="AE924" s="105" t="s">
        <v>640</v>
      </c>
    </row>
    <row r="925" spans="3:31" s="105" customFormat="1">
      <c r="C925" s="115"/>
      <c r="D925" s="122"/>
      <c r="E925" s="128"/>
      <c r="G925" s="99"/>
      <c r="H925" s="99"/>
      <c r="K925" s="99"/>
      <c r="L925" s="96"/>
      <c r="O925" s="111"/>
      <c r="P925" s="111"/>
      <c r="R925" s="154"/>
      <c r="S925" s="111"/>
      <c r="T925" s="101"/>
      <c r="AB925" s="130"/>
      <c r="AD925" s="105" t="s">
        <v>2885</v>
      </c>
      <c r="AE925" s="105" t="s">
        <v>641</v>
      </c>
    </row>
    <row r="926" spans="3:31" s="105" customFormat="1">
      <c r="C926" s="115"/>
      <c r="D926" s="122"/>
      <c r="E926" s="128"/>
      <c r="G926" s="99"/>
      <c r="H926" s="99"/>
      <c r="K926" s="99"/>
      <c r="L926" s="96"/>
      <c r="O926" s="111"/>
      <c r="P926" s="111"/>
      <c r="R926" s="154"/>
      <c r="S926" s="111"/>
      <c r="T926" s="101"/>
      <c r="AB926" s="130"/>
      <c r="AD926" s="105" t="s">
        <v>2885</v>
      </c>
      <c r="AE926" s="105" t="s">
        <v>642</v>
      </c>
    </row>
    <row r="927" spans="3:31" s="105" customFormat="1">
      <c r="C927" s="115"/>
      <c r="D927" s="122"/>
      <c r="E927" s="128"/>
      <c r="G927" s="99"/>
      <c r="H927" s="99"/>
      <c r="K927" s="99"/>
      <c r="L927" s="96"/>
      <c r="O927" s="111"/>
      <c r="P927" s="111"/>
      <c r="R927" s="154"/>
      <c r="S927" s="111"/>
      <c r="T927" s="101"/>
      <c r="AB927" s="130"/>
      <c r="AD927" s="105" t="s">
        <v>2982</v>
      </c>
      <c r="AE927" s="105" t="s">
        <v>643</v>
      </c>
    </row>
    <row r="928" spans="3:31" s="105" customFormat="1">
      <c r="C928" s="115"/>
      <c r="D928" s="122"/>
      <c r="E928" s="128"/>
      <c r="G928" s="99"/>
      <c r="H928" s="99"/>
      <c r="K928" s="99"/>
      <c r="L928" s="96"/>
      <c r="O928" s="111"/>
      <c r="P928" s="111"/>
      <c r="R928" s="154"/>
      <c r="S928" s="111"/>
      <c r="T928" s="101"/>
      <c r="AB928" s="130"/>
      <c r="AD928" s="105" t="s">
        <v>2982</v>
      </c>
      <c r="AE928" s="105" t="s">
        <v>644</v>
      </c>
    </row>
    <row r="929" spans="3:31" s="105" customFormat="1">
      <c r="C929" s="115"/>
      <c r="D929" s="122"/>
      <c r="E929" s="128"/>
      <c r="G929" s="99"/>
      <c r="H929" s="99"/>
      <c r="K929" s="99"/>
      <c r="L929" s="96"/>
      <c r="O929" s="111"/>
      <c r="P929" s="111"/>
      <c r="R929" s="154"/>
      <c r="S929" s="111"/>
      <c r="T929" s="101"/>
      <c r="AB929" s="130"/>
      <c r="AD929" s="105" t="s">
        <v>2982</v>
      </c>
      <c r="AE929" s="105" t="s">
        <v>645</v>
      </c>
    </row>
    <row r="930" spans="3:31" s="105" customFormat="1">
      <c r="C930" s="115"/>
      <c r="D930" s="122"/>
      <c r="E930" s="128"/>
      <c r="G930" s="99"/>
      <c r="H930" s="99"/>
      <c r="K930" s="99"/>
      <c r="L930" s="96"/>
      <c r="O930" s="111"/>
      <c r="P930" s="111"/>
      <c r="R930" s="154"/>
      <c r="S930" s="111"/>
      <c r="T930" s="101"/>
      <c r="AB930" s="130"/>
      <c r="AD930" s="105" t="s">
        <v>2982</v>
      </c>
      <c r="AE930" s="105" t="s">
        <v>2253</v>
      </c>
    </row>
    <row r="931" spans="3:31" s="105" customFormat="1">
      <c r="C931" s="115"/>
      <c r="D931" s="122"/>
      <c r="E931" s="128"/>
      <c r="G931" s="99"/>
      <c r="H931" s="99"/>
      <c r="K931" s="99"/>
      <c r="L931" s="96"/>
      <c r="O931" s="111"/>
      <c r="P931" s="111"/>
      <c r="R931" s="154"/>
      <c r="S931" s="111"/>
      <c r="T931" s="101"/>
      <c r="AB931" s="130"/>
      <c r="AD931" s="105" t="s">
        <v>2982</v>
      </c>
      <c r="AE931" s="105" t="s">
        <v>646</v>
      </c>
    </row>
    <row r="932" spans="3:31" s="105" customFormat="1">
      <c r="C932" s="115"/>
      <c r="D932" s="122"/>
      <c r="E932" s="128"/>
      <c r="G932" s="99"/>
      <c r="H932" s="99"/>
      <c r="K932" s="99"/>
      <c r="L932" s="96"/>
      <c r="O932" s="111"/>
      <c r="P932" s="111"/>
      <c r="R932" s="154"/>
      <c r="S932" s="111"/>
      <c r="T932" s="101"/>
      <c r="AB932" s="130"/>
      <c r="AD932" s="105" t="s">
        <v>2882</v>
      </c>
      <c r="AE932" s="105" t="s">
        <v>647</v>
      </c>
    </row>
    <row r="933" spans="3:31" s="105" customFormat="1">
      <c r="C933" s="115"/>
      <c r="D933" s="122"/>
      <c r="E933" s="128"/>
      <c r="G933" s="99"/>
      <c r="H933" s="99"/>
      <c r="K933" s="99"/>
      <c r="L933" s="96"/>
      <c r="O933" s="111"/>
      <c r="P933" s="111"/>
      <c r="R933" s="154"/>
      <c r="S933" s="111"/>
      <c r="T933" s="101"/>
      <c r="AB933" s="130"/>
      <c r="AD933" s="105" t="s">
        <v>2982</v>
      </c>
      <c r="AE933" s="105" t="s">
        <v>648</v>
      </c>
    </row>
    <row r="934" spans="3:31" s="105" customFormat="1">
      <c r="C934" s="115"/>
      <c r="D934" s="122"/>
      <c r="E934" s="128"/>
      <c r="G934" s="99"/>
      <c r="H934" s="99"/>
      <c r="K934" s="99"/>
      <c r="L934" s="96"/>
      <c r="O934" s="111"/>
      <c r="P934" s="111"/>
      <c r="R934" s="154"/>
      <c r="S934" s="111"/>
      <c r="T934" s="101"/>
      <c r="AB934" s="130"/>
      <c r="AD934" s="105" t="s">
        <v>2982</v>
      </c>
      <c r="AE934" s="105" t="s">
        <v>649</v>
      </c>
    </row>
    <row r="935" spans="3:31" s="105" customFormat="1">
      <c r="C935" s="115"/>
      <c r="D935" s="122"/>
      <c r="E935" s="128"/>
      <c r="G935" s="99"/>
      <c r="H935" s="99"/>
      <c r="K935" s="99"/>
      <c r="L935" s="96"/>
      <c r="O935" s="111"/>
      <c r="P935" s="111"/>
      <c r="R935" s="154"/>
      <c r="S935" s="111"/>
      <c r="T935" s="101"/>
      <c r="AB935" s="130"/>
      <c r="AD935" s="105" t="s">
        <v>2982</v>
      </c>
      <c r="AE935" s="105" t="s">
        <v>650</v>
      </c>
    </row>
    <row r="936" spans="3:31" s="105" customFormat="1">
      <c r="C936" s="115"/>
      <c r="D936" s="122"/>
      <c r="E936" s="128"/>
      <c r="G936" s="99"/>
      <c r="H936" s="99"/>
      <c r="K936" s="99"/>
      <c r="L936" s="96"/>
      <c r="O936" s="111"/>
      <c r="P936" s="111"/>
      <c r="R936" s="154"/>
      <c r="S936" s="111"/>
      <c r="T936" s="101"/>
      <c r="AB936" s="130"/>
      <c r="AD936" s="105" t="s">
        <v>2982</v>
      </c>
      <c r="AE936" s="105" t="s">
        <v>651</v>
      </c>
    </row>
    <row r="937" spans="3:31" s="105" customFormat="1">
      <c r="C937" s="115"/>
      <c r="D937" s="122"/>
      <c r="E937" s="128"/>
      <c r="G937" s="99"/>
      <c r="H937" s="99"/>
      <c r="K937" s="99"/>
      <c r="L937" s="96"/>
      <c r="O937" s="111"/>
      <c r="P937" s="111"/>
      <c r="R937" s="154"/>
      <c r="S937" s="111"/>
      <c r="T937" s="101"/>
      <c r="AB937" s="130"/>
      <c r="AD937" s="105" t="s">
        <v>2982</v>
      </c>
      <c r="AE937" s="105" t="s">
        <v>652</v>
      </c>
    </row>
    <row r="938" spans="3:31" s="105" customFormat="1">
      <c r="D938" s="122"/>
      <c r="E938" s="128"/>
      <c r="G938" s="99"/>
      <c r="H938" s="99"/>
      <c r="K938" s="99"/>
      <c r="L938" s="96"/>
      <c r="O938" s="111"/>
      <c r="P938" s="111"/>
      <c r="R938" s="154"/>
      <c r="S938" s="111"/>
      <c r="T938" s="101"/>
      <c r="AB938" s="130"/>
      <c r="AD938" s="105" t="s">
        <v>2882</v>
      </c>
      <c r="AE938" s="105" t="s">
        <v>653</v>
      </c>
    </row>
    <row r="939" spans="3:31" s="105" customFormat="1">
      <c r="C939" s="115"/>
      <c r="D939" s="122"/>
      <c r="E939" s="128"/>
      <c r="G939" s="99"/>
      <c r="H939" s="99"/>
      <c r="K939" s="99"/>
      <c r="L939" s="96"/>
      <c r="O939" s="111"/>
      <c r="P939" s="111"/>
      <c r="R939" s="154"/>
      <c r="S939" s="111"/>
      <c r="T939" s="101"/>
      <c r="AB939" s="130"/>
      <c r="AD939" s="105" t="s">
        <v>2982</v>
      </c>
      <c r="AE939" s="105" t="s">
        <v>654</v>
      </c>
    </row>
    <row r="940" spans="3:31" s="105" customFormat="1">
      <c r="C940" s="115"/>
      <c r="D940" s="122"/>
      <c r="E940" s="128"/>
      <c r="G940" s="99"/>
      <c r="H940" s="99"/>
      <c r="K940" s="99"/>
      <c r="L940" s="96"/>
      <c r="O940" s="111"/>
      <c r="P940" s="111"/>
      <c r="R940" s="154"/>
      <c r="S940" s="111"/>
      <c r="T940" s="101"/>
      <c r="AB940" s="130"/>
      <c r="AD940" s="105" t="s">
        <v>2884</v>
      </c>
      <c r="AE940" s="105" t="s">
        <v>655</v>
      </c>
    </row>
    <row r="941" spans="3:31" s="105" customFormat="1">
      <c r="D941" s="122"/>
      <c r="E941" s="128"/>
      <c r="G941" s="99"/>
      <c r="H941" s="99"/>
      <c r="K941" s="99"/>
      <c r="L941" s="96"/>
      <c r="O941" s="111"/>
      <c r="P941" s="111"/>
      <c r="R941" s="154"/>
      <c r="S941" s="111"/>
      <c r="T941" s="101"/>
      <c r="AB941" s="130"/>
      <c r="AD941" s="105" t="s">
        <v>2982</v>
      </c>
      <c r="AE941" s="105" t="s">
        <v>656</v>
      </c>
    </row>
    <row r="942" spans="3:31" s="105" customFormat="1">
      <c r="D942" s="122"/>
      <c r="E942" s="128"/>
      <c r="G942" s="99"/>
      <c r="H942" s="99"/>
      <c r="K942" s="99"/>
      <c r="L942" s="96"/>
      <c r="O942" s="111"/>
      <c r="P942" s="111"/>
      <c r="R942" s="154"/>
      <c r="S942" s="111"/>
      <c r="T942" s="101"/>
      <c r="AB942" s="130"/>
      <c r="AD942" s="105" t="s">
        <v>2982</v>
      </c>
      <c r="AE942" s="105" t="s">
        <v>657</v>
      </c>
    </row>
    <row r="943" spans="3:31" s="105" customFormat="1">
      <c r="D943" s="122"/>
      <c r="E943" s="128"/>
      <c r="G943" s="99"/>
      <c r="H943" s="99"/>
      <c r="K943" s="99"/>
      <c r="L943" s="96"/>
      <c r="O943" s="111"/>
      <c r="P943" s="111"/>
      <c r="R943" s="154"/>
      <c r="S943" s="111"/>
      <c r="T943" s="101"/>
      <c r="AB943" s="130"/>
      <c r="AD943" s="105" t="s">
        <v>2882</v>
      </c>
      <c r="AE943" s="105" t="s">
        <v>658</v>
      </c>
    </row>
    <row r="944" spans="3:31" s="105" customFormat="1">
      <c r="D944" s="122"/>
      <c r="E944" s="128"/>
      <c r="G944" s="99"/>
      <c r="H944" s="99"/>
      <c r="K944" s="99"/>
      <c r="L944" s="96"/>
      <c r="O944" s="111"/>
      <c r="P944" s="111"/>
      <c r="R944" s="154"/>
      <c r="S944" s="111"/>
      <c r="T944" s="101"/>
      <c r="AB944" s="130"/>
      <c r="AD944" s="105" t="s">
        <v>2982</v>
      </c>
      <c r="AE944" s="105" t="s">
        <v>659</v>
      </c>
    </row>
    <row r="945" spans="3:31" s="105" customFormat="1">
      <c r="D945" s="122"/>
      <c r="E945" s="128"/>
      <c r="G945" s="99"/>
      <c r="H945" s="99"/>
      <c r="K945" s="99"/>
      <c r="L945" s="96"/>
      <c r="O945" s="111"/>
      <c r="P945" s="111"/>
      <c r="R945" s="154"/>
      <c r="S945" s="111"/>
      <c r="T945" s="101"/>
      <c r="AB945" s="130"/>
      <c r="AD945" s="105" t="s">
        <v>2982</v>
      </c>
      <c r="AE945" s="105" t="s">
        <v>1857</v>
      </c>
    </row>
    <row r="946" spans="3:31" s="105" customFormat="1">
      <c r="D946" s="122"/>
      <c r="E946" s="128"/>
      <c r="G946" s="99"/>
      <c r="H946" s="99"/>
      <c r="K946" s="99"/>
      <c r="L946" s="96"/>
      <c r="O946" s="111"/>
      <c r="P946" s="111"/>
      <c r="R946" s="154"/>
      <c r="S946" s="111"/>
      <c r="T946" s="101"/>
      <c r="AB946" s="130"/>
      <c r="AD946" s="105" t="s">
        <v>2982</v>
      </c>
      <c r="AE946" s="105" t="s">
        <v>2683</v>
      </c>
    </row>
    <row r="947" spans="3:31" s="105" customFormat="1">
      <c r="C947" s="104"/>
      <c r="D947" s="122"/>
      <c r="E947" s="128"/>
      <c r="G947" s="99"/>
      <c r="H947" s="99"/>
      <c r="K947" s="99"/>
      <c r="L947" s="96"/>
      <c r="O947" s="111"/>
      <c r="P947" s="111"/>
      <c r="R947" s="154"/>
      <c r="S947" s="111"/>
      <c r="T947" s="101"/>
      <c r="AB947" s="130"/>
      <c r="AD947" s="105" t="s">
        <v>2982</v>
      </c>
      <c r="AE947" s="105" t="s">
        <v>1858</v>
      </c>
    </row>
    <row r="948" spans="3:31" s="105" customFormat="1">
      <c r="D948" s="122"/>
      <c r="E948" s="128"/>
      <c r="G948" s="99"/>
      <c r="H948" s="99"/>
      <c r="K948" s="99"/>
      <c r="L948" s="96"/>
      <c r="O948" s="111"/>
      <c r="P948" s="111"/>
      <c r="R948" s="154"/>
      <c r="S948" s="111"/>
      <c r="T948" s="101"/>
      <c r="AB948" s="130"/>
      <c r="AD948" s="105" t="s">
        <v>2883</v>
      </c>
      <c r="AE948" s="105" t="s">
        <v>660</v>
      </c>
    </row>
    <row r="949" spans="3:31" s="105" customFormat="1">
      <c r="D949" s="122"/>
      <c r="E949" s="128"/>
      <c r="G949" s="99"/>
      <c r="H949" s="99"/>
      <c r="K949" s="99"/>
      <c r="L949" s="96"/>
      <c r="O949" s="111"/>
      <c r="P949" s="111"/>
      <c r="R949" s="154"/>
      <c r="S949" s="111"/>
      <c r="T949" s="101"/>
      <c r="AB949" s="130"/>
      <c r="AD949" s="105" t="s">
        <v>2883</v>
      </c>
      <c r="AE949" s="105" t="s">
        <v>661</v>
      </c>
    </row>
    <row r="950" spans="3:31" s="105" customFormat="1">
      <c r="D950" s="122"/>
      <c r="E950" s="128"/>
      <c r="G950" s="99"/>
      <c r="H950" s="99"/>
      <c r="K950" s="99"/>
      <c r="L950" s="96"/>
      <c r="O950" s="111"/>
      <c r="P950" s="111"/>
      <c r="R950" s="154"/>
      <c r="S950" s="111"/>
      <c r="T950" s="101"/>
      <c r="AB950" s="130"/>
      <c r="AD950" s="105" t="s">
        <v>2883</v>
      </c>
      <c r="AE950" s="105" t="s">
        <v>662</v>
      </c>
    </row>
    <row r="951" spans="3:31" s="105" customFormat="1">
      <c r="D951" s="122"/>
      <c r="E951" s="128"/>
      <c r="G951" s="99"/>
      <c r="H951" s="99"/>
      <c r="K951" s="99"/>
      <c r="L951" s="96"/>
      <c r="O951" s="111"/>
      <c r="P951" s="111"/>
      <c r="R951" s="154"/>
      <c r="S951" s="111"/>
      <c r="T951" s="101"/>
      <c r="AB951" s="130"/>
      <c r="AD951" s="105" t="s">
        <v>2883</v>
      </c>
      <c r="AE951" s="105" t="s">
        <v>663</v>
      </c>
    </row>
    <row r="952" spans="3:31" s="105" customFormat="1">
      <c r="C952" s="104"/>
      <c r="D952" s="122"/>
      <c r="E952" s="128"/>
      <c r="G952" s="99"/>
      <c r="H952" s="99"/>
      <c r="K952" s="99"/>
      <c r="L952" s="96"/>
      <c r="O952" s="111"/>
      <c r="P952" s="111"/>
      <c r="R952" s="154"/>
      <c r="S952" s="111"/>
      <c r="T952" s="101"/>
      <c r="AB952" s="130"/>
      <c r="AD952" s="105" t="s">
        <v>2883</v>
      </c>
      <c r="AE952" s="105" t="s">
        <v>664</v>
      </c>
    </row>
    <row r="953" spans="3:31" s="105" customFormat="1">
      <c r="D953" s="122"/>
      <c r="E953" s="128"/>
      <c r="G953" s="99"/>
      <c r="H953" s="99"/>
      <c r="K953" s="99"/>
      <c r="L953" s="96"/>
      <c r="O953" s="111"/>
      <c r="P953" s="111"/>
      <c r="R953" s="154"/>
      <c r="S953" s="111"/>
      <c r="T953" s="101"/>
      <c r="AB953" s="130"/>
      <c r="AD953" s="105" t="s">
        <v>2883</v>
      </c>
      <c r="AE953" s="105" t="s">
        <v>665</v>
      </c>
    </row>
    <row r="954" spans="3:31" s="105" customFormat="1">
      <c r="C954" s="104"/>
      <c r="D954" s="122"/>
      <c r="E954" s="128"/>
      <c r="G954" s="99"/>
      <c r="H954" s="99"/>
      <c r="K954" s="99"/>
      <c r="L954" s="96"/>
      <c r="O954" s="111"/>
      <c r="P954" s="111"/>
      <c r="R954" s="154"/>
      <c r="S954" s="111"/>
      <c r="T954" s="101"/>
      <c r="AB954" s="130"/>
      <c r="AD954" s="105" t="s">
        <v>2883</v>
      </c>
      <c r="AE954" s="105" t="s">
        <v>666</v>
      </c>
    </row>
    <row r="955" spans="3:31" s="105" customFormat="1">
      <c r="D955" s="122"/>
      <c r="E955" s="128"/>
      <c r="G955" s="99"/>
      <c r="H955" s="99"/>
      <c r="K955" s="99"/>
      <c r="L955" s="96"/>
      <c r="O955" s="111"/>
      <c r="P955" s="111"/>
      <c r="R955" s="154"/>
      <c r="S955" s="111"/>
      <c r="T955" s="101"/>
      <c r="AB955" s="130"/>
      <c r="AD955" s="105" t="s">
        <v>2881</v>
      </c>
      <c r="AE955" s="105" t="s">
        <v>667</v>
      </c>
    </row>
    <row r="956" spans="3:31" s="105" customFormat="1">
      <c r="D956" s="122"/>
      <c r="E956" s="128"/>
      <c r="G956" s="99"/>
      <c r="H956" s="99"/>
      <c r="K956" s="99"/>
      <c r="L956" s="96"/>
      <c r="O956" s="111"/>
      <c r="P956" s="111"/>
      <c r="R956" s="154"/>
      <c r="S956" s="111"/>
      <c r="T956" s="101"/>
      <c r="AB956" s="130"/>
      <c r="AD956" s="105" t="s">
        <v>2883</v>
      </c>
      <c r="AE956" s="105" t="s">
        <v>668</v>
      </c>
    </row>
    <row r="957" spans="3:31" s="105" customFormat="1">
      <c r="C957" s="104"/>
      <c r="D957" s="122"/>
      <c r="E957" s="128"/>
      <c r="G957" s="99"/>
      <c r="H957" s="99"/>
      <c r="K957" s="99"/>
      <c r="L957" s="96"/>
      <c r="O957" s="111"/>
      <c r="P957" s="111"/>
      <c r="R957" s="154"/>
      <c r="S957" s="111"/>
      <c r="T957" s="101"/>
      <c r="AB957" s="130"/>
      <c r="AD957" s="105" t="s">
        <v>2883</v>
      </c>
      <c r="AE957" s="105" t="s">
        <v>669</v>
      </c>
    </row>
    <row r="958" spans="3:31" s="105" customFormat="1">
      <c r="D958" s="122"/>
      <c r="E958" s="128"/>
      <c r="G958" s="99"/>
      <c r="H958" s="99"/>
      <c r="K958" s="99"/>
      <c r="L958" s="96"/>
      <c r="O958" s="111"/>
      <c r="P958" s="111"/>
      <c r="R958" s="154"/>
      <c r="S958" s="111"/>
      <c r="T958" s="101"/>
      <c r="AB958" s="130"/>
      <c r="AD958" s="105" t="s">
        <v>2883</v>
      </c>
      <c r="AE958" s="105" t="s">
        <v>670</v>
      </c>
    </row>
    <row r="959" spans="3:31" s="105" customFormat="1">
      <c r="D959" s="122"/>
      <c r="E959" s="128"/>
      <c r="G959" s="99"/>
      <c r="H959" s="99"/>
      <c r="K959" s="99"/>
      <c r="L959" s="96"/>
      <c r="O959" s="111"/>
      <c r="P959" s="111"/>
      <c r="R959" s="154"/>
      <c r="S959" s="111"/>
      <c r="T959" s="101"/>
      <c r="AB959" s="130"/>
      <c r="AD959" s="105" t="s">
        <v>2883</v>
      </c>
      <c r="AE959" s="105" t="s">
        <v>671</v>
      </c>
    </row>
    <row r="960" spans="3:31" s="105" customFormat="1">
      <c r="D960" s="122"/>
      <c r="E960" s="128"/>
      <c r="G960" s="99"/>
      <c r="H960" s="99"/>
      <c r="K960" s="99"/>
      <c r="L960" s="96"/>
      <c r="O960" s="111"/>
      <c r="P960" s="111"/>
      <c r="R960" s="154"/>
      <c r="S960" s="111"/>
      <c r="T960" s="101"/>
      <c r="AB960" s="130"/>
      <c r="AD960" s="105" t="s">
        <v>2883</v>
      </c>
      <c r="AE960" s="105" t="s">
        <v>672</v>
      </c>
    </row>
    <row r="961" spans="3:31" s="105" customFormat="1">
      <c r="D961" s="122"/>
      <c r="E961" s="128"/>
      <c r="G961" s="99"/>
      <c r="H961" s="99"/>
      <c r="K961" s="99"/>
      <c r="L961" s="96"/>
      <c r="O961" s="111"/>
      <c r="P961" s="111"/>
      <c r="R961" s="154"/>
      <c r="S961" s="111"/>
      <c r="T961" s="101"/>
      <c r="AB961" s="130"/>
      <c r="AD961" s="105" t="s">
        <v>2883</v>
      </c>
      <c r="AE961" s="105" t="s">
        <v>673</v>
      </c>
    </row>
    <row r="962" spans="3:31" s="105" customFormat="1">
      <c r="D962" s="122"/>
      <c r="E962" s="128"/>
      <c r="G962" s="99"/>
      <c r="H962" s="99"/>
      <c r="K962" s="99"/>
      <c r="L962" s="96"/>
      <c r="O962" s="111"/>
      <c r="P962" s="111"/>
      <c r="R962" s="154"/>
      <c r="S962" s="111"/>
      <c r="T962" s="101"/>
      <c r="AB962" s="130"/>
      <c r="AD962" s="105" t="s">
        <v>2883</v>
      </c>
      <c r="AE962" s="105" t="s">
        <v>674</v>
      </c>
    </row>
    <row r="963" spans="3:31" s="105" customFormat="1">
      <c r="C963" s="104"/>
      <c r="D963" s="122"/>
      <c r="E963" s="128"/>
      <c r="G963" s="99"/>
      <c r="H963" s="99"/>
      <c r="K963" s="99"/>
      <c r="L963" s="96"/>
      <c r="O963" s="111"/>
      <c r="P963" s="111"/>
      <c r="R963" s="154"/>
      <c r="S963" s="111"/>
      <c r="T963" s="101"/>
      <c r="AB963" s="130"/>
      <c r="AD963" s="105" t="s">
        <v>2883</v>
      </c>
      <c r="AE963" s="105" t="s">
        <v>675</v>
      </c>
    </row>
    <row r="964" spans="3:31" s="105" customFormat="1">
      <c r="C964" s="104"/>
      <c r="D964" s="122"/>
      <c r="E964" s="128"/>
      <c r="G964" s="99"/>
      <c r="H964" s="99"/>
      <c r="K964" s="99"/>
      <c r="L964" s="96"/>
      <c r="O964" s="111"/>
      <c r="P964" s="111"/>
      <c r="R964" s="154"/>
      <c r="S964" s="111"/>
      <c r="T964" s="101"/>
      <c r="AB964" s="130"/>
      <c r="AD964" s="105" t="s">
        <v>2883</v>
      </c>
      <c r="AE964" s="105" t="s">
        <v>676</v>
      </c>
    </row>
    <row r="965" spans="3:31" s="105" customFormat="1">
      <c r="D965" s="122"/>
      <c r="E965" s="128"/>
      <c r="G965" s="99"/>
      <c r="H965" s="99"/>
      <c r="K965" s="99"/>
      <c r="L965" s="96"/>
      <c r="O965" s="111"/>
      <c r="P965" s="111"/>
      <c r="R965" s="154"/>
      <c r="S965" s="111"/>
      <c r="T965" s="101"/>
      <c r="AB965" s="130"/>
      <c r="AD965" s="105" t="s">
        <v>2883</v>
      </c>
      <c r="AE965" s="105" t="s">
        <v>677</v>
      </c>
    </row>
    <row r="966" spans="3:31" s="105" customFormat="1">
      <c r="C966" s="104"/>
      <c r="D966" s="122"/>
      <c r="E966" s="128"/>
      <c r="G966" s="99"/>
      <c r="H966" s="99"/>
      <c r="K966" s="99"/>
      <c r="L966" s="96"/>
      <c r="O966" s="111"/>
      <c r="P966" s="111"/>
      <c r="R966" s="154"/>
      <c r="S966" s="111"/>
      <c r="T966" s="101"/>
      <c r="AB966" s="130"/>
      <c r="AD966" s="105" t="s">
        <v>2883</v>
      </c>
      <c r="AE966" s="105" t="s">
        <v>678</v>
      </c>
    </row>
    <row r="967" spans="3:31" s="105" customFormat="1">
      <c r="C967" s="104"/>
      <c r="D967" s="122"/>
      <c r="E967" s="128"/>
      <c r="G967" s="99"/>
      <c r="H967" s="99"/>
      <c r="K967" s="99"/>
      <c r="L967" s="96"/>
      <c r="O967" s="111"/>
      <c r="P967" s="111"/>
      <c r="R967" s="154"/>
      <c r="S967" s="111"/>
      <c r="T967" s="101"/>
      <c r="AB967" s="130"/>
      <c r="AD967" s="105" t="s">
        <v>2883</v>
      </c>
      <c r="AE967" s="105" t="s">
        <v>679</v>
      </c>
    </row>
    <row r="968" spans="3:31" s="105" customFormat="1">
      <c r="C968" s="104"/>
      <c r="D968" s="122"/>
      <c r="E968" s="128"/>
      <c r="G968" s="99"/>
      <c r="H968" s="99"/>
      <c r="K968" s="99"/>
      <c r="L968" s="96"/>
      <c r="O968" s="111"/>
      <c r="P968" s="111"/>
      <c r="R968" s="154"/>
      <c r="S968" s="111"/>
      <c r="T968" s="101"/>
      <c r="AB968" s="130"/>
      <c r="AD968" s="105" t="s">
        <v>2883</v>
      </c>
      <c r="AE968" s="105" t="s">
        <v>680</v>
      </c>
    </row>
    <row r="969" spans="3:31" s="105" customFormat="1">
      <c r="C969" s="104"/>
      <c r="D969" s="122"/>
      <c r="E969" s="128"/>
      <c r="G969" s="99"/>
      <c r="H969" s="99"/>
      <c r="K969" s="99"/>
      <c r="L969" s="96"/>
      <c r="O969" s="111"/>
      <c r="P969" s="111"/>
      <c r="R969" s="154"/>
      <c r="S969" s="111"/>
      <c r="T969" s="101"/>
      <c r="AB969" s="130"/>
      <c r="AD969" s="105" t="s">
        <v>2883</v>
      </c>
      <c r="AE969" s="105" t="s">
        <v>681</v>
      </c>
    </row>
    <row r="970" spans="3:31" s="105" customFormat="1">
      <c r="D970" s="122"/>
      <c r="E970" s="128"/>
      <c r="G970" s="99"/>
      <c r="H970" s="99"/>
      <c r="K970" s="99"/>
      <c r="L970" s="96"/>
      <c r="O970" s="111"/>
      <c r="P970" s="111"/>
      <c r="R970" s="154"/>
      <c r="S970" s="111"/>
      <c r="T970" s="101"/>
      <c r="AB970" s="130"/>
      <c r="AD970" s="105" t="s">
        <v>2883</v>
      </c>
      <c r="AE970" s="105" t="s">
        <v>682</v>
      </c>
    </row>
    <row r="971" spans="3:31" s="105" customFormat="1">
      <c r="D971" s="122"/>
      <c r="E971" s="128"/>
      <c r="G971" s="99"/>
      <c r="H971" s="99"/>
      <c r="K971" s="99"/>
      <c r="L971" s="96"/>
      <c r="O971" s="111"/>
      <c r="P971" s="111"/>
      <c r="R971" s="154"/>
      <c r="S971" s="111"/>
      <c r="T971" s="101"/>
      <c r="AB971" s="130"/>
      <c r="AD971" s="105" t="s">
        <v>2883</v>
      </c>
      <c r="AE971" s="105" t="s">
        <v>683</v>
      </c>
    </row>
    <row r="972" spans="3:31" s="105" customFormat="1">
      <c r="D972" s="122"/>
      <c r="E972" s="128"/>
      <c r="G972" s="99"/>
      <c r="H972" s="99"/>
      <c r="K972" s="99"/>
      <c r="L972" s="96"/>
      <c r="O972" s="111"/>
      <c r="P972" s="111"/>
      <c r="R972" s="154"/>
      <c r="S972" s="111"/>
      <c r="T972" s="101"/>
      <c r="AB972" s="130"/>
      <c r="AD972" s="105" t="s">
        <v>2882</v>
      </c>
      <c r="AE972" s="105" t="s">
        <v>684</v>
      </c>
    </row>
    <row r="973" spans="3:31" s="105" customFormat="1">
      <c r="C973" s="104"/>
      <c r="D973" s="122"/>
      <c r="E973" s="128"/>
      <c r="G973" s="99"/>
      <c r="H973" s="99"/>
      <c r="K973" s="99"/>
      <c r="L973" s="96"/>
      <c r="O973" s="111"/>
      <c r="P973" s="111"/>
      <c r="R973" s="154"/>
      <c r="S973" s="111"/>
      <c r="T973" s="101"/>
      <c r="AB973" s="130"/>
      <c r="AD973" s="105" t="s">
        <v>2982</v>
      </c>
      <c r="AE973" s="105" t="s">
        <v>685</v>
      </c>
    </row>
    <row r="974" spans="3:31" s="105" customFormat="1">
      <c r="D974" s="122"/>
      <c r="E974" s="128"/>
      <c r="G974" s="99"/>
      <c r="H974" s="99"/>
      <c r="K974" s="99"/>
      <c r="L974" s="96"/>
      <c r="O974" s="111"/>
      <c r="P974" s="111"/>
      <c r="R974" s="154"/>
      <c r="S974" s="111"/>
      <c r="T974" s="101"/>
      <c r="AB974" s="130"/>
      <c r="AD974" s="105" t="s">
        <v>2882</v>
      </c>
      <c r="AE974" s="105" t="s">
        <v>686</v>
      </c>
    </row>
    <row r="975" spans="3:31" s="105" customFormat="1">
      <c r="C975" s="104"/>
      <c r="D975" s="122"/>
      <c r="E975" s="128"/>
      <c r="G975" s="99"/>
      <c r="H975" s="99"/>
      <c r="K975" s="99"/>
      <c r="L975" s="96"/>
      <c r="O975" s="111"/>
      <c r="P975" s="111"/>
      <c r="R975" s="154"/>
      <c r="S975" s="111"/>
      <c r="T975" s="101"/>
      <c r="AB975" s="130"/>
      <c r="AD975" s="105" t="s">
        <v>2883</v>
      </c>
      <c r="AE975" s="105" t="s">
        <v>687</v>
      </c>
    </row>
    <row r="976" spans="3:31" s="105" customFormat="1">
      <c r="D976" s="122"/>
      <c r="E976" s="128"/>
      <c r="G976" s="99"/>
      <c r="H976" s="99"/>
      <c r="K976" s="99"/>
      <c r="L976" s="96"/>
      <c r="O976" s="111"/>
      <c r="P976" s="111"/>
      <c r="R976" s="154"/>
      <c r="S976" s="111"/>
      <c r="T976" s="101"/>
      <c r="AB976" s="130"/>
      <c r="AD976" s="105" t="s">
        <v>2883</v>
      </c>
      <c r="AE976" s="105" t="s">
        <v>1859</v>
      </c>
    </row>
    <row r="977" spans="3:31" s="105" customFormat="1">
      <c r="D977" s="122"/>
      <c r="E977" s="128"/>
      <c r="G977" s="99"/>
      <c r="H977" s="99"/>
      <c r="K977" s="99"/>
      <c r="L977" s="96"/>
      <c r="O977" s="111"/>
      <c r="P977" s="111"/>
      <c r="R977" s="154"/>
      <c r="S977" s="111"/>
      <c r="T977" s="101"/>
      <c r="AB977" s="130"/>
      <c r="AD977" s="105" t="s">
        <v>2883</v>
      </c>
      <c r="AE977" s="105" t="s">
        <v>688</v>
      </c>
    </row>
    <row r="978" spans="3:31" s="105" customFormat="1">
      <c r="C978" s="104"/>
      <c r="D978" s="122"/>
      <c r="E978" s="128"/>
      <c r="G978" s="99"/>
      <c r="H978" s="99"/>
      <c r="K978" s="99"/>
      <c r="L978" s="96"/>
      <c r="O978" s="111"/>
      <c r="P978" s="111"/>
      <c r="R978" s="154"/>
      <c r="S978" s="111"/>
      <c r="T978" s="101"/>
      <c r="AB978" s="130"/>
      <c r="AD978" s="105" t="s">
        <v>2982</v>
      </c>
      <c r="AE978" s="105" t="s">
        <v>689</v>
      </c>
    </row>
    <row r="979" spans="3:31" s="105" customFormat="1">
      <c r="C979" s="104"/>
      <c r="D979" s="122"/>
      <c r="E979" s="128"/>
      <c r="G979" s="99"/>
      <c r="H979" s="99"/>
      <c r="K979" s="99"/>
      <c r="L979" s="96"/>
      <c r="O979" s="111"/>
      <c r="P979" s="111"/>
      <c r="R979" s="154"/>
      <c r="S979" s="111"/>
      <c r="T979" s="101"/>
      <c r="AB979" s="130"/>
      <c r="AD979" s="105" t="s">
        <v>2982</v>
      </c>
      <c r="AE979" s="105" t="s">
        <v>2686</v>
      </c>
    </row>
    <row r="980" spans="3:31" s="105" customFormat="1">
      <c r="C980" s="104"/>
      <c r="D980" s="122"/>
      <c r="E980" s="128"/>
      <c r="G980" s="99"/>
      <c r="H980" s="99"/>
      <c r="K980" s="99"/>
      <c r="L980" s="96"/>
      <c r="O980" s="111"/>
      <c r="P980" s="111"/>
      <c r="R980" s="154"/>
      <c r="S980" s="111"/>
      <c r="T980" s="101"/>
      <c r="AB980" s="130"/>
      <c r="AD980" s="105" t="s">
        <v>2982</v>
      </c>
      <c r="AE980" s="105" t="s">
        <v>690</v>
      </c>
    </row>
    <row r="981" spans="3:31" s="105" customFormat="1">
      <c r="C981" s="104"/>
      <c r="D981" s="122"/>
      <c r="E981" s="128"/>
      <c r="G981" s="99"/>
      <c r="H981" s="99"/>
      <c r="K981" s="99"/>
      <c r="L981" s="96"/>
      <c r="O981" s="111"/>
      <c r="P981" s="111"/>
      <c r="R981" s="154"/>
      <c r="S981" s="111"/>
      <c r="T981" s="101"/>
      <c r="AB981" s="130"/>
      <c r="AD981" s="105" t="s">
        <v>2982</v>
      </c>
      <c r="AE981" s="105" t="s">
        <v>691</v>
      </c>
    </row>
    <row r="982" spans="3:31" s="105" customFormat="1">
      <c r="C982" s="104"/>
      <c r="D982" s="122"/>
      <c r="E982" s="128"/>
      <c r="G982" s="99"/>
      <c r="H982" s="99"/>
      <c r="K982" s="99"/>
      <c r="L982" s="96"/>
      <c r="O982" s="111"/>
      <c r="P982" s="111"/>
      <c r="R982" s="154"/>
      <c r="S982" s="111"/>
      <c r="T982" s="101"/>
      <c r="AB982" s="130"/>
      <c r="AD982" s="105" t="s">
        <v>2882</v>
      </c>
      <c r="AE982" s="105" t="s">
        <v>692</v>
      </c>
    </row>
    <row r="983" spans="3:31" s="105" customFormat="1">
      <c r="C983" s="104"/>
      <c r="D983" s="122"/>
      <c r="E983" s="128"/>
      <c r="G983" s="99"/>
      <c r="H983" s="99"/>
      <c r="K983" s="99"/>
      <c r="L983" s="96"/>
      <c r="O983" s="111"/>
      <c r="P983" s="111"/>
      <c r="R983" s="154"/>
      <c r="S983" s="111"/>
      <c r="T983" s="101"/>
      <c r="AB983" s="130"/>
      <c r="AD983" s="105" t="s">
        <v>2982</v>
      </c>
      <c r="AE983" s="105" t="s">
        <v>2687</v>
      </c>
    </row>
    <row r="984" spans="3:31" s="105" customFormat="1">
      <c r="C984" s="104"/>
      <c r="D984" s="122"/>
      <c r="E984" s="128"/>
      <c r="G984" s="99"/>
      <c r="H984" s="99"/>
      <c r="K984" s="99"/>
      <c r="L984" s="96"/>
      <c r="O984" s="111"/>
      <c r="P984" s="111"/>
      <c r="R984" s="154"/>
      <c r="S984" s="111"/>
      <c r="T984" s="101"/>
      <c r="AB984" s="130"/>
      <c r="AD984" s="105" t="s">
        <v>2982</v>
      </c>
      <c r="AE984" s="105" t="s">
        <v>1860</v>
      </c>
    </row>
    <row r="985" spans="3:31" s="105" customFormat="1">
      <c r="C985" s="104"/>
      <c r="D985" s="122"/>
      <c r="E985" s="128"/>
      <c r="G985" s="99"/>
      <c r="H985" s="99"/>
      <c r="K985" s="99"/>
      <c r="L985" s="96"/>
      <c r="O985" s="111"/>
      <c r="P985" s="111"/>
      <c r="R985" s="154"/>
      <c r="S985" s="111"/>
      <c r="T985" s="101"/>
      <c r="AB985" s="130"/>
      <c r="AD985" s="105" t="s">
        <v>2982</v>
      </c>
      <c r="AE985" s="105" t="s">
        <v>693</v>
      </c>
    </row>
    <row r="986" spans="3:31" s="105" customFormat="1">
      <c r="C986" s="104"/>
      <c r="D986" s="122"/>
      <c r="E986" s="128"/>
      <c r="G986" s="99"/>
      <c r="H986" s="99"/>
      <c r="K986" s="99"/>
      <c r="L986" s="96"/>
      <c r="O986" s="111"/>
      <c r="P986" s="111"/>
      <c r="R986" s="154"/>
      <c r="S986" s="111"/>
      <c r="T986" s="101"/>
      <c r="AB986" s="130"/>
      <c r="AD986" s="105" t="s">
        <v>2982</v>
      </c>
      <c r="AE986" s="105" t="s">
        <v>2306</v>
      </c>
    </row>
    <row r="987" spans="3:31" s="105" customFormat="1">
      <c r="C987" s="104"/>
      <c r="D987" s="122"/>
      <c r="E987" s="128"/>
      <c r="G987" s="99"/>
      <c r="H987" s="99"/>
      <c r="K987" s="99"/>
      <c r="L987" s="96"/>
      <c r="O987" s="111"/>
      <c r="P987" s="111"/>
      <c r="R987" s="154"/>
      <c r="S987" s="111"/>
      <c r="T987" s="101"/>
      <c r="AB987" s="130"/>
      <c r="AD987" s="105" t="s">
        <v>2532</v>
      </c>
      <c r="AE987" s="105" t="s">
        <v>694</v>
      </c>
    </row>
    <row r="988" spans="3:31" s="105" customFormat="1">
      <c r="C988" s="104"/>
      <c r="D988" s="122"/>
      <c r="E988" s="128"/>
      <c r="G988" s="99"/>
      <c r="H988" s="99"/>
      <c r="K988" s="99"/>
      <c r="L988" s="96"/>
      <c r="O988" s="111"/>
      <c r="P988" s="111"/>
      <c r="R988" s="154"/>
      <c r="S988" s="111"/>
      <c r="T988" s="101"/>
      <c r="AB988" s="130"/>
      <c r="AD988" s="105" t="s">
        <v>2280</v>
      </c>
      <c r="AE988" s="105" t="s">
        <v>78</v>
      </c>
    </row>
    <row r="989" spans="3:31" s="105" customFormat="1">
      <c r="C989" s="104"/>
      <c r="D989" s="122"/>
      <c r="E989" s="128"/>
      <c r="G989" s="99"/>
      <c r="H989" s="99"/>
      <c r="K989" s="99"/>
      <c r="L989" s="96"/>
      <c r="O989" s="111"/>
      <c r="P989" s="111"/>
      <c r="R989" s="154"/>
      <c r="S989" s="111"/>
      <c r="T989" s="101"/>
      <c r="AB989" s="130"/>
      <c r="AD989" s="105" t="s">
        <v>2281</v>
      </c>
      <c r="AE989" s="105" t="s">
        <v>932</v>
      </c>
    </row>
    <row r="990" spans="3:31" s="105" customFormat="1">
      <c r="C990" s="104"/>
      <c r="D990" s="122"/>
      <c r="E990" s="128"/>
      <c r="G990" s="99"/>
      <c r="H990" s="99"/>
      <c r="K990" s="99"/>
      <c r="L990" s="96"/>
      <c r="O990" s="111"/>
      <c r="P990" s="111"/>
      <c r="R990" s="154"/>
      <c r="S990" s="111"/>
      <c r="T990" s="101"/>
      <c r="AB990" s="130"/>
      <c r="AD990" s="105" t="s">
        <v>2282</v>
      </c>
      <c r="AE990" s="105" t="s">
        <v>933</v>
      </c>
    </row>
    <row r="991" spans="3:31" s="105" customFormat="1">
      <c r="C991" s="104"/>
      <c r="D991" s="122"/>
      <c r="E991" s="128"/>
      <c r="G991" s="99"/>
      <c r="H991" s="99"/>
      <c r="K991" s="99"/>
      <c r="L991" s="96"/>
      <c r="O991" s="111"/>
      <c r="P991" s="111"/>
      <c r="R991" s="154"/>
      <c r="S991" s="111"/>
      <c r="T991" s="101"/>
      <c r="AB991" s="130"/>
      <c r="AD991" s="105" t="s">
        <v>2283</v>
      </c>
      <c r="AE991" s="105" t="s">
        <v>934</v>
      </c>
    </row>
    <row r="992" spans="3:31" s="105" customFormat="1">
      <c r="C992" s="104"/>
      <c r="D992" s="122"/>
      <c r="E992" s="128"/>
      <c r="G992" s="99"/>
      <c r="H992" s="99"/>
      <c r="K992" s="99"/>
      <c r="L992" s="96"/>
      <c r="O992" s="111"/>
      <c r="P992" s="111"/>
      <c r="R992" s="154"/>
      <c r="S992" s="111"/>
      <c r="T992" s="101"/>
      <c r="AB992" s="130"/>
      <c r="AD992" s="105" t="s">
        <v>2284</v>
      </c>
      <c r="AE992" s="105" t="s">
        <v>935</v>
      </c>
    </row>
    <row r="993" spans="18:31" s="105" customFormat="1">
      <c r="R993" s="154"/>
      <c r="AB993" s="130"/>
      <c r="AD993" s="105" t="s">
        <v>2285</v>
      </c>
      <c r="AE993" s="105" t="s">
        <v>936</v>
      </c>
    </row>
    <row r="994" spans="18:31" s="105" customFormat="1">
      <c r="R994" s="154"/>
      <c r="AB994" s="130"/>
      <c r="AD994" s="105" t="s">
        <v>2286</v>
      </c>
      <c r="AE994" s="105" t="s">
        <v>79</v>
      </c>
    </row>
    <row r="995" spans="18:31" s="105" customFormat="1">
      <c r="R995" s="154"/>
      <c r="AB995" s="130"/>
      <c r="AD995" s="105" t="s">
        <v>2287</v>
      </c>
      <c r="AE995" s="105" t="s">
        <v>239</v>
      </c>
    </row>
    <row r="996" spans="18:31" s="105" customFormat="1">
      <c r="R996" s="154"/>
      <c r="AB996" s="130"/>
      <c r="AD996" s="105" t="s">
        <v>2983</v>
      </c>
      <c r="AE996" s="105" t="s">
        <v>1015</v>
      </c>
    </row>
    <row r="997" spans="18:31" s="105" customFormat="1">
      <c r="R997" s="154"/>
      <c r="AB997" s="130"/>
      <c r="AD997" s="105" t="s">
        <v>2983</v>
      </c>
      <c r="AE997" s="105" t="s">
        <v>1016</v>
      </c>
    </row>
    <row r="998" spans="18:31" s="105" customFormat="1">
      <c r="R998" s="154"/>
      <c r="AB998" s="130"/>
      <c r="AD998" s="105" t="s">
        <v>2890</v>
      </c>
      <c r="AE998" s="105" t="s">
        <v>1017</v>
      </c>
    </row>
    <row r="999" spans="18:31" s="105" customFormat="1">
      <c r="R999" s="154"/>
      <c r="AB999" s="130"/>
      <c r="AD999" s="105" t="s">
        <v>2890</v>
      </c>
      <c r="AE999" s="105" t="s">
        <v>1018</v>
      </c>
    </row>
    <row r="1000" spans="18:31" s="105" customFormat="1">
      <c r="R1000" s="154"/>
      <c r="AB1000" s="130"/>
      <c r="AD1000" s="105" t="s">
        <v>2983</v>
      </c>
      <c r="AE1000" s="105" t="s">
        <v>1019</v>
      </c>
    </row>
    <row r="1001" spans="18:31" s="105" customFormat="1">
      <c r="R1001" s="154"/>
      <c r="AB1001" s="130"/>
      <c r="AD1001" s="105" t="s">
        <v>2983</v>
      </c>
      <c r="AE1001" s="105" t="s">
        <v>1020</v>
      </c>
    </row>
    <row r="1002" spans="18:31" s="105" customFormat="1">
      <c r="R1002" s="154"/>
      <c r="AB1002" s="130"/>
      <c r="AD1002" s="105" t="s">
        <v>2983</v>
      </c>
      <c r="AE1002" s="105" t="s">
        <v>1021</v>
      </c>
    </row>
    <row r="1003" spans="18:31" s="105" customFormat="1">
      <c r="R1003" s="154"/>
      <c r="AB1003" s="130"/>
      <c r="AD1003" s="105" t="s">
        <v>2983</v>
      </c>
      <c r="AE1003" s="105" t="s">
        <v>2254</v>
      </c>
    </row>
    <row r="1004" spans="18:31" s="105" customFormat="1">
      <c r="R1004" s="154"/>
      <c r="AB1004" s="130"/>
      <c r="AD1004" s="105" t="s">
        <v>2983</v>
      </c>
      <c r="AE1004" s="105" t="s">
        <v>1022</v>
      </c>
    </row>
    <row r="1005" spans="18:31" s="105" customFormat="1">
      <c r="R1005" s="154"/>
      <c r="AB1005" s="130"/>
      <c r="AD1005" s="105" t="s">
        <v>2887</v>
      </c>
      <c r="AE1005" s="105" t="s">
        <v>1023</v>
      </c>
    </row>
    <row r="1006" spans="18:31" s="105" customFormat="1">
      <c r="R1006" s="154"/>
      <c r="AB1006" s="130"/>
      <c r="AD1006" s="105" t="s">
        <v>2983</v>
      </c>
      <c r="AE1006" s="105" t="s">
        <v>1024</v>
      </c>
    </row>
    <row r="1007" spans="18:31" s="105" customFormat="1">
      <c r="R1007" s="154"/>
      <c r="AB1007" s="130"/>
      <c r="AD1007" s="105" t="s">
        <v>2983</v>
      </c>
      <c r="AE1007" s="105" t="s">
        <v>1025</v>
      </c>
    </row>
    <row r="1008" spans="18:31" s="105" customFormat="1">
      <c r="R1008" s="154"/>
      <c r="AB1008" s="130"/>
      <c r="AD1008" s="105" t="s">
        <v>2983</v>
      </c>
      <c r="AE1008" s="105" t="s">
        <v>1026</v>
      </c>
    </row>
    <row r="1009" spans="3:31" s="105" customFormat="1">
      <c r="D1009" s="122"/>
      <c r="E1009" s="128"/>
      <c r="G1009" s="99"/>
      <c r="H1009" s="99"/>
      <c r="K1009" s="99"/>
      <c r="L1009" s="96"/>
      <c r="O1009" s="111"/>
      <c r="P1009" s="111"/>
      <c r="R1009" s="154"/>
      <c r="S1009" s="111"/>
      <c r="T1009" s="101"/>
      <c r="AB1009" s="130"/>
      <c r="AD1009" s="105" t="s">
        <v>2983</v>
      </c>
      <c r="AE1009" s="105" t="s">
        <v>1027</v>
      </c>
    </row>
    <row r="1010" spans="3:31" s="105" customFormat="1">
      <c r="D1010" s="122"/>
      <c r="E1010" s="128"/>
      <c r="G1010" s="99"/>
      <c r="H1010" s="99"/>
      <c r="K1010" s="99"/>
      <c r="L1010" s="96"/>
      <c r="O1010" s="111"/>
      <c r="P1010" s="111"/>
      <c r="R1010" s="154"/>
      <c r="S1010" s="111"/>
      <c r="T1010" s="101"/>
      <c r="AB1010" s="130"/>
      <c r="AD1010" s="105" t="s">
        <v>2983</v>
      </c>
      <c r="AE1010" s="105" t="s">
        <v>1028</v>
      </c>
    </row>
    <row r="1011" spans="3:31" s="105" customFormat="1">
      <c r="D1011" s="122"/>
      <c r="E1011" s="128"/>
      <c r="G1011" s="99"/>
      <c r="H1011" s="99"/>
      <c r="K1011" s="99"/>
      <c r="L1011" s="96"/>
      <c r="O1011" s="111"/>
      <c r="P1011" s="111"/>
      <c r="R1011" s="154"/>
      <c r="S1011" s="111"/>
      <c r="T1011" s="101"/>
      <c r="AB1011" s="130"/>
      <c r="AD1011" s="105" t="s">
        <v>2887</v>
      </c>
      <c r="AE1011" s="105" t="s">
        <v>1029</v>
      </c>
    </row>
    <row r="1012" spans="3:31" s="105" customFormat="1">
      <c r="D1012" s="122"/>
      <c r="E1012" s="128"/>
      <c r="G1012" s="99"/>
      <c r="H1012" s="99"/>
      <c r="K1012" s="99"/>
      <c r="L1012" s="96"/>
      <c r="O1012" s="111"/>
      <c r="P1012" s="111"/>
      <c r="R1012" s="154"/>
      <c r="S1012" s="111"/>
      <c r="T1012" s="101"/>
      <c r="AB1012" s="130"/>
      <c r="AD1012" s="105" t="s">
        <v>2983</v>
      </c>
      <c r="AE1012" s="105" t="s">
        <v>1030</v>
      </c>
    </row>
    <row r="1013" spans="3:31" s="105" customFormat="1">
      <c r="D1013" s="122"/>
      <c r="E1013" s="128"/>
      <c r="G1013" s="99"/>
      <c r="H1013" s="99"/>
      <c r="K1013" s="99"/>
      <c r="L1013" s="96"/>
      <c r="O1013" s="111"/>
      <c r="P1013" s="111"/>
      <c r="R1013" s="154"/>
      <c r="S1013" s="111"/>
      <c r="T1013" s="101"/>
      <c r="AB1013" s="130"/>
      <c r="AD1013" s="105" t="s">
        <v>2889</v>
      </c>
      <c r="AE1013" s="105" t="s">
        <v>1031</v>
      </c>
    </row>
    <row r="1014" spans="3:31" s="105" customFormat="1">
      <c r="D1014" s="122"/>
      <c r="E1014" s="128"/>
      <c r="G1014" s="99"/>
      <c r="H1014" s="99"/>
      <c r="K1014" s="99"/>
      <c r="L1014" s="96"/>
      <c r="O1014" s="111"/>
      <c r="P1014" s="111"/>
      <c r="R1014" s="154"/>
      <c r="S1014" s="111"/>
      <c r="T1014" s="101"/>
      <c r="AB1014" s="130"/>
      <c r="AD1014" s="105" t="s">
        <v>2983</v>
      </c>
      <c r="AE1014" s="105" t="s">
        <v>1032</v>
      </c>
    </row>
    <row r="1015" spans="3:31" s="105" customFormat="1">
      <c r="D1015" s="122"/>
      <c r="E1015" s="128"/>
      <c r="G1015" s="99"/>
      <c r="H1015" s="99"/>
      <c r="K1015" s="99"/>
      <c r="L1015" s="96"/>
      <c r="O1015" s="111"/>
      <c r="P1015" s="111"/>
      <c r="R1015" s="154"/>
      <c r="S1015" s="111"/>
      <c r="T1015" s="101"/>
      <c r="AB1015" s="130"/>
      <c r="AD1015" s="105" t="s">
        <v>2983</v>
      </c>
      <c r="AE1015" s="105" t="s">
        <v>1033</v>
      </c>
    </row>
    <row r="1016" spans="3:31" s="105" customFormat="1">
      <c r="D1016" s="122"/>
      <c r="E1016" s="128"/>
      <c r="G1016" s="99"/>
      <c r="H1016" s="99"/>
      <c r="K1016" s="99"/>
      <c r="L1016" s="96"/>
      <c r="O1016" s="111"/>
      <c r="P1016" s="111"/>
      <c r="R1016" s="154"/>
      <c r="S1016" s="111"/>
      <c r="T1016" s="101"/>
      <c r="AB1016" s="130"/>
      <c r="AD1016" s="105" t="s">
        <v>2887</v>
      </c>
      <c r="AE1016" s="105" t="s">
        <v>1034</v>
      </c>
    </row>
    <row r="1017" spans="3:31" s="105" customFormat="1">
      <c r="D1017" s="122"/>
      <c r="E1017" s="128"/>
      <c r="G1017" s="99"/>
      <c r="H1017" s="99"/>
      <c r="K1017" s="99"/>
      <c r="L1017" s="96"/>
      <c r="O1017" s="111"/>
      <c r="P1017" s="111"/>
      <c r="R1017" s="154"/>
      <c r="S1017" s="111"/>
      <c r="T1017" s="101"/>
      <c r="AB1017" s="130"/>
      <c r="AD1017" s="105" t="s">
        <v>2983</v>
      </c>
      <c r="AE1017" s="105" t="s">
        <v>1035</v>
      </c>
    </row>
    <row r="1018" spans="3:31" s="105" customFormat="1">
      <c r="D1018" s="122"/>
      <c r="E1018" s="128"/>
      <c r="G1018" s="99"/>
      <c r="H1018" s="99"/>
      <c r="K1018" s="99"/>
      <c r="L1018" s="96"/>
      <c r="O1018" s="111"/>
      <c r="P1018" s="111"/>
      <c r="R1018" s="154"/>
      <c r="S1018" s="111"/>
      <c r="T1018" s="101"/>
      <c r="AB1018" s="130"/>
      <c r="AD1018" s="105" t="s">
        <v>2983</v>
      </c>
      <c r="AE1018" s="105" t="s">
        <v>1861</v>
      </c>
    </row>
    <row r="1019" spans="3:31" s="105" customFormat="1">
      <c r="D1019" s="122"/>
      <c r="E1019" s="128"/>
      <c r="G1019" s="99"/>
      <c r="H1019" s="99"/>
      <c r="K1019" s="99"/>
      <c r="L1019" s="96"/>
      <c r="O1019" s="111"/>
      <c r="P1019" s="111"/>
      <c r="R1019" s="154"/>
      <c r="S1019" s="111"/>
      <c r="T1019" s="101"/>
      <c r="AB1019" s="130"/>
      <c r="AD1019" s="105" t="s">
        <v>2983</v>
      </c>
      <c r="AE1019" s="105" t="s">
        <v>2641</v>
      </c>
    </row>
    <row r="1020" spans="3:31" s="105" customFormat="1">
      <c r="C1020" s="104"/>
      <c r="D1020" s="122"/>
      <c r="E1020" s="128"/>
      <c r="G1020" s="99"/>
      <c r="H1020" s="99"/>
      <c r="K1020" s="99"/>
      <c r="L1020" s="96"/>
      <c r="O1020" s="111"/>
      <c r="P1020" s="111"/>
      <c r="R1020" s="154"/>
      <c r="S1020" s="111"/>
      <c r="T1020" s="101"/>
      <c r="AB1020" s="130"/>
      <c r="AD1020" s="105" t="s">
        <v>2983</v>
      </c>
      <c r="AE1020" s="105" t="s">
        <v>1862</v>
      </c>
    </row>
    <row r="1021" spans="3:31" s="105" customFormat="1">
      <c r="C1021" s="104"/>
      <c r="D1021" s="122"/>
      <c r="E1021" s="128"/>
      <c r="G1021" s="99"/>
      <c r="H1021" s="99"/>
      <c r="K1021" s="99"/>
      <c r="L1021" s="96"/>
      <c r="O1021" s="111"/>
      <c r="P1021" s="111"/>
      <c r="R1021" s="154"/>
      <c r="S1021" s="111"/>
      <c r="T1021" s="101"/>
      <c r="AB1021" s="130"/>
      <c r="AD1021" s="105" t="s">
        <v>2888</v>
      </c>
      <c r="AE1021" s="105" t="s">
        <v>1036</v>
      </c>
    </row>
    <row r="1022" spans="3:31" s="105" customFormat="1">
      <c r="D1022" s="122"/>
      <c r="E1022" s="128"/>
      <c r="G1022" s="99"/>
      <c r="H1022" s="99"/>
      <c r="K1022" s="99"/>
      <c r="L1022" s="96"/>
      <c r="O1022" s="111"/>
      <c r="P1022" s="111"/>
      <c r="R1022" s="154"/>
      <c r="S1022" s="111"/>
      <c r="T1022" s="101"/>
      <c r="AB1022" s="130"/>
      <c r="AD1022" s="105" t="s">
        <v>2888</v>
      </c>
      <c r="AE1022" s="105" t="s">
        <v>1037</v>
      </c>
    </row>
    <row r="1023" spans="3:31" s="105" customFormat="1">
      <c r="C1023" s="104"/>
      <c r="D1023" s="122"/>
      <c r="E1023" s="128"/>
      <c r="G1023" s="99"/>
      <c r="H1023" s="99"/>
      <c r="K1023" s="99"/>
      <c r="L1023" s="96"/>
      <c r="O1023" s="111"/>
      <c r="P1023" s="111"/>
      <c r="R1023" s="154"/>
      <c r="S1023" s="111"/>
      <c r="T1023" s="101"/>
      <c r="AB1023" s="130"/>
      <c r="AD1023" s="105" t="s">
        <v>2888</v>
      </c>
      <c r="AE1023" s="105" t="s">
        <v>1038</v>
      </c>
    </row>
    <row r="1024" spans="3:31" s="105" customFormat="1">
      <c r="C1024" s="104"/>
      <c r="D1024" s="122"/>
      <c r="E1024" s="128"/>
      <c r="G1024" s="99"/>
      <c r="H1024" s="99"/>
      <c r="K1024" s="99"/>
      <c r="L1024" s="96"/>
      <c r="O1024" s="111"/>
      <c r="P1024" s="111"/>
      <c r="R1024" s="154"/>
      <c r="S1024" s="111"/>
      <c r="T1024" s="101"/>
      <c r="AB1024" s="130"/>
      <c r="AD1024" s="105" t="s">
        <v>2888</v>
      </c>
      <c r="AE1024" s="105" t="s">
        <v>1039</v>
      </c>
    </row>
    <row r="1025" spans="3:31" s="105" customFormat="1">
      <c r="D1025" s="122"/>
      <c r="E1025" s="128"/>
      <c r="G1025" s="99"/>
      <c r="H1025" s="99"/>
      <c r="K1025" s="99"/>
      <c r="L1025" s="96"/>
      <c r="O1025" s="111"/>
      <c r="P1025" s="111"/>
      <c r="R1025" s="154"/>
      <c r="S1025" s="111"/>
      <c r="T1025" s="101"/>
      <c r="AB1025" s="130"/>
      <c r="AD1025" s="105" t="s">
        <v>2888</v>
      </c>
      <c r="AE1025" s="105" t="s">
        <v>1040</v>
      </c>
    </row>
    <row r="1026" spans="3:31" s="105" customFormat="1">
      <c r="D1026" s="122"/>
      <c r="E1026" s="128"/>
      <c r="G1026" s="99"/>
      <c r="H1026" s="99"/>
      <c r="K1026" s="99"/>
      <c r="L1026" s="96"/>
      <c r="O1026" s="111"/>
      <c r="P1026" s="111"/>
      <c r="R1026" s="154"/>
      <c r="S1026" s="111"/>
      <c r="T1026" s="101"/>
      <c r="AB1026" s="130"/>
      <c r="AD1026" s="105" t="s">
        <v>2888</v>
      </c>
      <c r="AE1026" s="105" t="s">
        <v>1041</v>
      </c>
    </row>
    <row r="1027" spans="3:31" s="105" customFormat="1">
      <c r="C1027" s="104"/>
      <c r="D1027" s="122"/>
      <c r="E1027" s="128"/>
      <c r="G1027" s="99"/>
      <c r="H1027" s="99"/>
      <c r="K1027" s="99"/>
      <c r="L1027" s="96"/>
      <c r="O1027" s="111"/>
      <c r="P1027" s="111"/>
      <c r="R1027" s="154"/>
      <c r="S1027" s="111"/>
      <c r="T1027" s="101"/>
      <c r="AB1027" s="130"/>
      <c r="AD1027" s="105" t="s">
        <v>2888</v>
      </c>
      <c r="AE1027" s="105" t="s">
        <v>1042</v>
      </c>
    </row>
    <row r="1028" spans="3:31" s="105" customFormat="1">
      <c r="C1028" s="104"/>
      <c r="D1028" s="122"/>
      <c r="E1028" s="128"/>
      <c r="G1028" s="99"/>
      <c r="H1028" s="99"/>
      <c r="K1028" s="99"/>
      <c r="L1028" s="96"/>
      <c r="O1028" s="111"/>
      <c r="P1028" s="111"/>
      <c r="R1028" s="154"/>
      <c r="S1028" s="111"/>
      <c r="T1028" s="101"/>
      <c r="AB1028" s="130"/>
      <c r="AD1028" s="105" t="s">
        <v>2886</v>
      </c>
      <c r="AE1028" s="105" t="s">
        <v>1043</v>
      </c>
    </row>
    <row r="1029" spans="3:31" s="105" customFormat="1">
      <c r="C1029" s="104"/>
      <c r="D1029" s="122"/>
      <c r="E1029" s="128"/>
      <c r="G1029" s="99"/>
      <c r="H1029" s="99"/>
      <c r="K1029" s="99"/>
      <c r="L1029" s="96"/>
      <c r="O1029" s="111"/>
      <c r="P1029" s="111"/>
      <c r="R1029" s="154"/>
      <c r="S1029" s="111"/>
      <c r="T1029" s="101"/>
      <c r="AB1029" s="130"/>
      <c r="AD1029" s="105" t="s">
        <v>2888</v>
      </c>
      <c r="AE1029" s="105" t="s">
        <v>1044</v>
      </c>
    </row>
    <row r="1030" spans="3:31" s="105" customFormat="1">
      <c r="C1030" s="104"/>
      <c r="D1030" s="122"/>
      <c r="E1030" s="128"/>
      <c r="G1030" s="99"/>
      <c r="H1030" s="99"/>
      <c r="K1030" s="99"/>
      <c r="L1030" s="96"/>
      <c r="O1030" s="111"/>
      <c r="P1030" s="111"/>
      <c r="R1030" s="154"/>
      <c r="S1030" s="111"/>
      <c r="T1030" s="101"/>
      <c r="AB1030" s="130"/>
      <c r="AD1030" s="105" t="s">
        <v>2888</v>
      </c>
      <c r="AE1030" s="105" t="s">
        <v>1045</v>
      </c>
    </row>
    <row r="1031" spans="3:31" s="105" customFormat="1">
      <c r="C1031" s="104"/>
      <c r="D1031" s="122"/>
      <c r="E1031" s="128"/>
      <c r="G1031" s="99"/>
      <c r="H1031" s="99"/>
      <c r="K1031" s="99"/>
      <c r="L1031" s="96"/>
      <c r="O1031" s="111"/>
      <c r="P1031" s="111"/>
      <c r="R1031" s="154"/>
      <c r="S1031" s="111"/>
      <c r="T1031" s="101"/>
      <c r="AB1031" s="130"/>
      <c r="AD1031" s="105" t="s">
        <v>2888</v>
      </c>
      <c r="AE1031" s="105" t="s">
        <v>1046</v>
      </c>
    </row>
    <row r="1032" spans="3:31" s="105" customFormat="1">
      <c r="C1032" s="104"/>
      <c r="D1032" s="122"/>
      <c r="E1032" s="128"/>
      <c r="G1032" s="99"/>
      <c r="H1032" s="99"/>
      <c r="K1032" s="99"/>
      <c r="L1032" s="96"/>
      <c r="O1032" s="111"/>
      <c r="P1032" s="111"/>
      <c r="R1032" s="154"/>
      <c r="S1032" s="111"/>
      <c r="T1032" s="101"/>
      <c r="AB1032" s="130"/>
      <c r="AD1032" s="105" t="s">
        <v>2888</v>
      </c>
      <c r="AE1032" s="105" t="s">
        <v>1047</v>
      </c>
    </row>
    <row r="1033" spans="3:31" s="105" customFormat="1">
      <c r="C1033" s="104"/>
      <c r="D1033" s="122"/>
      <c r="E1033" s="128"/>
      <c r="G1033" s="99"/>
      <c r="H1033" s="99"/>
      <c r="K1033" s="99"/>
      <c r="L1033" s="96"/>
      <c r="O1033" s="111"/>
      <c r="P1033" s="111"/>
      <c r="R1033" s="154"/>
      <c r="S1033" s="111"/>
      <c r="T1033" s="101"/>
      <c r="AB1033" s="130"/>
      <c r="AD1033" s="105" t="s">
        <v>2888</v>
      </c>
      <c r="AE1033" s="105" t="s">
        <v>1048</v>
      </c>
    </row>
    <row r="1034" spans="3:31" s="105" customFormat="1">
      <c r="C1034" s="104"/>
      <c r="D1034" s="122"/>
      <c r="E1034" s="128"/>
      <c r="G1034" s="99"/>
      <c r="H1034" s="99"/>
      <c r="K1034" s="99"/>
      <c r="L1034" s="96"/>
      <c r="O1034" s="111"/>
      <c r="P1034" s="111"/>
      <c r="R1034" s="154"/>
      <c r="S1034" s="111"/>
      <c r="T1034" s="101"/>
      <c r="AB1034" s="130"/>
      <c r="AD1034" s="105" t="s">
        <v>2888</v>
      </c>
      <c r="AE1034" s="105" t="s">
        <v>1049</v>
      </c>
    </row>
    <row r="1035" spans="3:31" s="105" customFormat="1">
      <c r="C1035" s="104"/>
      <c r="D1035" s="122"/>
      <c r="E1035" s="128"/>
      <c r="G1035" s="99"/>
      <c r="H1035" s="99"/>
      <c r="K1035" s="99"/>
      <c r="L1035" s="96"/>
      <c r="O1035" s="111"/>
      <c r="P1035" s="111"/>
      <c r="R1035" s="154"/>
      <c r="S1035" s="111"/>
      <c r="T1035" s="101"/>
      <c r="AB1035" s="130"/>
      <c r="AD1035" s="105" t="s">
        <v>2888</v>
      </c>
      <c r="AE1035" s="105" t="s">
        <v>1050</v>
      </c>
    </row>
    <row r="1036" spans="3:31" s="105" customFormat="1">
      <c r="C1036" s="104"/>
      <c r="D1036" s="122"/>
      <c r="E1036" s="128"/>
      <c r="G1036" s="99"/>
      <c r="H1036" s="99"/>
      <c r="K1036" s="99"/>
      <c r="L1036" s="96"/>
      <c r="O1036" s="111"/>
      <c r="P1036" s="111"/>
      <c r="R1036" s="154"/>
      <c r="S1036" s="111"/>
      <c r="T1036" s="101"/>
      <c r="AB1036" s="130"/>
      <c r="AD1036" s="105" t="s">
        <v>2888</v>
      </c>
      <c r="AE1036" s="105" t="s">
        <v>1051</v>
      </c>
    </row>
    <row r="1037" spans="3:31" s="105" customFormat="1">
      <c r="C1037" s="104"/>
      <c r="D1037" s="122"/>
      <c r="E1037" s="128"/>
      <c r="G1037" s="99"/>
      <c r="H1037" s="99"/>
      <c r="K1037" s="99"/>
      <c r="L1037" s="96"/>
      <c r="O1037" s="111"/>
      <c r="P1037" s="111"/>
      <c r="R1037" s="154"/>
      <c r="S1037" s="111"/>
      <c r="T1037" s="101"/>
      <c r="AB1037" s="130"/>
      <c r="AD1037" s="105" t="s">
        <v>2888</v>
      </c>
      <c r="AE1037" s="105" t="s">
        <v>1052</v>
      </c>
    </row>
    <row r="1038" spans="3:31" s="105" customFormat="1">
      <c r="D1038" s="122"/>
      <c r="E1038" s="128"/>
      <c r="G1038" s="99"/>
      <c r="H1038" s="99"/>
      <c r="K1038" s="99"/>
      <c r="L1038" s="96"/>
      <c r="O1038" s="111"/>
      <c r="P1038" s="111"/>
      <c r="R1038" s="154"/>
      <c r="S1038" s="111"/>
      <c r="T1038" s="101"/>
      <c r="AB1038" s="130"/>
      <c r="AD1038" s="105" t="s">
        <v>2888</v>
      </c>
      <c r="AE1038" s="105" t="s">
        <v>1053</v>
      </c>
    </row>
    <row r="1039" spans="3:31" s="105" customFormat="1">
      <c r="C1039" s="104"/>
      <c r="D1039" s="122"/>
      <c r="E1039" s="128"/>
      <c r="G1039" s="99"/>
      <c r="H1039" s="99"/>
      <c r="K1039" s="99"/>
      <c r="L1039" s="96"/>
      <c r="O1039" s="111"/>
      <c r="P1039" s="111"/>
      <c r="R1039" s="154"/>
      <c r="S1039" s="111"/>
      <c r="T1039" s="101"/>
      <c r="AB1039" s="130"/>
      <c r="AD1039" s="105" t="s">
        <v>2888</v>
      </c>
      <c r="AE1039" s="105" t="s">
        <v>1054</v>
      </c>
    </row>
    <row r="1040" spans="3:31" s="105" customFormat="1">
      <c r="C1040" s="104"/>
      <c r="D1040" s="122"/>
      <c r="E1040" s="128"/>
      <c r="G1040" s="99"/>
      <c r="H1040" s="99"/>
      <c r="K1040" s="99"/>
      <c r="L1040" s="96"/>
      <c r="O1040" s="111"/>
      <c r="P1040" s="111"/>
      <c r="R1040" s="154"/>
      <c r="S1040" s="111"/>
      <c r="T1040" s="101"/>
      <c r="AB1040" s="130"/>
      <c r="AD1040" s="105" t="s">
        <v>2888</v>
      </c>
      <c r="AE1040" s="105" t="s">
        <v>1055</v>
      </c>
    </row>
    <row r="1041" spans="3:31" s="105" customFormat="1">
      <c r="C1041" s="104"/>
      <c r="D1041" s="122"/>
      <c r="E1041" s="128"/>
      <c r="G1041" s="99"/>
      <c r="H1041" s="99"/>
      <c r="K1041" s="99"/>
      <c r="L1041" s="96"/>
      <c r="O1041" s="111"/>
      <c r="P1041" s="111"/>
      <c r="R1041" s="154"/>
      <c r="S1041" s="111"/>
      <c r="T1041" s="101"/>
      <c r="AB1041" s="130"/>
      <c r="AD1041" s="105" t="s">
        <v>2888</v>
      </c>
      <c r="AE1041" s="105" t="s">
        <v>1056</v>
      </c>
    </row>
    <row r="1042" spans="3:31" s="105" customFormat="1">
      <c r="D1042" s="122"/>
      <c r="E1042" s="128"/>
      <c r="G1042" s="99"/>
      <c r="H1042" s="99"/>
      <c r="K1042" s="99"/>
      <c r="L1042" s="96"/>
      <c r="O1042" s="111"/>
      <c r="P1042" s="111"/>
      <c r="R1042" s="154"/>
      <c r="S1042" s="111"/>
      <c r="T1042" s="101"/>
      <c r="AB1042" s="130"/>
      <c r="AD1042" s="105" t="s">
        <v>2888</v>
      </c>
      <c r="AE1042" s="105" t="s">
        <v>1057</v>
      </c>
    </row>
    <row r="1043" spans="3:31" s="105" customFormat="1">
      <c r="D1043" s="122"/>
      <c r="E1043" s="128"/>
      <c r="G1043" s="99"/>
      <c r="H1043" s="99"/>
      <c r="K1043" s="99"/>
      <c r="L1043" s="96"/>
      <c r="O1043" s="111"/>
      <c r="P1043" s="111"/>
      <c r="R1043" s="154"/>
      <c r="S1043" s="111"/>
      <c r="T1043" s="101"/>
      <c r="AB1043" s="130"/>
      <c r="AD1043" s="105" t="s">
        <v>2888</v>
      </c>
      <c r="AE1043" s="105" t="s">
        <v>1058</v>
      </c>
    </row>
    <row r="1044" spans="3:31" s="105" customFormat="1">
      <c r="C1044" s="104"/>
      <c r="D1044" s="122"/>
      <c r="E1044" s="128"/>
      <c r="G1044" s="99"/>
      <c r="H1044" s="99"/>
      <c r="K1044" s="99"/>
      <c r="L1044" s="96"/>
      <c r="O1044" s="111"/>
      <c r="P1044" s="111"/>
      <c r="R1044" s="154"/>
      <c r="S1044" s="111"/>
      <c r="T1044" s="101"/>
      <c r="AB1044" s="130"/>
      <c r="AD1044" s="105" t="s">
        <v>2888</v>
      </c>
      <c r="AE1044" s="105" t="s">
        <v>1059</v>
      </c>
    </row>
    <row r="1045" spans="3:31" s="105" customFormat="1">
      <c r="C1045" s="104"/>
      <c r="D1045" s="122"/>
      <c r="E1045" s="128"/>
      <c r="G1045" s="99"/>
      <c r="H1045" s="99"/>
      <c r="K1045" s="99"/>
      <c r="L1045" s="96"/>
      <c r="O1045" s="111"/>
      <c r="P1045" s="111"/>
      <c r="R1045" s="154"/>
      <c r="S1045" s="111"/>
      <c r="T1045" s="101"/>
      <c r="AB1045" s="130"/>
      <c r="AD1045" s="105" t="s">
        <v>2887</v>
      </c>
      <c r="AE1045" s="105" t="s">
        <v>1060</v>
      </c>
    </row>
    <row r="1046" spans="3:31" s="105" customFormat="1">
      <c r="C1046" s="104"/>
      <c r="D1046" s="122"/>
      <c r="E1046" s="128"/>
      <c r="G1046" s="99"/>
      <c r="H1046" s="99"/>
      <c r="K1046" s="99"/>
      <c r="L1046" s="96"/>
      <c r="O1046" s="111"/>
      <c r="P1046" s="111"/>
      <c r="R1046" s="154"/>
      <c r="S1046" s="111"/>
      <c r="T1046" s="101"/>
      <c r="AB1046" s="130"/>
      <c r="AD1046" s="105" t="s">
        <v>2983</v>
      </c>
      <c r="AE1046" s="105" t="s">
        <v>1061</v>
      </c>
    </row>
    <row r="1047" spans="3:31" s="105" customFormat="1">
      <c r="C1047" s="104"/>
      <c r="D1047" s="122"/>
      <c r="E1047" s="128"/>
      <c r="G1047" s="99"/>
      <c r="H1047" s="99"/>
      <c r="K1047" s="99"/>
      <c r="L1047" s="96"/>
      <c r="O1047" s="111"/>
      <c r="P1047" s="111"/>
      <c r="R1047" s="154"/>
      <c r="S1047" s="111"/>
      <c r="T1047" s="101"/>
      <c r="AB1047" s="130"/>
      <c r="AD1047" s="105" t="s">
        <v>2887</v>
      </c>
      <c r="AE1047" s="105" t="s">
        <v>1062</v>
      </c>
    </row>
    <row r="1048" spans="3:31" s="105" customFormat="1">
      <c r="C1048" s="104"/>
      <c r="D1048" s="122"/>
      <c r="E1048" s="128"/>
      <c r="G1048" s="99"/>
      <c r="H1048" s="99"/>
      <c r="K1048" s="99"/>
      <c r="L1048" s="96"/>
      <c r="O1048" s="111"/>
      <c r="P1048" s="111"/>
      <c r="R1048" s="154"/>
      <c r="S1048" s="111"/>
      <c r="T1048" s="101"/>
      <c r="AB1048" s="130"/>
      <c r="AD1048" s="105" t="s">
        <v>2888</v>
      </c>
      <c r="AE1048" s="105" t="s">
        <v>1063</v>
      </c>
    </row>
    <row r="1049" spans="3:31" s="105" customFormat="1">
      <c r="C1049" s="104"/>
      <c r="D1049" s="122"/>
      <c r="E1049" s="128"/>
      <c r="G1049" s="99"/>
      <c r="H1049" s="99"/>
      <c r="K1049" s="99"/>
      <c r="L1049" s="96"/>
      <c r="O1049" s="111"/>
      <c r="P1049" s="111"/>
      <c r="R1049" s="154"/>
      <c r="S1049" s="111"/>
      <c r="T1049" s="101"/>
      <c r="AB1049" s="130"/>
      <c r="AD1049" s="105" t="s">
        <v>2888</v>
      </c>
      <c r="AE1049" s="105" t="s">
        <v>1863</v>
      </c>
    </row>
    <row r="1050" spans="3:31" s="105" customFormat="1">
      <c r="C1050" s="104"/>
      <c r="D1050" s="122"/>
      <c r="E1050" s="128"/>
      <c r="G1050" s="99"/>
      <c r="H1050" s="99"/>
      <c r="K1050" s="99"/>
      <c r="L1050" s="96"/>
      <c r="O1050" s="111"/>
      <c r="P1050" s="111"/>
      <c r="R1050" s="154"/>
      <c r="S1050" s="111"/>
      <c r="T1050" s="101"/>
      <c r="AB1050" s="130"/>
      <c r="AD1050" s="105" t="s">
        <v>2888</v>
      </c>
      <c r="AE1050" s="105" t="s">
        <v>1064</v>
      </c>
    </row>
    <row r="1051" spans="3:31" s="105" customFormat="1">
      <c r="C1051" s="104"/>
      <c r="D1051" s="122"/>
      <c r="E1051" s="128"/>
      <c r="G1051" s="99"/>
      <c r="H1051" s="99"/>
      <c r="K1051" s="99"/>
      <c r="L1051" s="96"/>
      <c r="O1051" s="111"/>
      <c r="P1051" s="111"/>
      <c r="R1051" s="154"/>
      <c r="S1051" s="111"/>
      <c r="T1051" s="101"/>
      <c r="AB1051" s="130"/>
      <c r="AD1051" s="105" t="s">
        <v>2983</v>
      </c>
      <c r="AE1051" s="105" t="s">
        <v>1065</v>
      </c>
    </row>
    <row r="1052" spans="3:31" s="105" customFormat="1">
      <c r="C1052" s="104"/>
      <c r="D1052" s="122"/>
      <c r="E1052" s="128"/>
      <c r="G1052" s="99"/>
      <c r="H1052" s="99"/>
      <c r="K1052" s="99"/>
      <c r="L1052" s="96"/>
      <c r="O1052" s="111"/>
      <c r="P1052" s="111"/>
      <c r="R1052" s="154"/>
      <c r="S1052" s="111"/>
      <c r="T1052" s="101"/>
      <c r="AB1052" s="130"/>
      <c r="AD1052" s="105" t="s">
        <v>2983</v>
      </c>
      <c r="AE1052" s="105" t="s">
        <v>2643</v>
      </c>
    </row>
    <row r="1053" spans="3:31" s="105" customFormat="1">
      <c r="C1053" s="104"/>
      <c r="D1053" s="122"/>
      <c r="E1053" s="128"/>
      <c r="G1053" s="99"/>
      <c r="H1053" s="99"/>
      <c r="K1053" s="99"/>
      <c r="L1053" s="96"/>
      <c r="O1053" s="111"/>
      <c r="P1053" s="111"/>
      <c r="R1053" s="154"/>
      <c r="S1053" s="111"/>
      <c r="T1053" s="101"/>
      <c r="AB1053" s="130"/>
      <c r="AD1053" s="105" t="s">
        <v>2983</v>
      </c>
      <c r="AE1053" s="105" t="s">
        <v>1066</v>
      </c>
    </row>
    <row r="1054" spans="3:31" s="105" customFormat="1">
      <c r="C1054" s="104"/>
      <c r="D1054" s="122"/>
      <c r="E1054" s="128"/>
      <c r="G1054" s="99"/>
      <c r="H1054" s="99"/>
      <c r="K1054" s="99"/>
      <c r="L1054" s="96"/>
      <c r="O1054" s="111"/>
      <c r="P1054" s="111"/>
      <c r="R1054" s="154"/>
      <c r="S1054" s="111"/>
      <c r="T1054" s="101"/>
      <c r="AB1054" s="130"/>
      <c r="AD1054" s="105" t="s">
        <v>2983</v>
      </c>
      <c r="AE1054" s="105" t="s">
        <v>1067</v>
      </c>
    </row>
    <row r="1055" spans="3:31" s="105" customFormat="1">
      <c r="C1055" s="104"/>
      <c r="D1055" s="122"/>
      <c r="E1055" s="128"/>
      <c r="G1055" s="99"/>
      <c r="H1055" s="99"/>
      <c r="K1055" s="99"/>
      <c r="L1055" s="96"/>
      <c r="O1055" s="111"/>
      <c r="P1055" s="111"/>
      <c r="R1055" s="154"/>
      <c r="S1055" s="111"/>
      <c r="T1055" s="101"/>
      <c r="AB1055" s="130"/>
      <c r="AD1055" s="105" t="s">
        <v>2887</v>
      </c>
      <c r="AE1055" s="105" t="s">
        <v>1068</v>
      </c>
    </row>
    <row r="1056" spans="3:31" s="105" customFormat="1">
      <c r="C1056" s="104"/>
      <c r="D1056" s="122"/>
      <c r="E1056" s="128"/>
      <c r="G1056" s="99"/>
      <c r="H1056" s="99"/>
      <c r="K1056" s="99"/>
      <c r="L1056" s="96"/>
      <c r="O1056" s="111"/>
      <c r="P1056" s="111"/>
      <c r="R1056" s="154"/>
      <c r="S1056" s="111"/>
      <c r="T1056" s="101"/>
      <c r="AB1056" s="130"/>
      <c r="AD1056" s="105" t="s">
        <v>2983</v>
      </c>
      <c r="AE1056" s="105" t="s">
        <v>2645</v>
      </c>
    </row>
    <row r="1057" spans="3:31" s="105" customFormat="1">
      <c r="C1057" s="104"/>
      <c r="D1057" s="122"/>
      <c r="E1057" s="128"/>
      <c r="G1057" s="99"/>
      <c r="H1057" s="99"/>
      <c r="K1057" s="99"/>
      <c r="L1057" s="96"/>
      <c r="O1057" s="111"/>
      <c r="P1057" s="111"/>
      <c r="R1057" s="154"/>
      <c r="S1057" s="111"/>
      <c r="T1057" s="101"/>
      <c r="AB1057" s="130"/>
      <c r="AD1057" s="105" t="s">
        <v>2983</v>
      </c>
      <c r="AE1057" s="105" t="s">
        <v>1864</v>
      </c>
    </row>
    <row r="1058" spans="3:31" s="105" customFormat="1">
      <c r="C1058" s="104"/>
      <c r="D1058" s="122"/>
      <c r="E1058" s="128"/>
      <c r="G1058" s="99"/>
      <c r="H1058" s="99"/>
      <c r="K1058" s="99"/>
      <c r="L1058" s="96"/>
      <c r="O1058" s="111"/>
      <c r="P1058" s="111"/>
      <c r="R1058" s="154"/>
      <c r="S1058" s="111"/>
      <c r="T1058" s="101"/>
      <c r="AB1058" s="130"/>
      <c r="AD1058" s="105" t="s">
        <v>2983</v>
      </c>
      <c r="AE1058" s="105" t="s">
        <v>1069</v>
      </c>
    </row>
    <row r="1059" spans="3:31" s="105" customFormat="1">
      <c r="C1059" s="104"/>
      <c r="D1059" s="122"/>
      <c r="E1059" s="128"/>
      <c r="G1059" s="99"/>
      <c r="H1059" s="99"/>
      <c r="K1059" s="99"/>
      <c r="L1059" s="96"/>
      <c r="O1059" s="111"/>
      <c r="P1059" s="111"/>
      <c r="R1059" s="154"/>
      <c r="S1059" s="111"/>
      <c r="T1059" s="101"/>
      <c r="AB1059" s="130"/>
      <c r="AD1059" s="105" t="s">
        <v>2983</v>
      </c>
      <c r="AE1059" s="105" t="s">
        <v>2301</v>
      </c>
    </row>
    <row r="1060" spans="3:31" s="105" customFormat="1">
      <c r="C1060" s="104"/>
      <c r="D1060" s="122"/>
      <c r="E1060" s="128"/>
      <c r="G1060" s="99"/>
      <c r="H1060" s="99"/>
      <c r="K1060" s="99"/>
      <c r="L1060" s="96"/>
      <c r="O1060" s="111"/>
      <c r="P1060" s="111"/>
      <c r="R1060" s="154"/>
      <c r="S1060" s="111"/>
      <c r="T1060" s="101"/>
      <c r="AB1060" s="130"/>
      <c r="AD1060" s="105" t="s">
        <v>2533</v>
      </c>
      <c r="AE1060" s="105" t="s">
        <v>1070</v>
      </c>
    </row>
    <row r="1061" spans="3:31" s="105" customFormat="1">
      <c r="C1061" s="104"/>
      <c r="D1061" s="122"/>
      <c r="E1061" s="128"/>
      <c r="G1061" s="99"/>
      <c r="H1061" s="99"/>
      <c r="K1061" s="99"/>
      <c r="L1061" s="96"/>
      <c r="O1061" s="111"/>
      <c r="P1061" s="111"/>
      <c r="R1061" s="154"/>
      <c r="S1061" s="111"/>
      <c r="T1061" s="101"/>
      <c r="AB1061" s="130"/>
      <c r="AD1061" s="105" t="s">
        <v>2984</v>
      </c>
      <c r="AE1061" s="105" t="s">
        <v>1071</v>
      </c>
    </row>
    <row r="1062" spans="3:31" s="105" customFormat="1">
      <c r="C1062" s="104"/>
      <c r="D1062" s="122"/>
      <c r="E1062" s="128"/>
      <c r="G1062" s="99"/>
      <c r="H1062" s="99"/>
      <c r="K1062" s="99"/>
      <c r="L1062" s="96"/>
      <c r="O1062" s="111"/>
      <c r="P1062" s="111"/>
      <c r="R1062" s="154"/>
      <c r="S1062" s="111"/>
      <c r="T1062" s="101"/>
      <c r="AB1062" s="130"/>
      <c r="AD1062" s="105" t="s">
        <v>2984</v>
      </c>
      <c r="AE1062" s="105" t="s">
        <v>1072</v>
      </c>
    </row>
    <row r="1063" spans="3:31" s="105" customFormat="1">
      <c r="C1063" s="104"/>
      <c r="D1063" s="122"/>
      <c r="E1063" s="128"/>
      <c r="G1063" s="99"/>
      <c r="H1063" s="99"/>
      <c r="K1063" s="99"/>
      <c r="L1063" s="96"/>
      <c r="O1063" s="111"/>
      <c r="P1063" s="111"/>
      <c r="R1063" s="154"/>
      <c r="S1063" s="111"/>
      <c r="T1063" s="101"/>
      <c r="AB1063" s="130"/>
      <c r="AD1063" s="105" t="s">
        <v>2895</v>
      </c>
      <c r="AE1063" s="105" t="s">
        <v>1073</v>
      </c>
    </row>
    <row r="1064" spans="3:31" s="105" customFormat="1">
      <c r="C1064" s="104"/>
      <c r="D1064" s="122"/>
      <c r="E1064" s="128"/>
      <c r="G1064" s="99"/>
      <c r="H1064" s="99"/>
      <c r="K1064" s="99"/>
      <c r="L1064" s="96"/>
      <c r="O1064" s="111"/>
      <c r="P1064" s="111"/>
      <c r="R1064" s="154"/>
      <c r="S1064" s="111"/>
      <c r="T1064" s="101"/>
      <c r="AB1064" s="130"/>
      <c r="AD1064" s="105" t="s">
        <v>2895</v>
      </c>
      <c r="AE1064" s="105" t="s">
        <v>1074</v>
      </c>
    </row>
    <row r="1065" spans="3:31" s="105" customFormat="1">
      <c r="C1065" s="104"/>
      <c r="D1065" s="122"/>
      <c r="E1065" s="128"/>
      <c r="G1065" s="99"/>
      <c r="H1065" s="99"/>
      <c r="K1065" s="99"/>
      <c r="L1065" s="96"/>
      <c r="O1065" s="111"/>
      <c r="P1065" s="111"/>
      <c r="R1065" s="154"/>
      <c r="S1065" s="111"/>
      <c r="T1065" s="101"/>
      <c r="AB1065" s="130"/>
      <c r="AD1065" s="105" t="s">
        <v>2984</v>
      </c>
      <c r="AE1065" s="105" t="s">
        <v>1075</v>
      </c>
    </row>
    <row r="1066" spans="3:31" s="105" customFormat="1">
      <c r="C1066" s="104"/>
      <c r="D1066" s="122"/>
      <c r="E1066" s="128"/>
      <c r="G1066" s="99"/>
      <c r="H1066" s="99"/>
      <c r="K1066" s="99"/>
      <c r="L1066" s="96"/>
      <c r="O1066" s="111"/>
      <c r="P1066" s="111"/>
      <c r="R1066" s="154"/>
      <c r="S1066" s="111"/>
      <c r="T1066" s="101"/>
      <c r="AB1066" s="130"/>
      <c r="AD1066" s="105" t="s">
        <v>2984</v>
      </c>
      <c r="AE1066" s="105" t="s">
        <v>1076</v>
      </c>
    </row>
    <row r="1067" spans="3:31" s="105" customFormat="1">
      <c r="C1067" s="104"/>
      <c r="D1067" s="122"/>
      <c r="E1067" s="128"/>
      <c r="G1067" s="99"/>
      <c r="H1067" s="99"/>
      <c r="K1067" s="99"/>
      <c r="L1067" s="96"/>
      <c r="O1067" s="111"/>
      <c r="P1067" s="111"/>
      <c r="R1067" s="154"/>
      <c r="S1067" s="111"/>
      <c r="T1067" s="101"/>
      <c r="AB1067" s="130"/>
      <c r="AD1067" s="105" t="s">
        <v>2984</v>
      </c>
      <c r="AE1067" s="105" t="s">
        <v>1077</v>
      </c>
    </row>
    <row r="1068" spans="3:31" s="105" customFormat="1">
      <c r="C1068" s="104"/>
      <c r="D1068" s="122"/>
      <c r="E1068" s="128"/>
      <c r="G1068" s="99"/>
      <c r="H1068" s="99"/>
      <c r="K1068" s="99"/>
      <c r="L1068" s="96"/>
      <c r="O1068" s="111"/>
      <c r="P1068" s="111"/>
      <c r="R1068" s="154"/>
      <c r="S1068" s="111"/>
      <c r="T1068" s="101"/>
      <c r="AB1068" s="130"/>
      <c r="AD1068" s="105" t="s">
        <v>2984</v>
      </c>
      <c r="AE1068" s="105" t="s">
        <v>2255</v>
      </c>
    </row>
    <row r="1069" spans="3:31" s="105" customFormat="1">
      <c r="C1069" s="104"/>
      <c r="D1069" s="122"/>
      <c r="E1069" s="128"/>
      <c r="G1069" s="99"/>
      <c r="H1069" s="99"/>
      <c r="K1069" s="99"/>
      <c r="L1069" s="96"/>
      <c r="O1069" s="111"/>
      <c r="P1069" s="111"/>
      <c r="R1069" s="154"/>
      <c r="S1069" s="111"/>
      <c r="T1069" s="101"/>
      <c r="AB1069" s="130"/>
      <c r="AD1069" s="105" t="s">
        <v>2984</v>
      </c>
      <c r="AE1069" s="105" t="s">
        <v>1078</v>
      </c>
    </row>
    <row r="1070" spans="3:31" s="105" customFormat="1">
      <c r="C1070" s="104"/>
      <c r="D1070" s="122"/>
      <c r="E1070" s="128"/>
      <c r="G1070" s="99"/>
      <c r="H1070" s="99"/>
      <c r="K1070" s="99"/>
      <c r="L1070" s="96"/>
      <c r="O1070" s="111"/>
      <c r="P1070" s="111"/>
      <c r="R1070" s="154"/>
      <c r="S1070" s="111"/>
      <c r="T1070" s="101"/>
      <c r="AB1070" s="130"/>
      <c r="AD1070" s="105" t="s">
        <v>2892</v>
      </c>
      <c r="AE1070" s="105" t="s">
        <v>1079</v>
      </c>
    </row>
    <row r="1071" spans="3:31" s="105" customFormat="1">
      <c r="C1071" s="115"/>
      <c r="D1071" s="122"/>
      <c r="E1071" s="128"/>
      <c r="G1071" s="99"/>
      <c r="H1071" s="99"/>
      <c r="K1071" s="99"/>
      <c r="L1071" s="96"/>
      <c r="O1071" s="111"/>
      <c r="P1071" s="111"/>
      <c r="R1071" s="154"/>
      <c r="S1071" s="111"/>
      <c r="T1071" s="101"/>
      <c r="AB1071" s="130"/>
      <c r="AD1071" s="105" t="s">
        <v>2984</v>
      </c>
      <c r="AE1071" s="105" t="s">
        <v>1080</v>
      </c>
    </row>
    <row r="1072" spans="3:31" s="105" customFormat="1">
      <c r="C1072" s="104"/>
      <c r="D1072" s="122"/>
      <c r="E1072" s="128"/>
      <c r="G1072" s="99"/>
      <c r="H1072" s="99"/>
      <c r="K1072" s="99"/>
      <c r="L1072" s="96"/>
      <c r="O1072" s="111"/>
      <c r="P1072" s="111"/>
      <c r="R1072" s="154"/>
      <c r="S1072" s="111"/>
      <c r="T1072" s="101"/>
      <c r="AB1072" s="130"/>
      <c r="AD1072" s="105" t="s">
        <v>2984</v>
      </c>
      <c r="AE1072" s="105" t="s">
        <v>1081</v>
      </c>
    </row>
    <row r="1073" spans="3:31" s="105" customFormat="1">
      <c r="C1073" s="115"/>
      <c r="D1073" s="122"/>
      <c r="E1073" s="128"/>
      <c r="G1073" s="99"/>
      <c r="H1073" s="99"/>
      <c r="K1073" s="99"/>
      <c r="L1073" s="96"/>
      <c r="O1073" s="111"/>
      <c r="P1073" s="111"/>
      <c r="R1073" s="154"/>
      <c r="S1073" s="111"/>
      <c r="T1073" s="101"/>
      <c r="AB1073" s="130"/>
      <c r="AD1073" s="105" t="s">
        <v>2984</v>
      </c>
      <c r="AE1073" s="105" t="s">
        <v>1082</v>
      </c>
    </row>
    <row r="1074" spans="3:31" s="105" customFormat="1">
      <c r="C1074" s="115"/>
      <c r="D1074" s="122"/>
      <c r="E1074" s="128"/>
      <c r="G1074" s="99"/>
      <c r="H1074" s="99"/>
      <c r="K1074" s="99"/>
      <c r="L1074" s="96"/>
      <c r="O1074" s="111"/>
      <c r="P1074" s="111"/>
      <c r="R1074" s="154"/>
      <c r="S1074" s="111"/>
      <c r="T1074" s="101"/>
      <c r="AB1074" s="130"/>
      <c r="AD1074" s="105" t="s">
        <v>2984</v>
      </c>
      <c r="AE1074" s="105" t="s">
        <v>1083</v>
      </c>
    </row>
    <row r="1075" spans="3:31" s="105" customFormat="1">
      <c r="C1075" s="115"/>
      <c r="D1075" s="122"/>
      <c r="E1075" s="128"/>
      <c r="G1075" s="99"/>
      <c r="H1075" s="99"/>
      <c r="K1075" s="99"/>
      <c r="L1075" s="96"/>
      <c r="O1075" s="111"/>
      <c r="P1075" s="111"/>
      <c r="R1075" s="154"/>
      <c r="S1075" s="111"/>
      <c r="T1075" s="101"/>
      <c r="AB1075" s="130"/>
      <c r="AD1075" s="105" t="s">
        <v>2984</v>
      </c>
      <c r="AE1075" s="105" t="s">
        <v>1084</v>
      </c>
    </row>
    <row r="1076" spans="3:31" s="105" customFormat="1">
      <c r="D1076" s="122"/>
      <c r="E1076" s="128"/>
      <c r="G1076" s="99"/>
      <c r="H1076" s="99"/>
      <c r="K1076" s="99"/>
      <c r="L1076" s="96"/>
      <c r="O1076" s="111"/>
      <c r="P1076" s="111"/>
      <c r="R1076" s="154"/>
      <c r="S1076" s="111"/>
      <c r="T1076" s="101"/>
      <c r="AB1076" s="130"/>
      <c r="AD1076" s="105" t="s">
        <v>2892</v>
      </c>
      <c r="AE1076" s="105" t="s">
        <v>1085</v>
      </c>
    </row>
    <row r="1077" spans="3:31" s="105" customFormat="1">
      <c r="C1077" s="115"/>
      <c r="D1077" s="122"/>
      <c r="E1077" s="128"/>
      <c r="G1077" s="99"/>
      <c r="H1077" s="99"/>
      <c r="K1077" s="99"/>
      <c r="L1077" s="96"/>
      <c r="O1077" s="111"/>
      <c r="P1077" s="111"/>
      <c r="R1077" s="154"/>
      <c r="S1077" s="111"/>
      <c r="T1077" s="101"/>
      <c r="AB1077" s="130"/>
      <c r="AD1077" s="105" t="s">
        <v>2984</v>
      </c>
      <c r="AE1077" s="105" t="s">
        <v>1086</v>
      </c>
    </row>
    <row r="1078" spans="3:31" s="105" customFormat="1">
      <c r="C1078" s="115"/>
      <c r="D1078" s="122"/>
      <c r="E1078" s="128"/>
      <c r="G1078" s="99"/>
      <c r="H1078" s="99"/>
      <c r="K1078" s="99"/>
      <c r="L1078" s="96"/>
      <c r="O1078" s="111"/>
      <c r="P1078" s="111"/>
      <c r="R1078" s="154"/>
      <c r="S1078" s="111"/>
      <c r="T1078" s="101"/>
      <c r="AB1078" s="130"/>
      <c r="AD1078" s="105" t="s">
        <v>2894</v>
      </c>
      <c r="AE1078" s="105" t="s">
        <v>1087</v>
      </c>
    </row>
    <row r="1079" spans="3:31" s="105" customFormat="1">
      <c r="D1079" s="122"/>
      <c r="E1079" s="128"/>
      <c r="G1079" s="99"/>
      <c r="H1079" s="99"/>
      <c r="K1079" s="99"/>
      <c r="L1079" s="96"/>
      <c r="O1079" s="111"/>
      <c r="P1079" s="111"/>
      <c r="R1079" s="154"/>
      <c r="S1079" s="111"/>
      <c r="T1079" s="101"/>
      <c r="AB1079" s="130"/>
      <c r="AD1079" s="105" t="s">
        <v>2984</v>
      </c>
      <c r="AE1079" s="105" t="s">
        <v>1088</v>
      </c>
    </row>
    <row r="1080" spans="3:31" s="105" customFormat="1">
      <c r="D1080" s="122"/>
      <c r="E1080" s="128"/>
      <c r="G1080" s="99"/>
      <c r="H1080" s="99"/>
      <c r="K1080" s="99"/>
      <c r="L1080" s="96"/>
      <c r="O1080" s="111"/>
      <c r="P1080" s="111"/>
      <c r="R1080" s="154"/>
      <c r="S1080" s="111"/>
      <c r="T1080" s="101"/>
      <c r="AB1080" s="130"/>
      <c r="AD1080" s="105" t="s">
        <v>2984</v>
      </c>
      <c r="AE1080" s="105" t="s">
        <v>1089</v>
      </c>
    </row>
    <row r="1081" spans="3:31" s="105" customFormat="1">
      <c r="D1081" s="122"/>
      <c r="E1081" s="128"/>
      <c r="G1081" s="99"/>
      <c r="H1081" s="99"/>
      <c r="K1081" s="99"/>
      <c r="L1081" s="96"/>
      <c r="O1081" s="111"/>
      <c r="P1081" s="111"/>
      <c r="R1081" s="154"/>
      <c r="S1081" s="111"/>
      <c r="T1081" s="101"/>
      <c r="AB1081" s="130"/>
      <c r="AD1081" s="105" t="s">
        <v>2892</v>
      </c>
      <c r="AE1081" s="105" t="s">
        <v>1090</v>
      </c>
    </row>
    <row r="1082" spans="3:31" s="105" customFormat="1">
      <c r="D1082" s="122"/>
      <c r="E1082" s="128"/>
      <c r="G1082" s="99"/>
      <c r="H1082" s="99"/>
      <c r="K1082" s="99"/>
      <c r="L1082" s="96"/>
      <c r="O1082" s="111"/>
      <c r="P1082" s="111"/>
      <c r="R1082" s="154"/>
      <c r="S1082" s="111"/>
      <c r="T1082" s="101"/>
      <c r="AB1082" s="130"/>
      <c r="AD1082" s="105" t="s">
        <v>2984</v>
      </c>
      <c r="AE1082" s="105" t="s">
        <v>1091</v>
      </c>
    </row>
    <row r="1083" spans="3:31" s="105" customFormat="1">
      <c r="D1083" s="122"/>
      <c r="E1083" s="128"/>
      <c r="G1083" s="99"/>
      <c r="H1083" s="99"/>
      <c r="K1083" s="99"/>
      <c r="L1083" s="96"/>
      <c r="O1083" s="111"/>
      <c r="P1083" s="111"/>
      <c r="R1083" s="154"/>
      <c r="S1083" s="111"/>
      <c r="T1083" s="101"/>
      <c r="AB1083" s="130"/>
      <c r="AD1083" s="105" t="s">
        <v>2984</v>
      </c>
      <c r="AE1083" s="105" t="s">
        <v>1865</v>
      </c>
    </row>
    <row r="1084" spans="3:31" s="105" customFormat="1">
      <c r="D1084" s="122"/>
      <c r="E1084" s="128"/>
      <c r="G1084" s="99"/>
      <c r="H1084" s="99"/>
      <c r="K1084" s="99"/>
      <c r="L1084" s="96"/>
      <c r="O1084" s="111"/>
      <c r="P1084" s="111"/>
      <c r="R1084" s="154"/>
      <c r="S1084" s="111"/>
      <c r="T1084" s="101"/>
      <c r="AB1084" s="130"/>
      <c r="AD1084" s="105" t="s">
        <v>2984</v>
      </c>
      <c r="AE1084" s="105" t="s">
        <v>2635</v>
      </c>
    </row>
    <row r="1085" spans="3:31" s="105" customFormat="1">
      <c r="D1085" s="122"/>
      <c r="E1085" s="128"/>
      <c r="G1085" s="99"/>
      <c r="H1085" s="99"/>
      <c r="K1085" s="99"/>
      <c r="L1085" s="96"/>
      <c r="O1085" s="111"/>
      <c r="P1085" s="111"/>
      <c r="R1085" s="154"/>
      <c r="S1085" s="111"/>
      <c r="T1085" s="101"/>
      <c r="AB1085" s="130"/>
      <c r="AD1085" s="105" t="s">
        <v>2984</v>
      </c>
      <c r="AE1085" s="105" t="s">
        <v>1866</v>
      </c>
    </row>
    <row r="1086" spans="3:31" s="105" customFormat="1">
      <c r="D1086" s="122"/>
      <c r="E1086" s="128"/>
      <c r="G1086" s="99"/>
      <c r="H1086" s="99"/>
      <c r="K1086" s="99"/>
      <c r="L1086" s="96"/>
      <c r="O1086" s="111"/>
      <c r="P1086" s="111"/>
      <c r="R1086" s="154"/>
      <c r="S1086" s="111"/>
      <c r="T1086" s="101"/>
      <c r="AB1086" s="130"/>
      <c r="AD1086" s="105" t="s">
        <v>2893</v>
      </c>
      <c r="AE1086" s="105" t="s">
        <v>1092</v>
      </c>
    </row>
    <row r="1087" spans="3:31" s="105" customFormat="1">
      <c r="D1087" s="122"/>
      <c r="E1087" s="128"/>
      <c r="G1087" s="99"/>
      <c r="H1087" s="99"/>
      <c r="K1087" s="99"/>
      <c r="L1087" s="96"/>
      <c r="O1087" s="111"/>
      <c r="P1087" s="111"/>
      <c r="R1087" s="154"/>
      <c r="S1087" s="111"/>
      <c r="T1087" s="101"/>
      <c r="AB1087" s="130"/>
      <c r="AD1087" s="105" t="s">
        <v>2893</v>
      </c>
      <c r="AE1087" s="105" t="s">
        <v>1093</v>
      </c>
    </row>
    <row r="1088" spans="3:31" s="105" customFormat="1">
      <c r="D1088" s="122"/>
      <c r="E1088" s="128"/>
      <c r="G1088" s="99"/>
      <c r="H1088" s="99"/>
      <c r="K1088" s="99"/>
      <c r="L1088" s="96"/>
      <c r="O1088" s="111"/>
      <c r="P1088" s="111"/>
      <c r="R1088" s="154"/>
      <c r="S1088" s="111"/>
      <c r="T1088" s="101"/>
      <c r="AB1088" s="130"/>
      <c r="AD1088" s="105" t="s">
        <v>2893</v>
      </c>
      <c r="AE1088" s="105" t="s">
        <v>1094</v>
      </c>
    </row>
    <row r="1089" spans="18:31" s="105" customFormat="1">
      <c r="R1089" s="154"/>
      <c r="AB1089" s="130"/>
      <c r="AD1089" s="105" t="s">
        <v>2893</v>
      </c>
      <c r="AE1089" s="105" t="s">
        <v>1095</v>
      </c>
    </row>
    <row r="1090" spans="18:31" s="105" customFormat="1">
      <c r="R1090" s="154"/>
      <c r="AB1090" s="130"/>
      <c r="AD1090" s="105" t="s">
        <v>2893</v>
      </c>
      <c r="AE1090" s="105" t="s">
        <v>1096</v>
      </c>
    </row>
    <row r="1091" spans="18:31" s="105" customFormat="1">
      <c r="R1091" s="154"/>
      <c r="AB1091" s="130"/>
      <c r="AD1091" s="105" t="s">
        <v>2893</v>
      </c>
      <c r="AE1091" s="105" t="s">
        <v>1097</v>
      </c>
    </row>
    <row r="1092" spans="18:31" s="105" customFormat="1">
      <c r="R1092" s="154"/>
      <c r="AB1092" s="130"/>
      <c r="AD1092" s="105" t="s">
        <v>2893</v>
      </c>
      <c r="AE1092" s="105" t="s">
        <v>1098</v>
      </c>
    </row>
    <row r="1093" spans="18:31" s="105" customFormat="1">
      <c r="R1093" s="154"/>
      <c r="AB1093" s="130"/>
      <c r="AD1093" s="105" t="s">
        <v>2891</v>
      </c>
      <c r="AE1093" s="105" t="s">
        <v>1099</v>
      </c>
    </row>
    <row r="1094" spans="18:31" s="105" customFormat="1">
      <c r="R1094" s="154"/>
      <c r="AB1094" s="130"/>
      <c r="AD1094" s="105" t="s">
        <v>2893</v>
      </c>
      <c r="AE1094" s="105" t="s">
        <v>1100</v>
      </c>
    </row>
    <row r="1095" spans="18:31" s="105" customFormat="1">
      <c r="R1095" s="154"/>
      <c r="AB1095" s="130"/>
      <c r="AD1095" s="105" t="s">
        <v>2893</v>
      </c>
      <c r="AE1095" s="105" t="s">
        <v>1101</v>
      </c>
    </row>
    <row r="1096" spans="18:31" s="105" customFormat="1">
      <c r="R1096" s="154"/>
      <c r="AB1096" s="130"/>
      <c r="AD1096" s="105" t="s">
        <v>2893</v>
      </c>
      <c r="AE1096" s="105" t="s">
        <v>1102</v>
      </c>
    </row>
    <row r="1097" spans="18:31" s="105" customFormat="1">
      <c r="R1097" s="154"/>
      <c r="AB1097" s="130"/>
      <c r="AD1097" s="105" t="s">
        <v>2893</v>
      </c>
      <c r="AE1097" s="105" t="s">
        <v>1103</v>
      </c>
    </row>
    <row r="1098" spans="18:31" s="105" customFormat="1">
      <c r="R1098" s="154"/>
      <c r="AB1098" s="130"/>
      <c r="AD1098" s="105" t="s">
        <v>2893</v>
      </c>
      <c r="AE1098" s="105" t="s">
        <v>1104</v>
      </c>
    </row>
    <row r="1099" spans="18:31" s="105" customFormat="1">
      <c r="R1099" s="154"/>
      <c r="AB1099" s="130"/>
      <c r="AD1099" s="105" t="s">
        <v>2893</v>
      </c>
      <c r="AE1099" s="105" t="s">
        <v>1105</v>
      </c>
    </row>
    <row r="1100" spans="18:31" s="105" customFormat="1">
      <c r="R1100" s="154"/>
      <c r="AB1100" s="130"/>
      <c r="AD1100" s="105" t="s">
        <v>2893</v>
      </c>
      <c r="AE1100" s="105" t="s">
        <v>1106</v>
      </c>
    </row>
    <row r="1101" spans="18:31" s="105" customFormat="1">
      <c r="R1101" s="154"/>
      <c r="AB1101" s="130"/>
      <c r="AD1101" s="105" t="s">
        <v>2893</v>
      </c>
      <c r="AE1101" s="105" t="s">
        <v>1107</v>
      </c>
    </row>
    <row r="1102" spans="18:31" s="105" customFormat="1">
      <c r="R1102" s="154"/>
      <c r="AB1102" s="130"/>
      <c r="AD1102" s="105" t="s">
        <v>2893</v>
      </c>
      <c r="AE1102" s="105" t="s">
        <v>1108</v>
      </c>
    </row>
    <row r="1103" spans="18:31" s="105" customFormat="1">
      <c r="R1103" s="154"/>
      <c r="AB1103" s="130"/>
      <c r="AD1103" s="105" t="s">
        <v>2893</v>
      </c>
      <c r="AE1103" s="105" t="s">
        <v>1109</v>
      </c>
    </row>
    <row r="1104" spans="18:31" s="105" customFormat="1">
      <c r="R1104" s="154"/>
      <c r="AB1104" s="130"/>
      <c r="AD1104" s="105" t="s">
        <v>2893</v>
      </c>
      <c r="AE1104" s="105" t="s">
        <v>1110</v>
      </c>
    </row>
    <row r="1105" spans="18:31" s="105" customFormat="1">
      <c r="R1105" s="154"/>
      <c r="AB1105" s="130"/>
      <c r="AD1105" s="105" t="s">
        <v>2893</v>
      </c>
      <c r="AE1105" s="105" t="s">
        <v>1111</v>
      </c>
    </row>
    <row r="1106" spans="18:31" s="105" customFormat="1">
      <c r="R1106" s="154"/>
      <c r="AB1106" s="130"/>
      <c r="AD1106" s="105" t="s">
        <v>2893</v>
      </c>
      <c r="AE1106" s="105" t="s">
        <v>1112</v>
      </c>
    </row>
    <row r="1107" spans="18:31" s="105" customFormat="1">
      <c r="R1107" s="154"/>
      <c r="AB1107" s="130"/>
      <c r="AD1107" s="105" t="s">
        <v>2893</v>
      </c>
      <c r="AE1107" s="105" t="s">
        <v>1113</v>
      </c>
    </row>
    <row r="1108" spans="18:31" s="105" customFormat="1">
      <c r="R1108" s="154"/>
      <c r="AB1108" s="130"/>
      <c r="AD1108" s="105" t="s">
        <v>2893</v>
      </c>
      <c r="AE1108" s="105" t="s">
        <v>1114</v>
      </c>
    </row>
    <row r="1109" spans="18:31" s="105" customFormat="1">
      <c r="R1109" s="154"/>
      <c r="AB1109" s="130"/>
      <c r="AD1109" s="105" t="s">
        <v>2893</v>
      </c>
      <c r="AE1109" s="105" t="s">
        <v>1115</v>
      </c>
    </row>
    <row r="1110" spans="18:31" s="105" customFormat="1">
      <c r="R1110" s="154"/>
      <c r="AB1110" s="130"/>
      <c r="AD1110" s="105" t="s">
        <v>2892</v>
      </c>
      <c r="AE1110" s="105" t="s">
        <v>1116</v>
      </c>
    </row>
    <row r="1111" spans="18:31" s="105" customFormat="1">
      <c r="R1111" s="154"/>
      <c r="AB1111" s="130"/>
      <c r="AD1111" s="105" t="s">
        <v>2984</v>
      </c>
      <c r="AE1111" s="105" t="s">
        <v>1117</v>
      </c>
    </row>
    <row r="1112" spans="18:31" s="105" customFormat="1">
      <c r="R1112" s="154"/>
      <c r="AB1112" s="130"/>
      <c r="AD1112" s="105" t="s">
        <v>2892</v>
      </c>
      <c r="AE1112" s="105" t="s">
        <v>1118</v>
      </c>
    </row>
    <row r="1113" spans="18:31" s="105" customFormat="1">
      <c r="R1113" s="154"/>
      <c r="AB1113" s="130"/>
      <c r="AD1113" s="105" t="s">
        <v>2893</v>
      </c>
      <c r="AE1113" s="105" t="s">
        <v>1119</v>
      </c>
    </row>
    <row r="1114" spans="18:31" s="105" customFormat="1">
      <c r="R1114" s="154"/>
      <c r="AB1114" s="130"/>
      <c r="AD1114" s="105" t="s">
        <v>2893</v>
      </c>
      <c r="AE1114" s="105" t="s">
        <v>1867</v>
      </c>
    </row>
    <row r="1115" spans="18:31" s="105" customFormat="1">
      <c r="R1115" s="154"/>
      <c r="AB1115" s="130"/>
      <c r="AD1115" s="105" t="s">
        <v>2893</v>
      </c>
      <c r="AE1115" s="105" t="s">
        <v>1120</v>
      </c>
    </row>
    <row r="1116" spans="18:31" s="105" customFormat="1">
      <c r="R1116" s="154"/>
      <c r="AB1116" s="130"/>
      <c r="AD1116" s="105" t="s">
        <v>2984</v>
      </c>
      <c r="AE1116" s="105" t="s">
        <v>1121</v>
      </c>
    </row>
    <row r="1117" spans="18:31" s="105" customFormat="1">
      <c r="R1117" s="154"/>
      <c r="AB1117" s="130"/>
      <c r="AD1117" s="105" t="s">
        <v>2984</v>
      </c>
      <c r="AE1117" s="105" t="s">
        <v>2637</v>
      </c>
    </row>
    <row r="1118" spans="18:31" s="105" customFormat="1">
      <c r="R1118" s="154"/>
      <c r="AB1118" s="130"/>
      <c r="AD1118" s="105" t="s">
        <v>2984</v>
      </c>
      <c r="AE1118" s="105" t="s">
        <v>1122</v>
      </c>
    </row>
    <row r="1119" spans="18:31" s="105" customFormat="1">
      <c r="R1119" s="154"/>
      <c r="AB1119" s="130"/>
      <c r="AD1119" s="105" t="s">
        <v>2984</v>
      </c>
      <c r="AE1119" s="105" t="s">
        <v>1123</v>
      </c>
    </row>
    <row r="1120" spans="18:31" s="105" customFormat="1">
      <c r="R1120" s="154"/>
      <c r="AB1120" s="130"/>
      <c r="AD1120" s="105" t="s">
        <v>2892</v>
      </c>
      <c r="AE1120" s="105" t="s">
        <v>1124</v>
      </c>
    </row>
    <row r="1121" spans="18:31" s="105" customFormat="1">
      <c r="R1121" s="154"/>
      <c r="AB1121" s="130"/>
      <c r="AD1121" s="105" t="s">
        <v>2984</v>
      </c>
      <c r="AE1121" s="105" t="s">
        <v>2639</v>
      </c>
    </row>
    <row r="1122" spans="18:31" s="105" customFormat="1">
      <c r="R1122" s="154"/>
      <c r="AB1122" s="130"/>
      <c r="AD1122" s="105" t="s">
        <v>2984</v>
      </c>
      <c r="AE1122" s="105" t="s">
        <v>1868</v>
      </c>
    </row>
    <row r="1123" spans="18:31" s="105" customFormat="1">
      <c r="R1123" s="154"/>
      <c r="AB1123" s="130"/>
      <c r="AD1123" s="105" t="s">
        <v>2984</v>
      </c>
      <c r="AE1123" s="105" t="s">
        <v>1125</v>
      </c>
    </row>
    <row r="1124" spans="18:31" s="105" customFormat="1">
      <c r="R1124" s="154"/>
      <c r="AB1124" s="130"/>
      <c r="AD1124" s="105" t="s">
        <v>2984</v>
      </c>
      <c r="AE1124" s="105" t="s">
        <v>2300</v>
      </c>
    </row>
    <row r="1125" spans="18:31" s="105" customFormat="1">
      <c r="R1125" s="154"/>
      <c r="AB1125" s="130"/>
      <c r="AD1125" s="105" t="s">
        <v>2534</v>
      </c>
      <c r="AE1125" s="105" t="s">
        <v>1126</v>
      </c>
    </row>
    <row r="1126" spans="18:31" s="105" customFormat="1">
      <c r="R1126" s="154"/>
      <c r="AB1126" s="130"/>
      <c r="AD1126" s="105" t="s">
        <v>2985</v>
      </c>
      <c r="AE1126" s="105" t="s">
        <v>1127</v>
      </c>
    </row>
    <row r="1127" spans="18:31" s="105" customFormat="1">
      <c r="R1127" s="154"/>
      <c r="AB1127" s="130"/>
      <c r="AD1127" s="105" t="s">
        <v>2985</v>
      </c>
      <c r="AE1127" s="105" t="s">
        <v>1128</v>
      </c>
    </row>
    <row r="1128" spans="18:31" s="105" customFormat="1">
      <c r="R1128" s="154"/>
      <c r="AB1128" s="130"/>
      <c r="AD1128" s="105" t="s">
        <v>2900</v>
      </c>
      <c r="AE1128" s="105" t="s">
        <v>1129</v>
      </c>
    </row>
    <row r="1129" spans="18:31" s="105" customFormat="1">
      <c r="R1129" s="154"/>
      <c r="AB1129" s="130"/>
      <c r="AD1129" s="105" t="s">
        <v>2900</v>
      </c>
      <c r="AE1129" s="105" t="s">
        <v>1130</v>
      </c>
    </row>
    <row r="1130" spans="18:31" s="105" customFormat="1">
      <c r="R1130" s="154"/>
      <c r="AB1130" s="130"/>
      <c r="AD1130" s="105" t="s">
        <v>2985</v>
      </c>
      <c r="AE1130" s="105" t="s">
        <v>1131</v>
      </c>
    </row>
    <row r="1131" spans="18:31" s="105" customFormat="1">
      <c r="R1131" s="154"/>
      <c r="AB1131" s="130"/>
      <c r="AD1131" s="105" t="s">
        <v>2985</v>
      </c>
      <c r="AE1131" s="105" t="s">
        <v>1132</v>
      </c>
    </row>
    <row r="1132" spans="18:31" s="105" customFormat="1">
      <c r="R1132" s="154"/>
      <c r="AB1132" s="130"/>
      <c r="AD1132" s="105" t="s">
        <v>2985</v>
      </c>
      <c r="AE1132" s="105" t="s">
        <v>1133</v>
      </c>
    </row>
    <row r="1133" spans="18:31" s="105" customFormat="1">
      <c r="R1133" s="154"/>
      <c r="AB1133" s="130"/>
      <c r="AD1133" s="105" t="s">
        <v>2985</v>
      </c>
      <c r="AE1133" s="105" t="s">
        <v>2256</v>
      </c>
    </row>
    <row r="1134" spans="18:31" s="105" customFormat="1">
      <c r="R1134" s="154"/>
      <c r="AB1134" s="130"/>
      <c r="AD1134" s="105" t="s">
        <v>2985</v>
      </c>
      <c r="AE1134" s="105" t="s">
        <v>1134</v>
      </c>
    </row>
    <row r="1135" spans="18:31" s="105" customFormat="1">
      <c r="R1135" s="154"/>
      <c r="AB1135" s="130"/>
      <c r="AD1135" s="105" t="s">
        <v>2897</v>
      </c>
      <c r="AE1135" s="105" t="s">
        <v>1135</v>
      </c>
    </row>
    <row r="1136" spans="18:31" s="105" customFormat="1">
      <c r="R1136" s="154"/>
      <c r="AB1136" s="130"/>
      <c r="AD1136" s="105" t="s">
        <v>2985</v>
      </c>
      <c r="AE1136" s="105" t="s">
        <v>1136</v>
      </c>
    </row>
    <row r="1137" spans="18:31" s="105" customFormat="1">
      <c r="R1137" s="154"/>
      <c r="AB1137" s="130"/>
      <c r="AD1137" s="105" t="s">
        <v>2985</v>
      </c>
      <c r="AE1137" s="105" t="s">
        <v>1137</v>
      </c>
    </row>
    <row r="1138" spans="18:31" s="105" customFormat="1">
      <c r="R1138" s="154"/>
      <c r="AB1138" s="130"/>
      <c r="AD1138" s="105" t="s">
        <v>2985</v>
      </c>
      <c r="AE1138" s="105" t="s">
        <v>1138</v>
      </c>
    </row>
    <row r="1139" spans="18:31" s="105" customFormat="1">
      <c r="R1139" s="154"/>
      <c r="AB1139" s="130"/>
      <c r="AD1139" s="105" t="s">
        <v>2985</v>
      </c>
      <c r="AE1139" s="105" t="s">
        <v>1139</v>
      </c>
    </row>
    <row r="1140" spans="18:31" s="105" customFormat="1">
      <c r="R1140" s="154"/>
      <c r="AB1140" s="130"/>
      <c r="AD1140" s="105" t="s">
        <v>2985</v>
      </c>
      <c r="AE1140" s="105" t="s">
        <v>1140</v>
      </c>
    </row>
    <row r="1141" spans="18:31" s="105" customFormat="1">
      <c r="R1141" s="154"/>
      <c r="AB1141" s="130"/>
      <c r="AD1141" s="105" t="s">
        <v>2897</v>
      </c>
      <c r="AE1141" s="105" t="s">
        <v>1141</v>
      </c>
    </row>
    <row r="1142" spans="18:31" s="105" customFormat="1">
      <c r="R1142" s="154"/>
      <c r="AB1142" s="130"/>
      <c r="AD1142" s="105" t="s">
        <v>2985</v>
      </c>
      <c r="AE1142" s="105" t="s">
        <v>1142</v>
      </c>
    </row>
    <row r="1143" spans="18:31" s="105" customFormat="1">
      <c r="R1143" s="154"/>
      <c r="AB1143" s="130"/>
      <c r="AD1143" s="105" t="s">
        <v>2899</v>
      </c>
      <c r="AE1143" s="105" t="s">
        <v>1143</v>
      </c>
    </row>
    <row r="1144" spans="18:31" s="105" customFormat="1">
      <c r="R1144" s="154"/>
      <c r="AB1144" s="130"/>
      <c r="AD1144" s="105" t="s">
        <v>2985</v>
      </c>
      <c r="AE1144" s="105" t="s">
        <v>1144</v>
      </c>
    </row>
    <row r="1145" spans="18:31" s="105" customFormat="1">
      <c r="R1145" s="154"/>
      <c r="AB1145" s="130"/>
      <c r="AD1145" s="105" t="s">
        <v>2985</v>
      </c>
      <c r="AE1145" s="105" t="s">
        <v>1145</v>
      </c>
    </row>
    <row r="1146" spans="18:31" s="105" customFormat="1">
      <c r="R1146" s="154"/>
      <c r="AB1146" s="130"/>
      <c r="AD1146" s="105" t="s">
        <v>2897</v>
      </c>
      <c r="AE1146" s="105" t="s">
        <v>1146</v>
      </c>
    </row>
    <row r="1147" spans="18:31" s="105" customFormat="1">
      <c r="R1147" s="154"/>
      <c r="AB1147" s="130"/>
      <c r="AD1147" s="105" t="s">
        <v>2985</v>
      </c>
      <c r="AE1147" s="105" t="s">
        <v>1147</v>
      </c>
    </row>
    <row r="1148" spans="18:31" s="105" customFormat="1">
      <c r="R1148" s="154"/>
      <c r="AB1148" s="130"/>
      <c r="AD1148" s="105" t="s">
        <v>2985</v>
      </c>
      <c r="AE1148" s="105" t="s">
        <v>1869</v>
      </c>
    </row>
    <row r="1149" spans="18:31" s="105" customFormat="1">
      <c r="R1149" s="154"/>
      <c r="AB1149" s="130"/>
      <c r="AD1149" s="105" t="s">
        <v>2985</v>
      </c>
      <c r="AE1149" s="105" t="s">
        <v>2567</v>
      </c>
    </row>
    <row r="1150" spans="18:31" s="105" customFormat="1">
      <c r="R1150" s="154"/>
      <c r="AB1150" s="130"/>
      <c r="AD1150" s="105" t="s">
        <v>2985</v>
      </c>
      <c r="AE1150" s="105" t="s">
        <v>1870</v>
      </c>
    </row>
    <row r="1151" spans="18:31" s="105" customFormat="1">
      <c r="R1151" s="154"/>
      <c r="AB1151" s="130"/>
      <c r="AD1151" s="105" t="s">
        <v>2898</v>
      </c>
      <c r="AE1151" s="105" t="s">
        <v>1148</v>
      </c>
    </row>
    <row r="1152" spans="18:31" s="105" customFormat="1">
      <c r="R1152" s="154"/>
      <c r="AB1152" s="130"/>
      <c r="AD1152" s="105" t="s">
        <v>2898</v>
      </c>
      <c r="AE1152" s="105" t="s">
        <v>1149</v>
      </c>
    </row>
    <row r="1153" spans="18:31" s="105" customFormat="1">
      <c r="R1153" s="154"/>
      <c r="AB1153" s="130"/>
      <c r="AD1153" s="105" t="s">
        <v>2898</v>
      </c>
      <c r="AE1153" s="105" t="s">
        <v>1150</v>
      </c>
    </row>
    <row r="1154" spans="18:31" s="105" customFormat="1">
      <c r="R1154" s="154"/>
      <c r="AB1154" s="130"/>
      <c r="AD1154" s="105" t="s">
        <v>2898</v>
      </c>
      <c r="AE1154" s="105" t="s">
        <v>1151</v>
      </c>
    </row>
    <row r="1155" spans="18:31" s="105" customFormat="1">
      <c r="R1155" s="154"/>
      <c r="AB1155" s="130"/>
      <c r="AD1155" s="105" t="s">
        <v>2898</v>
      </c>
      <c r="AE1155" s="105" t="s">
        <v>1152</v>
      </c>
    </row>
    <row r="1156" spans="18:31" s="105" customFormat="1">
      <c r="R1156" s="154"/>
      <c r="AB1156" s="130"/>
      <c r="AD1156" s="105" t="s">
        <v>2898</v>
      </c>
      <c r="AE1156" s="105" t="s">
        <v>1153</v>
      </c>
    </row>
    <row r="1157" spans="18:31" s="105" customFormat="1">
      <c r="R1157" s="154"/>
      <c r="AB1157" s="130"/>
      <c r="AD1157" s="105" t="s">
        <v>2898</v>
      </c>
      <c r="AE1157" s="105" t="s">
        <v>1154</v>
      </c>
    </row>
    <row r="1158" spans="18:31" s="105" customFormat="1">
      <c r="R1158" s="154"/>
      <c r="AB1158" s="130"/>
      <c r="AD1158" s="105" t="s">
        <v>2896</v>
      </c>
      <c r="AE1158" s="105" t="s">
        <v>1155</v>
      </c>
    </row>
    <row r="1159" spans="18:31" s="105" customFormat="1">
      <c r="R1159" s="154"/>
      <c r="AB1159" s="130"/>
      <c r="AD1159" s="105" t="s">
        <v>2898</v>
      </c>
      <c r="AE1159" s="105" t="s">
        <v>1156</v>
      </c>
    </row>
    <row r="1160" spans="18:31" s="105" customFormat="1">
      <c r="R1160" s="154"/>
      <c r="AB1160" s="130"/>
      <c r="AD1160" s="105" t="s">
        <v>2898</v>
      </c>
      <c r="AE1160" s="105" t="s">
        <v>1157</v>
      </c>
    </row>
    <row r="1161" spans="18:31" s="105" customFormat="1">
      <c r="R1161" s="154"/>
      <c r="AB1161" s="130"/>
      <c r="AD1161" s="105" t="s">
        <v>2898</v>
      </c>
      <c r="AE1161" s="105" t="s">
        <v>1158</v>
      </c>
    </row>
    <row r="1162" spans="18:31" s="105" customFormat="1">
      <c r="R1162" s="154"/>
      <c r="AB1162" s="130"/>
      <c r="AD1162" s="105" t="s">
        <v>2898</v>
      </c>
      <c r="AE1162" s="105" t="s">
        <v>1159</v>
      </c>
    </row>
    <row r="1163" spans="18:31" s="105" customFormat="1">
      <c r="R1163" s="154"/>
      <c r="AB1163" s="130"/>
      <c r="AD1163" s="105" t="s">
        <v>2898</v>
      </c>
      <c r="AE1163" s="105" t="s">
        <v>1160</v>
      </c>
    </row>
    <row r="1164" spans="18:31" s="105" customFormat="1">
      <c r="R1164" s="154"/>
      <c r="AB1164" s="130"/>
      <c r="AD1164" s="105" t="s">
        <v>2898</v>
      </c>
      <c r="AE1164" s="105" t="s">
        <v>1161</v>
      </c>
    </row>
    <row r="1165" spans="18:31" s="105" customFormat="1">
      <c r="R1165" s="154"/>
      <c r="AB1165" s="130"/>
      <c r="AD1165" s="105" t="s">
        <v>2898</v>
      </c>
      <c r="AE1165" s="105" t="s">
        <v>1162</v>
      </c>
    </row>
    <row r="1166" spans="18:31" s="105" customFormat="1">
      <c r="R1166" s="154"/>
      <c r="AB1166" s="130"/>
      <c r="AD1166" s="105" t="s">
        <v>2898</v>
      </c>
      <c r="AE1166" s="105" t="s">
        <v>1163</v>
      </c>
    </row>
    <row r="1167" spans="18:31" s="105" customFormat="1">
      <c r="R1167" s="154"/>
      <c r="AB1167" s="130"/>
      <c r="AD1167" s="105" t="s">
        <v>2898</v>
      </c>
      <c r="AE1167" s="105" t="s">
        <v>1164</v>
      </c>
    </row>
    <row r="1168" spans="18:31" s="105" customFormat="1">
      <c r="R1168" s="154"/>
      <c r="AB1168" s="130"/>
      <c r="AD1168" s="105" t="s">
        <v>2898</v>
      </c>
      <c r="AE1168" s="105" t="s">
        <v>1165</v>
      </c>
    </row>
    <row r="1169" spans="18:31" s="105" customFormat="1">
      <c r="R1169" s="154"/>
      <c r="AB1169" s="130"/>
      <c r="AD1169" s="105" t="s">
        <v>2898</v>
      </c>
      <c r="AE1169" s="105" t="s">
        <v>1166</v>
      </c>
    </row>
    <row r="1170" spans="18:31" s="105" customFormat="1">
      <c r="R1170" s="154"/>
      <c r="AB1170" s="130"/>
      <c r="AD1170" s="105" t="s">
        <v>2898</v>
      </c>
      <c r="AE1170" s="105" t="s">
        <v>1167</v>
      </c>
    </row>
    <row r="1171" spans="18:31" s="105" customFormat="1">
      <c r="R1171" s="154"/>
      <c r="AB1171" s="130"/>
      <c r="AD1171" s="105" t="s">
        <v>2898</v>
      </c>
      <c r="AE1171" s="105" t="s">
        <v>1168</v>
      </c>
    </row>
    <row r="1172" spans="18:31" s="105" customFormat="1">
      <c r="R1172" s="154"/>
      <c r="AB1172" s="130"/>
      <c r="AD1172" s="105" t="s">
        <v>2898</v>
      </c>
      <c r="AE1172" s="105" t="s">
        <v>1169</v>
      </c>
    </row>
    <row r="1173" spans="18:31" s="105" customFormat="1">
      <c r="R1173" s="154"/>
      <c r="AB1173" s="130"/>
      <c r="AD1173" s="105" t="s">
        <v>2898</v>
      </c>
      <c r="AE1173" s="105" t="s">
        <v>1170</v>
      </c>
    </row>
    <row r="1174" spans="18:31" s="105" customFormat="1">
      <c r="R1174" s="154"/>
      <c r="AB1174" s="130"/>
      <c r="AD1174" s="105" t="s">
        <v>2898</v>
      </c>
      <c r="AE1174" s="105" t="s">
        <v>1171</v>
      </c>
    </row>
    <row r="1175" spans="18:31" s="105" customFormat="1">
      <c r="R1175" s="154"/>
      <c r="AB1175" s="130"/>
      <c r="AD1175" s="105" t="s">
        <v>2897</v>
      </c>
      <c r="AE1175" s="105" t="s">
        <v>1172</v>
      </c>
    </row>
    <row r="1176" spans="18:31" s="105" customFormat="1">
      <c r="R1176" s="154"/>
      <c r="AB1176" s="130"/>
      <c r="AD1176" s="105" t="s">
        <v>2985</v>
      </c>
      <c r="AE1176" s="105" t="s">
        <v>1173</v>
      </c>
    </row>
    <row r="1177" spans="18:31" s="105" customFormat="1">
      <c r="R1177" s="154"/>
      <c r="AB1177" s="130"/>
      <c r="AD1177" s="105" t="s">
        <v>2897</v>
      </c>
      <c r="AE1177" s="105" t="s">
        <v>1174</v>
      </c>
    </row>
    <row r="1178" spans="18:31" s="105" customFormat="1">
      <c r="R1178" s="154"/>
      <c r="AB1178" s="130"/>
      <c r="AD1178" s="105" t="s">
        <v>2898</v>
      </c>
      <c r="AE1178" s="105" t="s">
        <v>1175</v>
      </c>
    </row>
    <row r="1179" spans="18:31" s="105" customFormat="1">
      <c r="R1179" s="154"/>
      <c r="AB1179" s="130"/>
      <c r="AD1179" s="105" t="s">
        <v>2898</v>
      </c>
      <c r="AE1179" s="105" t="s">
        <v>1871</v>
      </c>
    </row>
    <row r="1180" spans="18:31" s="105" customFormat="1">
      <c r="R1180" s="154"/>
      <c r="AB1180" s="130"/>
      <c r="AD1180" s="105" t="s">
        <v>2898</v>
      </c>
      <c r="AE1180" s="105" t="s">
        <v>1176</v>
      </c>
    </row>
    <row r="1181" spans="18:31" s="105" customFormat="1">
      <c r="R1181" s="154"/>
      <c r="AB1181" s="130"/>
      <c r="AD1181" s="105" t="s">
        <v>2985</v>
      </c>
      <c r="AE1181" s="105" t="s">
        <v>1177</v>
      </c>
    </row>
    <row r="1182" spans="18:31" s="105" customFormat="1">
      <c r="R1182" s="154"/>
      <c r="AB1182" s="130"/>
      <c r="AD1182" s="105" t="s">
        <v>2985</v>
      </c>
      <c r="AE1182" s="105" t="s">
        <v>2611</v>
      </c>
    </row>
    <row r="1183" spans="18:31" s="105" customFormat="1">
      <c r="R1183" s="154"/>
      <c r="AB1183" s="130"/>
      <c r="AD1183" s="105" t="s">
        <v>2985</v>
      </c>
      <c r="AE1183" s="105" t="s">
        <v>1178</v>
      </c>
    </row>
    <row r="1184" spans="18:31" s="105" customFormat="1">
      <c r="R1184" s="154"/>
      <c r="AB1184" s="130"/>
      <c r="AD1184" s="105" t="s">
        <v>2985</v>
      </c>
      <c r="AE1184" s="105" t="s">
        <v>1179</v>
      </c>
    </row>
    <row r="1185" spans="18:31" s="105" customFormat="1">
      <c r="R1185" s="154"/>
      <c r="AB1185" s="130"/>
      <c r="AD1185" s="105" t="s">
        <v>2897</v>
      </c>
      <c r="AE1185" s="105" t="s">
        <v>1180</v>
      </c>
    </row>
    <row r="1186" spans="18:31" s="105" customFormat="1">
      <c r="R1186" s="154"/>
      <c r="AB1186" s="130"/>
      <c r="AD1186" s="105" t="s">
        <v>2985</v>
      </c>
      <c r="AE1186" s="105" t="s">
        <v>2620</v>
      </c>
    </row>
    <row r="1187" spans="18:31" s="105" customFormat="1">
      <c r="R1187" s="154"/>
      <c r="AB1187" s="130"/>
      <c r="AD1187" s="105" t="s">
        <v>2985</v>
      </c>
      <c r="AE1187" s="105" t="s">
        <v>1872</v>
      </c>
    </row>
    <row r="1188" spans="18:31" s="105" customFormat="1">
      <c r="R1188" s="154"/>
      <c r="AB1188" s="130"/>
      <c r="AD1188" s="105" t="s">
        <v>2985</v>
      </c>
      <c r="AE1188" s="105" t="s">
        <v>1181</v>
      </c>
    </row>
    <row r="1189" spans="18:31" s="105" customFormat="1">
      <c r="R1189" s="154"/>
      <c r="AB1189" s="130"/>
      <c r="AD1189" s="105" t="s">
        <v>2985</v>
      </c>
      <c r="AE1189" s="105" t="s">
        <v>2299</v>
      </c>
    </row>
    <row r="1190" spans="18:31" s="105" customFormat="1">
      <c r="R1190" s="154"/>
      <c r="AB1190" s="130"/>
      <c r="AD1190" s="105" t="s">
        <v>2535</v>
      </c>
      <c r="AE1190" s="105" t="s">
        <v>1182</v>
      </c>
    </row>
    <row r="1191" spans="18:31" s="105" customFormat="1">
      <c r="R1191" s="154"/>
      <c r="AB1191" s="130"/>
      <c r="AD1191" s="105" t="s">
        <v>2986</v>
      </c>
      <c r="AE1191" s="105" t="s">
        <v>1183</v>
      </c>
    </row>
    <row r="1192" spans="18:31" s="105" customFormat="1">
      <c r="R1192" s="154"/>
      <c r="AB1192" s="130"/>
      <c r="AD1192" s="105" t="s">
        <v>2986</v>
      </c>
      <c r="AE1192" s="105" t="s">
        <v>1184</v>
      </c>
    </row>
    <row r="1193" spans="18:31" s="105" customFormat="1">
      <c r="R1193" s="154"/>
      <c r="AB1193" s="130"/>
      <c r="AD1193" s="105" t="s">
        <v>2905</v>
      </c>
      <c r="AE1193" s="105" t="s">
        <v>1185</v>
      </c>
    </row>
    <row r="1194" spans="18:31" s="105" customFormat="1">
      <c r="R1194" s="154"/>
      <c r="AB1194" s="130"/>
      <c r="AD1194" s="105" t="s">
        <v>2905</v>
      </c>
      <c r="AE1194" s="105" t="s">
        <v>1186</v>
      </c>
    </row>
    <row r="1195" spans="18:31" s="105" customFormat="1">
      <c r="R1195" s="154"/>
      <c r="AB1195" s="130"/>
      <c r="AD1195" s="105" t="s">
        <v>2986</v>
      </c>
      <c r="AE1195" s="105" t="s">
        <v>1187</v>
      </c>
    </row>
    <row r="1196" spans="18:31" s="105" customFormat="1">
      <c r="R1196" s="154"/>
      <c r="AB1196" s="130"/>
      <c r="AD1196" s="105" t="s">
        <v>2986</v>
      </c>
      <c r="AE1196" s="105" t="s">
        <v>1188</v>
      </c>
    </row>
    <row r="1197" spans="18:31" s="105" customFormat="1">
      <c r="R1197" s="154"/>
      <c r="AB1197" s="130"/>
      <c r="AD1197" s="105" t="s">
        <v>2986</v>
      </c>
      <c r="AE1197" s="105" t="s">
        <v>1189</v>
      </c>
    </row>
    <row r="1198" spans="18:31" s="105" customFormat="1">
      <c r="R1198" s="154"/>
      <c r="AB1198" s="130"/>
      <c r="AD1198" s="105" t="s">
        <v>2986</v>
      </c>
      <c r="AE1198" s="105" t="s">
        <v>2257</v>
      </c>
    </row>
    <row r="1199" spans="18:31" s="105" customFormat="1">
      <c r="R1199" s="154"/>
      <c r="AB1199" s="130"/>
      <c r="AD1199" s="105" t="s">
        <v>2986</v>
      </c>
      <c r="AE1199" s="105" t="s">
        <v>1190</v>
      </c>
    </row>
    <row r="1200" spans="18:31" s="105" customFormat="1">
      <c r="R1200" s="154"/>
      <c r="AB1200" s="130"/>
      <c r="AD1200" s="105" t="s">
        <v>2902</v>
      </c>
      <c r="AE1200" s="105" t="s">
        <v>1191</v>
      </c>
    </row>
    <row r="1201" spans="18:31" s="105" customFormat="1">
      <c r="R1201" s="154"/>
      <c r="AB1201" s="130"/>
      <c r="AD1201" s="105" t="s">
        <v>2986</v>
      </c>
      <c r="AE1201" s="105" t="s">
        <v>1192</v>
      </c>
    </row>
    <row r="1202" spans="18:31" s="105" customFormat="1">
      <c r="R1202" s="154"/>
      <c r="AB1202" s="130"/>
      <c r="AD1202" s="105" t="s">
        <v>2986</v>
      </c>
      <c r="AE1202" s="105" t="s">
        <v>1193</v>
      </c>
    </row>
    <row r="1203" spans="18:31" s="105" customFormat="1">
      <c r="R1203" s="154"/>
      <c r="AB1203" s="130"/>
      <c r="AD1203" s="105" t="s">
        <v>2986</v>
      </c>
      <c r="AE1203" s="105" t="s">
        <v>1194</v>
      </c>
    </row>
    <row r="1204" spans="18:31" s="105" customFormat="1">
      <c r="R1204" s="154"/>
      <c r="AB1204" s="130"/>
      <c r="AD1204" s="105" t="s">
        <v>2986</v>
      </c>
      <c r="AE1204" s="105" t="s">
        <v>1195</v>
      </c>
    </row>
    <row r="1205" spans="18:31" s="105" customFormat="1">
      <c r="R1205" s="154"/>
      <c r="AB1205" s="130"/>
      <c r="AD1205" s="105" t="s">
        <v>2986</v>
      </c>
      <c r="AE1205" s="105" t="s">
        <v>1196</v>
      </c>
    </row>
    <row r="1206" spans="18:31" s="105" customFormat="1">
      <c r="R1206" s="154"/>
      <c r="AB1206" s="130"/>
      <c r="AD1206" s="105" t="s">
        <v>2902</v>
      </c>
      <c r="AE1206" s="105" t="s">
        <v>1197</v>
      </c>
    </row>
    <row r="1207" spans="18:31" s="105" customFormat="1">
      <c r="R1207" s="154"/>
      <c r="AB1207" s="130"/>
      <c r="AD1207" s="105" t="s">
        <v>2986</v>
      </c>
      <c r="AE1207" s="105" t="s">
        <v>1198</v>
      </c>
    </row>
    <row r="1208" spans="18:31" s="105" customFormat="1">
      <c r="R1208" s="154"/>
      <c r="AB1208" s="130"/>
      <c r="AD1208" s="105" t="s">
        <v>2904</v>
      </c>
      <c r="AE1208" s="105" t="s">
        <v>1199</v>
      </c>
    </row>
    <row r="1209" spans="18:31" s="105" customFormat="1">
      <c r="R1209" s="154"/>
      <c r="AB1209" s="130"/>
      <c r="AD1209" s="105" t="s">
        <v>2986</v>
      </c>
      <c r="AE1209" s="105" t="s">
        <v>1200</v>
      </c>
    </row>
    <row r="1210" spans="18:31" s="105" customFormat="1">
      <c r="R1210" s="154"/>
      <c r="AB1210" s="130"/>
      <c r="AD1210" s="105" t="s">
        <v>2986</v>
      </c>
      <c r="AE1210" s="105" t="s">
        <v>1201</v>
      </c>
    </row>
    <row r="1211" spans="18:31" s="105" customFormat="1">
      <c r="R1211" s="154"/>
      <c r="AB1211" s="130"/>
      <c r="AD1211" s="105" t="s">
        <v>2902</v>
      </c>
      <c r="AE1211" s="105" t="s">
        <v>1202</v>
      </c>
    </row>
    <row r="1212" spans="18:31" s="105" customFormat="1">
      <c r="R1212" s="154"/>
      <c r="AB1212" s="130"/>
      <c r="AD1212" s="105" t="s">
        <v>2986</v>
      </c>
      <c r="AE1212" s="105" t="s">
        <v>1203</v>
      </c>
    </row>
    <row r="1213" spans="18:31" s="105" customFormat="1">
      <c r="R1213" s="154"/>
      <c r="AB1213" s="130"/>
      <c r="AD1213" s="105" t="s">
        <v>2986</v>
      </c>
      <c r="AE1213" s="105" t="s">
        <v>1873</v>
      </c>
    </row>
    <row r="1214" spans="18:31" s="105" customFormat="1">
      <c r="R1214" s="154"/>
      <c r="AB1214" s="130"/>
      <c r="AD1214" s="105" t="s">
        <v>2986</v>
      </c>
      <c r="AE1214" s="105" t="s">
        <v>2647</v>
      </c>
    </row>
    <row r="1215" spans="18:31" s="105" customFormat="1">
      <c r="R1215" s="154"/>
      <c r="AB1215" s="130"/>
      <c r="AD1215" s="105" t="s">
        <v>2986</v>
      </c>
      <c r="AE1215" s="105" t="s">
        <v>1874</v>
      </c>
    </row>
    <row r="1216" spans="18:31" s="105" customFormat="1">
      <c r="R1216" s="154"/>
      <c r="AB1216" s="130"/>
      <c r="AD1216" s="105" t="s">
        <v>2903</v>
      </c>
      <c r="AE1216" s="105" t="s">
        <v>1204</v>
      </c>
    </row>
    <row r="1217" spans="18:31" s="105" customFormat="1">
      <c r="R1217" s="154"/>
      <c r="AB1217" s="130"/>
      <c r="AD1217" s="105" t="s">
        <v>2903</v>
      </c>
      <c r="AE1217" s="105" t="s">
        <v>1205</v>
      </c>
    </row>
    <row r="1218" spans="18:31" s="105" customFormat="1">
      <c r="R1218" s="154"/>
      <c r="AB1218" s="130"/>
      <c r="AD1218" s="105" t="s">
        <v>2903</v>
      </c>
      <c r="AE1218" s="105" t="s">
        <v>1206</v>
      </c>
    </row>
    <row r="1219" spans="18:31" s="105" customFormat="1">
      <c r="R1219" s="154"/>
      <c r="AB1219" s="130"/>
      <c r="AD1219" s="105" t="s">
        <v>2903</v>
      </c>
      <c r="AE1219" s="105" t="s">
        <v>1207</v>
      </c>
    </row>
    <row r="1220" spans="18:31" s="105" customFormat="1">
      <c r="R1220" s="154"/>
      <c r="AB1220" s="130"/>
      <c r="AD1220" s="105" t="s">
        <v>2903</v>
      </c>
      <c r="AE1220" s="105" t="s">
        <v>1208</v>
      </c>
    </row>
    <row r="1221" spans="18:31" s="105" customFormat="1">
      <c r="R1221" s="154"/>
      <c r="AB1221" s="130"/>
      <c r="AD1221" s="105" t="s">
        <v>2903</v>
      </c>
      <c r="AE1221" s="105" t="s">
        <v>1209</v>
      </c>
    </row>
    <row r="1222" spans="18:31" s="105" customFormat="1">
      <c r="R1222" s="154"/>
      <c r="AB1222" s="130"/>
      <c r="AD1222" s="105" t="s">
        <v>2903</v>
      </c>
      <c r="AE1222" s="105" t="s">
        <v>1210</v>
      </c>
    </row>
    <row r="1223" spans="18:31" s="105" customFormat="1">
      <c r="R1223" s="154"/>
      <c r="AB1223" s="130"/>
      <c r="AD1223" s="105" t="s">
        <v>2901</v>
      </c>
      <c r="AE1223" s="105" t="s">
        <v>1211</v>
      </c>
    </row>
    <row r="1224" spans="18:31" s="105" customFormat="1">
      <c r="R1224" s="154"/>
      <c r="AB1224" s="130"/>
      <c r="AD1224" s="105" t="s">
        <v>2903</v>
      </c>
      <c r="AE1224" s="105" t="s">
        <v>1212</v>
      </c>
    </row>
    <row r="1225" spans="18:31" s="105" customFormat="1">
      <c r="R1225" s="154"/>
      <c r="AB1225" s="130"/>
      <c r="AD1225" s="105" t="s">
        <v>2903</v>
      </c>
      <c r="AE1225" s="105" t="s">
        <v>1213</v>
      </c>
    </row>
    <row r="1226" spans="18:31" s="105" customFormat="1">
      <c r="R1226" s="154"/>
      <c r="AB1226" s="130"/>
      <c r="AD1226" s="105" t="s">
        <v>2903</v>
      </c>
      <c r="AE1226" s="105" t="s">
        <v>1214</v>
      </c>
    </row>
    <row r="1227" spans="18:31" s="105" customFormat="1">
      <c r="R1227" s="154"/>
      <c r="AB1227" s="130"/>
      <c r="AD1227" s="105" t="s">
        <v>2903</v>
      </c>
      <c r="AE1227" s="105" t="s">
        <v>1215</v>
      </c>
    </row>
    <row r="1228" spans="18:31" s="105" customFormat="1">
      <c r="R1228" s="154"/>
      <c r="AB1228" s="130"/>
      <c r="AD1228" s="105" t="s">
        <v>2903</v>
      </c>
      <c r="AE1228" s="105" t="s">
        <v>1216</v>
      </c>
    </row>
    <row r="1229" spans="18:31" s="105" customFormat="1">
      <c r="R1229" s="154"/>
      <c r="AB1229" s="130"/>
      <c r="AD1229" s="105" t="s">
        <v>2903</v>
      </c>
      <c r="AE1229" s="105" t="s">
        <v>1217</v>
      </c>
    </row>
    <row r="1230" spans="18:31" s="105" customFormat="1">
      <c r="R1230" s="154"/>
      <c r="AB1230" s="130"/>
      <c r="AD1230" s="105" t="s">
        <v>2903</v>
      </c>
      <c r="AE1230" s="105" t="s">
        <v>1218</v>
      </c>
    </row>
    <row r="1231" spans="18:31" s="105" customFormat="1">
      <c r="R1231" s="154"/>
      <c r="AB1231" s="130"/>
      <c r="AD1231" s="105" t="s">
        <v>2903</v>
      </c>
      <c r="AE1231" s="105" t="s">
        <v>1219</v>
      </c>
    </row>
    <row r="1232" spans="18:31" s="105" customFormat="1">
      <c r="R1232" s="154"/>
      <c r="AB1232" s="130"/>
      <c r="AD1232" s="105" t="s">
        <v>2903</v>
      </c>
      <c r="AE1232" s="105" t="s">
        <v>1220</v>
      </c>
    </row>
    <row r="1233" spans="18:31" s="105" customFormat="1">
      <c r="R1233" s="154"/>
      <c r="AB1233" s="130"/>
      <c r="AD1233" s="105" t="s">
        <v>2903</v>
      </c>
      <c r="AE1233" s="105" t="s">
        <v>1221</v>
      </c>
    </row>
    <row r="1234" spans="18:31" s="105" customFormat="1">
      <c r="R1234" s="154"/>
      <c r="AB1234" s="130"/>
      <c r="AD1234" s="105" t="s">
        <v>2903</v>
      </c>
      <c r="AE1234" s="105" t="s">
        <v>1222</v>
      </c>
    </row>
    <row r="1235" spans="18:31" s="105" customFormat="1">
      <c r="R1235" s="154"/>
      <c r="AB1235" s="130"/>
      <c r="AD1235" s="105" t="s">
        <v>2903</v>
      </c>
      <c r="AE1235" s="105" t="s">
        <v>1223</v>
      </c>
    </row>
    <row r="1236" spans="18:31" s="105" customFormat="1">
      <c r="R1236" s="154"/>
      <c r="AB1236" s="130"/>
      <c r="AD1236" s="105" t="s">
        <v>2903</v>
      </c>
      <c r="AE1236" s="105" t="s">
        <v>1224</v>
      </c>
    </row>
    <row r="1237" spans="18:31" s="105" customFormat="1">
      <c r="R1237" s="154"/>
      <c r="AB1237" s="130"/>
      <c r="AD1237" s="105" t="s">
        <v>2903</v>
      </c>
      <c r="AE1237" s="105" t="s">
        <v>1225</v>
      </c>
    </row>
    <row r="1238" spans="18:31" s="105" customFormat="1">
      <c r="R1238" s="154"/>
      <c r="AB1238" s="130"/>
      <c r="AD1238" s="105" t="s">
        <v>2903</v>
      </c>
      <c r="AE1238" s="105" t="s">
        <v>1226</v>
      </c>
    </row>
    <row r="1239" spans="18:31" s="105" customFormat="1">
      <c r="R1239" s="154"/>
      <c r="AB1239" s="130"/>
      <c r="AD1239" s="105" t="s">
        <v>2903</v>
      </c>
      <c r="AE1239" s="105" t="s">
        <v>1227</v>
      </c>
    </row>
    <row r="1240" spans="18:31" s="105" customFormat="1">
      <c r="R1240" s="154"/>
      <c r="AB1240" s="130"/>
      <c r="AD1240" s="105" t="s">
        <v>2902</v>
      </c>
      <c r="AE1240" s="105" t="s">
        <v>1228</v>
      </c>
    </row>
    <row r="1241" spans="18:31" s="105" customFormat="1">
      <c r="R1241" s="154"/>
      <c r="AB1241" s="130"/>
      <c r="AD1241" s="105" t="s">
        <v>2986</v>
      </c>
      <c r="AE1241" s="105" t="s">
        <v>1229</v>
      </c>
    </row>
    <row r="1242" spans="18:31" s="105" customFormat="1">
      <c r="R1242" s="154"/>
      <c r="AB1242" s="130"/>
      <c r="AD1242" s="105" t="s">
        <v>2902</v>
      </c>
      <c r="AE1242" s="105" t="s">
        <v>1230</v>
      </c>
    </row>
    <row r="1243" spans="18:31" s="105" customFormat="1">
      <c r="R1243" s="154"/>
      <c r="AB1243" s="130"/>
      <c r="AD1243" s="105" t="s">
        <v>2903</v>
      </c>
      <c r="AE1243" s="105" t="s">
        <v>1231</v>
      </c>
    </row>
    <row r="1244" spans="18:31" s="105" customFormat="1">
      <c r="R1244" s="154"/>
      <c r="AB1244" s="130"/>
      <c r="AD1244" s="105" t="s">
        <v>2903</v>
      </c>
      <c r="AE1244" s="105" t="s">
        <v>1875</v>
      </c>
    </row>
    <row r="1245" spans="18:31" s="105" customFormat="1">
      <c r="R1245" s="154"/>
      <c r="AB1245" s="130"/>
      <c r="AD1245" s="105" t="s">
        <v>2903</v>
      </c>
      <c r="AE1245" s="105" t="s">
        <v>1232</v>
      </c>
    </row>
    <row r="1246" spans="18:31" s="105" customFormat="1">
      <c r="R1246" s="154"/>
      <c r="AB1246" s="130"/>
      <c r="AD1246" s="105" t="s">
        <v>2986</v>
      </c>
      <c r="AE1246" s="105" t="s">
        <v>1233</v>
      </c>
    </row>
    <row r="1247" spans="18:31" s="105" customFormat="1">
      <c r="R1247" s="154"/>
      <c r="AB1247" s="130"/>
      <c r="AD1247" s="105" t="s">
        <v>2986</v>
      </c>
      <c r="AE1247" s="105" t="s">
        <v>2649</v>
      </c>
    </row>
    <row r="1248" spans="18:31" s="105" customFormat="1">
      <c r="R1248" s="154"/>
      <c r="AB1248" s="130"/>
      <c r="AD1248" s="105" t="s">
        <v>2986</v>
      </c>
      <c r="AE1248" s="105" t="s">
        <v>1234</v>
      </c>
    </row>
    <row r="1249" spans="18:31" s="105" customFormat="1">
      <c r="R1249" s="154"/>
      <c r="AB1249" s="130"/>
      <c r="AD1249" s="105" t="s">
        <v>2986</v>
      </c>
      <c r="AE1249" s="105" t="s">
        <v>1235</v>
      </c>
    </row>
    <row r="1250" spans="18:31" s="105" customFormat="1">
      <c r="R1250" s="154"/>
      <c r="AB1250" s="130"/>
      <c r="AD1250" s="105" t="s">
        <v>2902</v>
      </c>
      <c r="AE1250" s="105" t="s">
        <v>1236</v>
      </c>
    </row>
    <row r="1251" spans="18:31" s="105" customFormat="1">
      <c r="R1251" s="154"/>
      <c r="AB1251" s="130"/>
      <c r="AD1251" s="105" t="s">
        <v>2986</v>
      </c>
      <c r="AE1251" s="105" t="s">
        <v>2651</v>
      </c>
    </row>
    <row r="1252" spans="18:31" s="105" customFormat="1">
      <c r="R1252" s="154"/>
      <c r="AB1252" s="130"/>
      <c r="AD1252" s="105" t="s">
        <v>2986</v>
      </c>
      <c r="AE1252" s="105" t="s">
        <v>1876</v>
      </c>
    </row>
    <row r="1253" spans="18:31" s="105" customFormat="1">
      <c r="R1253" s="154"/>
      <c r="AB1253" s="130"/>
      <c r="AD1253" s="105" t="s">
        <v>2986</v>
      </c>
      <c r="AE1253" s="105" t="s">
        <v>1237</v>
      </c>
    </row>
    <row r="1254" spans="18:31" s="105" customFormat="1">
      <c r="R1254" s="154"/>
      <c r="AB1254" s="130"/>
      <c r="AD1254" s="105" t="s">
        <v>2986</v>
      </c>
      <c r="AE1254" s="105" t="s">
        <v>2302</v>
      </c>
    </row>
    <row r="1255" spans="18:31" s="105" customFormat="1">
      <c r="R1255" s="154"/>
      <c r="AB1255" s="130"/>
      <c r="AD1255" s="105" t="s">
        <v>2536</v>
      </c>
      <c r="AE1255" s="105" t="s">
        <v>1238</v>
      </c>
    </row>
    <row r="1256" spans="18:31" s="105" customFormat="1">
      <c r="R1256" s="154"/>
      <c r="AB1256" s="130"/>
      <c r="AD1256" s="105" t="s">
        <v>2987</v>
      </c>
      <c r="AE1256" s="105" t="s">
        <v>1239</v>
      </c>
    </row>
    <row r="1257" spans="18:31" s="105" customFormat="1">
      <c r="R1257" s="154"/>
      <c r="AB1257" s="130"/>
      <c r="AD1257" s="105" t="s">
        <v>2987</v>
      </c>
      <c r="AE1257" s="105" t="s">
        <v>1240</v>
      </c>
    </row>
    <row r="1258" spans="18:31" s="105" customFormat="1">
      <c r="R1258" s="154"/>
      <c r="AB1258" s="130"/>
      <c r="AD1258" s="105" t="s">
        <v>2910</v>
      </c>
      <c r="AE1258" s="105" t="s">
        <v>1241</v>
      </c>
    </row>
    <row r="1259" spans="18:31" s="105" customFormat="1">
      <c r="R1259" s="154"/>
      <c r="AB1259" s="130"/>
      <c r="AD1259" s="105" t="s">
        <v>2910</v>
      </c>
      <c r="AE1259" s="105" t="s">
        <v>1242</v>
      </c>
    </row>
    <row r="1260" spans="18:31" s="105" customFormat="1">
      <c r="R1260" s="154"/>
      <c r="AB1260" s="130"/>
      <c r="AD1260" s="105" t="s">
        <v>2987</v>
      </c>
      <c r="AE1260" s="105" t="s">
        <v>1243</v>
      </c>
    </row>
    <row r="1261" spans="18:31" s="105" customFormat="1">
      <c r="R1261" s="154"/>
      <c r="AB1261" s="130"/>
      <c r="AD1261" s="105" t="s">
        <v>2987</v>
      </c>
      <c r="AE1261" s="105" t="s">
        <v>1244</v>
      </c>
    </row>
    <row r="1262" spans="18:31" s="105" customFormat="1">
      <c r="R1262" s="154"/>
      <c r="AB1262" s="130"/>
      <c r="AD1262" s="105" t="s">
        <v>2987</v>
      </c>
      <c r="AE1262" s="105" t="s">
        <v>1245</v>
      </c>
    </row>
    <row r="1263" spans="18:31" s="105" customFormat="1">
      <c r="R1263" s="154"/>
      <c r="AB1263" s="130"/>
      <c r="AD1263" s="105" t="s">
        <v>2987</v>
      </c>
      <c r="AE1263" s="105" t="s">
        <v>2258</v>
      </c>
    </row>
    <row r="1264" spans="18:31" s="105" customFormat="1">
      <c r="R1264" s="154"/>
      <c r="AB1264" s="130"/>
      <c r="AD1264" s="105" t="s">
        <v>2987</v>
      </c>
      <c r="AE1264" s="105" t="s">
        <v>1246</v>
      </c>
    </row>
    <row r="1265" spans="18:31" s="105" customFormat="1">
      <c r="R1265" s="154"/>
      <c r="AB1265" s="130"/>
      <c r="AD1265" s="105" t="s">
        <v>2907</v>
      </c>
      <c r="AE1265" s="105" t="s">
        <v>1247</v>
      </c>
    </row>
    <row r="1266" spans="18:31" s="105" customFormat="1">
      <c r="R1266" s="154"/>
      <c r="AB1266" s="130"/>
      <c r="AD1266" s="105" t="s">
        <v>2987</v>
      </c>
      <c r="AE1266" s="105" t="s">
        <v>1248</v>
      </c>
    </row>
    <row r="1267" spans="18:31" s="105" customFormat="1">
      <c r="R1267" s="154"/>
      <c r="AB1267" s="130"/>
      <c r="AD1267" s="105" t="s">
        <v>2987</v>
      </c>
      <c r="AE1267" s="105" t="s">
        <v>1249</v>
      </c>
    </row>
    <row r="1268" spans="18:31" s="105" customFormat="1">
      <c r="R1268" s="154"/>
      <c r="AB1268" s="130"/>
      <c r="AD1268" s="105" t="s">
        <v>2987</v>
      </c>
      <c r="AE1268" s="105" t="s">
        <v>1250</v>
      </c>
    </row>
    <row r="1269" spans="18:31" s="105" customFormat="1">
      <c r="R1269" s="154"/>
      <c r="AB1269" s="130"/>
      <c r="AD1269" s="105" t="s">
        <v>2987</v>
      </c>
      <c r="AE1269" s="105" t="s">
        <v>1251</v>
      </c>
    </row>
    <row r="1270" spans="18:31" s="105" customFormat="1">
      <c r="R1270" s="154"/>
      <c r="AB1270" s="130"/>
      <c r="AD1270" s="105" t="s">
        <v>2987</v>
      </c>
      <c r="AE1270" s="105" t="s">
        <v>1252</v>
      </c>
    </row>
    <row r="1271" spans="18:31" s="105" customFormat="1">
      <c r="R1271" s="154"/>
      <c r="AB1271" s="130"/>
      <c r="AD1271" s="105" t="s">
        <v>2907</v>
      </c>
      <c r="AE1271" s="105" t="s">
        <v>1253</v>
      </c>
    </row>
    <row r="1272" spans="18:31" s="105" customFormat="1">
      <c r="R1272" s="154"/>
      <c r="AB1272" s="130"/>
      <c r="AD1272" s="105" t="s">
        <v>2987</v>
      </c>
      <c r="AE1272" s="105" t="s">
        <v>1254</v>
      </c>
    </row>
    <row r="1273" spans="18:31" s="105" customFormat="1">
      <c r="R1273" s="154"/>
      <c r="AB1273" s="130"/>
      <c r="AD1273" s="105" t="s">
        <v>2909</v>
      </c>
      <c r="AE1273" s="105" t="s">
        <v>1255</v>
      </c>
    </row>
    <row r="1274" spans="18:31" s="105" customFormat="1">
      <c r="R1274" s="154"/>
      <c r="AB1274" s="130"/>
      <c r="AD1274" s="105" t="s">
        <v>2987</v>
      </c>
      <c r="AE1274" s="105" t="s">
        <v>1256</v>
      </c>
    </row>
    <row r="1275" spans="18:31" s="105" customFormat="1">
      <c r="R1275" s="154"/>
      <c r="AB1275" s="130"/>
      <c r="AD1275" s="105" t="s">
        <v>2987</v>
      </c>
      <c r="AE1275" s="105" t="s">
        <v>1257</v>
      </c>
    </row>
    <row r="1276" spans="18:31" s="105" customFormat="1">
      <c r="R1276" s="154"/>
      <c r="AB1276" s="130"/>
      <c r="AD1276" s="105" t="s">
        <v>2907</v>
      </c>
      <c r="AE1276" s="105" t="s">
        <v>1258</v>
      </c>
    </row>
    <row r="1277" spans="18:31" s="105" customFormat="1">
      <c r="R1277" s="154"/>
      <c r="AB1277" s="130"/>
      <c r="AD1277" s="105" t="s">
        <v>2987</v>
      </c>
      <c r="AE1277" s="105" t="s">
        <v>1259</v>
      </c>
    </row>
    <row r="1278" spans="18:31" s="105" customFormat="1">
      <c r="R1278" s="154"/>
      <c r="AB1278" s="130"/>
      <c r="AD1278" s="105" t="s">
        <v>2987</v>
      </c>
      <c r="AE1278" s="105" t="s">
        <v>1877</v>
      </c>
    </row>
    <row r="1279" spans="18:31" s="105" customFormat="1">
      <c r="R1279" s="154"/>
      <c r="AB1279" s="130"/>
      <c r="AD1279" s="105" t="s">
        <v>2987</v>
      </c>
      <c r="AE1279" s="105" t="s">
        <v>2661</v>
      </c>
    </row>
    <row r="1280" spans="18:31" s="105" customFormat="1">
      <c r="R1280" s="154"/>
      <c r="AB1280" s="130"/>
      <c r="AD1280" s="105" t="s">
        <v>2987</v>
      </c>
      <c r="AE1280" s="105" t="s">
        <v>1878</v>
      </c>
    </row>
    <row r="1281" spans="18:31" s="105" customFormat="1">
      <c r="R1281" s="154"/>
      <c r="AB1281" s="130"/>
      <c r="AD1281" s="105" t="s">
        <v>2908</v>
      </c>
      <c r="AE1281" s="105" t="s">
        <v>1260</v>
      </c>
    </row>
    <row r="1282" spans="18:31" s="105" customFormat="1">
      <c r="R1282" s="154"/>
      <c r="AB1282" s="130"/>
      <c r="AD1282" s="105" t="s">
        <v>2908</v>
      </c>
      <c r="AE1282" s="105" t="s">
        <v>1261</v>
      </c>
    </row>
    <row r="1283" spans="18:31" s="105" customFormat="1">
      <c r="R1283" s="154"/>
      <c r="AB1283" s="130"/>
      <c r="AD1283" s="105" t="s">
        <v>2908</v>
      </c>
      <c r="AE1283" s="105" t="s">
        <v>1262</v>
      </c>
    </row>
    <row r="1284" spans="18:31" s="105" customFormat="1">
      <c r="R1284" s="154"/>
      <c r="AB1284" s="130"/>
      <c r="AD1284" s="105" t="s">
        <v>2908</v>
      </c>
      <c r="AE1284" s="105" t="s">
        <v>1263</v>
      </c>
    </row>
    <row r="1285" spans="18:31" s="105" customFormat="1">
      <c r="R1285" s="154"/>
      <c r="AB1285" s="130"/>
      <c r="AD1285" s="105" t="s">
        <v>2908</v>
      </c>
      <c r="AE1285" s="105" t="s">
        <v>1264</v>
      </c>
    </row>
    <row r="1286" spans="18:31" s="105" customFormat="1">
      <c r="R1286" s="154"/>
      <c r="AB1286" s="130"/>
      <c r="AD1286" s="105" t="s">
        <v>2908</v>
      </c>
      <c r="AE1286" s="105" t="s">
        <v>1265</v>
      </c>
    </row>
    <row r="1287" spans="18:31" s="105" customFormat="1">
      <c r="R1287" s="154"/>
      <c r="AB1287" s="130"/>
      <c r="AD1287" s="105" t="s">
        <v>2908</v>
      </c>
      <c r="AE1287" s="105" t="s">
        <v>1266</v>
      </c>
    </row>
    <row r="1288" spans="18:31" s="105" customFormat="1">
      <c r="R1288" s="154"/>
      <c r="AB1288" s="130"/>
      <c r="AD1288" s="105" t="s">
        <v>2906</v>
      </c>
      <c r="AE1288" s="105" t="s">
        <v>1267</v>
      </c>
    </row>
    <row r="1289" spans="18:31" s="105" customFormat="1">
      <c r="R1289" s="154"/>
      <c r="AB1289" s="130"/>
      <c r="AD1289" s="105" t="s">
        <v>2908</v>
      </c>
      <c r="AE1289" s="105" t="s">
        <v>1268</v>
      </c>
    </row>
    <row r="1290" spans="18:31" s="105" customFormat="1">
      <c r="R1290" s="154"/>
      <c r="AB1290" s="130"/>
      <c r="AD1290" s="105" t="s">
        <v>2908</v>
      </c>
      <c r="AE1290" s="105" t="s">
        <v>1269</v>
      </c>
    </row>
    <row r="1291" spans="18:31" s="105" customFormat="1">
      <c r="R1291" s="154"/>
      <c r="AB1291" s="130"/>
      <c r="AD1291" s="105" t="s">
        <v>2908</v>
      </c>
      <c r="AE1291" s="105" t="s">
        <v>1270</v>
      </c>
    </row>
    <row r="1292" spans="18:31" s="105" customFormat="1">
      <c r="R1292" s="154"/>
      <c r="AB1292" s="130"/>
      <c r="AD1292" s="105" t="s">
        <v>2908</v>
      </c>
      <c r="AE1292" s="105" t="s">
        <v>1271</v>
      </c>
    </row>
    <row r="1293" spans="18:31" s="105" customFormat="1">
      <c r="R1293" s="154"/>
      <c r="AB1293" s="130"/>
      <c r="AD1293" s="105" t="s">
        <v>2908</v>
      </c>
      <c r="AE1293" s="105" t="s">
        <v>1272</v>
      </c>
    </row>
    <row r="1294" spans="18:31" s="105" customFormat="1">
      <c r="R1294" s="154"/>
      <c r="AB1294" s="130"/>
      <c r="AD1294" s="105" t="s">
        <v>2908</v>
      </c>
      <c r="AE1294" s="105" t="s">
        <v>1273</v>
      </c>
    </row>
    <row r="1295" spans="18:31" s="105" customFormat="1">
      <c r="R1295" s="154"/>
      <c r="AB1295" s="130"/>
      <c r="AD1295" s="105" t="s">
        <v>2908</v>
      </c>
      <c r="AE1295" s="105" t="s">
        <v>1274</v>
      </c>
    </row>
    <row r="1296" spans="18:31" s="105" customFormat="1">
      <c r="R1296" s="154"/>
      <c r="AB1296" s="130"/>
      <c r="AD1296" s="105" t="s">
        <v>2908</v>
      </c>
      <c r="AE1296" s="105" t="s">
        <v>1275</v>
      </c>
    </row>
    <row r="1297" spans="18:31" s="105" customFormat="1">
      <c r="R1297" s="154"/>
      <c r="AB1297" s="130"/>
      <c r="AD1297" s="105" t="s">
        <v>2908</v>
      </c>
      <c r="AE1297" s="105" t="s">
        <v>1276</v>
      </c>
    </row>
    <row r="1298" spans="18:31" s="105" customFormat="1">
      <c r="R1298" s="154"/>
      <c r="AB1298" s="130"/>
      <c r="AD1298" s="105" t="s">
        <v>2908</v>
      </c>
      <c r="AE1298" s="105" t="s">
        <v>1277</v>
      </c>
    </row>
    <row r="1299" spans="18:31" s="105" customFormat="1">
      <c r="R1299" s="154"/>
      <c r="AB1299" s="130"/>
      <c r="AD1299" s="105" t="s">
        <v>2908</v>
      </c>
      <c r="AE1299" s="105" t="s">
        <v>1278</v>
      </c>
    </row>
    <row r="1300" spans="18:31" s="105" customFormat="1">
      <c r="R1300" s="154"/>
      <c r="AB1300" s="130"/>
      <c r="AD1300" s="105" t="s">
        <v>2908</v>
      </c>
      <c r="AE1300" s="105" t="s">
        <v>1279</v>
      </c>
    </row>
    <row r="1301" spans="18:31" s="105" customFormat="1">
      <c r="R1301" s="154"/>
      <c r="AB1301" s="130"/>
      <c r="AD1301" s="105" t="s">
        <v>2908</v>
      </c>
      <c r="AE1301" s="105" t="s">
        <v>1280</v>
      </c>
    </row>
    <row r="1302" spans="18:31" s="105" customFormat="1">
      <c r="R1302" s="154"/>
      <c r="AB1302" s="130"/>
      <c r="AD1302" s="105" t="s">
        <v>2908</v>
      </c>
      <c r="AE1302" s="105" t="s">
        <v>1281</v>
      </c>
    </row>
    <row r="1303" spans="18:31" s="105" customFormat="1">
      <c r="R1303" s="154"/>
      <c r="AB1303" s="130"/>
      <c r="AD1303" s="105" t="s">
        <v>2908</v>
      </c>
      <c r="AE1303" s="105" t="s">
        <v>1282</v>
      </c>
    </row>
    <row r="1304" spans="18:31" s="105" customFormat="1">
      <c r="R1304" s="154"/>
      <c r="AB1304" s="130"/>
      <c r="AD1304" s="105" t="s">
        <v>2908</v>
      </c>
      <c r="AE1304" s="105" t="s">
        <v>1283</v>
      </c>
    </row>
    <row r="1305" spans="18:31" s="105" customFormat="1">
      <c r="R1305" s="154"/>
      <c r="AB1305" s="130"/>
      <c r="AD1305" s="105" t="s">
        <v>2907</v>
      </c>
      <c r="AE1305" s="105" t="s">
        <v>1284</v>
      </c>
    </row>
    <row r="1306" spans="18:31" s="105" customFormat="1">
      <c r="R1306" s="154"/>
      <c r="AB1306" s="130"/>
      <c r="AD1306" s="105" t="s">
        <v>2987</v>
      </c>
      <c r="AE1306" s="105" t="s">
        <v>1285</v>
      </c>
    </row>
    <row r="1307" spans="18:31" s="105" customFormat="1">
      <c r="R1307" s="154"/>
      <c r="AB1307" s="130"/>
      <c r="AD1307" s="105" t="s">
        <v>2907</v>
      </c>
      <c r="AE1307" s="105" t="s">
        <v>1286</v>
      </c>
    </row>
    <row r="1308" spans="18:31" s="105" customFormat="1">
      <c r="R1308" s="154"/>
      <c r="AB1308" s="130"/>
      <c r="AD1308" s="105" t="s">
        <v>2908</v>
      </c>
      <c r="AE1308" s="105" t="s">
        <v>1287</v>
      </c>
    </row>
    <row r="1309" spans="18:31" s="105" customFormat="1">
      <c r="R1309" s="154"/>
      <c r="AB1309" s="130"/>
      <c r="AD1309" s="105" t="s">
        <v>2908</v>
      </c>
      <c r="AE1309" s="105" t="s">
        <v>1879</v>
      </c>
    </row>
    <row r="1310" spans="18:31" s="105" customFormat="1">
      <c r="R1310" s="154"/>
      <c r="AB1310" s="130"/>
      <c r="AD1310" s="105" t="s">
        <v>2908</v>
      </c>
      <c r="AE1310" s="105" t="s">
        <v>1288</v>
      </c>
    </row>
    <row r="1311" spans="18:31" s="105" customFormat="1">
      <c r="R1311" s="154"/>
      <c r="AB1311" s="130"/>
      <c r="AD1311" s="105" t="s">
        <v>2987</v>
      </c>
      <c r="AE1311" s="105" t="s">
        <v>1289</v>
      </c>
    </row>
    <row r="1312" spans="18:31" s="105" customFormat="1">
      <c r="R1312" s="154"/>
      <c r="AB1312" s="130"/>
      <c r="AD1312" s="105" t="s">
        <v>2987</v>
      </c>
      <c r="AE1312" s="105" t="s">
        <v>2662</v>
      </c>
    </row>
    <row r="1313" spans="18:31" s="105" customFormat="1">
      <c r="R1313" s="154"/>
      <c r="AB1313" s="130"/>
      <c r="AD1313" s="105" t="s">
        <v>2987</v>
      </c>
      <c r="AE1313" s="105" t="s">
        <v>1290</v>
      </c>
    </row>
    <row r="1314" spans="18:31" s="105" customFormat="1">
      <c r="R1314" s="154"/>
      <c r="AB1314" s="130"/>
      <c r="AD1314" s="105" t="s">
        <v>2987</v>
      </c>
      <c r="AE1314" s="105" t="s">
        <v>1291</v>
      </c>
    </row>
    <row r="1315" spans="18:31" s="105" customFormat="1">
      <c r="R1315" s="154"/>
      <c r="AB1315" s="130"/>
      <c r="AD1315" s="105" t="s">
        <v>2907</v>
      </c>
      <c r="AE1315" s="105" t="s">
        <v>1292</v>
      </c>
    </row>
    <row r="1316" spans="18:31" s="105" customFormat="1">
      <c r="R1316" s="154"/>
      <c r="AB1316" s="130"/>
      <c r="AD1316" s="105" t="s">
        <v>2987</v>
      </c>
      <c r="AE1316" s="105" t="s">
        <v>2663</v>
      </c>
    </row>
    <row r="1317" spans="18:31" s="105" customFormat="1">
      <c r="R1317" s="154"/>
      <c r="AB1317" s="130"/>
      <c r="AD1317" s="105" t="s">
        <v>2987</v>
      </c>
      <c r="AE1317" s="105" t="s">
        <v>1880</v>
      </c>
    </row>
    <row r="1318" spans="18:31" s="105" customFormat="1">
      <c r="R1318" s="154"/>
      <c r="AB1318" s="130"/>
      <c r="AD1318" s="105" t="s">
        <v>2987</v>
      </c>
      <c r="AE1318" s="105" t="s">
        <v>1293</v>
      </c>
    </row>
    <row r="1319" spans="18:31" s="105" customFormat="1">
      <c r="R1319" s="154"/>
      <c r="AB1319" s="130"/>
      <c r="AD1319" s="105" t="s">
        <v>2987</v>
      </c>
      <c r="AE1319" s="105" t="s">
        <v>2309</v>
      </c>
    </row>
    <row r="1320" spans="18:31" s="105" customFormat="1">
      <c r="R1320" s="154"/>
      <c r="AB1320" s="130"/>
      <c r="AD1320" s="105" t="s">
        <v>2537</v>
      </c>
      <c r="AE1320" s="105" t="s">
        <v>1294</v>
      </c>
    </row>
    <row r="1321" spans="18:31" s="105" customFormat="1">
      <c r="R1321" s="154"/>
      <c r="AB1321" s="130"/>
      <c r="AD1321" s="105" t="s">
        <v>2988</v>
      </c>
      <c r="AE1321" s="105" t="s">
        <v>1295</v>
      </c>
    </row>
    <row r="1322" spans="18:31" s="105" customFormat="1">
      <c r="R1322" s="154"/>
      <c r="AB1322" s="130"/>
      <c r="AD1322" s="105" t="s">
        <v>2988</v>
      </c>
      <c r="AE1322" s="105" t="s">
        <v>1296</v>
      </c>
    </row>
    <row r="1323" spans="18:31" s="105" customFormat="1">
      <c r="R1323" s="154"/>
      <c r="AB1323" s="130"/>
      <c r="AD1323" s="105" t="s">
        <v>2915</v>
      </c>
      <c r="AE1323" s="105" t="s">
        <v>1297</v>
      </c>
    </row>
    <row r="1324" spans="18:31" s="105" customFormat="1">
      <c r="R1324" s="154"/>
      <c r="AB1324" s="130"/>
      <c r="AD1324" s="105" t="s">
        <v>2915</v>
      </c>
      <c r="AE1324" s="105" t="s">
        <v>1298</v>
      </c>
    </row>
    <row r="1325" spans="18:31" s="105" customFormat="1">
      <c r="R1325" s="154"/>
      <c r="AB1325" s="130"/>
      <c r="AD1325" s="105" t="s">
        <v>2988</v>
      </c>
      <c r="AE1325" s="105" t="s">
        <v>1299</v>
      </c>
    </row>
    <row r="1326" spans="18:31" s="105" customFormat="1">
      <c r="R1326" s="154"/>
      <c r="AB1326" s="130"/>
      <c r="AD1326" s="105" t="s">
        <v>2988</v>
      </c>
      <c r="AE1326" s="105" t="s">
        <v>1300</v>
      </c>
    </row>
    <row r="1327" spans="18:31" s="105" customFormat="1">
      <c r="R1327" s="154"/>
      <c r="AB1327" s="130"/>
      <c r="AD1327" s="105" t="s">
        <v>2988</v>
      </c>
      <c r="AE1327" s="105" t="s">
        <v>1301</v>
      </c>
    </row>
    <row r="1328" spans="18:31" s="105" customFormat="1">
      <c r="R1328" s="154"/>
      <c r="AB1328" s="130"/>
      <c r="AD1328" s="105" t="s">
        <v>2988</v>
      </c>
      <c r="AE1328" s="105" t="s">
        <v>2259</v>
      </c>
    </row>
    <row r="1329" spans="18:31" s="105" customFormat="1">
      <c r="R1329" s="154"/>
      <c r="AB1329" s="130"/>
      <c r="AD1329" s="105" t="s">
        <v>2988</v>
      </c>
      <c r="AE1329" s="105" t="s">
        <v>1302</v>
      </c>
    </row>
    <row r="1330" spans="18:31" s="105" customFormat="1">
      <c r="R1330" s="154"/>
      <c r="AB1330" s="130"/>
      <c r="AD1330" s="105" t="s">
        <v>2912</v>
      </c>
      <c r="AE1330" s="105" t="s">
        <v>1303</v>
      </c>
    </row>
    <row r="1331" spans="18:31" s="105" customFormat="1">
      <c r="R1331" s="154"/>
      <c r="AB1331" s="130"/>
      <c r="AD1331" s="105" t="s">
        <v>2988</v>
      </c>
      <c r="AE1331" s="105" t="s">
        <v>1304</v>
      </c>
    </row>
    <row r="1332" spans="18:31" s="105" customFormat="1">
      <c r="R1332" s="154"/>
      <c r="AB1332" s="130"/>
      <c r="AD1332" s="105" t="s">
        <v>2988</v>
      </c>
      <c r="AE1332" s="105" t="s">
        <v>1305</v>
      </c>
    </row>
    <row r="1333" spans="18:31" s="105" customFormat="1">
      <c r="R1333" s="154"/>
      <c r="AB1333" s="130"/>
      <c r="AD1333" s="105" t="s">
        <v>2988</v>
      </c>
      <c r="AE1333" s="105" t="s">
        <v>1306</v>
      </c>
    </row>
    <row r="1334" spans="18:31" s="105" customFormat="1">
      <c r="R1334" s="154"/>
      <c r="AB1334" s="130"/>
      <c r="AD1334" s="105" t="s">
        <v>2988</v>
      </c>
      <c r="AE1334" s="105" t="s">
        <v>1307</v>
      </c>
    </row>
    <row r="1335" spans="18:31" s="105" customFormat="1">
      <c r="R1335" s="154"/>
      <c r="AB1335" s="130"/>
      <c r="AD1335" s="105" t="s">
        <v>2988</v>
      </c>
      <c r="AE1335" s="105" t="s">
        <v>1308</v>
      </c>
    </row>
    <row r="1336" spans="18:31" s="105" customFormat="1">
      <c r="R1336" s="154"/>
      <c r="AB1336" s="130"/>
      <c r="AD1336" s="105" t="s">
        <v>2912</v>
      </c>
      <c r="AE1336" s="105" t="s">
        <v>1309</v>
      </c>
    </row>
    <row r="1337" spans="18:31" s="105" customFormat="1">
      <c r="R1337" s="154"/>
      <c r="AB1337" s="130"/>
      <c r="AD1337" s="105" t="s">
        <v>2988</v>
      </c>
      <c r="AE1337" s="105" t="s">
        <v>1310</v>
      </c>
    </row>
    <row r="1338" spans="18:31" s="105" customFormat="1">
      <c r="R1338" s="154"/>
      <c r="AB1338" s="130"/>
      <c r="AD1338" s="105" t="s">
        <v>2914</v>
      </c>
      <c r="AE1338" s="105" t="s">
        <v>1311</v>
      </c>
    </row>
    <row r="1339" spans="18:31" s="105" customFormat="1">
      <c r="R1339" s="154"/>
      <c r="AB1339" s="130"/>
      <c r="AD1339" s="105" t="s">
        <v>2988</v>
      </c>
      <c r="AE1339" s="105" t="s">
        <v>1312</v>
      </c>
    </row>
    <row r="1340" spans="18:31" s="105" customFormat="1">
      <c r="R1340" s="154"/>
      <c r="AB1340" s="130"/>
      <c r="AD1340" s="105" t="s">
        <v>2988</v>
      </c>
      <c r="AE1340" s="105" t="s">
        <v>1313</v>
      </c>
    </row>
    <row r="1341" spans="18:31" s="105" customFormat="1">
      <c r="R1341" s="154"/>
      <c r="AB1341" s="130"/>
      <c r="AD1341" s="105" t="s">
        <v>2912</v>
      </c>
      <c r="AE1341" s="105" t="s">
        <v>1314</v>
      </c>
    </row>
    <row r="1342" spans="18:31" s="105" customFormat="1">
      <c r="R1342" s="154"/>
      <c r="AB1342" s="130"/>
      <c r="AD1342" s="105" t="s">
        <v>2988</v>
      </c>
      <c r="AE1342" s="105" t="s">
        <v>1315</v>
      </c>
    </row>
    <row r="1343" spans="18:31" s="105" customFormat="1">
      <c r="R1343" s="154"/>
      <c r="AB1343" s="130"/>
      <c r="AD1343" s="105" t="s">
        <v>2988</v>
      </c>
      <c r="AE1343" s="105" t="s">
        <v>1881</v>
      </c>
    </row>
    <row r="1344" spans="18:31" s="105" customFormat="1">
      <c r="R1344" s="154"/>
      <c r="AB1344" s="130"/>
      <c r="AD1344" s="105" t="s">
        <v>2988</v>
      </c>
      <c r="AE1344" s="105" t="s">
        <v>2658</v>
      </c>
    </row>
    <row r="1345" spans="18:31" s="105" customFormat="1">
      <c r="R1345" s="154"/>
      <c r="AB1345" s="130"/>
      <c r="AD1345" s="105" t="s">
        <v>2988</v>
      </c>
      <c r="AE1345" s="105" t="s">
        <v>1882</v>
      </c>
    </row>
    <row r="1346" spans="18:31" s="105" customFormat="1">
      <c r="R1346" s="154"/>
      <c r="AB1346" s="130"/>
      <c r="AD1346" s="105" t="s">
        <v>2913</v>
      </c>
      <c r="AE1346" s="105" t="s">
        <v>1316</v>
      </c>
    </row>
    <row r="1347" spans="18:31" s="105" customFormat="1">
      <c r="R1347" s="154"/>
      <c r="AB1347" s="130"/>
      <c r="AD1347" s="105" t="s">
        <v>2913</v>
      </c>
      <c r="AE1347" s="105" t="s">
        <v>1317</v>
      </c>
    </row>
    <row r="1348" spans="18:31" s="105" customFormat="1">
      <c r="R1348" s="154"/>
      <c r="AB1348" s="130"/>
      <c r="AD1348" s="105" t="s">
        <v>2913</v>
      </c>
      <c r="AE1348" s="105" t="s">
        <v>1318</v>
      </c>
    </row>
    <row r="1349" spans="18:31" s="105" customFormat="1">
      <c r="R1349" s="154"/>
      <c r="AB1349" s="130"/>
      <c r="AD1349" s="105" t="s">
        <v>2913</v>
      </c>
      <c r="AE1349" s="105" t="s">
        <v>1319</v>
      </c>
    </row>
    <row r="1350" spans="18:31" s="105" customFormat="1">
      <c r="R1350" s="154"/>
      <c r="AB1350" s="130"/>
      <c r="AD1350" s="105" t="s">
        <v>2913</v>
      </c>
      <c r="AE1350" s="105" t="s">
        <v>1320</v>
      </c>
    </row>
    <row r="1351" spans="18:31" s="105" customFormat="1">
      <c r="R1351" s="154"/>
      <c r="AB1351" s="130"/>
      <c r="AD1351" s="105" t="s">
        <v>2913</v>
      </c>
      <c r="AE1351" s="105" t="s">
        <v>1321</v>
      </c>
    </row>
    <row r="1352" spans="18:31" s="105" customFormat="1">
      <c r="R1352" s="154"/>
      <c r="AB1352" s="130"/>
      <c r="AD1352" s="105" t="s">
        <v>2913</v>
      </c>
      <c r="AE1352" s="105" t="s">
        <v>1322</v>
      </c>
    </row>
    <row r="1353" spans="18:31" s="105" customFormat="1">
      <c r="R1353" s="154"/>
      <c r="AB1353" s="130"/>
      <c r="AD1353" s="105" t="s">
        <v>2911</v>
      </c>
      <c r="AE1353" s="105" t="s">
        <v>1323</v>
      </c>
    </row>
    <row r="1354" spans="18:31" s="105" customFormat="1">
      <c r="R1354" s="154"/>
      <c r="AB1354" s="130"/>
      <c r="AD1354" s="105" t="s">
        <v>2913</v>
      </c>
      <c r="AE1354" s="105" t="s">
        <v>1324</v>
      </c>
    </row>
    <row r="1355" spans="18:31" s="105" customFormat="1">
      <c r="R1355" s="154"/>
      <c r="AB1355" s="130"/>
      <c r="AD1355" s="105" t="s">
        <v>2913</v>
      </c>
      <c r="AE1355" s="105" t="s">
        <v>1325</v>
      </c>
    </row>
    <row r="1356" spans="18:31" s="105" customFormat="1">
      <c r="R1356" s="154"/>
      <c r="AB1356" s="130"/>
      <c r="AD1356" s="105" t="s">
        <v>2913</v>
      </c>
      <c r="AE1356" s="105" t="s">
        <v>1326</v>
      </c>
    </row>
    <row r="1357" spans="18:31" s="105" customFormat="1">
      <c r="R1357" s="154"/>
      <c r="AB1357" s="130"/>
      <c r="AD1357" s="105" t="s">
        <v>2913</v>
      </c>
      <c r="AE1357" s="105" t="s">
        <v>1327</v>
      </c>
    </row>
    <row r="1358" spans="18:31" s="105" customFormat="1">
      <c r="R1358" s="154"/>
      <c r="AB1358" s="130"/>
      <c r="AD1358" s="105" t="s">
        <v>2913</v>
      </c>
      <c r="AE1358" s="105" t="s">
        <v>1328</v>
      </c>
    </row>
    <row r="1359" spans="18:31" s="105" customFormat="1">
      <c r="R1359" s="154"/>
      <c r="AB1359" s="130"/>
      <c r="AD1359" s="105" t="s">
        <v>2913</v>
      </c>
      <c r="AE1359" s="105" t="s">
        <v>1329</v>
      </c>
    </row>
    <row r="1360" spans="18:31" s="105" customFormat="1">
      <c r="R1360" s="154"/>
      <c r="AB1360" s="130"/>
      <c r="AD1360" s="105" t="s">
        <v>2913</v>
      </c>
      <c r="AE1360" s="105" t="s">
        <v>1330</v>
      </c>
    </row>
    <row r="1361" spans="18:31" s="105" customFormat="1">
      <c r="R1361" s="154"/>
      <c r="AB1361" s="130"/>
      <c r="AD1361" s="105" t="s">
        <v>2913</v>
      </c>
      <c r="AE1361" s="105" t="s">
        <v>1331</v>
      </c>
    </row>
    <row r="1362" spans="18:31" s="105" customFormat="1">
      <c r="R1362" s="154"/>
      <c r="AB1362" s="130"/>
      <c r="AD1362" s="105" t="s">
        <v>2913</v>
      </c>
      <c r="AE1362" s="105" t="s">
        <v>1332</v>
      </c>
    </row>
    <row r="1363" spans="18:31" s="105" customFormat="1">
      <c r="R1363" s="154"/>
      <c r="AB1363" s="130"/>
      <c r="AD1363" s="105" t="s">
        <v>2913</v>
      </c>
      <c r="AE1363" s="105" t="s">
        <v>1333</v>
      </c>
    </row>
    <row r="1364" spans="18:31" s="105" customFormat="1">
      <c r="R1364" s="154"/>
      <c r="AB1364" s="130"/>
      <c r="AD1364" s="105" t="s">
        <v>2913</v>
      </c>
      <c r="AE1364" s="105" t="s">
        <v>1334</v>
      </c>
    </row>
    <row r="1365" spans="18:31" s="105" customFormat="1">
      <c r="R1365" s="154"/>
      <c r="AB1365" s="130"/>
      <c r="AD1365" s="105" t="s">
        <v>2913</v>
      </c>
      <c r="AE1365" s="105" t="s">
        <v>1335</v>
      </c>
    </row>
    <row r="1366" spans="18:31" s="105" customFormat="1">
      <c r="R1366" s="154"/>
      <c r="AB1366" s="130"/>
      <c r="AD1366" s="105" t="s">
        <v>2913</v>
      </c>
      <c r="AE1366" s="105" t="s">
        <v>1336</v>
      </c>
    </row>
    <row r="1367" spans="18:31" s="105" customFormat="1">
      <c r="R1367" s="154"/>
      <c r="AB1367" s="130"/>
      <c r="AD1367" s="105" t="s">
        <v>2913</v>
      </c>
      <c r="AE1367" s="105" t="s">
        <v>1337</v>
      </c>
    </row>
    <row r="1368" spans="18:31" s="105" customFormat="1">
      <c r="R1368" s="154"/>
      <c r="AB1368" s="130"/>
      <c r="AD1368" s="105" t="s">
        <v>2913</v>
      </c>
      <c r="AE1368" s="105" t="s">
        <v>1338</v>
      </c>
    </row>
    <row r="1369" spans="18:31" s="105" customFormat="1">
      <c r="R1369" s="154"/>
      <c r="AB1369" s="130"/>
      <c r="AD1369" s="105" t="s">
        <v>2913</v>
      </c>
      <c r="AE1369" s="105" t="s">
        <v>1339</v>
      </c>
    </row>
    <row r="1370" spans="18:31" s="105" customFormat="1">
      <c r="R1370" s="154"/>
      <c r="AB1370" s="130"/>
      <c r="AD1370" s="105" t="s">
        <v>2912</v>
      </c>
      <c r="AE1370" s="105" t="s">
        <v>1340</v>
      </c>
    </row>
    <row r="1371" spans="18:31" s="105" customFormat="1">
      <c r="R1371" s="154"/>
      <c r="AB1371" s="130"/>
      <c r="AD1371" s="105" t="s">
        <v>2988</v>
      </c>
      <c r="AE1371" s="105" t="s">
        <v>1341</v>
      </c>
    </row>
    <row r="1372" spans="18:31" s="105" customFormat="1">
      <c r="R1372" s="154"/>
      <c r="AB1372" s="130"/>
      <c r="AD1372" s="105" t="s">
        <v>2912</v>
      </c>
      <c r="AE1372" s="105" t="s">
        <v>1342</v>
      </c>
    </row>
    <row r="1373" spans="18:31" s="105" customFormat="1">
      <c r="R1373" s="154"/>
      <c r="AB1373" s="130"/>
      <c r="AD1373" s="105" t="s">
        <v>2913</v>
      </c>
      <c r="AE1373" s="105" t="s">
        <v>1343</v>
      </c>
    </row>
    <row r="1374" spans="18:31" s="105" customFormat="1">
      <c r="R1374" s="154"/>
      <c r="AB1374" s="130"/>
      <c r="AD1374" s="105" t="s">
        <v>2913</v>
      </c>
      <c r="AE1374" s="105" t="s">
        <v>1883</v>
      </c>
    </row>
    <row r="1375" spans="18:31" s="105" customFormat="1">
      <c r="R1375" s="154"/>
      <c r="AB1375" s="130"/>
      <c r="AD1375" s="105" t="s">
        <v>2913</v>
      </c>
      <c r="AE1375" s="105" t="s">
        <v>1344</v>
      </c>
    </row>
    <row r="1376" spans="18:31" s="105" customFormat="1">
      <c r="R1376" s="154"/>
      <c r="AB1376" s="130"/>
      <c r="AD1376" s="105" t="s">
        <v>2988</v>
      </c>
      <c r="AE1376" s="105" t="s">
        <v>1345</v>
      </c>
    </row>
    <row r="1377" spans="18:31" s="105" customFormat="1">
      <c r="R1377" s="154"/>
      <c r="AB1377" s="130"/>
      <c r="AD1377" s="105" t="s">
        <v>2988</v>
      </c>
      <c r="AE1377" s="105" t="s">
        <v>2659</v>
      </c>
    </row>
    <row r="1378" spans="18:31" s="105" customFormat="1">
      <c r="R1378" s="154"/>
      <c r="AB1378" s="130"/>
      <c r="AD1378" s="105" t="s">
        <v>2988</v>
      </c>
      <c r="AE1378" s="105" t="s">
        <v>1346</v>
      </c>
    </row>
    <row r="1379" spans="18:31" s="105" customFormat="1">
      <c r="R1379" s="154"/>
      <c r="AB1379" s="130"/>
      <c r="AD1379" s="105" t="s">
        <v>2988</v>
      </c>
      <c r="AE1379" s="105" t="s">
        <v>1347</v>
      </c>
    </row>
    <row r="1380" spans="18:31" s="105" customFormat="1">
      <c r="R1380" s="154"/>
      <c r="AB1380" s="130"/>
      <c r="AD1380" s="105" t="s">
        <v>2912</v>
      </c>
      <c r="AE1380" s="105" t="s">
        <v>1348</v>
      </c>
    </row>
    <row r="1381" spans="18:31" s="105" customFormat="1">
      <c r="R1381" s="154"/>
      <c r="AB1381" s="130"/>
      <c r="AD1381" s="105" t="s">
        <v>2988</v>
      </c>
      <c r="AE1381" s="105" t="s">
        <v>2660</v>
      </c>
    </row>
    <row r="1382" spans="18:31" s="105" customFormat="1">
      <c r="R1382" s="154"/>
      <c r="AB1382" s="130"/>
      <c r="AD1382" s="105" t="s">
        <v>2988</v>
      </c>
      <c r="AE1382" s="105" t="s">
        <v>1884</v>
      </c>
    </row>
    <row r="1383" spans="18:31" s="105" customFormat="1">
      <c r="R1383" s="154"/>
      <c r="AB1383" s="130"/>
      <c r="AD1383" s="105" t="s">
        <v>2988</v>
      </c>
      <c r="AE1383" s="105" t="s">
        <v>1349</v>
      </c>
    </row>
    <row r="1384" spans="18:31" s="105" customFormat="1">
      <c r="R1384" s="154"/>
      <c r="AB1384" s="130"/>
      <c r="AD1384" s="105" t="s">
        <v>2988</v>
      </c>
      <c r="AE1384" s="105" t="s">
        <v>2308</v>
      </c>
    </row>
    <row r="1385" spans="18:31" s="105" customFormat="1">
      <c r="R1385" s="154"/>
      <c r="AB1385" s="130"/>
      <c r="AD1385" s="105" t="s">
        <v>2538</v>
      </c>
      <c r="AE1385" s="105" t="s">
        <v>1350</v>
      </c>
    </row>
    <row r="1386" spans="18:31" s="105" customFormat="1">
      <c r="R1386" s="154"/>
      <c r="AB1386" s="130"/>
      <c r="AD1386" s="105" t="s">
        <v>2989</v>
      </c>
      <c r="AE1386" s="105" t="s">
        <v>1351</v>
      </c>
    </row>
    <row r="1387" spans="18:31" s="105" customFormat="1">
      <c r="R1387" s="154"/>
      <c r="AB1387" s="130"/>
      <c r="AD1387" s="105" t="s">
        <v>2989</v>
      </c>
      <c r="AE1387" s="105" t="s">
        <v>1352</v>
      </c>
    </row>
    <row r="1388" spans="18:31" s="105" customFormat="1">
      <c r="R1388" s="154"/>
      <c r="AB1388" s="130"/>
      <c r="AD1388" s="105" t="s">
        <v>2920</v>
      </c>
      <c r="AE1388" s="105" t="s">
        <v>1353</v>
      </c>
    </row>
    <row r="1389" spans="18:31" s="105" customFormat="1">
      <c r="R1389" s="154"/>
      <c r="AB1389" s="130"/>
      <c r="AD1389" s="105" t="s">
        <v>2920</v>
      </c>
      <c r="AE1389" s="105" t="s">
        <v>1354</v>
      </c>
    </row>
    <row r="1390" spans="18:31" s="105" customFormat="1">
      <c r="R1390" s="154"/>
      <c r="AB1390" s="130"/>
      <c r="AD1390" s="105" t="s">
        <v>2989</v>
      </c>
      <c r="AE1390" s="105" t="s">
        <v>1355</v>
      </c>
    </row>
    <row r="1391" spans="18:31" s="105" customFormat="1">
      <c r="R1391" s="154"/>
      <c r="AB1391" s="130"/>
      <c r="AD1391" s="105" t="s">
        <v>2989</v>
      </c>
      <c r="AE1391" s="105" t="s">
        <v>1356</v>
      </c>
    </row>
    <row r="1392" spans="18:31" s="105" customFormat="1">
      <c r="R1392" s="154"/>
      <c r="AB1392" s="130"/>
      <c r="AD1392" s="105" t="s">
        <v>2989</v>
      </c>
      <c r="AE1392" s="105" t="s">
        <v>1357</v>
      </c>
    </row>
    <row r="1393" spans="18:31" s="105" customFormat="1">
      <c r="R1393" s="154"/>
      <c r="AB1393" s="130"/>
      <c r="AD1393" s="105" t="s">
        <v>2989</v>
      </c>
      <c r="AE1393" s="105" t="s">
        <v>2260</v>
      </c>
    </row>
    <row r="1394" spans="18:31" s="105" customFormat="1">
      <c r="R1394" s="154"/>
      <c r="AB1394" s="130"/>
      <c r="AD1394" s="105" t="s">
        <v>2989</v>
      </c>
      <c r="AE1394" s="105" t="s">
        <v>1358</v>
      </c>
    </row>
    <row r="1395" spans="18:31" s="105" customFormat="1">
      <c r="R1395" s="154"/>
      <c r="AB1395" s="130"/>
      <c r="AD1395" s="105" t="s">
        <v>2917</v>
      </c>
      <c r="AE1395" s="105" t="s">
        <v>1359</v>
      </c>
    </row>
    <row r="1396" spans="18:31" s="105" customFormat="1">
      <c r="R1396" s="154"/>
      <c r="AB1396" s="130"/>
      <c r="AD1396" s="105" t="s">
        <v>2989</v>
      </c>
      <c r="AE1396" s="105" t="s">
        <v>1360</v>
      </c>
    </row>
    <row r="1397" spans="18:31" s="105" customFormat="1">
      <c r="R1397" s="154"/>
      <c r="AB1397" s="130"/>
      <c r="AD1397" s="105" t="s">
        <v>2989</v>
      </c>
      <c r="AE1397" s="105" t="s">
        <v>1361</v>
      </c>
    </row>
    <row r="1398" spans="18:31" s="105" customFormat="1">
      <c r="R1398" s="154"/>
      <c r="AB1398" s="130"/>
      <c r="AD1398" s="105" t="s">
        <v>2989</v>
      </c>
      <c r="AE1398" s="105" t="s">
        <v>1362</v>
      </c>
    </row>
    <row r="1399" spans="18:31" s="105" customFormat="1">
      <c r="R1399" s="154"/>
      <c r="AB1399" s="130"/>
      <c r="AD1399" s="105" t="s">
        <v>2989</v>
      </c>
      <c r="AE1399" s="105" t="s">
        <v>1363</v>
      </c>
    </row>
    <row r="1400" spans="18:31" s="105" customFormat="1">
      <c r="R1400" s="154"/>
      <c r="AB1400" s="130"/>
      <c r="AD1400" s="105" t="s">
        <v>2989</v>
      </c>
      <c r="AE1400" s="105" t="s">
        <v>1364</v>
      </c>
    </row>
    <row r="1401" spans="18:31" s="105" customFormat="1">
      <c r="R1401" s="154"/>
      <c r="AB1401" s="130"/>
      <c r="AD1401" s="105" t="s">
        <v>2917</v>
      </c>
      <c r="AE1401" s="105" t="s">
        <v>1365</v>
      </c>
    </row>
    <row r="1402" spans="18:31" s="105" customFormat="1">
      <c r="R1402" s="154"/>
      <c r="AB1402" s="130"/>
      <c r="AD1402" s="105" t="s">
        <v>2989</v>
      </c>
      <c r="AE1402" s="105" t="s">
        <v>1366</v>
      </c>
    </row>
    <row r="1403" spans="18:31" s="105" customFormat="1">
      <c r="R1403" s="154"/>
      <c r="AB1403" s="130"/>
      <c r="AD1403" s="105" t="s">
        <v>2919</v>
      </c>
      <c r="AE1403" s="105" t="s">
        <v>1367</v>
      </c>
    </row>
    <row r="1404" spans="18:31" s="105" customFormat="1">
      <c r="R1404" s="154"/>
      <c r="AB1404" s="130"/>
      <c r="AD1404" s="105" t="s">
        <v>2989</v>
      </c>
      <c r="AE1404" s="105" t="s">
        <v>1368</v>
      </c>
    </row>
    <row r="1405" spans="18:31" s="105" customFormat="1">
      <c r="R1405" s="154"/>
      <c r="AB1405" s="130"/>
      <c r="AD1405" s="105" t="s">
        <v>2989</v>
      </c>
      <c r="AE1405" s="105" t="s">
        <v>1369</v>
      </c>
    </row>
    <row r="1406" spans="18:31" s="105" customFormat="1">
      <c r="R1406" s="154"/>
      <c r="AB1406" s="130"/>
      <c r="AD1406" s="105" t="s">
        <v>2917</v>
      </c>
      <c r="AE1406" s="105" t="s">
        <v>1370</v>
      </c>
    </row>
    <row r="1407" spans="18:31" s="105" customFormat="1">
      <c r="R1407" s="154"/>
      <c r="AB1407" s="130"/>
      <c r="AD1407" s="105" t="s">
        <v>2989</v>
      </c>
      <c r="AE1407" s="105" t="s">
        <v>1371</v>
      </c>
    </row>
    <row r="1408" spans="18:31" s="105" customFormat="1">
      <c r="R1408" s="154"/>
      <c r="AB1408" s="130"/>
      <c r="AD1408" s="105" t="s">
        <v>2989</v>
      </c>
      <c r="AE1408" s="105" t="s">
        <v>1885</v>
      </c>
    </row>
    <row r="1409" spans="18:31" s="105" customFormat="1">
      <c r="R1409" s="154"/>
      <c r="AB1409" s="130"/>
      <c r="AD1409" s="105" t="s">
        <v>2989</v>
      </c>
      <c r="AE1409" s="105" t="s">
        <v>2655</v>
      </c>
    </row>
    <row r="1410" spans="18:31" s="105" customFormat="1">
      <c r="R1410" s="154"/>
      <c r="AB1410" s="130"/>
      <c r="AD1410" s="105" t="s">
        <v>2989</v>
      </c>
      <c r="AE1410" s="105" t="s">
        <v>1886</v>
      </c>
    </row>
    <row r="1411" spans="18:31" s="105" customFormat="1">
      <c r="R1411" s="154"/>
      <c r="AB1411" s="130"/>
      <c r="AD1411" s="105" t="s">
        <v>2918</v>
      </c>
      <c r="AE1411" s="105" t="s">
        <v>1372</v>
      </c>
    </row>
    <row r="1412" spans="18:31" s="105" customFormat="1">
      <c r="R1412" s="154"/>
      <c r="AB1412" s="130"/>
      <c r="AD1412" s="105" t="s">
        <v>2918</v>
      </c>
      <c r="AE1412" s="105" t="s">
        <v>1373</v>
      </c>
    </row>
    <row r="1413" spans="18:31" s="105" customFormat="1">
      <c r="R1413" s="154"/>
      <c r="AB1413" s="130"/>
      <c r="AD1413" s="105" t="s">
        <v>2918</v>
      </c>
      <c r="AE1413" s="105" t="s">
        <v>1374</v>
      </c>
    </row>
    <row r="1414" spans="18:31" s="105" customFormat="1">
      <c r="R1414" s="154"/>
      <c r="AB1414" s="130"/>
      <c r="AD1414" s="105" t="s">
        <v>2918</v>
      </c>
      <c r="AE1414" s="105" t="s">
        <v>1375</v>
      </c>
    </row>
    <row r="1415" spans="18:31" s="105" customFormat="1">
      <c r="R1415" s="154"/>
      <c r="AB1415" s="130"/>
      <c r="AD1415" s="105" t="s">
        <v>2918</v>
      </c>
      <c r="AE1415" s="105" t="s">
        <v>1376</v>
      </c>
    </row>
    <row r="1416" spans="18:31" s="105" customFormat="1">
      <c r="R1416" s="154"/>
      <c r="AB1416" s="130"/>
      <c r="AD1416" s="105" t="s">
        <v>2918</v>
      </c>
      <c r="AE1416" s="105" t="s">
        <v>1377</v>
      </c>
    </row>
    <row r="1417" spans="18:31" s="105" customFormat="1">
      <c r="R1417" s="154"/>
      <c r="AB1417" s="130"/>
      <c r="AD1417" s="105" t="s">
        <v>2918</v>
      </c>
      <c r="AE1417" s="105" t="s">
        <v>1378</v>
      </c>
    </row>
    <row r="1418" spans="18:31" s="105" customFormat="1">
      <c r="R1418" s="154"/>
      <c r="AB1418" s="130"/>
      <c r="AD1418" s="105" t="s">
        <v>2916</v>
      </c>
      <c r="AE1418" s="105" t="s">
        <v>1379</v>
      </c>
    </row>
    <row r="1419" spans="18:31" s="105" customFormat="1">
      <c r="R1419" s="154"/>
      <c r="AB1419" s="130"/>
      <c r="AD1419" s="105" t="s">
        <v>2918</v>
      </c>
      <c r="AE1419" s="105" t="s">
        <v>1380</v>
      </c>
    </row>
    <row r="1420" spans="18:31" s="105" customFormat="1">
      <c r="R1420" s="154"/>
      <c r="AB1420" s="130"/>
      <c r="AD1420" s="105" t="s">
        <v>2918</v>
      </c>
      <c r="AE1420" s="105" t="s">
        <v>1381</v>
      </c>
    </row>
    <row r="1421" spans="18:31" s="105" customFormat="1">
      <c r="R1421" s="154"/>
      <c r="AB1421" s="130"/>
      <c r="AD1421" s="105" t="s">
        <v>2918</v>
      </c>
      <c r="AE1421" s="105" t="s">
        <v>1382</v>
      </c>
    </row>
    <row r="1422" spans="18:31" s="105" customFormat="1">
      <c r="R1422" s="154"/>
      <c r="AB1422" s="130"/>
      <c r="AD1422" s="105" t="s">
        <v>2918</v>
      </c>
      <c r="AE1422" s="105" t="s">
        <v>1383</v>
      </c>
    </row>
    <row r="1423" spans="18:31" s="105" customFormat="1">
      <c r="R1423" s="154"/>
      <c r="AB1423" s="130"/>
      <c r="AD1423" s="105" t="s">
        <v>2918</v>
      </c>
      <c r="AE1423" s="105" t="s">
        <v>1384</v>
      </c>
    </row>
    <row r="1424" spans="18:31" s="105" customFormat="1">
      <c r="R1424" s="154"/>
      <c r="AB1424" s="130"/>
      <c r="AD1424" s="105" t="s">
        <v>2918</v>
      </c>
      <c r="AE1424" s="105" t="s">
        <v>1385</v>
      </c>
    </row>
    <row r="1425" spans="18:31" s="105" customFormat="1">
      <c r="R1425" s="154"/>
      <c r="AB1425" s="130"/>
      <c r="AD1425" s="105" t="s">
        <v>2918</v>
      </c>
      <c r="AE1425" s="105" t="s">
        <v>1386</v>
      </c>
    </row>
    <row r="1426" spans="18:31" s="105" customFormat="1">
      <c r="R1426" s="154"/>
      <c r="AB1426" s="130"/>
      <c r="AD1426" s="105" t="s">
        <v>2918</v>
      </c>
      <c r="AE1426" s="105" t="s">
        <v>1387</v>
      </c>
    </row>
    <row r="1427" spans="18:31" s="105" customFormat="1">
      <c r="R1427" s="154"/>
      <c r="AB1427" s="130"/>
      <c r="AD1427" s="105" t="s">
        <v>2918</v>
      </c>
      <c r="AE1427" s="105" t="s">
        <v>1388</v>
      </c>
    </row>
    <row r="1428" spans="18:31" s="105" customFormat="1">
      <c r="R1428" s="154"/>
      <c r="AB1428" s="130"/>
      <c r="AD1428" s="105" t="s">
        <v>2918</v>
      </c>
      <c r="AE1428" s="105" t="s">
        <v>1389</v>
      </c>
    </row>
    <row r="1429" spans="18:31" s="105" customFormat="1">
      <c r="R1429" s="154"/>
      <c r="AB1429" s="130"/>
      <c r="AD1429" s="105" t="s">
        <v>2918</v>
      </c>
      <c r="AE1429" s="105" t="s">
        <v>1390</v>
      </c>
    </row>
    <row r="1430" spans="18:31" s="105" customFormat="1">
      <c r="R1430" s="154"/>
      <c r="AB1430" s="130"/>
      <c r="AD1430" s="105" t="s">
        <v>2918</v>
      </c>
      <c r="AE1430" s="105" t="s">
        <v>1391</v>
      </c>
    </row>
    <row r="1431" spans="18:31" s="105" customFormat="1">
      <c r="R1431" s="154"/>
      <c r="AB1431" s="130"/>
      <c r="AD1431" s="105" t="s">
        <v>2918</v>
      </c>
      <c r="AE1431" s="105" t="s">
        <v>1392</v>
      </c>
    </row>
    <row r="1432" spans="18:31" s="105" customFormat="1">
      <c r="R1432" s="154"/>
      <c r="AB1432" s="130"/>
      <c r="AD1432" s="105" t="s">
        <v>2918</v>
      </c>
      <c r="AE1432" s="105" t="s">
        <v>1393</v>
      </c>
    </row>
    <row r="1433" spans="18:31" s="105" customFormat="1">
      <c r="R1433" s="154"/>
      <c r="AB1433" s="130"/>
      <c r="AD1433" s="105" t="s">
        <v>2918</v>
      </c>
      <c r="AE1433" s="105" t="s">
        <v>1394</v>
      </c>
    </row>
    <row r="1434" spans="18:31" s="105" customFormat="1">
      <c r="R1434" s="154"/>
      <c r="AB1434" s="130"/>
      <c r="AD1434" s="105" t="s">
        <v>2918</v>
      </c>
      <c r="AE1434" s="105" t="s">
        <v>1395</v>
      </c>
    </row>
    <row r="1435" spans="18:31" s="105" customFormat="1">
      <c r="R1435" s="154"/>
      <c r="AB1435" s="130"/>
      <c r="AD1435" s="105" t="s">
        <v>2917</v>
      </c>
      <c r="AE1435" s="105" t="s">
        <v>1396</v>
      </c>
    </row>
    <row r="1436" spans="18:31" s="105" customFormat="1">
      <c r="R1436" s="154"/>
      <c r="AB1436" s="130"/>
      <c r="AD1436" s="105" t="s">
        <v>2989</v>
      </c>
      <c r="AE1436" s="105" t="s">
        <v>1397</v>
      </c>
    </row>
    <row r="1437" spans="18:31" s="105" customFormat="1">
      <c r="R1437" s="154"/>
      <c r="AB1437" s="130"/>
      <c r="AD1437" s="105" t="s">
        <v>2917</v>
      </c>
      <c r="AE1437" s="105" t="s">
        <v>1398</v>
      </c>
    </row>
    <row r="1438" spans="18:31" s="105" customFormat="1">
      <c r="R1438" s="154"/>
      <c r="AB1438" s="130"/>
      <c r="AD1438" s="105" t="s">
        <v>2918</v>
      </c>
      <c r="AE1438" s="105" t="s">
        <v>1399</v>
      </c>
    </row>
    <row r="1439" spans="18:31" s="105" customFormat="1">
      <c r="R1439" s="154"/>
      <c r="AB1439" s="130"/>
      <c r="AD1439" s="105" t="s">
        <v>2918</v>
      </c>
      <c r="AE1439" s="105" t="s">
        <v>1887</v>
      </c>
    </row>
    <row r="1440" spans="18:31" s="105" customFormat="1">
      <c r="R1440" s="154"/>
      <c r="AB1440" s="130"/>
      <c r="AD1440" s="105" t="s">
        <v>2918</v>
      </c>
      <c r="AE1440" s="105" t="s">
        <v>1400</v>
      </c>
    </row>
    <row r="1441" spans="18:31" s="105" customFormat="1">
      <c r="R1441" s="154"/>
      <c r="AB1441" s="130"/>
      <c r="AD1441" s="105" t="s">
        <v>2989</v>
      </c>
      <c r="AE1441" s="105" t="s">
        <v>1401</v>
      </c>
    </row>
    <row r="1442" spans="18:31" s="105" customFormat="1">
      <c r="R1442" s="154"/>
      <c r="AB1442" s="130"/>
      <c r="AD1442" s="105" t="s">
        <v>2989</v>
      </c>
      <c r="AE1442" s="105" t="s">
        <v>2656</v>
      </c>
    </row>
    <row r="1443" spans="18:31" s="105" customFormat="1">
      <c r="R1443" s="154"/>
      <c r="AB1443" s="130"/>
      <c r="AD1443" s="105" t="s">
        <v>2989</v>
      </c>
      <c r="AE1443" s="105" t="s">
        <v>1402</v>
      </c>
    </row>
    <row r="1444" spans="18:31" s="105" customFormat="1">
      <c r="R1444" s="154"/>
      <c r="AB1444" s="130"/>
      <c r="AD1444" s="105" t="s">
        <v>2989</v>
      </c>
      <c r="AE1444" s="105" t="s">
        <v>1403</v>
      </c>
    </row>
    <row r="1445" spans="18:31" s="105" customFormat="1">
      <c r="R1445" s="154"/>
      <c r="AB1445" s="130"/>
      <c r="AD1445" s="105" t="s">
        <v>2917</v>
      </c>
      <c r="AE1445" s="105" t="s">
        <v>1404</v>
      </c>
    </row>
    <row r="1446" spans="18:31" s="105" customFormat="1">
      <c r="R1446" s="154"/>
      <c r="AB1446" s="130"/>
      <c r="AD1446" s="105" t="s">
        <v>2989</v>
      </c>
      <c r="AE1446" s="105" t="s">
        <v>2657</v>
      </c>
    </row>
    <row r="1447" spans="18:31" s="105" customFormat="1">
      <c r="R1447" s="154"/>
      <c r="AB1447" s="130"/>
      <c r="AD1447" s="105" t="s">
        <v>2989</v>
      </c>
      <c r="AE1447" s="105" t="s">
        <v>1888</v>
      </c>
    </row>
    <row r="1448" spans="18:31" s="105" customFormat="1">
      <c r="R1448" s="154"/>
      <c r="AB1448" s="130"/>
      <c r="AD1448" s="105" t="s">
        <v>2989</v>
      </c>
      <c r="AE1448" s="105" t="s">
        <v>1405</v>
      </c>
    </row>
    <row r="1449" spans="18:31" s="105" customFormat="1">
      <c r="R1449" s="154"/>
      <c r="AB1449" s="130"/>
      <c r="AD1449" s="105" t="s">
        <v>2989</v>
      </c>
      <c r="AE1449" s="105" t="s">
        <v>2307</v>
      </c>
    </row>
    <row r="1450" spans="18:31" s="105" customFormat="1">
      <c r="R1450" s="154"/>
      <c r="AB1450" s="130"/>
      <c r="AD1450" s="105" t="s">
        <v>2539</v>
      </c>
      <c r="AE1450" s="105" t="s">
        <v>1406</v>
      </c>
    </row>
    <row r="1451" spans="18:31" s="105" customFormat="1">
      <c r="R1451" s="154"/>
      <c r="AB1451" s="130"/>
      <c r="AD1451" s="105" t="s">
        <v>2990</v>
      </c>
      <c r="AE1451" s="105" t="s">
        <v>1407</v>
      </c>
    </row>
    <row r="1452" spans="18:31" s="105" customFormat="1">
      <c r="R1452" s="154"/>
      <c r="AB1452" s="130"/>
      <c r="AD1452" s="105" t="s">
        <v>2990</v>
      </c>
      <c r="AE1452" s="105" t="s">
        <v>1408</v>
      </c>
    </row>
    <row r="1453" spans="18:31" s="105" customFormat="1">
      <c r="R1453" s="154"/>
      <c r="AB1453" s="130"/>
      <c r="AD1453" s="105" t="s">
        <v>2925</v>
      </c>
      <c r="AE1453" s="105" t="s">
        <v>1409</v>
      </c>
    </row>
    <row r="1454" spans="18:31" s="105" customFormat="1">
      <c r="R1454" s="154"/>
      <c r="AB1454" s="130"/>
      <c r="AD1454" s="105" t="s">
        <v>2925</v>
      </c>
      <c r="AE1454" s="105" t="s">
        <v>1410</v>
      </c>
    </row>
    <row r="1455" spans="18:31" s="105" customFormat="1">
      <c r="R1455" s="154"/>
      <c r="AB1455" s="130"/>
      <c r="AD1455" s="105" t="s">
        <v>2990</v>
      </c>
      <c r="AE1455" s="105" t="s">
        <v>1411</v>
      </c>
    </row>
    <row r="1456" spans="18:31" s="105" customFormat="1">
      <c r="R1456" s="154"/>
      <c r="AB1456" s="130"/>
      <c r="AD1456" s="105" t="s">
        <v>2990</v>
      </c>
      <c r="AE1456" s="105" t="s">
        <v>1412</v>
      </c>
    </row>
    <row r="1457" spans="18:31" s="105" customFormat="1">
      <c r="R1457" s="154"/>
      <c r="AB1457" s="130"/>
      <c r="AD1457" s="105" t="s">
        <v>2990</v>
      </c>
      <c r="AE1457" s="105" t="s">
        <v>1413</v>
      </c>
    </row>
    <row r="1458" spans="18:31" s="105" customFormat="1">
      <c r="R1458" s="154"/>
      <c r="AB1458" s="130"/>
      <c r="AD1458" s="105" t="s">
        <v>2990</v>
      </c>
      <c r="AE1458" s="105" t="s">
        <v>2261</v>
      </c>
    </row>
    <row r="1459" spans="18:31" s="105" customFormat="1">
      <c r="R1459" s="154"/>
      <c r="AB1459" s="130"/>
      <c r="AD1459" s="105" t="s">
        <v>2990</v>
      </c>
      <c r="AE1459" s="105" t="s">
        <v>1414</v>
      </c>
    </row>
    <row r="1460" spans="18:31" s="105" customFormat="1">
      <c r="R1460" s="154"/>
      <c r="AB1460" s="130"/>
      <c r="AD1460" s="105" t="s">
        <v>2922</v>
      </c>
      <c r="AE1460" s="105" t="s">
        <v>1415</v>
      </c>
    </row>
    <row r="1461" spans="18:31" s="105" customFormat="1">
      <c r="R1461" s="154"/>
      <c r="AB1461" s="130"/>
      <c r="AD1461" s="105" t="s">
        <v>2990</v>
      </c>
      <c r="AE1461" s="105" t="s">
        <v>1416</v>
      </c>
    </row>
    <row r="1462" spans="18:31" s="105" customFormat="1">
      <c r="R1462" s="154"/>
      <c r="AB1462" s="130"/>
      <c r="AD1462" s="105" t="s">
        <v>2990</v>
      </c>
      <c r="AE1462" s="105" t="s">
        <v>1417</v>
      </c>
    </row>
    <row r="1463" spans="18:31" s="105" customFormat="1">
      <c r="R1463" s="154"/>
      <c r="AB1463" s="130"/>
      <c r="AD1463" s="105" t="s">
        <v>2990</v>
      </c>
      <c r="AE1463" s="105" t="s">
        <v>1418</v>
      </c>
    </row>
    <row r="1464" spans="18:31" s="105" customFormat="1">
      <c r="R1464" s="154"/>
      <c r="AB1464" s="130"/>
      <c r="AD1464" s="105" t="s">
        <v>2990</v>
      </c>
      <c r="AE1464" s="105" t="s">
        <v>1419</v>
      </c>
    </row>
    <row r="1465" spans="18:31" s="105" customFormat="1">
      <c r="R1465" s="154"/>
      <c r="AB1465" s="130"/>
      <c r="AD1465" s="105" t="s">
        <v>2990</v>
      </c>
      <c r="AE1465" s="105" t="s">
        <v>1420</v>
      </c>
    </row>
    <row r="1466" spans="18:31" s="105" customFormat="1">
      <c r="R1466" s="154"/>
      <c r="AB1466" s="130"/>
      <c r="AD1466" s="105" t="s">
        <v>2922</v>
      </c>
      <c r="AE1466" s="105" t="s">
        <v>1421</v>
      </c>
    </row>
    <row r="1467" spans="18:31" s="105" customFormat="1">
      <c r="R1467" s="154"/>
      <c r="AB1467" s="130"/>
      <c r="AD1467" s="105" t="s">
        <v>2990</v>
      </c>
      <c r="AE1467" s="105" t="s">
        <v>1422</v>
      </c>
    </row>
    <row r="1468" spans="18:31" s="105" customFormat="1">
      <c r="R1468" s="154"/>
      <c r="AB1468" s="130"/>
      <c r="AD1468" s="105" t="s">
        <v>2924</v>
      </c>
      <c r="AE1468" s="105" t="s">
        <v>1423</v>
      </c>
    </row>
    <row r="1469" spans="18:31" s="105" customFormat="1">
      <c r="R1469" s="154"/>
      <c r="AB1469" s="130"/>
      <c r="AD1469" s="105" t="s">
        <v>2990</v>
      </c>
      <c r="AE1469" s="105" t="s">
        <v>1424</v>
      </c>
    </row>
    <row r="1470" spans="18:31" s="105" customFormat="1">
      <c r="R1470" s="154"/>
      <c r="AB1470" s="130"/>
      <c r="AD1470" s="105" t="s">
        <v>2990</v>
      </c>
      <c r="AE1470" s="105" t="s">
        <v>1425</v>
      </c>
    </row>
    <row r="1471" spans="18:31" s="105" customFormat="1">
      <c r="R1471" s="154"/>
      <c r="AB1471" s="130"/>
      <c r="AD1471" s="105" t="s">
        <v>2922</v>
      </c>
      <c r="AE1471" s="105" t="s">
        <v>1426</v>
      </c>
    </row>
    <row r="1472" spans="18:31" s="105" customFormat="1">
      <c r="R1472" s="154"/>
      <c r="AB1472" s="130"/>
      <c r="AD1472" s="105" t="s">
        <v>2990</v>
      </c>
      <c r="AE1472" s="105" t="s">
        <v>1427</v>
      </c>
    </row>
    <row r="1473" spans="18:31" s="105" customFormat="1">
      <c r="R1473" s="154"/>
      <c r="AB1473" s="130"/>
      <c r="AD1473" s="105" t="s">
        <v>2990</v>
      </c>
      <c r="AE1473" s="105" t="s">
        <v>1889</v>
      </c>
    </row>
    <row r="1474" spans="18:31" s="105" customFormat="1">
      <c r="R1474" s="154"/>
      <c r="AB1474" s="130"/>
      <c r="AD1474" s="105" t="s">
        <v>2990</v>
      </c>
      <c r="AE1474" s="105" t="s">
        <v>2664</v>
      </c>
    </row>
    <row r="1475" spans="18:31" s="105" customFormat="1">
      <c r="R1475" s="154"/>
      <c r="AB1475" s="130"/>
      <c r="AD1475" s="105" t="s">
        <v>2990</v>
      </c>
      <c r="AE1475" s="105" t="s">
        <v>1890</v>
      </c>
    </row>
    <row r="1476" spans="18:31" s="105" customFormat="1">
      <c r="R1476" s="154"/>
      <c r="AB1476" s="130"/>
      <c r="AD1476" s="105" t="s">
        <v>2923</v>
      </c>
      <c r="AE1476" s="105" t="s">
        <v>1428</v>
      </c>
    </row>
    <row r="1477" spans="18:31" s="105" customFormat="1">
      <c r="R1477" s="154"/>
      <c r="AB1477" s="130"/>
      <c r="AD1477" s="105" t="s">
        <v>2923</v>
      </c>
      <c r="AE1477" s="105" t="s">
        <v>1429</v>
      </c>
    </row>
    <row r="1478" spans="18:31" s="105" customFormat="1">
      <c r="R1478" s="154"/>
      <c r="AB1478" s="130"/>
      <c r="AD1478" s="105" t="s">
        <v>2923</v>
      </c>
      <c r="AE1478" s="105" t="s">
        <v>1430</v>
      </c>
    </row>
    <row r="1479" spans="18:31" s="105" customFormat="1">
      <c r="R1479" s="154"/>
      <c r="AB1479" s="130"/>
      <c r="AD1479" s="105" t="s">
        <v>2923</v>
      </c>
      <c r="AE1479" s="105" t="s">
        <v>1431</v>
      </c>
    </row>
    <row r="1480" spans="18:31" s="105" customFormat="1">
      <c r="R1480" s="154"/>
      <c r="AB1480" s="130"/>
      <c r="AD1480" s="105" t="s">
        <v>2923</v>
      </c>
      <c r="AE1480" s="105" t="s">
        <v>1432</v>
      </c>
    </row>
    <row r="1481" spans="18:31" s="105" customFormat="1">
      <c r="R1481" s="154"/>
      <c r="AB1481" s="130"/>
      <c r="AD1481" s="105" t="s">
        <v>2923</v>
      </c>
      <c r="AE1481" s="105" t="s">
        <v>1433</v>
      </c>
    </row>
    <row r="1482" spans="18:31" s="105" customFormat="1">
      <c r="R1482" s="154"/>
      <c r="AB1482" s="130"/>
      <c r="AD1482" s="105" t="s">
        <v>2923</v>
      </c>
      <c r="AE1482" s="105" t="s">
        <v>1434</v>
      </c>
    </row>
    <row r="1483" spans="18:31" s="105" customFormat="1">
      <c r="R1483" s="154"/>
      <c r="AB1483" s="130"/>
      <c r="AD1483" s="105" t="s">
        <v>2921</v>
      </c>
      <c r="AE1483" s="105" t="s">
        <v>1435</v>
      </c>
    </row>
    <row r="1484" spans="18:31" s="105" customFormat="1">
      <c r="R1484" s="154"/>
      <c r="AB1484" s="130"/>
      <c r="AD1484" s="105" t="s">
        <v>2923</v>
      </c>
      <c r="AE1484" s="105" t="s">
        <v>1436</v>
      </c>
    </row>
    <row r="1485" spans="18:31" s="105" customFormat="1">
      <c r="R1485" s="154"/>
      <c r="AB1485" s="130"/>
      <c r="AD1485" s="105" t="s">
        <v>2923</v>
      </c>
      <c r="AE1485" s="105" t="s">
        <v>1437</v>
      </c>
    </row>
    <row r="1486" spans="18:31" s="105" customFormat="1">
      <c r="R1486" s="154"/>
      <c r="AB1486" s="130"/>
      <c r="AD1486" s="105" t="s">
        <v>2923</v>
      </c>
      <c r="AE1486" s="105" t="s">
        <v>1438</v>
      </c>
    </row>
    <row r="1487" spans="18:31" s="105" customFormat="1">
      <c r="R1487" s="154"/>
      <c r="AB1487" s="130"/>
      <c r="AD1487" s="105" t="s">
        <v>2923</v>
      </c>
      <c r="AE1487" s="105" t="s">
        <v>1439</v>
      </c>
    </row>
    <row r="1488" spans="18:31" s="105" customFormat="1">
      <c r="R1488" s="154"/>
      <c r="AB1488" s="130"/>
      <c r="AD1488" s="105" t="s">
        <v>2923</v>
      </c>
      <c r="AE1488" s="105" t="s">
        <v>1440</v>
      </c>
    </row>
    <row r="1489" spans="18:31" s="105" customFormat="1">
      <c r="R1489" s="154"/>
      <c r="AB1489" s="130"/>
      <c r="AD1489" s="105" t="s">
        <v>2923</v>
      </c>
      <c r="AE1489" s="105" t="s">
        <v>1441</v>
      </c>
    </row>
    <row r="1490" spans="18:31" s="105" customFormat="1">
      <c r="R1490" s="154"/>
      <c r="AB1490" s="130"/>
      <c r="AD1490" s="105" t="s">
        <v>2923</v>
      </c>
      <c r="AE1490" s="105" t="s">
        <v>1442</v>
      </c>
    </row>
    <row r="1491" spans="18:31" s="105" customFormat="1">
      <c r="R1491" s="154"/>
      <c r="AB1491" s="130"/>
      <c r="AD1491" s="105" t="s">
        <v>2923</v>
      </c>
      <c r="AE1491" s="105" t="s">
        <v>1443</v>
      </c>
    </row>
    <row r="1492" spans="18:31" s="105" customFormat="1">
      <c r="R1492" s="154"/>
      <c r="AB1492" s="130"/>
      <c r="AD1492" s="105" t="s">
        <v>2923</v>
      </c>
      <c r="AE1492" s="105" t="s">
        <v>1444</v>
      </c>
    </row>
    <row r="1493" spans="18:31" s="105" customFormat="1">
      <c r="R1493" s="154"/>
      <c r="AB1493" s="130"/>
      <c r="AD1493" s="105" t="s">
        <v>2923</v>
      </c>
      <c r="AE1493" s="105" t="s">
        <v>1445</v>
      </c>
    </row>
    <row r="1494" spans="18:31" s="105" customFormat="1">
      <c r="R1494" s="154"/>
      <c r="AB1494" s="130"/>
      <c r="AD1494" s="105" t="s">
        <v>2923</v>
      </c>
      <c r="AE1494" s="105" t="s">
        <v>1446</v>
      </c>
    </row>
    <row r="1495" spans="18:31" s="105" customFormat="1">
      <c r="R1495" s="154"/>
      <c r="AB1495" s="130"/>
      <c r="AD1495" s="105" t="s">
        <v>2923</v>
      </c>
      <c r="AE1495" s="105" t="s">
        <v>1447</v>
      </c>
    </row>
    <row r="1496" spans="18:31" s="105" customFormat="1">
      <c r="R1496" s="154"/>
      <c r="AB1496" s="130"/>
      <c r="AD1496" s="105" t="s">
        <v>2923</v>
      </c>
      <c r="AE1496" s="105" t="s">
        <v>1448</v>
      </c>
    </row>
    <row r="1497" spans="18:31" s="105" customFormat="1">
      <c r="R1497" s="154"/>
      <c r="AB1497" s="130"/>
      <c r="AD1497" s="105" t="s">
        <v>2923</v>
      </c>
      <c r="AE1497" s="105" t="s">
        <v>1449</v>
      </c>
    </row>
    <row r="1498" spans="18:31" s="105" customFormat="1">
      <c r="R1498" s="154"/>
      <c r="AB1498" s="130"/>
      <c r="AD1498" s="105" t="s">
        <v>2923</v>
      </c>
      <c r="AE1498" s="105" t="s">
        <v>1450</v>
      </c>
    </row>
    <row r="1499" spans="18:31" s="105" customFormat="1">
      <c r="R1499" s="154"/>
      <c r="AB1499" s="130"/>
      <c r="AD1499" s="105" t="s">
        <v>2923</v>
      </c>
      <c r="AE1499" s="105" t="s">
        <v>1451</v>
      </c>
    </row>
    <row r="1500" spans="18:31" s="105" customFormat="1">
      <c r="R1500" s="154"/>
      <c r="AB1500" s="130"/>
      <c r="AD1500" s="105" t="s">
        <v>2922</v>
      </c>
      <c r="AE1500" s="105" t="s">
        <v>1452</v>
      </c>
    </row>
    <row r="1501" spans="18:31" s="105" customFormat="1">
      <c r="R1501" s="154"/>
      <c r="AB1501" s="130"/>
      <c r="AD1501" s="105" t="s">
        <v>2990</v>
      </c>
      <c r="AE1501" s="105" t="s">
        <v>1453</v>
      </c>
    </row>
    <row r="1502" spans="18:31" s="105" customFormat="1">
      <c r="R1502" s="154"/>
      <c r="AB1502" s="130"/>
      <c r="AD1502" s="105" t="s">
        <v>2922</v>
      </c>
      <c r="AE1502" s="105" t="s">
        <v>1454</v>
      </c>
    </row>
    <row r="1503" spans="18:31" s="105" customFormat="1">
      <c r="R1503" s="154"/>
      <c r="AB1503" s="130"/>
      <c r="AD1503" s="105" t="s">
        <v>2923</v>
      </c>
      <c r="AE1503" s="105" t="s">
        <v>1455</v>
      </c>
    </row>
    <row r="1504" spans="18:31" s="105" customFormat="1">
      <c r="R1504" s="154"/>
      <c r="AB1504" s="130"/>
      <c r="AD1504" s="105" t="s">
        <v>2923</v>
      </c>
      <c r="AE1504" s="105" t="s">
        <v>1891</v>
      </c>
    </row>
    <row r="1505" spans="18:31" s="105" customFormat="1">
      <c r="R1505" s="154"/>
      <c r="AB1505" s="130"/>
      <c r="AD1505" s="105" t="s">
        <v>2923</v>
      </c>
      <c r="AE1505" s="105" t="s">
        <v>1456</v>
      </c>
    </row>
    <row r="1506" spans="18:31" s="105" customFormat="1">
      <c r="R1506" s="154"/>
      <c r="AB1506" s="130"/>
      <c r="AD1506" s="105" t="s">
        <v>2990</v>
      </c>
      <c r="AE1506" s="105" t="s">
        <v>1457</v>
      </c>
    </row>
    <row r="1507" spans="18:31" s="105" customFormat="1">
      <c r="R1507" s="154"/>
      <c r="AB1507" s="130"/>
      <c r="AD1507" s="105" t="s">
        <v>2990</v>
      </c>
      <c r="AE1507" s="105" t="s">
        <v>2666</v>
      </c>
    </row>
    <row r="1508" spans="18:31" s="105" customFormat="1">
      <c r="R1508" s="154"/>
      <c r="AB1508" s="130"/>
      <c r="AD1508" s="105" t="s">
        <v>2990</v>
      </c>
      <c r="AE1508" s="105" t="s">
        <v>1458</v>
      </c>
    </row>
    <row r="1509" spans="18:31" s="105" customFormat="1">
      <c r="R1509" s="154"/>
      <c r="AB1509" s="130"/>
      <c r="AD1509" s="105" t="s">
        <v>2990</v>
      </c>
      <c r="AE1509" s="105" t="s">
        <v>1459</v>
      </c>
    </row>
    <row r="1510" spans="18:31" s="105" customFormat="1">
      <c r="R1510" s="154"/>
      <c r="AB1510" s="130"/>
      <c r="AD1510" s="105" t="s">
        <v>2922</v>
      </c>
      <c r="AE1510" s="105" t="s">
        <v>1460</v>
      </c>
    </row>
    <row r="1511" spans="18:31" s="105" customFormat="1">
      <c r="R1511" s="154"/>
      <c r="AB1511" s="130"/>
      <c r="AD1511" s="105" t="s">
        <v>2990</v>
      </c>
      <c r="AE1511" s="105" t="s">
        <v>2667</v>
      </c>
    </row>
    <row r="1512" spans="18:31" s="105" customFormat="1">
      <c r="R1512" s="154"/>
      <c r="AB1512" s="130"/>
      <c r="AD1512" s="105" t="s">
        <v>2990</v>
      </c>
      <c r="AE1512" s="105" t="s">
        <v>1892</v>
      </c>
    </row>
    <row r="1513" spans="18:31" s="105" customFormat="1">
      <c r="R1513" s="154"/>
      <c r="AB1513" s="130"/>
      <c r="AD1513" s="105" t="s">
        <v>2990</v>
      </c>
      <c r="AE1513" s="105" t="s">
        <v>1461</v>
      </c>
    </row>
    <row r="1514" spans="18:31" s="105" customFormat="1">
      <c r="R1514" s="154"/>
      <c r="AB1514" s="130"/>
      <c r="AD1514" s="105" t="s">
        <v>2990</v>
      </c>
      <c r="AE1514" s="105" t="s">
        <v>2310</v>
      </c>
    </row>
    <row r="1515" spans="18:31" s="105" customFormat="1">
      <c r="R1515" s="154"/>
      <c r="AB1515" s="130"/>
      <c r="AD1515" s="105" t="s">
        <v>2540</v>
      </c>
      <c r="AE1515" s="105" t="s">
        <v>1462</v>
      </c>
    </row>
    <row r="1516" spans="18:31" s="105" customFormat="1">
      <c r="R1516" s="154"/>
      <c r="AB1516" s="130"/>
      <c r="AD1516" s="105" t="s">
        <v>2991</v>
      </c>
      <c r="AE1516" s="105" t="s">
        <v>1463</v>
      </c>
    </row>
    <row r="1517" spans="18:31" s="105" customFormat="1">
      <c r="R1517" s="154"/>
      <c r="AB1517" s="130"/>
      <c r="AD1517" s="105" t="s">
        <v>2991</v>
      </c>
      <c r="AE1517" s="105" t="s">
        <v>1464</v>
      </c>
    </row>
    <row r="1518" spans="18:31" s="105" customFormat="1">
      <c r="R1518" s="154"/>
      <c r="AB1518" s="130"/>
      <c r="AD1518" s="105" t="s">
        <v>2930</v>
      </c>
      <c r="AE1518" s="105" t="s">
        <v>1465</v>
      </c>
    </row>
    <row r="1519" spans="18:31" s="105" customFormat="1">
      <c r="R1519" s="154"/>
      <c r="AB1519" s="130"/>
      <c r="AD1519" s="105" t="s">
        <v>2930</v>
      </c>
      <c r="AE1519" s="105" t="s">
        <v>1466</v>
      </c>
    </row>
    <row r="1520" spans="18:31" s="105" customFormat="1">
      <c r="R1520" s="154"/>
      <c r="AB1520" s="130"/>
      <c r="AD1520" s="105" t="s">
        <v>2991</v>
      </c>
      <c r="AE1520" s="105" t="s">
        <v>1467</v>
      </c>
    </row>
    <row r="1521" spans="18:31" s="105" customFormat="1">
      <c r="R1521" s="154"/>
      <c r="AB1521" s="130"/>
      <c r="AD1521" s="105" t="s">
        <v>2991</v>
      </c>
      <c r="AE1521" s="105" t="s">
        <v>1468</v>
      </c>
    </row>
    <row r="1522" spans="18:31" s="105" customFormat="1">
      <c r="R1522" s="154"/>
      <c r="AB1522" s="130"/>
      <c r="AD1522" s="105" t="s">
        <v>2991</v>
      </c>
      <c r="AE1522" s="105" t="s">
        <v>1469</v>
      </c>
    </row>
    <row r="1523" spans="18:31" s="105" customFormat="1">
      <c r="R1523" s="154"/>
      <c r="AB1523" s="130"/>
      <c r="AD1523" s="105" t="s">
        <v>2991</v>
      </c>
      <c r="AE1523" s="105" t="s">
        <v>2262</v>
      </c>
    </row>
    <row r="1524" spans="18:31" s="105" customFormat="1">
      <c r="R1524" s="154"/>
      <c r="AB1524" s="130"/>
      <c r="AD1524" s="105" t="s">
        <v>2991</v>
      </c>
      <c r="AE1524" s="105" t="s">
        <v>1470</v>
      </c>
    </row>
    <row r="1525" spans="18:31" s="105" customFormat="1">
      <c r="R1525" s="154"/>
      <c r="AB1525" s="130"/>
      <c r="AD1525" s="105" t="s">
        <v>2927</v>
      </c>
      <c r="AE1525" s="105" t="s">
        <v>1471</v>
      </c>
    </row>
    <row r="1526" spans="18:31" s="105" customFormat="1">
      <c r="R1526" s="154"/>
      <c r="AB1526" s="130"/>
      <c r="AD1526" s="105" t="s">
        <v>2991</v>
      </c>
      <c r="AE1526" s="105" t="s">
        <v>1472</v>
      </c>
    </row>
    <row r="1527" spans="18:31" s="105" customFormat="1">
      <c r="R1527" s="154"/>
      <c r="AB1527" s="130"/>
      <c r="AD1527" s="105" t="s">
        <v>2991</v>
      </c>
      <c r="AE1527" s="105" t="s">
        <v>1473</v>
      </c>
    </row>
    <row r="1528" spans="18:31" s="105" customFormat="1">
      <c r="R1528" s="154"/>
      <c r="AB1528" s="130"/>
      <c r="AD1528" s="105" t="s">
        <v>2991</v>
      </c>
      <c r="AE1528" s="105" t="s">
        <v>1474</v>
      </c>
    </row>
    <row r="1529" spans="18:31" s="105" customFormat="1">
      <c r="R1529" s="154"/>
      <c r="AB1529" s="130"/>
      <c r="AD1529" s="105" t="s">
        <v>2991</v>
      </c>
      <c r="AE1529" s="105" t="s">
        <v>1475</v>
      </c>
    </row>
    <row r="1530" spans="18:31" s="105" customFormat="1">
      <c r="R1530" s="154"/>
      <c r="AB1530" s="130"/>
      <c r="AD1530" s="105" t="s">
        <v>2991</v>
      </c>
      <c r="AE1530" s="105" t="s">
        <v>1476</v>
      </c>
    </row>
    <row r="1531" spans="18:31" s="105" customFormat="1">
      <c r="R1531" s="154"/>
      <c r="AB1531" s="130"/>
      <c r="AD1531" s="105" t="s">
        <v>2927</v>
      </c>
      <c r="AE1531" s="105" t="s">
        <v>1477</v>
      </c>
    </row>
    <row r="1532" spans="18:31" s="105" customFormat="1">
      <c r="R1532" s="154"/>
      <c r="AB1532" s="130"/>
      <c r="AD1532" s="105" t="s">
        <v>2991</v>
      </c>
      <c r="AE1532" s="105" t="s">
        <v>1478</v>
      </c>
    </row>
    <row r="1533" spans="18:31" s="105" customFormat="1">
      <c r="R1533" s="154"/>
      <c r="AB1533" s="130"/>
      <c r="AD1533" s="105" t="s">
        <v>2929</v>
      </c>
      <c r="AE1533" s="105" t="s">
        <v>1479</v>
      </c>
    </row>
    <row r="1534" spans="18:31" s="105" customFormat="1">
      <c r="R1534" s="154"/>
      <c r="AB1534" s="130"/>
      <c r="AD1534" s="105" t="s">
        <v>2991</v>
      </c>
      <c r="AE1534" s="105" t="s">
        <v>1480</v>
      </c>
    </row>
    <row r="1535" spans="18:31" s="105" customFormat="1">
      <c r="R1535" s="154"/>
      <c r="AB1535" s="130"/>
      <c r="AD1535" s="105" t="s">
        <v>2991</v>
      </c>
      <c r="AE1535" s="105" t="s">
        <v>1481</v>
      </c>
    </row>
    <row r="1536" spans="18:31" s="105" customFormat="1">
      <c r="R1536" s="154"/>
      <c r="AB1536" s="130"/>
      <c r="AD1536" s="105" t="s">
        <v>2927</v>
      </c>
      <c r="AE1536" s="105" t="s">
        <v>1482</v>
      </c>
    </row>
    <row r="1537" spans="18:31" s="105" customFormat="1">
      <c r="R1537" s="154"/>
      <c r="AB1537" s="130"/>
      <c r="AD1537" s="105" t="s">
        <v>2991</v>
      </c>
      <c r="AE1537" s="105" t="s">
        <v>1483</v>
      </c>
    </row>
    <row r="1538" spans="18:31" s="105" customFormat="1">
      <c r="R1538" s="154"/>
      <c r="AB1538" s="130"/>
      <c r="AD1538" s="105" t="s">
        <v>2991</v>
      </c>
      <c r="AE1538" s="105" t="s">
        <v>1893</v>
      </c>
    </row>
    <row r="1539" spans="18:31" s="105" customFormat="1">
      <c r="R1539" s="154"/>
      <c r="AB1539" s="130"/>
      <c r="AD1539" s="105" t="s">
        <v>2991</v>
      </c>
      <c r="AE1539" s="105" t="s">
        <v>2646</v>
      </c>
    </row>
    <row r="1540" spans="18:31" s="105" customFormat="1">
      <c r="R1540" s="154"/>
      <c r="AB1540" s="130"/>
      <c r="AD1540" s="105" t="s">
        <v>2991</v>
      </c>
      <c r="AE1540" s="105" t="s">
        <v>1894</v>
      </c>
    </row>
    <row r="1541" spans="18:31" s="105" customFormat="1">
      <c r="R1541" s="154"/>
      <c r="AB1541" s="130"/>
      <c r="AD1541" s="105" t="s">
        <v>2928</v>
      </c>
      <c r="AE1541" s="105" t="s">
        <v>1484</v>
      </c>
    </row>
    <row r="1542" spans="18:31" s="105" customFormat="1">
      <c r="R1542" s="154"/>
      <c r="AB1542" s="130"/>
      <c r="AD1542" s="105" t="s">
        <v>2928</v>
      </c>
      <c r="AE1542" s="105" t="s">
        <v>1485</v>
      </c>
    </row>
    <row r="1543" spans="18:31" s="105" customFormat="1">
      <c r="R1543" s="154"/>
      <c r="AB1543" s="130"/>
      <c r="AD1543" s="105" t="s">
        <v>2928</v>
      </c>
      <c r="AE1543" s="105" t="s">
        <v>1486</v>
      </c>
    </row>
    <row r="1544" spans="18:31" s="105" customFormat="1">
      <c r="R1544" s="154"/>
      <c r="AB1544" s="130"/>
      <c r="AD1544" s="105" t="s">
        <v>2928</v>
      </c>
      <c r="AE1544" s="105" t="s">
        <v>1487</v>
      </c>
    </row>
    <row r="1545" spans="18:31" s="105" customFormat="1">
      <c r="R1545" s="154"/>
      <c r="AB1545" s="130"/>
      <c r="AD1545" s="105" t="s">
        <v>2928</v>
      </c>
      <c r="AE1545" s="105" t="s">
        <v>1488</v>
      </c>
    </row>
    <row r="1546" spans="18:31" s="105" customFormat="1">
      <c r="R1546" s="154"/>
      <c r="AB1546" s="130"/>
      <c r="AD1546" s="105" t="s">
        <v>2928</v>
      </c>
      <c r="AE1546" s="105" t="s">
        <v>1489</v>
      </c>
    </row>
    <row r="1547" spans="18:31" s="105" customFormat="1">
      <c r="R1547" s="154"/>
      <c r="AB1547" s="130"/>
      <c r="AD1547" s="105" t="s">
        <v>2928</v>
      </c>
      <c r="AE1547" s="105" t="s">
        <v>1490</v>
      </c>
    </row>
    <row r="1548" spans="18:31" s="105" customFormat="1">
      <c r="R1548" s="154"/>
      <c r="AB1548" s="130"/>
      <c r="AD1548" s="105" t="s">
        <v>2926</v>
      </c>
      <c r="AE1548" s="105" t="s">
        <v>1491</v>
      </c>
    </row>
    <row r="1549" spans="18:31" s="105" customFormat="1">
      <c r="R1549" s="154"/>
      <c r="AB1549" s="130"/>
      <c r="AD1549" s="105" t="s">
        <v>2928</v>
      </c>
      <c r="AE1549" s="105" t="s">
        <v>1492</v>
      </c>
    </row>
    <row r="1550" spans="18:31" s="105" customFormat="1">
      <c r="R1550" s="154"/>
      <c r="AB1550" s="130"/>
      <c r="AD1550" s="105" t="s">
        <v>2928</v>
      </c>
      <c r="AE1550" s="105" t="s">
        <v>1493</v>
      </c>
    </row>
    <row r="1551" spans="18:31" s="105" customFormat="1">
      <c r="R1551" s="154"/>
      <c r="AB1551" s="130"/>
      <c r="AD1551" s="105" t="s">
        <v>2928</v>
      </c>
      <c r="AE1551" s="105" t="s">
        <v>1494</v>
      </c>
    </row>
    <row r="1552" spans="18:31" s="105" customFormat="1">
      <c r="R1552" s="154"/>
      <c r="AB1552" s="130"/>
      <c r="AD1552" s="105" t="s">
        <v>2928</v>
      </c>
      <c r="AE1552" s="105" t="s">
        <v>1495</v>
      </c>
    </row>
    <row r="1553" spans="18:31" s="105" customFormat="1">
      <c r="R1553" s="154"/>
      <c r="AB1553" s="130"/>
      <c r="AD1553" s="105" t="s">
        <v>2928</v>
      </c>
      <c r="AE1553" s="105" t="s">
        <v>1496</v>
      </c>
    </row>
    <row r="1554" spans="18:31" s="105" customFormat="1">
      <c r="R1554" s="154"/>
      <c r="AB1554" s="130"/>
      <c r="AD1554" s="105" t="s">
        <v>2928</v>
      </c>
      <c r="AE1554" s="105" t="s">
        <v>1497</v>
      </c>
    </row>
    <row r="1555" spans="18:31" s="105" customFormat="1">
      <c r="R1555" s="154"/>
      <c r="AB1555" s="130"/>
      <c r="AD1555" s="105" t="s">
        <v>2928</v>
      </c>
      <c r="AE1555" s="105" t="s">
        <v>1498</v>
      </c>
    </row>
    <row r="1556" spans="18:31" s="105" customFormat="1">
      <c r="R1556" s="154"/>
      <c r="AB1556" s="130"/>
      <c r="AD1556" s="105" t="s">
        <v>2928</v>
      </c>
      <c r="AE1556" s="105" t="s">
        <v>1499</v>
      </c>
    </row>
    <row r="1557" spans="18:31" s="105" customFormat="1">
      <c r="R1557" s="154"/>
      <c r="AB1557" s="130"/>
      <c r="AD1557" s="105" t="s">
        <v>2928</v>
      </c>
      <c r="AE1557" s="105" t="s">
        <v>1500</v>
      </c>
    </row>
    <row r="1558" spans="18:31" s="105" customFormat="1">
      <c r="R1558" s="154"/>
      <c r="AB1558" s="130"/>
      <c r="AD1558" s="105" t="s">
        <v>2928</v>
      </c>
      <c r="AE1558" s="105" t="s">
        <v>1501</v>
      </c>
    </row>
    <row r="1559" spans="18:31" s="105" customFormat="1">
      <c r="R1559" s="154"/>
      <c r="AB1559" s="130"/>
      <c r="AD1559" s="105" t="s">
        <v>2928</v>
      </c>
      <c r="AE1559" s="105" t="s">
        <v>1502</v>
      </c>
    </row>
    <row r="1560" spans="18:31" s="105" customFormat="1">
      <c r="R1560" s="154"/>
      <c r="AB1560" s="130"/>
      <c r="AD1560" s="105" t="s">
        <v>2928</v>
      </c>
      <c r="AE1560" s="105" t="s">
        <v>1503</v>
      </c>
    </row>
    <row r="1561" spans="18:31" s="105" customFormat="1">
      <c r="R1561" s="154"/>
      <c r="AB1561" s="130"/>
      <c r="AD1561" s="105" t="s">
        <v>2928</v>
      </c>
      <c r="AE1561" s="105" t="s">
        <v>1504</v>
      </c>
    </row>
    <row r="1562" spans="18:31" s="105" customFormat="1">
      <c r="R1562" s="154"/>
      <c r="AB1562" s="130"/>
      <c r="AD1562" s="105" t="s">
        <v>2928</v>
      </c>
      <c r="AE1562" s="105" t="s">
        <v>1505</v>
      </c>
    </row>
    <row r="1563" spans="18:31" s="105" customFormat="1">
      <c r="R1563" s="154"/>
      <c r="AB1563" s="130"/>
      <c r="AD1563" s="105" t="s">
        <v>2928</v>
      </c>
      <c r="AE1563" s="105" t="s">
        <v>1506</v>
      </c>
    </row>
    <row r="1564" spans="18:31" s="105" customFormat="1">
      <c r="R1564" s="154"/>
      <c r="AB1564" s="130"/>
      <c r="AD1564" s="105" t="s">
        <v>2928</v>
      </c>
      <c r="AE1564" s="105" t="s">
        <v>1507</v>
      </c>
    </row>
    <row r="1565" spans="18:31" s="105" customFormat="1">
      <c r="R1565" s="154"/>
      <c r="AB1565" s="130"/>
      <c r="AD1565" s="105" t="s">
        <v>2927</v>
      </c>
      <c r="AE1565" s="105" t="s">
        <v>1508</v>
      </c>
    </row>
    <row r="1566" spans="18:31" s="105" customFormat="1">
      <c r="R1566" s="154"/>
      <c r="AB1566" s="130"/>
      <c r="AD1566" s="105" t="s">
        <v>2991</v>
      </c>
      <c r="AE1566" s="105" t="s">
        <v>1509</v>
      </c>
    </row>
    <row r="1567" spans="18:31" s="105" customFormat="1">
      <c r="R1567" s="154"/>
      <c r="AB1567" s="130"/>
      <c r="AD1567" s="105" t="s">
        <v>2927</v>
      </c>
      <c r="AE1567" s="105" t="s">
        <v>1510</v>
      </c>
    </row>
    <row r="1568" spans="18:31" s="105" customFormat="1">
      <c r="R1568" s="154"/>
      <c r="AB1568" s="130"/>
      <c r="AD1568" s="105" t="s">
        <v>2928</v>
      </c>
      <c r="AE1568" s="105" t="s">
        <v>1511</v>
      </c>
    </row>
    <row r="1569" spans="18:31" s="105" customFormat="1">
      <c r="R1569" s="154"/>
      <c r="AB1569" s="130"/>
      <c r="AD1569" s="105" t="s">
        <v>2928</v>
      </c>
      <c r="AE1569" s="105" t="s">
        <v>1895</v>
      </c>
    </row>
    <row r="1570" spans="18:31" s="105" customFormat="1">
      <c r="R1570" s="154"/>
      <c r="AB1570" s="130"/>
      <c r="AD1570" s="105" t="s">
        <v>2928</v>
      </c>
      <c r="AE1570" s="105" t="s">
        <v>1512</v>
      </c>
    </row>
    <row r="1571" spans="18:31" s="105" customFormat="1">
      <c r="R1571" s="154"/>
      <c r="AB1571" s="130"/>
      <c r="AD1571" s="105" t="s">
        <v>2991</v>
      </c>
      <c r="AE1571" s="105" t="s">
        <v>1513</v>
      </c>
    </row>
    <row r="1572" spans="18:31" s="105" customFormat="1">
      <c r="R1572" s="154"/>
      <c r="AB1572" s="130"/>
      <c r="AD1572" s="105" t="s">
        <v>2991</v>
      </c>
      <c r="AE1572" s="105" t="s">
        <v>2648</v>
      </c>
    </row>
    <row r="1573" spans="18:31" s="105" customFormat="1">
      <c r="R1573" s="154"/>
      <c r="AB1573" s="115"/>
      <c r="AD1573" s="105" t="s">
        <v>2991</v>
      </c>
      <c r="AE1573" s="105" t="s">
        <v>1514</v>
      </c>
    </row>
    <row r="1574" spans="18:31" s="105" customFormat="1">
      <c r="R1574" s="154"/>
      <c r="AB1574" s="115"/>
      <c r="AD1574" s="105" t="s">
        <v>2991</v>
      </c>
      <c r="AE1574" s="105" t="s">
        <v>1515</v>
      </c>
    </row>
    <row r="1575" spans="18:31" s="105" customFormat="1">
      <c r="R1575" s="154"/>
      <c r="AB1575" s="115"/>
      <c r="AD1575" s="105" t="s">
        <v>2927</v>
      </c>
      <c r="AE1575" s="105" t="s">
        <v>1516</v>
      </c>
    </row>
    <row r="1576" spans="18:31" s="105" customFormat="1">
      <c r="R1576" s="154"/>
      <c r="AB1576" s="115"/>
      <c r="AD1576" s="105" t="s">
        <v>2991</v>
      </c>
      <c r="AE1576" s="105" t="s">
        <v>2650</v>
      </c>
    </row>
    <row r="1577" spans="18:31" s="105" customFormat="1">
      <c r="R1577" s="154"/>
      <c r="AB1577" s="115"/>
      <c r="AD1577" s="105" t="s">
        <v>2991</v>
      </c>
      <c r="AE1577" s="105" t="s">
        <v>1896</v>
      </c>
    </row>
    <row r="1578" spans="18:31" s="105" customFormat="1">
      <c r="R1578" s="154"/>
      <c r="AB1578" s="115"/>
      <c r="AD1578" s="105" t="s">
        <v>2991</v>
      </c>
      <c r="AE1578" s="105" t="s">
        <v>1517</v>
      </c>
    </row>
    <row r="1579" spans="18:31" s="105" customFormat="1">
      <c r="R1579" s="154"/>
      <c r="AB1579" s="115"/>
      <c r="AD1579" s="105" t="s">
        <v>2991</v>
      </c>
      <c r="AE1579" s="105" t="s">
        <v>2297</v>
      </c>
    </row>
    <row r="1580" spans="18:31" s="105" customFormat="1">
      <c r="R1580" s="154"/>
      <c r="AB1580" s="115"/>
      <c r="AD1580" s="105" t="s">
        <v>2541</v>
      </c>
      <c r="AE1580" s="105" t="s">
        <v>1518</v>
      </c>
    </row>
    <row r="1581" spans="18:31" s="105" customFormat="1">
      <c r="R1581" s="154"/>
      <c r="AB1581" s="115"/>
      <c r="AD1581" s="105" t="s">
        <v>2992</v>
      </c>
      <c r="AE1581" s="105" t="s">
        <v>1519</v>
      </c>
    </row>
    <row r="1582" spans="18:31" s="105" customFormat="1">
      <c r="R1582" s="154"/>
      <c r="AB1582" s="115"/>
      <c r="AD1582" s="105" t="s">
        <v>2992</v>
      </c>
      <c r="AE1582" s="105" t="s">
        <v>1520</v>
      </c>
    </row>
    <row r="1583" spans="18:31" s="105" customFormat="1">
      <c r="R1583" s="154"/>
      <c r="AB1583" s="115"/>
      <c r="AD1583" s="105" t="s">
        <v>2935</v>
      </c>
      <c r="AE1583" s="105" t="s">
        <v>1521</v>
      </c>
    </row>
    <row r="1584" spans="18:31" s="105" customFormat="1">
      <c r="R1584" s="154"/>
      <c r="AB1584" s="124"/>
      <c r="AD1584" s="105" t="s">
        <v>2935</v>
      </c>
      <c r="AE1584" s="105" t="s">
        <v>1522</v>
      </c>
    </row>
    <row r="1585" spans="18:31" s="105" customFormat="1">
      <c r="R1585" s="154"/>
      <c r="AB1585" s="124"/>
      <c r="AD1585" s="105" t="s">
        <v>2992</v>
      </c>
      <c r="AE1585" s="105" t="s">
        <v>1523</v>
      </c>
    </row>
    <row r="1586" spans="18:31" s="105" customFormat="1">
      <c r="R1586" s="154"/>
      <c r="AB1586" s="124"/>
      <c r="AD1586" s="105" t="s">
        <v>2992</v>
      </c>
      <c r="AE1586" s="105" t="s">
        <v>1524</v>
      </c>
    </row>
    <row r="1587" spans="18:31" s="105" customFormat="1">
      <c r="R1587" s="154"/>
      <c r="AB1587" s="124"/>
      <c r="AD1587" s="105" t="s">
        <v>2992</v>
      </c>
      <c r="AE1587" s="105" t="s">
        <v>1525</v>
      </c>
    </row>
    <row r="1588" spans="18:31" s="105" customFormat="1">
      <c r="R1588" s="154"/>
      <c r="AB1588" s="124"/>
      <c r="AD1588" s="105" t="s">
        <v>2992</v>
      </c>
      <c r="AE1588" s="105" t="s">
        <v>2263</v>
      </c>
    </row>
    <row r="1589" spans="18:31" s="105" customFormat="1">
      <c r="R1589" s="154"/>
      <c r="AB1589" s="124"/>
      <c r="AD1589" s="105" t="s">
        <v>2992</v>
      </c>
      <c r="AE1589" s="105" t="s">
        <v>1526</v>
      </c>
    </row>
    <row r="1590" spans="18:31" s="105" customFormat="1">
      <c r="R1590" s="154"/>
      <c r="AB1590" s="124"/>
      <c r="AD1590" s="105" t="s">
        <v>2932</v>
      </c>
      <c r="AE1590" s="105" t="s">
        <v>1527</v>
      </c>
    </row>
    <row r="1591" spans="18:31" s="105" customFormat="1">
      <c r="R1591" s="154"/>
      <c r="AB1591" s="124"/>
      <c r="AD1591" s="105" t="s">
        <v>2992</v>
      </c>
      <c r="AE1591" s="105" t="s">
        <v>1528</v>
      </c>
    </row>
    <row r="1592" spans="18:31" s="105" customFormat="1">
      <c r="R1592" s="154"/>
      <c r="AB1592" s="124"/>
      <c r="AD1592" s="105" t="s">
        <v>2992</v>
      </c>
      <c r="AE1592" s="105" t="s">
        <v>1529</v>
      </c>
    </row>
    <row r="1593" spans="18:31" s="105" customFormat="1">
      <c r="R1593" s="154"/>
      <c r="AB1593" s="124"/>
      <c r="AD1593" s="105" t="s">
        <v>2992</v>
      </c>
      <c r="AE1593" s="105" t="s">
        <v>1530</v>
      </c>
    </row>
    <row r="1594" spans="18:31" s="105" customFormat="1">
      <c r="R1594" s="154"/>
      <c r="AB1594" s="124"/>
      <c r="AD1594" s="105" t="s">
        <v>2992</v>
      </c>
      <c r="AE1594" s="105" t="s">
        <v>1531</v>
      </c>
    </row>
    <row r="1595" spans="18:31" s="105" customFormat="1">
      <c r="R1595" s="154"/>
      <c r="AB1595" s="124"/>
      <c r="AD1595" s="105" t="s">
        <v>2992</v>
      </c>
      <c r="AE1595" s="105" t="s">
        <v>1532</v>
      </c>
    </row>
    <row r="1596" spans="18:31" s="105" customFormat="1">
      <c r="R1596" s="154"/>
      <c r="AB1596" s="124"/>
      <c r="AD1596" s="105" t="s">
        <v>2932</v>
      </c>
      <c r="AE1596" s="105" t="s">
        <v>1533</v>
      </c>
    </row>
    <row r="1597" spans="18:31" s="105" customFormat="1">
      <c r="R1597" s="154"/>
      <c r="AB1597" s="124"/>
      <c r="AD1597" s="105" t="s">
        <v>2992</v>
      </c>
      <c r="AE1597" s="105" t="s">
        <v>1534</v>
      </c>
    </row>
    <row r="1598" spans="18:31" s="105" customFormat="1">
      <c r="R1598" s="154"/>
      <c r="AB1598" s="124"/>
      <c r="AD1598" s="105" t="s">
        <v>2934</v>
      </c>
      <c r="AE1598" s="105" t="s">
        <v>1535</v>
      </c>
    </row>
    <row r="1599" spans="18:31" s="105" customFormat="1">
      <c r="R1599" s="154"/>
      <c r="AB1599" s="124"/>
      <c r="AD1599" s="105" t="s">
        <v>2992</v>
      </c>
      <c r="AE1599" s="105" t="s">
        <v>1536</v>
      </c>
    </row>
    <row r="1600" spans="18:31" s="105" customFormat="1">
      <c r="R1600" s="154"/>
      <c r="AB1600" s="124"/>
      <c r="AD1600" s="105" t="s">
        <v>2992</v>
      </c>
      <c r="AE1600" s="105" t="s">
        <v>1537</v>
      </c>
    </row>
    <row r="1601" spans="18:31" s="105" customFormat="1">
      <c r="R1601" s="154"/>
      <c r="AB1601" s="124"/>
      <c r="AD1601" s="105" t="s">
        <v>2932</v>
      </c>
      <c r="AE1601" s="105" t="s">
        <v>1538</v>
      </c>
    </row>
    <row r="1602" spans="18:31" s="105" customFormat="1">
      <c r="R1602" s="154"/>
      <c r="AB1602" s="124"/>
      <c r="AD1602" s="105" t="s">
        <v>2992</v>
      </c>
      <c r="AE1602" s="105" t="s">
        <v>1539</v>
      </c>
    </row>
    <row r="1603" spans="18:31" s="105" customFormat="1">
      <c r="R1603" s="154"/>
      <c r="AB1603" s="124"/>
      <c r="AD1603" s="105" t="s">
        <v>2992</v>
      </c>
      <c r="AE1603" s="105" t="s">
        <v>1897</v>
      </c>
    </row>
    <row r="1604" spans="18:31" s="105" customFormat="1">
      <c r="R1604" s="154"/>
      <c r="AB1604" s="124"/>
      <c r="AD1604" s="105" t="s">
        <v>2992</v>
      </c>
      <c r="AE1604" s="105" t="s">
        <v>2640</v>
      </c>
    </row>
    <row r="1605" spans="18:31" s="105" customFormat="1">
      <c r="R1605" s="154"/>
      <c r="AB1605" s="124"/>
      <c r="AD1605" s="105" t="s">
        <v>2992</v>
      </c>
      <c r="AE1605" s="105" t="s">
        <v>1898</v>
      </c>
    </row>
    <row r="1606" spans="18:31" s="105" customFormat="1">
      <c r="R1606" s="154"/>
      <c r="AB1606" s="124"/>
      <c r="AD1606" s="105" t="s">
        <v>2933</v>
      </c>
      <c r="AE1606" s="105" t="s">
        <v>1540</v>
      </c>
    </row>
    <row r="1607" spans="18:31" s="105" customFormat="1">
      <c r="R1607" s="154"/>
      <c r="AB1607" s="124"/>
      <c r="AD1607" s="105" t="s">
        <v>2933</v>
      </c>
      <c r="AE1607" s="105" t="s">
        <v>1541</v>
      </c>
    </row>
    <row r="1608" spans="18:31" s="105" customFormat="1">
      <c r="R1608" s="154"/>
      <c r="AB1608" s="124"/>
      <c r="AD1608" s="105" t="s">
        <v>2933</v>
      </c>
      <c r="AE1608" s="105" t="s">
        <v>1542</v>
      </c>
    </row>
    <row r="1609" spans="18:31" s="105" customFormat="1">
      <c r="R1609" s="154"/>
      <c r="AB1609" s="124"/>
      <c r="AD1609" s="105" t="s">
        <v>2933</v>
      </c>
      <c r="AE1609" s="105" t="s">
        <v>1543</v>
      </c>
    </row>
    <row r="1610" spans="18:31" s="105" customFormat="1">
      <c r="R1610" s="154"/>
      <c r="AB1610" s="124"/>
      <c r="AD1610" s="105" t="s">
        <v>2933</v>
      </c>
      <c r="AE1610" s="105" t="s">
        <v>1544</v>
      </c>
    </row>
    <row r="1611" spans="18:31" s="105" customFormat="1">
      <c r="R1611" s="154"/>
      <c r="AB1611" s="124"/>
      <c r="AD1611" s="105" t="s">
        <v>2933</v>
      </c>
      <c r="AE1611" s="105" t="s">
        <v>1545</v>
      </c>
    </row>
    <row r="1612" spans="18:31" s="105" customFormat="1">
      <c r="R1612" s="154"/>
      <c r="AB1612" s="124"/>
      <c r="AD1612" s="105" t="s">
        <v>2933</v>
      </c>
      <c r="AE1612" s="105" t="s">
        <v>1546</v>
      </c>
    </row>
    <row r="1613" spans="18:31" s="105" customFormat="1">
      <c r="R1613" s="154"/>
      <c r="AB1613" s="124"/>
      <c r="AD1613" s="105" t="s">
        <v>2931</v>
      </c>
      <c r="AE1613" s="105" t="s">
        <v>1547</v>
      </c>
    </row>
    <row r="1614" spans="18:31" s="105" customFormat="1">
      <c r="R1614" s="154"/>
      <c r="AB1614" s="124"/>
      <c r="AD1614" s="105" t="s">
        <v>2933</v>
      </c>
      <c r="AE1614" s="105" t="s">
        <v>1548</v>
      </c>
    </row>
    <row r="1615" spans="18:31" s="105" customFormat="1">
      <c r="R1615" s="154"/>
      <c r="AB1615" s="124"/>
      <c r="AD1615" s="105" t="s">
        <v>2933</v>
      </c>
      <c r="AE1615" s="105" t="s">
        <v>1549</v>
      </c>
    </row>
    <row r="1616" spans="18:31" s="105" customFormat="1">
      <c r="R1616" s="154"/>
      <c r="AB1616" s="124"/>
      <c r="AD1616" s="105" t="s">
        <v>2933</v>
      </c>
      <c r="AE1616" s="105" t="s">
        <v>1550</v>
      </c>
    </row>
    <row r="1617" spans="18:31" s="105" customFormat="1">
      <c r="R1617" s="154"/>
      <c r="AB1617" s="124"/>
      <c r="AD1617" s="105" t="s">
        <v>2933</v>
      </c>
      <c r="AE1617" s="105" t="s">
        <v>1551</v>
      </c>
    </row>
    <row r="1618" spans="18:31" s="105" customFormat="1">
      <c r="R1618" s="154"/>
      <c r="AB1618" s="124"/>
      <c r="AD1618" s="105" t="s">
        <v>2933</v>
      </c>
      <c r="AE1618" s="105" t="s">
        <v>1552</v>
      </c>
    </row>
    <row r="1619" spans="18:31" s="105" customFormat="1">
      <c r="R1619" s="154"/>
      <c r="AB1619" s="124"/>
      <c r="AD1619" s="105" t="s">
        <v>2933</v>
      </c>
      <c r="AE1619" s="105" t="s">
        <v>1553</v>
      </c>
    </row>
    <row r="1620" spans="18:31" s="105" customFormat="1">
      <c r="R1620" s="154"/>
      <c r="AB1620" s="124"/>
      <c r="AD1620" s="105" t="s">
        <v>2933</v>
      </c>
      <c r="AE1620" s="105" t="s">
        <v>1554</v>
      </c>
    </row>
    <row r="1621" spans="18:31" s="105" customFormat="1">
      <c r="R1621" s="154"/>
      <c r="AB1621" s="124"/>
      <c r="AD1621" s="105" t="s">
        <v>2933</v>
      </c>
      <c r="AE1621" s="105" t="s">
        <v>1555</v>
      </c>
    </row>
    <row r="1622" spans="18:31" s="105" customFormat="1">
      <c r="R1622" s="154"/>
      <c r="AB1622" s="124"/>
      <c r="AD1622" s="105" t="s">
        <v>2933</v>
      </c>
      <c r="AE1622" s="105" t="s">
        <v>1556</v>
      </c>
    </row>
    <row r="1623" spans="18:31" s="105" customFormat="1">
      <c r="R1623" s="154"/>
      <c r="AB1623" s="124"/>
      <c r="AD1623" s="105" t="s">
        <v>2933</v>
      </c>
      <c r="AE1623" s="105" t="s">
        <v>1557</v>
      </c>
    </row>
    <row r="1624" spans="18:31" s="105" customFormat="1">
      <c r="R1624" s="154"/>
      <c r="AB1624" s="124"/>
      <c r="AD1624" s="105" t="s">
        <v>2933</v>
      </c>
      <c r="AE1624" s="105" t="s">
        <v>1558</v>
      </c>
    </row>
    <row r="1625" spans="18:31" s="105" customFormat="1">
      <c r="R1625" s="154"/>
      <c r="AB1625" s="124"/>
      <c r="AD1625" s="105" t="s">
        <v>2933</v>
      </c>
      <c r="AE1625" s="105" t="s">
        <v>1559</v>
      </c>
    </row>
    <row r="1626" spans="18:31" s="105" customFormat="1">
      <c r="R1626" s="154"/>
      <c r="AB1626" s="124"/>
      <c r="AD1626" s="105" t="s">
        <v>2933</v>
      </c>
      <c r="AE1626" s="105" t="s">
        <v>1560</v>
      </c>
    </row>
    <row r="1627" spans="18:31" s="105" customFormat="1">
      <c r="R1627" s="154"/>
      <c r="AB1627" s="124"/>
      <c r="AD1627" s="105" t="s">
        <v>2933</v>
      </c>
      <c r="AE1627" s="105" t="s">
        <v>1561</v>
      </c>
    </row>
    <row r="1628" spans="18:31" s="105" customFormat="1">
      <c r="R1628" s="154"/>
      <c r="AB1628" s="124"/>
      <c r="AD1628" s="105" t="s">
        <v>2933</v>
      </c>
      <c r="AE1628" s="105" t="s">
        <v>1562</v>
      </c>
    </row>
    <row r="1629" spans="18:31" s="105" customFormat="1">
      <c r="R1629" s="154"/>
      <c r="AB1629" s="124"/>
      <c r="AD1629" s="105" t="s">
        <v>2933</v>
      </c>
      <c r="AE1629" s="105" t="s">
        <v>1563</v>
      </c>
    </row>
    <row r="1630" spans="18:31" s="105" customFormat="1">
      <c r="R1630" s="154"/>
      <c r="AB1630" s="124"/>
      <c r="AD1630" s="105" t="s">
        <v>2932</v>
      </c>
      <c r="AE1630" s="105" t="s">
        <v>1564</v>
      </c>
    </row>
    <row r="1631" spans="18:31" s="105" customFormat="1">
      <c r="R1631" s="154"/>
      <c r="AB1631" s="124"/>
      <c r="AD1631" s="105" t="s">
        <v>2992</v>
      </c>
      <c r="AE1631" s="105" t="s">
        <v>1565</v>
      </c>
    </row>
    <row r="1632" spans="18:31" s="105" customFormat="1">
      <c r="R1632" s="154"/>
      <c r="AB1632" s="124"/>
      <c r="AD1632" s="105" t="s">
        <v>2932</v>
      </c>
      <c r="AE1632" s="105" t="s">
        <v>1566</v>
      </c>
    </row>
    <row r="1633" spans="18:31" s="105" customFormat="1">
      <c r="R1633" s="154"/>
      <c r="AB1633" s="124"/>
      <c r="AD1633" s="105" t="s">
        <v>2933</v>
      </c>
      <c r="AE1633" s="105" t="s">
        <v>1567</v>
      </c>
    </row>
    <row r="1634" spans="18:31" s="105" customFormat="1">
      <c r="R1634" s="154"/>
      <c r="AB1634" s="124"/>
      <c r="AD1634" s="105" t="s">
        <v>2933</v>
      </c>
      <c r="AE1634" s="105" t="s">
        <v>1899</v>
      </c>
    </row>
    <row r="1635" spans="18:31" s="105" customFormat="1">
      <c r="R1635" s="154"/>
      <c r="AB1635" s="124"/>
      <c r="AD1635" s="105" t="s">
        <v>2933</v>
      </c>
      <c r="AE1635" s="105" t="s">
        <v>1568</v>
      </c>
    </row>
    <row r="1636" spans="18:31" s="105" customFormat="1">
      <c r="R1636" s="154"/>
      <c r="AB1636" s="124"/>
      <c r="AD1636" s="105" t="s">
        <v>2992</v>
      </c>
      <c r="AE1636" s="105" t="s">
        <v>1569</v>
      </c>
    </row>
    <row r="1637" spans="18:31" s="105" customFormat="1">
      <c r="R1637" s="154"/>
      <c r="AB1637" s="124"/>
      <c r="AD1637" s="105" t="s">
        <v>2992</v>
      </c>
      <c r="AE1637" s="105" t="s">
        <v>2642</v>
      </c>
    </row>
    <row r="1638" spans="18:31" s="105" customFormat="1">
      <c r="R1638" s="154"/>
      <c r="AB1638" s="124"/>
      <c r="AD1638" s="105" t="s">
        <v>2992</v>
      </c>
      <c r="AE1638" s="105" t="s">
        <v>1570</v>
      </c>
    </row>
    <row r="1639" spans="18:31" s="105" customFormat="1">
      <c r="R1639" s="154"/>
      <c r="AB1639" s="124"/>
      <c r="AD1639" s="105" t="s">
        <v>2992</v>
      </c>
      <c r="AE1639" s="105" t="s">
        <v>1571</v>
      </c>
    </row>
    <row r="1640" spans="18:31" s="105" customFormat="1">
      <c r="R1640" s="154"/>
      <c r="AB1640" s="124"/>
      <c r="AD1640" s="105" t="s">
        <v>2932</v>
      </c>
      <c r="AE1640" s="105" t="s">
        <v>1572</v>
      </c>
    </row>
    <row r="1641" spans="18:31" s="105" customFormat="1">
      <c r="R1641" s="154"/>
      <c r="AB1641" s="124"/>
      <c r="AD1641" s="105" t="s">
        <v>2992</v>
      </c>
      <c r="AE1641" s="105" t="s">
        <v>2644</v>
      </c>
    </row>
    <row r="1642" spans="18:31" s="105" customFormat="1">
      <c r="R1642" s="154"/>
      <c r="AB1642" s="124"/>
      <c r="AD1642" s="105" t="s">
        <v>2992</v>
      </c>
      <c r="AE1642" s="105" t="s">
        <v>1900</v>
      </c>
    </row>
    <row r="1643" spans="18:31" s="105" customFormat="1">
      <c r="R1643" s="154"/>
      <c r="AB1643" s="124"/>
      <c r="AD1643" s="105" t="s">
        <v>2992</v>
      </c>
      <c r="AE1643" s="105" t="s">
        <v>1573</v>
      </c>
    </row>
    <row r="1644" spans="18:31" s="105" customFormat="1">
      <c r="R1644" s="154"/>
      <c r="AB1644" s="124"/>
      <c r="AD1644" s="105" t="s">
        <v>2992</v>
      </c>
      <c r="AE1644" s="105" t="s">
        <v>2296</v>
      </c>
    </row>
    <row r="1645" spans="18:31" s="105" customFormat="1">
      <c r="R1645" s="154"/>
      <c r="AB1645" s="124"/>
      <c r="AD1645" s="105" t="s">
        <v>2542</v>
      </c>
      <c r="AE1645" s="105" t="s">
        <v>1574</v>
      </c>
    </row>
    <row r="1646" spans="18:31" s="105" customFormat="1">
      <c r="R1646" s="154"/>
      <c r="AB1646" s="124"/>
      <c r="AD1646" s="105" t="s">
        <v>2993</v>
      </c>
      <c r="AE1646" s="105" t="s">
        <v>1575</v>
      </c>
    </row>
    <row r="1647" spans="18:31" s="105" customFormat="1">
      <c r="R1647" s="154"/>
      <c r="AB1647" s="124"/>
      <c r="AD1647" s="105" t="s">
        <v>2993</v>
      </c>
      <c r="AE1647" s="105" t="s">
        <v>1576</v>
      </c>
    </row>
    <row r="1648" spans="18:31" s="105" customFormat="1">
      <c r="R1648" s="154"/>
      <c r="AB1648" s="124"/>
      <c r="AD1648" s="105" t="s">
        <v>2940</v>
      </c>
      <c r="AE1648" s="105" t="s">
        <v>1577</v>
      </c>
    </row>
    <row r="1649" spans="18:31" s="105" customFormat="1">
      <c r="R1649" s="154"/>
      <c r="AB1649" s="124"/>
      <c r="AD1649" s="105" t="s">
        <v>2940</v>
      </c>
      <c r="AE1649" s="105" t="s">
        <v>1578</v>
      </c>
    </row>
    <row r="1650" spans="18:31" s="105" customFormat="1">
      <c r="R1650" s="154"/>
      <c r="AB1650" s="124"/>
      <c r="AD1650" s="105" t="s">
        <v>2993</v>
      </c>
      <c r="AE1650" s="105" t="s">
        <v>1579</v>
      </c>
    </row>
    <row r="1651" spans="18:31" s="105" customFormat="1">
      <c r="R1651" s="154"/>
      <c r="AB1651" s="124"/>
      <c r="AD1651" s="105" t="s">
        <v>2993</v>
      </c>
      <c r="AE1651" s="105" t="s">
        <v>1580</v>
      </c>
    </row>
    <row r="1652" spans="18:31" s="105" customFormat="1">
      <c r="R1652" s="154"/>
      <c r="AB1652" s="124"/>
      <c r="AD1652" s="105" t="s">
        <v>2993</v>
      </c>
      <c r="AE1652" s="105" t="s">
        <v>1581</v>
      </c>
    </row>
    <row r="1653" spans="18:31" s="105" customFormat="1">
      <c r="R1653" s="154"/>
      <c r="AB1653" s="124"/>
      <c r="AD1653" s="105" t="s">
        <v>2993</v>
      </c>
      <c r="AE1653" s="105" t="s">
        <v>2264</v>
      </c>
    </row>
    <row r="1654" spans="18:31" s="105" customFormat="1">
      <c r="R1654" s="154"/>
      <c r="AB1654" s="124"/>
      <c r="AD1654" s="105" t="s">
        <v>2993</v>
      </c>
      <c r="AE1654" s="105" t="s">
        <v>1582</v>
      </c>
    </row>
    <row r="1655" spans="18:31" s="105" customFormat="1">
      <c r="R1655" s="154"/>
      <c r="AB1655" s="124"/>
      <c r="AD1655" s="105" t="s">
        <v>2937</v>
      </c>
      <c r="AE1655" s="105" t="s">
        <v>1583</v>
      </c>
    </row>
    <row r="1656" spans="18:31" s="105" customFormat="1">
      <c r="R1656" s="154"/>
      <c r="AB1656" s="124"/>
      <c r="AD1656" s="105" t="s">
        <v>2993</v>
      </c>
      <c r="AE1656" s="105" t="s">
        <v>1584</v>
      </c>
    </row>
    <row r="1657" spans="18:31" s="105" customFormat="1">
      <c r="R1657" s="154"/>
      <c r="AB1657" s="124"/>
      <c r="AD1657" s="105" t="s">
        <v>2993</v>
      </c>
      <c r="AE1657" s="105" t="s">
        <v>1585</v>
      </c>
    </row>
    <row r="1658" spans="18:31" s="105" customFormat="1">
      <c r="R1658" s="154"/>
      <c r="AB1658" s="124"/>
      <c r="AD1658" s="105" t="s">
        <v>2993</v>
      </c>
      <c r="AE1658" s="105" t="s">
        <v>1586</v>
      </c>
    </row>
    <row r="1659" spans="18:31" s="105" customFormat="1">
      <c r="R1659" s="154"/>
      <c r="AB1659" s="124"/>
      <c r="AD1659" s="105" t="s">
        <v>2993</v>
      </c>
      <c r="AE1659" s="105" t="s">
        <v>1587</v>
      </c>
    </row>
    <row r="1660" spans="18:31" s="105" customFormat="1">
      <c r="R1660" s="154"/>
      <c r="AB1660" s="124"/>
      <c r="AD1660" s="105" t="s">
        <v>2993</v>
      </c>
      <c r="AE1660" s="105" t="s">
        <v>1588</v>
      </c>
    </row>
    <row r="1661" spans="18:31" s="105" customFormat="1">
      <c r="R1661" s="154"/>
      <c r="AB1661" s="124"/>
      <c r="AD1661" s="105" t="s">
        <v>2937</v>
      </c>
      <c r="AE1661" s="105" t="s">
        <v>1589</v>
      </c>
    </row>
    <row r="1662" spans="18:31" s="105" customFormat="1">
      <c r="R1662" s="154"/>
      <c r="AB1662" s="124"/>
      <c r="AD1662" s="105" t="s">
        <v>2993</v>
      </c>
      <c r="AE1662" s="105" t="s">
        <v>1590</v>
      </c>
    </row>
    <row r="1663" spans="18:31" s="105" customFormat="1">
      <c r="R1663" s="154"/>
      <c r="AB1663" s="124"/>
      <c r="AD1663" s="105" t="s">
        <v>2939</v>
      </c>
      <c r="AE1663" s="105" t="s">
        <v>1591</v>
      </c>
    </row>
    <row r="1664" spans="18:31" s="105" customFormat="1">
      <c r="R1664" s="154"/>
      <c r="AB1664" s="124"/>
      <c r="AD1664" s="105" t="s">
        <v>2993</v>
      </c>
      <c r="AE1664" s="105" t="s">
        <v>1592</v>
      </c>
    </row>
    <row r="1665" spans="18:31" s="105" customFormat="1">
      <c r="R1665" s="154"/>
      <c r="AB1665" s="124"/>
      <c r="AD1665" s="105" t="s">
        <v>2993</v>
      </c>
      <c r="AE1665" s="105" t="s">
        <v>1593</v>
      </c>
    </row>
    <row r="1666" spans="18:31" s="105" customFormat="1">
      <c r="R1666" s="154"/>
      <c r="AB1666" s="124"/>
      <c r="AD1666" s="105" t="s">
        <v>2937</v>
      </c>
      <c r="AE1666" s="105" t="s">
        <v>1594</v>
      </c>
    </row>
    <row r="1667" spans="18:31" s="105" customFormat="1">
      <c r="R1667" s="154"/>
      <c r="AB1667" s="124"/>
      <c r="AD1667" s="105" t="s">
        <v>2993</v>
      </c>
      <c r="AE1667" s="105" t="s">
        <v>1595</v>
      </c>
    </row>
    <row r="1668" spans="18:31" s="105" customFormat="1">
      <c r="R1668" s="154"/>
      <c r="AB1668" s="124"/>
      <c r="AD1668" s="105" t="s">
        <v>2993</v>
      </c>
      <c r="AE1668" s="105" t="s">
        <v>1901</v>
      </c>
    </row>
    <row r="1669" spans="18:31" s="105" customFormat="1">
      <c r="R1669" s="154"/>
      <c r="AB1669" s="124"/>
      <c r="AD1669" s="105" t="s">
        <v>2993</v>
      </c>
      <c r="AE1669" s="105" t="s">
        <v>2634</v>
      </c>
    </row>
    <row r="1670" spans="18:31" s="105" customFormat="1">
      <c r="R1670" s="154"/>
      <c r="AB1670" s="124"/>
      <c r="AD1670" s="105" t="s">
        <v>2993</v>
      </c>
      <c r="AE1670" s="105" t="s">
        <v>1902</v>
      </c>
    </row>
    <row r="1671" spans="18:31" s="105" customFormat="1">
      <c r="R1671" s="154"/>
      <c r="AB1671" s="124"/>
      <c r="AD1671" s="105" t="s">
        <v>2938</v>
      </c>
      <c r="AE1671" s="105" t="s">
        <v>1596</v>
      </c>
    </row>
    <row r="1672" spans="18:31" s="105" customFormat="1">
      <c r="R1672" s="154"/>
      <c r="AB1672" s="124"/>
      <c r="AD1672" s="105" t="s">
        <v>2938</v>
      </c>
      <c r="AE1672" s="105" t="s">
        <v>1597</v>
      </c>
    </row>
    <row r="1673" spans="18:31" s="105" customFormat="1">
      <c r="R1673" s="154"/>
      <c r="AB1673" s="124"/>
      <c r="AD1673" s="105" t="s">
        <v>2938</v>
      </c>
      <c r="AE1673" s="105" t="s">
        <v>1598</v>
      </c>
    </row>
    <row r="1674" spans="18:31" s="105" customFormat="1">
      <c r="R1674" s="154"/>
      <c r="AB1674" s="124"/>
      <c r="AD1674" s="105" t="s">
        <v>2938</v>
      </c>
      <c r="AE1674" s="105" t="s">
        <v>1599</v>
      </c>
    </row>
    <row r="1675" spans="18:31" s="105" customFormat="1">
      <c r="R1675" s="154"/>
      <c r="AB1675" s="124"/>
      <c r="AD1675" s="105" t="s">
        <v>2938</v>
      </c>
      <c r="AE1675" s="105" t="s">
        <v>1600</v>
      </c>
    </row>
    <row r="1676" spans="18:31" s="105" customFormat="1">
      <c r="R1676" s="154"/>
      <c r="AB1676" s="124"/>
      <c r="AD1676" s="105" t="s">
        <v>2938</v>
      </c>
      <c r="AE1676" s="105" t="s">
        <v>1601</v>
      </c>
    </row>
    <row r="1677" spans="18:31" s="105" customFormat="1">
      <c r="R1677" s="154"/>
      <c r="AB1677" s="124"/>
      <c r="AD1677" s="105" t="s">
        <v>2938</v>
      </c>
      <c r="AE1677" s="105" t="s">
        <v>1602</v>
      </c>
    </row>
    <row r="1678" spans="18:31" s="105" customFormat="1">
      <c r="R1678" s="154"/>
      <c r="AB1678" s="124"/>
      <c r="AD1678" s="105" t="s">
        <v>2936</v>
      </c>
      <c r="AE1678" s="105" t="s">
        <v>1603</v>
      </c>
    </row>
    <row r="1679" spans="18:31" s="105" customFormat="1">
      <c r="R1679" s="154"/>
      <c r="AB1679" s="124"/>
      <c r="AD1679" s="105" t="s">
        <v>2938</v>
      </c>
      <c r="AE1679" s="105" t="s">
        <v>1604</v>
      </c>
    </row>
    <row r="1680" spans="18:31" s="105" customFormat="1">
      <c r="R1680" s="154"/>
      <c r="AB1680" s="124"/>
      <c r="AD1680" s="105" t="s">
        <v>2938</v>
      </c>
      <c r="AE1680" s="105" t="s">
        <v>1605</v>
      </c>
    </row>
    <row r="1681" spans="18:31" s="105" customFormat="1">
      <c r="R1681" s="154"/>
      <c r="AB1681" s="124"/>
      <c r="AD1681" s="105" t="s">
        <v>2938</v>
      </c>
      <c r="AE1681" s="105" t="s">
        <v>1606</v>
      </c>
    </row>
    <row r="1682" spans="18:31" s="105" customFormat="1">
      <c r="R1682" s="154"/>
      <c r="AB1682" s="124"/>
      <c r="AD1682" s="105" t="s">
        <v>2938</v>
      </c>
      <c r="AE1682" s="105" t="s">
        <v>1607</v>
      </c>
    </row>
    <row r="1683" spans="18:31" s="105" customFormat="1">
      <c r="R1683" s="154"/>
      <c r="AB1683" s="124"/>
      <c r="AD1683" s="105" t="s">
        <v>2938</v>
      </c>
      <c r="AE1683" s="105" t="s">
        <v>1608</v>
      </c>
    </row>
    <row r="1684" spans="18:31" s="105" customFormat="1">
      <c r="R1684" s="154"/>
      <c r="AB1684" s="124"/>
      <c r="AD1684" s="105" t="s">
        <v>2938</v>
      </c>
      <c r="AE1684" s="105" t="s">
        <v>1609</v>
      </c>
    </row>
    <row r="1685" spans="18:31" s="105" customFormat="1">
      <c r="R1685" s="154"/>
      <c r="AB1685" s="124"/>
      <c r="AD1685" s="105" t="s">
        <v>2938</v>
      </c>
      <c r="AE1685" s="105" t="s">
        <v>1610</v>
      </c>
    </row>
    <row r="1686" spans="18:31" s="105" customFormat="1">
      <c r="R1686" s="154"/>
      <c r="AB1686" s="124"/>
      <c r="AD1686" s="105" t="s">
        <v>2938</v>
      </c>
      <c r="AE1686" s="105" t="s">
        <v>1611</v>
      </c>
    </row>
    <row r="1687" spans="18:31" s="105" customFormat="1">
      <c r="R1687" s="154"/>
      <c r="AB1687" s="124"/>
      <c r="AD1687" s="105" t="s">
        <v>2938</v>
      </c>
      <c r="AE1687" s="105" t="s">
        <v>1612</v>
      </c>
    </row>
    <row r="1688" spans="18:31" s="105" customFormat="1">
      <c r="R1688" s="154"/>
      <c r="AB1688" s="124"/>
      <c r="AD1688" s="105" t="s">
        <v>2938</v>
      </c>
      <c r="AE1688" s="105" t="s">
        <v>1613</v>
      </c>
    </row>
    <row r="1689" spans="18:31" s="105" customFormat="1">
      <c r="R1689" s="154"/>
      <c r="AB1689" s="124"/>
      <c r="AD1689" s="105" t="s">
        <v>2938</v>
      </c>
      <c r="AE1689" s="105" t="s">
        <v>1614</v>
      </c>
    </row>
    <row r="1690" spans="18:31" s="105" customFormat="1">
      <c r="R1690" s="154"/>
      <c r="AB1690" s="124"/>
      <c r="AD1690" s="105" t="s">
        <v>2938</v>
      </c>
      <c r="AE1690" s="105" t="s">
        <v>1615</v>
      </c>
    </row>
    <row r="1691" spans="18:31" s="105" customFormat="1">
      <c r="R1691" s="154"/>
      <c r="AB1691" s="124"/>
      <c r="AD1691" s="105" t="s">
        <v>2938</v>
      </c>
      <c r="AE1691" s="105" t="s">
        <v>1616</v>
      </c>
    </row>
    <row r="1692" spans="18:31" s="105" customFormat="1">
      <c r="R1692" s="154"/>
      <c r="AB1692" s="124"/>
      <c r="AD1692" s="105" t="s">
        <v>2938</v>
      </c>
      <c r="AE1692" s="105" t="s">
        <v>1617</v>
      </c>
    </row>
    <row r="1693" spans="18:31" s="105" customFormat="1">
      <c r="R1693" s="154"/>
      <c r="AB1693" s="124"/>
      <c r="AD1693" s="105" t="s">
        <v>2938</v>
      </c>
      <c r="AE1693" s="105" t="s">
        <v>1618</v>
      </c>
    </row>
    <row r="1694" spans="18:31" s="105" customFormat="1">
      <c r="R1694" s="154"/>
      <c r="AB1694" s="124"/>
      <c r="AD1694" s="105" t="s">
        <v>2938</v>
      </c>
      <c r="AE1694" s="105" t="s">
        <v>1619</v>
      </c>
    </row>
    <row r="1695" spans="18:31" s="105" customFormat="1">
      <c r="R1695" s="154"/>
      <c r="AB1695" s="124"/>
      <c r="AD1695" s="105" t="s">
        <v>2937</v>
      </c>
      <c r="AE1695" s="105" t="s">
        <v>1620</v>
      </c>
    </row>
    <row r="1696" spans="18:31" s="105" customFormat="1">
      <c r="R1696" s="154"/>
      <c r="AB1696" s="124"/>
      <c r="AD1696" s="105" t="s">
        <v>2993</v>
      </c>
      <c r="AE1696" s="105" t="s">
        <v>1621</v>
      </c>
    </row>
    <row r="1697" spans="18:31" s="105" customFormat="1">
      <c r="R1697" s="154"/>
      <c r="AB1697" s="124"/>
      <c r="AD1697" s="105" t="s">
        <v>2937</v>
      </c>
      <c r="AE1697" s="105" t="s">
        <v>1622</v>
      </c>
    </row>
    <row r="1698" spans="18:31" s="105" customFormat="1">
      <c r="R1698" s="154"/>
      <c r="AB1698" s="124"/>
      <c r="AD1698" s="105" t="s">
        <v>2938</v>
      </c>
      <c r="AE1698" s="105" t="s">
        <v>1623</v>
      </c>
    </row>
    <row r="1699" spans="18:31" s="105" customFormat="1">
      <c r="R1699" s="154"/>
      <c r="AB1699" s="124"/>
      <c r="AD1699" s="105" t="s">
        <v>2938</v>
      </c>
      <c r="AE1699" s="105" t="s">
        <v>1903</v>
      </c>
    </row>
    <row r="1700" spans="18:31" s="105" customFormat="1">
      <c r="R1700" s="154"/>
      <c r="AB1700" s="124"/>
      <c r="AD1700" s="105" t="s">
        <v>2938</v>
      </c>
      <c r="AE1700" s="105" t="s">
        <v>1624</v>
      </c>
    </row>
    <row r="1701" spans="18:31" s="105" customFormat="1">
      <c r="R1701" s="154"/>
      <c r="AB1701" s="124"/>
      <c r="AD1701" s="105" t="s">
        <v>2993</v>
      </c>
      <c r="AE1701" s="105" t="s">
        <v>1625</v>
      </c>
    </row>
    <row r="1702" spans="18:31" s="105" customFormat="1">
      <c r="R1702" s="154"/>
      <c r="AB1702" s="124"/>
      <c r="AD1702" s="105" t="s">
        <v>2993</v>
      </c>
      <c r="AE1702" s="105" t="s">
        <v>2636</v>
      </c>
    </row>
    <row r="1703" spans="18:31" s="105" customFormat="1">
      <c r="R1703" s="154"/>
      <c r="AB1703" s="124"/>
      <c r="AD1703" s="105" t="s">
        <v>2993</v>
      </c>
      <c r="AE1703" s="105" t="s">
        <v>1626</v>
      </c>
    </row>
    <row r="1704" spans="18:31" s="105" customFormat="1">
      <c r="R1704" s="154"/>
      <c r="AB1704" s="124"/>
      <c r="AD1704" s="105" t="s">
        <v>2993</v>
      </c>
      <c r="AE1704" s="105" t="s">
        <v>1627</v>
      </c>
    </row>
    <row r="1705" spans="18:31" s="105" customFormat="1">
      <c r="R1705" s="154"/>
      <c r="AB1705" s="124"/>
      <c r="AD1705" s="105" t="s">
        <v>2937</v>
      </c>
      <c r="AE1705" s="105" t="s">
        <v>1628</v>
      </c>
    </row>
    <row r="1706" spans="18:31" s="105" customFormat="1">
      <c r="R1706" s="154"/>
      <c r="AB1706" s="124"/>
      <c r="AD1706" s="105" t="s">
        <v>2993</v>
      </c>
      <c r="AE1706" s="105" t="s">
        <v>2638</v>
      </c>
    </row>
    <row r="1707" spans="18:31" s="105" customFormat="1">
      <c r="R1707" s="154"/>
      <c r="AB1707" s="124"/>
      <c r="AD1707" s="105" t="s">
        <v>2993</v>
      </c>
      <c r="AE1707" s="105" t="s">
        <v>1904</v>
      </c>
    </row>
    <row r="1708" spans="18:31" s="105" customFormat="1">
      <c r="R1708" s="154"/>
      <c r="AB1708" s="124"/>
      <c r="AD1708" s="105" t="s">
        <v>2993</v>
      </c>
      <c r="AE1708" s="105" t="s">
        <v>1629</v>
      </c>
    </row>
    <row r="1709" spans="18:31" s="105" customFormat="1">
      <c r="R1709" s="154"/>
      <c r="AB1709" s="124"/>
      <c r="AD1709" s="105" t="s">
        <v>2993</v>
      </c>
      <c r="AE1709" s="105" t="s">
        <v>2295</v>
      </c>
    </row>
    <row r="1710" spans="18:31" s="105" customFormat="1">
      <c r="R1710" s="154"/>
      <c r="AB1710" s="124"/>
      <c r="AD1710" s="105" t="s">
        <v>2543</v>
      </c>
      <c r="AE1710" s="105" t="s">
        <v>1630</v>
      </c>
    </row>
    <row r="1711" spans="18:31" s="105" customFormat="1">
      <c r="R1711" s="154"/>
      <c r="AB1711" s="124"/>
      <c r="AD1711" s="105" t="s">
        <v>2994</v>
      </c>
      <c r="AE1711" s="105" t="s">
        <v>1631</v>
      </c>
    </row>
    <row r="1712" spans="18:31" s="105" customFormat="1">
      <c r="R1712" s="154"/>
      <c r="AB1712" s="124"/>
      <c r="AD1712" s="105" t="s">
        <v>2994</v>
      </c>
      <c r="AE1712" s="105" t="s">
        <v>1632</v>
      </c>
    </row>
    <row r="1713" spans="18:31" s="105" customFormat="1">
      <c r="R1713" s="154"/>
      <c r="AB1713" s="124"/>
      <c r="AD1713" s="105" t="s">
        <v>2945</v>
      </c>
      <c r="AE1713" s="105" t="s">
        <v>1633</v>
      </c>
    </row>
    <row r="1714" spans="18:31" s="105" customFormat="1">
      <c r="R1714" s="154"/>
      <c r="AB1714" s="124"/>
      <c r="AD1714" s="105" t="s">
        <v>2945</v>
      </c>
      <c r="AE1714" s="105" t="s">
        <v>1634</v>
      </c>
    </row>
    <row r="1715" spans="18:31" s="105" customFormat="1">
      <c r="R1715" s="154"/>
      <c r="AB1715" s="124"/>
      <c r="AD1715" s="105" t="s">
        <v>2994</v>
      </c>
      <c r="AE1715" s="105" t="s">
        <v>1635</v>
      </c>
    </row>
    <row r="1716" spans="18:31" s="105" customFormat="1">
      <c r="R1716" s="154"/>
      <c r="AB1716" s="124"/>
      <c r="AD1716" s="105" t="s">
        <v>2994</v>
      </c>
      <c r="AE1716" s="105" t="s">
        <v>1636</v>
      </c>
    </row>
    <row r="1717" spans="18:31" s="105" customFormat="1">
      <c r="R1717" s="154"/>
      <c r="AB1717" s="124"/>
      <c r="AD1717" s="105" t="s">
        <v>2994</v>
      </c>
      <c r="AE1717" s="105" t="s">
        <v>1637</v>
      </c>
    </row>
    <row r="1718" spans="18:31" s="105" customFormat="1">
      <c r="R1718" s="154"/>
      <c r="AB1718" s="124"/>
      <c r="AD1718" s="105" t="s">
        <v>2994</v>
      </c>
      <c r="AE1718" s="105" t="s">
        <v>2265</v>
      </c>
    </row>
    <row r="1719" spans="18:31" s="105" customFormat="1">
      <c r="R1719" s="154"/>
      <c r="AB1719" s="124"/>
      <c r="AD1719" s="105" t="s">
        <v>2994</v>
      </c>
      <c r="AE1719" s="105" t="s">
        <v>1638</v>
      </c>
    </row>
    <row r="1720" spans="18:31" s="105" customFormat="1">
      <c r="R1720" s="154"/>
      <c r="AB1720" s="124"/>
      <c r="AD1720" s="105" t="s">
        <v>2942</v>
      </c>
      <c r="AE1720" s="105" t="s">
        <v>1639</v>
      </c>
    </row>
    <row r="1721" spans="18:31" s="105" customFormat="1">
      <c r="R1721" s="154"/>
      <c r="AB1721" s="124"/>
      <c r="AD1721" s="105" t="s">
        <v>2994</v>
      </c>
      <c r="AE1721" s="105" t="s">
        <v>1640</v>
      </c>
    </row>
    <row r="1722" spans="18:31" s="105" customFormat="1">
      <c r="R1722" s="154"/>
      <c r="AB1722" s="124"/>
      <c r="AD1722" s="105" t="s">
        <v>2994</v>
      </c>
      <c r="AE1722" s="105" t="s">
        <v>1641</v>
      </c>
    </row>
    <row r="1723" spans="18:31" s="105" customFormat="1">
      <c r="R1723" s="154"/>
      <c r="AB1723" s="124"/>
      <c r="AD1723" s="105" t="s">
        <v>2994</v>
      </c>
      <c r="AE1723" s="105" t="s">
        <v>1642</v>
      </c>
    </row>
    <row r="1724" spans="18:31" s="105" customFormat="1">
      <c r="R1724" s="154"/>
      <c r="AB1724" s="124"/>
      <c r="AD1724" s="105" t="s">
        <v>2994</v>
      </c>
      <c r="AE1724" s="105" t="s">
        <v>1643</v>
      </c>
    </row>
    <row r="1725" spans="18:31" s="105" customFormat="1">
      <c r="R1725" s="154"/>
      <c r="AB1725" s="124"/>
      <c r="AD1725" s="105" t="s">
        <v>2994</v>
      </c>
      <c r="AE1725" s="105" t="s">
        <v>1644</v>
      </c>
    </row>
    <row r="1726" spans="18:31" s="105" customFormat="1">
      <c r="R1726" s="154"/>
      <c r="AB1726" s="124"/>
      <c r="AD1726" s="105" t="s">
        <v>2942</v>
      </c>
      <c r="AE1726" s="105" t="s">
        <v>1645</v>
      </c>
    </row>
    <row r="1727" spans="18:31" s="105" customFormat="1">
      <c r="R1727" s="154"/>
      <c r="AB1727" s="124"/>
      <c r="AD1727" s="105" t="s">
        <v>2994</v>
      </c>
      <c r="AE1727" s="105" t="s">
        <v>1646</v>
      </c>
    </row>
    <row r="1728" spans="18:31" s="105" customFormat="1">
      <c r="R1728" s="154"/>
      <c r="AB1728" s="124"/>
      <c r="AD1728" s="105" t="s">
        <v>2944</v>
      </c>
      <c r="AE1728" s="105" t="s">
        <v>1647</v>
      </c>
    </row>
    <row r="1729" spans="18:31" s="105" customFormat="1">
      <c r="R1729" s="154"/>
      <c r="AB1729" s="124"/>
      <c r="AD1729" s="105" t="s">
        <v>2994</v>
      </c>
      <c r="AE1729" s="105" t="s">
        <v>1648</v>
      </c>
    </row>
    <row r="1730" spans="18:31" s="105" customFormat="1">
      <c r="R1730" s="154"/>
      <c r="AB1730" s="124"/>
      <c r="AD1730" s="105" t="s">
        <v>2994</v>
      </c>
      <c r="AE1730" s="105" t="s">
        <v>1649</v>
      </c>
    </row>
    <row r="1731" spans="18:31" s="105" customFormat="1">
      <c r="R1731" s="154"/>
      <c r="AB1731" s="124"/>
      <c r="AD1731" s="105" t="s">
        <v>2942</v>
      </c>
      <c r="AE1731" s="105" t="s">
        <v>1650</v>
      </c>
    </row>
    <row r="1732" spans="18:31" s="105" customFormat="1">
      <c r="R1732" s="154"/>
      <c r="AB1732" s="124"/>
      <c r="AD1732" s="105" t="s">
        <v>2994</v>
      </c>
      <c r="AE1732" s="105" t="s">
        <v>1651</v>
      </c>
    </row>
    <row r="1733" spans="18:31" s="105" customFormat="1">
      <c r="R1733" s="154"/>
      <c r="AB1733" s="124"/>
      <c r="AD1733" s="105" t="s">
        <v>2994</v>
      </c>
      <c r="AE1733" s="105" t="s">
        <v>1905</v>
      </c>
    </row>
    <row r="1734" spans="18:31" s="105" customFormat="1">
      <c r="R1734" s="154"/>
      <c r="AB1734" s="124"/>
      <c r="AD1734" s="105" t="s">
        <v>2994</v>
      </c>
      <c r="AE1734" s="105" t="s">
        <v>2652</v>
      </c>
    </row>
    <row r="1735" spans="18:31" s="105" customFormat="1">
      <c r="R1735" s="154"/>
      <c r="AB1735" s="124"/>
      <c r="AD1735" s="105" t="s">
        <v>2994</v>
      </c>
      <c r="AE1735" s="105" t="s">
        <v>1906</v>
      </c>
    </row>
    <row r="1736" spans="18:31" s="105" customFormat="1">
      <c r="R1736" s="154"/>
      <c r="AB1736" s="124"/>
      <c r="AD1736" s="105" t="s">
        <v>2943</v>
      </c>
      <c r="AE1736" s="105" t="s">
        <v>1652</v>
      </c>
    </row>
    <row r="1737" spans="18:31" s="105" customFormat="1">
      <c r="R1737" s="154"/>
      <c r="AB1737" s="124"/>
      <c r="AD1737" s="105" t="s">
        <v>2943</v>
      </c>
      <c r="AE1737" s="105" t="s">
        <v>1653</v>
      </c>
    </row>
    <row r="1738" spans="18:31" s="105" customFormat="1">
      <c r="R1738" s="154"/>
      <c r="AB1738" s="124"/>
      <c r="AD1738" s="105" t="s">
        <v>2943</v>
      </c>
      <c r="AE1738" s="105" t="s">
        <v>1654</v>
      </c>
    </row>
    <row r="1739" spans="18:31" s="105" customFormat="1">
      <c r="R1739" s="154"/>
      <c r="AB1739" s="124"/>
      <c r="AD1739" s="105" t="s">
        <v>2943</v>
      </c>
      <c r="AE1739" s="105" t="s">
        <v>1655</v>
      </c>
    </row>
    <row r="1740" spans="18:31" s="105" customFormat="1">
      <c r="R1740" s="154"/>
      <c r="AB1740" s="124"/>
      <c r="AD1740" s="105" t="s">
        <v>2943</v>
      </c>
      <c r="AE1740" s="105" t="s">
        <v>1656</v>
      </c>
    </row>
    <row r="1741" spans="18:31" s="105" customFormat="1">
      <c r="R1741" s="154"/>
      <c r="AB1741" s="124"/>
      <c r="AD1741" s="105" t="s">
        <v>2943</v>
      </c>
      <c r="AE1741" s="105" t="s">
        <v>1657</v>
      </c>
    </row>
    <row r="1742" spans="18:31" s="105" customFormat="1">
      <c r="R1742" s="154"/>
      <c r="AB1742" s="124"/>
      <c r="AD1742" s="105" t="s">
        <v>2943</v>
      </c>
      <c r="AE1742" s="105" t="s">
        <v>1658</v>
      </c>
    </row>
    <row r="1743" spans="18:31" s="105" customFormat="1">
      <c r="R1743" s="154"/>
      <c r="AB1743" s="124"/>
      <c r="AD1743" s="105" t="s">
        <v>2941</v>
      </c>
      <c r="AE1743" s="105" t="s">
        <v>1659</v>
      </c>
    </row>
    <row r="1744" spans="18:31" s="105" customFormat="1">
      <c r="R1744" s="154"/>
      <c r="AB1744" s="124"/>
      <c r="AD1744" s="105" t="s">
        <v>2943</v>
      </c>
      <c r="AE1744" s="105" t="s">
        <v>1660</v>
      </c>
    </row>
    <row r="1745" spans="18:31" s="105" customFormat="1">
      <c r="R1745" s="154"/>
      <c r="AB1745" s="124"/>
      <c r="AD1745" s="105" t="s">
        <v>2943</v>
      </c>
      <c r="AE1745" s="105" t="s">
        <v>1661</v>
      </c>
    </row>
    <row r="1746" spans="18:31" s="105" customFormat="1">
      <c r="R1746" s="154"/>
      <c r="AB1746" s="124"/>
      <c r="AD1746" s="105" t="s">
        <v>2943</v>
      </c>
      <c r="AE1746" s="105" t="s">
        <v>1662</v>
      </c>
    </row>
    <row r="1747" spans="18:31" s="105" customFormat="1">
      <c r="R1747" s="154"/>
      <c r="AB1747" s="124"/>
      <c r="AD1747" s="105" t="s">
        <v>2943</v>
      </c>
      <c r="AE1747" s="105" t="s">
        <v>1663</v>
      </c>
    </row>
    <row r="1748" spans="18:31" s="105" customFormat="1">
      <c r="R1748" s="154"/>
      <c r="AB1748" s="124"/>
      <c r="AD1748" s="105" t="s">
        <v>2943</v>
      </c>
      <c r="AE1748" s="105" t="s">
        <v>1664</v>
      </c>
    </row>
    <row r="1749" spans="18:31" s="105" customFormat="1">
      <c r="R1749" s="154"/>
      <c r="AB1749" s="124"/>
      <c r="AD1749" s="105" t="s">
        <v>2943</v>
      </c>
      <c r="AE1749" s="105" t="s">
        <v>1665</v>
      </c>
    </row>
    <row r="1750" spans="18:31" s="105" customFormat="1">
      <c r="R1750" s="154"/>
      <c r="AB1750" s="124"/>
      <c r="AD1750" s="105" t="s">
        <v>2943</v>
      </c>
      <c r="AE1750" s="105" t="s">
        <v>1666</v>
      </c>
    </row>
    <row r="1751" spans="18:31" s="105" customFormat="1">
      <c r="R1751" s="154"/>
      <c r="AB1751" s="124"/>
      <c r="AD1751" s="105" t="s">
        <v>2943</v>
      </c>
      <c r="AE1751" s="105" t="s">
        <v>1667</v>
      </c>
    </row>
    <row r="1752" spans="18:31" s="105" customFormat="1">
      <c r="R1752" s="154"/>
      <c r="AB1752" s="124"/>
      <c r="AD1752" s="105" t="s">
        <v>2943</v>
      </c>
      <c r="AE1752" s="105" t="s">
        <v>1668</v>
      </c>
    </row>
    <row r="1753" spans="18:31" s="105" customFormat="1">
      <c r="R1753" s="154"/>
      <c r="AB1753" s="124"/>
      <c r="AD1753" s="105" t="s">
        <v>2943</v>
      </c>
      <c r="AE1753" s="105" t="s">
        <v>1669</v>
      </c>
    </row>
    <row r="1754" spans="18:31" s="105" customFormat="1">
      <c r="R1754" s="154"/>
      <c r="AB1754" s="124"/>
      <c r="AD1754" s="105" t="s">
        <v>2943</v>
      </c>
      <c r="AE1754" s="105" t="s">
        <v>1670</v>
      </c>
    </row>
    <row r="1755" spans="18:31" s="105" customFormat="1">
      <c r="R1755" s="154"/>
      <c r="AB1755" s="124"/>
      <c r="AD1755" s="105" t="s">
        <v>2943</v>
      </c>
      <c r="AE1755" s="105" t="s">
        <v>1671</v>
      </c>
    </row>
    <row r="1756" spans="18:31" s="105" customFormat="1">
      <c r="R1756" s="154"/>
      <c r="AB1756" s="124"/>
      <c r="AD1756" s="105" t="s">
        <v>2943</v>
      </c>
      <c r="AE1756" s="105" t="s">
        <v>1672</v>
      </c>
    </row>
    <row r="1757" spans="18:31" s="105" customFormat="1">
      <c r="R1757" s="154"/>
      <c r="AB1757" s="124"/>
      <c r="AD1757" s="105" t="s">
        <v>2943</v>
      </c>
      <c r="AE1757" s="105" t="s">
        <v>1673</v>
      </c>
    </row>
    <row r="1758" spans="18:31" s="105" customFormat="1">
      <c r="R1758" s="154"/>
      <c r="AB1758" s="124"/>
      <c r="AD1758" s="105" t="s">
        <v>2943</v>
      </c>
      <c r="AE1758" s="105" t="s">
        <v>1674</v>
      </c>
    </row>
    <row r="1759" spans="18:31" s="105" customFormat="1">
      <c r="R1759" s="154"/>
      <c r="AB1759" s="124"/>
      <c r="AD1759" s="105" t="s">
        <v>2943</v>
      </c>
      <c r="AE1759" s="105" t="s">
        <v>1675</v>
      </c>
    </row>
    <row r="1760" spans="18:31" s="105" customFormat="1">
      <c r="R1760" s="154"/>
      <c r="AB1760" s="124"/>
      <c r="AD1760" s="105" t="s">
        <v>2942</v>
      </c>
      <c r="AE1760" s="105" t="s">
        <v>1676</v>
      </c>
    </row>
    <row r="1761" spans="18:31" s="105" customFormat="1">
      <c r="R1761" s="154"/>
      <c r="AB1761" s="124"/>
      <c r="AD1761" s="105" t="s">
        <v>2994</v>
      </c>
      <c r="AE1761" s="105" t="s">
        <v>1677</v>
      </c>
    </row>
    <row r="1762" spans="18:31" s="105" customFormat="1">
      <c r="R1762" s="154"/>
      <c r="AB1762" s="124"/>
      <c r="AD1762" s="105" t="s">
        <v>2942</v>
      </c>
      <c r="AE1762" s="105" t="s">
        <v>1678</v>
      </c>
    </row>
    <row r="1763" spans="18:31" s="105" customFormat="1">
      <c r="R1763" s="154"/>
      <c r="AB1763" s="124"/>
      <c r="AD1763" s="105" t="s">
        <v>2943</v>
      </c>
      <c r="AE1763" s="105" t="s">
        <v>1679</v>
      </c>
    </row>
    <row r="1764" spans="18:31" s="105" customFormat="1">
      <c r="R1764" s="154"/>
      <c r="AB1764" s="124"/>
      <c r="AD1764" s="105" t="s">
        <v>2943</v>
      </c>
      <c r="AE1764" s="105" t="s">
        <v>1907</v>
      </c>
    </row>
    <row r="1765" spans="18:31" s="105" customFormat="1">
      <c r="R1765" s="154"/>
      <c r="AB1765" s="124"/>
      <c r="AD1765" s="105" t="s">
        <v>2943</v>
      </c>
      <c r="AE1765" s="105" t="s">
        <v>1680</v>
      </c>
    </row>
    <row r="1766" spans="18:31" s="105" customFormat="1">
      <c r="R1766" s="154"/>
      <c r="AB1766" s="124"/>
      <c r="AD1766" s="105" t="s">
        <v>2994</v>
      </c>
      <c r="AE1766" s="105" t="s">
        <v>1681</v>
      </c>
    </row>
    <row r="1767" spans="18:31" s="105" customFormat="1">
      <c r="R1767" s="154"/>
      <c r="AB1767" s="124"/>
      <c r="AD1767" s="105" t="s">
        <v>2994</v>
      </c>
      <c r="AE1767" s="105" t="s">
        <v>2653</v>
      </c>
    </row>
    <row r="1768" spans="18:31" s="105" customFormat="1">
      <c r="R1768" s="154"/>
      <c r="AB1768" s="124"/>
      <c r="AD1768" s="105" t="s">
        <v>2994</v>
      </c>
      <c r="AE1768" s="105" t="s">
        <v>1682</v>
      </c>
    </row>
    <row r="1769" spans="18:31" s="105" customFormat="1">
      <c r="R1769" s="154"/>
      <c r="AB1769" s="124"/>
      <c r="AD1769" s="105" t="s">
        <v>2994</v>
      </c>
      <c r="AE1769" s="105" t="s">
        <v>1683</v>
      </c>
    </row>
    <row r="1770" spans="18:31" s="105" customFormat="1">
      <c r="R1770" s="154"/>
      <c r="AB1770" s="124"/>
      <c r="AD1770" s="105" t="s">
        <v>2942</v>
      </c>
      <c r="AE1770" s="105" t="s">
        <v>1684</v>
      </c>
    </row>
    <row r="1771" spans="18:31" s="105" customFormat="1">
      <c r="R1771" s="154"/>
      <c r="AB1771" s="124"/>
      <c r="AD1771" s="105" t="s">
        <v>2994</v>
      </c>
      <c r="AE1771" s="105" t="s">
        <v>2654</v>
      </c>
    </row>
    <row r="1772" spans="18:31" s="105" customFormat="1">
      <c r="R1772" s="154"/>
      <c r="AB1772" s="124"/>
      <c r="AD1772" s="105" t="s">
        <v>2994</v>
      </c>
      <c r="AE1772" s="105" t="s">
        <v>1908</v>
      </c>
    </row>
    <row r="1773" spans="18:31" s="105" customFormat="1">
      <c r="R1773" s="154"/>
      <c r="AB1773" s="124"/>
      <c r="AD1773" s="105" t="s">
        <v>2994</v>
      </c>
      <c r="AE1773" s="105" t="s">
        <v>1685</v>
      </c>
    </row>
    <row r="1774" spans="18:31" s="105" customFormat="1">
      <c r="R1774" s="154"/>
      <c r="AB1774" s="124"/>
      <c r="AD1774" s="105" t="s">
        <v>2994</v>
      </c>
      <c r="AE1774" s="105" t="s">
        <v>2298</v>
      </c>
    </row>
    <row r="1775" spans="18:31" s="105" customFormat="1">
      <c r="R1775" s="154"/>
      <c r="AB1775" s="124"/>
      <c r="AD1775" s="105" t="s">
        <v>2544</v>
      </c>
      <c r="AE1775" s="105" t="s">
        <v>1686</v>
      </c>
    </row>
    <row r="1776" spans="18:31" s="105" customFormat="1">
      <c r="R1776" s="154"/>
      <c r="AB1776" s="124"/>
      <c r="AD1776" s="105" t="s">
        <v>2995</v>
      </c>
      <c r="AE1776" s="105" t="s">
        <v>695</v>
      </c>
    </row>
    <row r="1777" spans="18:31" s="105" customFormat="1">
      <c r="R1777" s="154"/>
      <c r="AB1777" s="124"/>
      <c r="AD1777" s="105" t="s">
        <v>2995</v>
      </c>
      <c r="AE1777" s="105" t="s">
        <v>696</v>
      </c>
    </row>
    <row r="1778" spans="18:31" s="105" customFormat="1">
      <c r="R1778" s="154"/>
      <c r="AB1778" s="124"/>
      <c r="AD1778" s="105" t="s">
        <v>2950</v>
      </c>
      <c r="AE1778" s="105" t="s">
        <v>697</v>
      </c>
    </row>
    <row r="1779" spans="18:31" s="105" customFormat="1">
      <c r="R1779" s="154"/>
      <c r="AB1779" s="124"/>
      <c r="AD1779" s="105" t="s">
        <v>2950</v>
      </c>
      <c r="AE1779" s="105" t="s">
        <v>698</v>
      </c>
    </row>
    <row r="1780" spans="18:31" s="105" customFormat="1">
      <c r="R1780" s="154"/>
      <c r="AB1780" s="124"/>
      <c r="AD1780" s="105" t="s">
        <v>2995</v>
      </c>
      <c r="AE1780" s="105" t="s">
        <v>699</v>
      </c>
    </row>
    <row r="1781" spans="18:31" s="105" customFormat="1">
      <c r="R1781" s="154"/>
      <c r="AB1781" s="124"/>
      <c r="AD1781" s="105" t="s">
        <v>2995</v>
      </c>
      <c r="AE1781" s="105" t="s">
        <v>700</v>
      </c>
    </row>
    <row r="1782" spans="18:31" s="105" customFormat="1">
      <c r="R1782" s="154"/>
      <c r="AB1782" s="124"/>
      <c r="AD1782" s="105" t="s">
        <v>2995</v>
      </c>
      <c r="AE1782" s="105" t="s">
        <v>701</v>
      </c>
    </row>
    <row r="1783" spans="18:31" s="105" customFormat="1">
      <c r="R1783" s="154"/>
      <c r="AB1783" s="124"/>
      <c r="AD1783" s="105" t="s">
        <v>2995</v>
      </c>
      <c r="AE1783" s="105" t="s">
        <v>2266</v>
      </c>
    </row>
    <row r="1784" spans="18:31" s="105" customFormat="1">
      <c r="R1784" s="154"/>
      <c r="AB1784" s="124"/>
      <c r="AD1784" s="105" t="s">
        <v>2995</v>
      </c>
      <c r="AE1784" s="105" t="s">
        <v>702</v>
      </c>
    </row>
    <row r="1785" spans="18:31" s="105" customFormat="1">
      <c r="R1785" s="154"/>
      <c r="AB1785" s="124"/>
      <c r="AD1785" s="105" t="s">
        <v>2947</v>
      </c>
      <c r="AE1785" s="105" t="s">
        <v>703</v>
      </c>
    </row>
    <row r="1786" spans="18:31" s="105" customFormat="1">
      <c r="R1786" s="154"/>
      <c r="AB1786" s="124"/>
      <c r="AD1786" s="105" t="s">
        <v>2995</v>
      </c>
      <c r="AE1786" s="105" t="s">
        <v>704</v>
      </c>
    </row>
    <row r="1787" spans="18:31" s="105" customFormat="1">
      <c r="R1787" s="154"/>
      <c r="AB1787" s="124"/>
      <c r="AD1787" s="105" t="s">
        <v>2995</v>
      </c>
      <c r="AE1787" s="105" t="s">
        <v>705</v>
      </c>
    </row>
    <row r="1788" spans="18:31" s="105" customFormat="1">
      <c r="R1788" s="154"/>
      <c r="AB1788" s="124"/>
      <c r="AD1788" s="105" t="s">
        <v>2995</v>
      </c>
      <c r="AE1788" s="105" t="s">
        <v>706</v>
      </c>
    </row>
    <row r="1789" spans="18:31" s="105" customFormat="1">
      <c r="R1789" s="154"/>
      <c r="AB1789" s="124"/>
      <c r="AD1789" s="105" t="s">
        <v>2995</v>
      </c>
      <c r="AE1789" s="105" t="s">
        <v>707</v>
      </c>
    </row>
    <row r="1790" spans="18:31" s="105" customFormat="1">
      <c r="R1790" s="154"/>
      <c r="AB1790" s="124"/>
      <c r="AD1790" s="105" t="s">
        <v>2995</v>
      </c>
      <c r="AE1790" s="105" t="s">
        <v>708</v>
      </c>
    </row>
    <row r="1791" spans="18:31" s="105" customFormat="1">
      <c r="R1791" s="154"/>
      <c r="AB1791" s="124"/>
      <c r="AD1791" s="105" t="s">
        <v>2947</v>
      </c>
      <c r="AE1791" s="105" t="s">
        <v>709</v>
      </c>
    </row>
    <row r="1792" spans="18:31" s="105" customFormat="1">
      <c r="R1792" s="154"/>
      <c r="AB1792" s="124"/>
      <c r="AD1792" s="105" t="s">
        <v>2995</v>
      </c>
      <c r="AE1792" s="105" t="s">
        <v>710</v>
      </c>
    </row>
    <row r="1793" spans="18:31" s="105" customFormat="1">
      <c r="R1793" s="154"/>
      <c r="AB1793" s="124"/>
      <c r="AD1793" s="105" t="s">
        <v>2949</v>
      </c>
      <c r="AE1793" s="105" t="s">
        <v>711</v>
      </c>
    </row>
    <row r="1794" spans="18:31" s="105" customFormat="1">
      <c r="R1794" s="154"/>
      <c r="AB1794" s="124"/>
      <c r="AD1794" s="105" t="s">
        <v>2995</v>
      </c>
      <c r="AE1794" s="105" t="s">
        <v>712</v>
      </c>
    </row>
    <row r="1795" spans="18:31" s="105" customFormat="1">
      <c r="R1795" s="154"/>
      <c r="AB1795" s="124"/>
      <c r="AD1795" s="105" t="s">
        <v>2995</v>
      </c>
      <c r="AE1795" s="105" t="s">
        <v>713</v>
      </c>
    </row>
    <row r="1796" spans="18:31" s="105" customFormat="1">
      <c r="R1796" s="154"/>
      <c r="AB1796" s="124"/>
      <c r="AD1796" s="105" t="s">
        <v>2947</v>
      </c>
      <c r="AE1796" s="105" t="s">
        <v>714</v>
      </c>
    </row>
    <row r="1797" spans="18:31" s="105" customFormat="1">
      <c r="R1797" s="154"/>
      <c r="AB1797" s="124"/>
      <c r="AD1797" s="105" t="s">
        <v>2995</v>
      </c>
      <c r="AE1797" s="105" t="s">
        <v>715</v>
      </c>
    </row>
    <row r="1798" spans="18:31" s="105" customFormat="1">
      <c r="R1798" s="154"/>
      <c r="AB1798" s="124"/>
      <c r="AD1798" s="105" t="s">
        <v>2995</v>
      </c>
      <c r="AE1798" s="105" t="s">
        <v>1909</v>
      </c>
    </row>
    <row r="1799" spans="18:31" s="105" customFormat="1">
      <c r="R1799" s="154"/>
      <c r="AB1799" s="124"/>
      <c r="AD1799" s="105" t="s">
        <v>2995</v>
      </c>
      <c r="AE1799" s="105" t="s">
        <v>2682</v>
      </c>
    </row>
    <row r="1800" spans="18:31" s="105" customFormat="1">
      <c r="R1800" s="154"/>
      <c r="AB1800" s="124"/>
      <c r="AD1800" s="105" t="s">
        <v>2995</v>
      </c>
      <c r="AE1800" s="105" t="s">
        <v>1910</v>
      </c>
    </row>
    <row r="1801" spans="18:31" s="105" customFormat="1">
      <c r="R1801" s="154"/>
      <c r="AB1801" s="124"/>
      <c r="AD1801" s="105" t="s">
        <v>2948</v>
      </c>
      <c r="AE1801" s="105" t="s">
        <v>716</v>
      </c>
    </row>
    <row r="1802" spans="18:31" s="105" customFormat="1">
      <c r="R1802" s="154"/>
      <c r="AB1802" s="124"/>
      <c r="AD1802" s="105" t="s">
        <v>2948</v>
      </c>
      <c r="AE1802" s="105" t="s">
        <v>717</v>
      </c>
    </row>
    <row r="1803" spans="18:31" s="105" customFormat="1">
      <c r="R1803" s="154"/>
      <c r="AB1803" s="124"/>
      <c r="AD1803" s="105" t="s">
        <v>2948</v>
      </c>
      <c r="AE1803" s="105" t="s">
        <v>718</v>
      </c>
    </row>
    <row r="1804" spans="18:31" s="105" customFormat="1">
      <c r="R1804" s="154"/>
      <c r="AB1804" s="124"/>
      <c r="AD1804" s="105" t="s">
        <v>2948</v>
      </c>
      <c r="AE1804" s="105" t="s">
        <v>719</v>
      </c>
    </row>
    <row r="1805" spans="18:31" s="105" customFormat="1">
      <c r="R1805" s="154"/>
      <c r="AB1805" s="124"/>
      <c r="AD1805" s="105" t="s">
        <v>2948</v>
      </c>
      <c r="AE1805" s="105" t="s">
        <v>720</v>
      </c>
    </row>
    <row r="1806" spans="18:31" s="105" customFormat="1">
      <c r="R1806" s="154"/>
      <c r="AB1806" s="124"/>
      <c r="AD1806" s="105" t="s">
        <v>2948</v>
      </c>
      <c r="AE1806" s="105" t="s">
        <v>721</v>
      </c>
    </row>
    <row r="1807" spans="18:31" s="105" customFormat="1">
      <c r="R1807" s="154"/>
      <c r="AB1807" s="124"/>
      <c r="AD1807" s="105" t="s">
        <v>2948</v>
      </c>
      <c r="AE1807" s="105" t="s">
        <v>722</v>
      </c>
    </row>
    <row r="1808" spans="18:31" s="105" customFormat="1">
      <c r="R1808" s="154"/>
      <c r="AB1808" s="124"/>
      <c r="AD1808" s="105" t="s">
        <v>2946</v>
      </c>
      <c r="AE1808" s="105" t="s">
        <v>723</v>
      </c>
    </row>
    <row r="1809" spans="18:31" s="105" customFormat="1">
      <c r="R1809" s="154"/>
      <c r="AB1809" s="124"/>
      <c r="AD1809" s="105" t="s">
        <v>2948</v>
      </c>
      <c r="AE1809" s="105" t="s">
        <v>724</v>
      </c>
    </row>
    <row r="1810" spans="18:31" s="105" customFormat="1">
      <c r="R1810" s="154"/>
      <c r="AB1810" s="124"/>
      <c r="AD1810" s="105" t="s">
        <v>2948</v>
      </c>
      <c r="AE1810" s="105" t="s">
        <v>725</v>
      </c>
    </row>
    <row r="1811" spans="18:31" s="105" customFormat="1">
      <c r="R1811" s="154"/>
      <c r="AB1811" s="124"/>
      <c r="AD1811" s="105" t="s">
        <v>2948</v>
      </c>
      <c r="AE1811" s="105" t="s">
        <v>726</v>
      </c>
    </row>
    <row r="1812" spans="18:31" s="105" customFormat="1">
      <c r="R1812" s="154"/>
      <c r="AB1812" s="124"/>
      <c r="AD1812" s="105" t="s">
        <v>2948</v>
      </c>
      <c r="AE1812" s="105" t="s">
        <v>727</v>
      </c>
    </row>
    <row r="1813" spans="18:31" s="105" customFormat="1">
      <c r="R1813" s="154"/>
      <c r="AB1813" s="124"/>
      <c r="AD1813" s="105" t="s">
        <v>2948</v>
      </c>
      <c r="AE1813" s="105" t="s">
        <v>728</v>
      </c>
    </row>
    <row r="1814" spans="18:31" s="105" customFormat="1">
      <c r="R1814" s="154"/>
      <c r="AB1814" s="124"/>
      <c r="AD1814" s="105" t="s">
        <v>2948</v>
      </c>
      <c r="AE1814" s="105" t="s">
        <v>729</v>
      </c>
    </row>
    <row r="1815" spans="18:31" s="105" customFormat="1">
      <c r="R1815" s="154"/>
      <c r="AB1815" s="124"/>
      <c r="AD1815" s="105" t="s">
        <v>2948</v>
      </c>
      <c r="AE1815" s="105" t="s">
        <v>730</v>
      </c>
    </row>
    <row r="1816" spans="18:31" s="105" customFormat="1">
      <c r="R1816" s="154"/>
      <c r="AB1816" s="124"/>
      <c r="AD1816" s="105" t="s">
        <v>2948</v>
      </c>
      <c r="AE1816" s="105" t="s">
        <v>731</v>
      </c>
    </row>
    <row r="1817" spans="18:31" s="105" customFormat="1">
      <c r="R1817" s="154"/>
      <c r="AB1817" s="124"/>
      <c r="AD1817" s="105" t="s">
        <v>2948</v>
      </c>
      <c r="AE1817" s="105" t="s">
        <v>732</v>
      </c>
    </row>
    <row r="1818" spans="18:31" s="105" customFormat="1">
      <c r="R1818" s="154"/>
      <c r="AB1818" s="124"/>
      <c r="AD1818" s="105" t="s">
        <v>2948</v>
      </c>
      <c r="AE1818" s="105" t="s">
        <v>733</v>
      </c>
    </row>
    <row r="1819" spans="18:31" s="105" customFormat="1">
      <c r="R1819" s="154"/>
      <c r="AB1819" s="124"/>
      <c r="AD1819" s="105" t="s">
        <v>2948</v>
      </c>
      <c r="AE1819" s="105" t="s">
        <v>734</v>
      </c>
    </row>
    <row r="1820" spans="18:31" s="105" customFormat="1">
      <c r="R1820" s="154"/>
      <c r="AB1820" s="124"/>
      <c r="AD1820" s="105" t="s">
        <v>2948</v>
      </c>
      <c r="AE1820" s="105" t="s">
        <v>735</v>
      </c>
    </row>
    <row r="1821" spans="18:31" s="105" customFormat="1">
      <c r="R1821" s="154"/>
      <c r="AB1821" s="124"/>
      <c r="AD1821" s="105" t="s">
        <v>2948</v>
      </c>
      <c r="AE1821" s="105" t="s">
        <v>736</v>
      </c>
    </row>
    <row r="1822" spans="18:31" s="105" customFormat="1">
      <c r="R1822" s="154"/>
      <c r="AB1822" s="124"/>
      <c r="AD1822" s="105" t="s">
        <v>2948</v>
      </c>
      <c r="AE1822" s="105" t="s">
        <v>737</v>
      </c>
    </row>
    <row r="1823" spans="18:31" s="105" customFormat="1">
      <c r="R1823" s="154"/>
      <c r="AB1823" s="124"/>
      <c r="AD1823" s="105" t="s">
        <v>2948</v>
      </c>
      <c r="AE1823" s="105" t="s">
        <v>738</v>
      </c>
    </row>
    <row r="1824" spans="18:31" s="105" customFormat="1">
      <c r="R1824" s="154"/>
      <c r="AB1824" s="124"/>
      <c r="AD1824" s="105" t="s">
        <v>2948</v>
      </c>
      <c r="AE1824" s="105" t="s">
        <v>739</v>
      </c>
    </row>
    <row r="1825" spans="18:31" s="105" customFormat="1">
      <c r="R1825" s="154"/>
      <c r="AB1825" s="124"/>
      <c r="AD1825" s="105" t="s">
        <v>2947</v>
      </c>
      <c r="AE1825" s="105" t="s">
        <v>740</v>
      </c>
    </row>
    <row r="1826" spans="18:31" s="105" customFormat="1">
      <c r="R1826" s="154"/>
      <c r="AB1826" s="124"/>
      <c r="AD1826" s="105" t="s">
        <v>2995</v>
      </c>
      <c r="AE1826" s="105" t="s">
        <v>741</v>
      </c>
    </row>
    <row r="1827" spans="18:31" s="105" customFormat="1">
      <c r="R1827" s="154"/>
      <c r="AB1827" s="124"/>
      <c r="AD1827" s="105" t="s">
        <v>2947</v>
      </c>
      <c r="AE1827" s="105" t="s">
        <v>742</v>
      </c>
    </row>
    <row r="1828" spans="18:31" s="105" customFormat="1">
      <c r="R1828" s="154"/>
      <c r="AB1828" s="124"/>
      <c r="AD1828" s="105" t="s">
        <v>2948</v>
      </c>
      <c r="AE1828" s="105" t="s">
        <v>743</v>
      </c>
    </row>
    <row r="1829" spans="18:31" s="105" customFormat="1">
      <c r="R1829" s="154"/>
      <c r="AB1829" s="124"/>
      <c r="AD1829" s="105" t="s">
        <v>2948</v>
      </c>
      <c r="AE1829" s="105" t="s">
        <v>1911</v>
      </c>
    </row>
    <row r="1830" spans="18:31" s="105" customFormat="1">
      <c r="R1830" s="154"/>
      <c r="AB1830" s="124"/>
      <c r="AD1830" s="105" t="s">
        <v>2948</v>
      </c>
      <c r="AE1830" s="105" t="s">
        <v>744</v>
      </c>
    </row>
    <row r="1831" spans="18:31" s="105" customFormat="1">
      <c r="R1831" s="154"/>
      <c r="AB1831" s="124"/>
      <c r="AD1831" s="105" t="s">
        <v>2995</v>
      </c>
      <c r="AE1831" s="105" t="s">
        <v>745</v>
      </c>
    </row>
    <row r="1832" spans="18:31" s="105" customFormat="1">
      <c r="R1832" s="154"/>
      <c r="AB1832" s="124"/>
      <c r="AD1832" s="105" t="s">
        <v>2995</v>
      </c>
      <c r="AE1832" s="105" t="s">
        <v>2684</v>
      </c>
    </row>
    <row r="1833" spans="18:31" s="105" customFormat="1">
      <c r="R1833" s="154"/>
      <c r="AB1833" s="124"/>
      <c r="AD1833" s="105" t="s">
        <v>2995</v>
      </c>
      <c r="AE1833" s="105" t="s">
        <v>746</v>
      </c>
    </row>
    <row r="1834" spans="18:31" s="105" customFormat="1">
      <c r="R1834" s="154"/>
      <c r="AB1834" s="124"/>
      <c r="AD1834" s="105" t="s">
        <v>2995</v>
      </c>
      <c r="AE1834" s="105" t="s">
        <v>747</v>
      </c>
    </row>
    <row r="1835" spans="18:31" s="105" customFormat="1">
      <c r="R1835" s="154"/>
      <c r="AB1835" s="124"/>
      <c r="AD1835" s="105" t="s">
        <v>2947</v>
      </c>
      <c r="AE1835" s="105" t="s">
        <v>748</v>
      </c>
    </row>
    <row r="1836" spans="18:31" s="105" customFormat="1">
      <c r="R1836" s="154"/>
      <c r="AB1836" s="124"/>
      <c r="AD1836" s="105" t="s">
        <v>2995</v>
      </c>
      <c r="AE1836" s="105" t="s">
        <v>2685</v>
      </c>
    </row>
    <row r="1837" spans="18:31" s="105" customFormat="1">
      <c r="R1837" s="154"/>
      <c r="AB1837" s="124"/>
      <c r="AD1837" s="105" t="s">
        <v>2995</v>
      </c>
      <c r="AE1837" s="105" t="s">
        <v>1912</v>
      </c>
    </row>
    <row r="1838" spans="18:31" s="105" customFormat="1">
      <c r="R1838" s="154"/>
      <c r="AB1838" s="124"/>
      <c r="AD1838" s="105" t="s">
        <v>2995</v>
      </c>
      <c r="AE1838" s="105" t="s">
        <v>749</v>
      </c>
    </row>
    <row r="1839" spans="18:31" s="105" customFormat="1">
      <c r="R1839" s="154"/>
      <c r="AB1839" s="124"/>
      <c r="AD1839" s="105" t="s">
        <v>2995</v>
      </c>
      <c r="AE1839" s="105" t="s">
        <v>2313</v>
      </c>
    </row>
    <row r="1840" spans="18:31" s="105" customFormat="1">
      <c r="R1840" s="154"/>
      <c r="AB1840" s="124"/>
      <c r="AD1840" s="105" t="s">
        <v>2545</v>
      </c>
      <c r="AE1840" s="105" t="s">
        <v>750</v>
      </c>
    </row>
    <row r="1841" spans="18:31" s="105" customFormat="1">
      <c r="R1841" s="154"/>
      <c r="AB1841" s="124"/>
      <c r="AD1841" s="105" t="s">
        <v>2996</v>
      </c>
      <c r="AE1841" s="105" t="s">
        <v>751</v>
      </c>
    </row>
    <row r="1842" spans="18:31" s="105" customFormat="1">
      <c r="R1842" s="154"/>
      <c r="AB1842" s="124"/>
      <c r="AD1842" s="105" t="s">
        <v>2996</v>
      </c>
      <c r="AE1842" s="105" t="s">
        <v>752</v>
      </c>
    </row>
    <row r="1843" spans="18:31" s="105" customFormat="1">
      <c r="R1843" s="154"/>
      <c r="AB1843" s="124"/>
      <c r="AD1843" s="105" t="s">
        <v>2955</v>
      </c>
      <c r="AE1843" s="105" t="s">
        <v>753</v>
      </c>
    </row>
    <row r="1844" spans="18:31" s="105" customFormat="1">
      <c r="R1844" s="154"/>
      <c r="AB1844" s="124"/>
      <c r="AD1844" s="105" t="s">
        <v>2955</v>
      </c>
      <c r="AE1844" s="105" t="s">
        <v>754</v>
      </c>
    </row>
    <row r="1845" spans="18:31" s="105" customFormat="1">
      <c r="R1845" s="154"/>
      <c r="AB1845" s="124"/>
      <c r="AD1845" s="105" t="s">
        <v>2996</v>
      </c>
      <c r="AE1845" s="105" t="s">
        <v>755</v>
      </c>
    </row>
    <row r="1846" spans="18:31" s="105" customFormat="1">
      <c r="R1846" s="154"/>
      <c r="AB1846" s="124"/>
      <c r="AD1846" s="105" t="s">
        <v>2996</v>
      </c>
      <c r="AE1846" s="105" t="s">
        <v>756</v>
      </c>
    </row>
    <row r="1847" spans="18:31" s="105" customFormat="1">
      <c r="R1847" s="154"/>
      <c r="AB1847" s="124"/>
      <c r="AD1847" s="105" t="s">
        <v>2996</v>
      </c>
      <c r="AE1847" s="105" t="s">
        <v>757</v>
      </c>
    </row>
    <row r="1848" spans="18:31" s="105" customFormat="1">
      <c r="R1848" s="154"/>
      <c r="AB1848" s="124"/>
      <c r="AD1848" s="105" t="s">
        <v>2996</v>
      </c>
      <c r="AE1848" s="105" t="s">
        <v>2267</v>
      </c>
    </row>
    <row r="1849" spans="18:31" s="105" customFormat="1">
      <c r="R1849" s="154"/>
      <c r="AB1849" s="124"/>
      <c r="AD1849" s="105" t="s">
        <v>2996</v>
      </c>
      <c r="AE1849" s="105" t="s">
        <v>758</v>
      </c>
    </row>
    <row r="1850" spans="18:31" s="105" customFormat="1">
      <c r="R1850" s="154"/>
      <c r="AB1850" s="124"/>
      <c r="AD1850" s="105" t="s">
        <v>2952</v>
      </c>
      <c r="AE1850" s="105" t="s">
        <v>759</v>
      </c>
    </row>
    <row r="1851" spans="18:31" s="105" customFormat="1">
      <c r="R1851" s="154"/>
      <c r="AB1851" s="124"/>
      <c r="AD1851" s="105" t="s">
        <v>2996</v>
      </c>
      <c r="AE1851" s="105" t="s">
        <v>760</v>
      </c>
    </row>
    <row r="1852" spans="18:31" s="105" customFormat="1">
      <c r="R1852" s="154"/>
      <c r="AB1852" s="124"/>
      <c r="AD1852" s="105" t="s">
        <v>2996</v>
      </c>
      <c r="AE1852" s="105" t="s">
        <v>761</v>
      </c>
    </row>
    <row r="1853" spans="18:31" s="105" customFormat="1">
      <c r="R1853" s="154"/>
      <c r="AB1853" s="124"/>
      <c r="AD1853" s="105" t="s">
        <v>2996</v>
      </c>
      <c r="AE1853" s="105" t="s">
        <v>762</v>
      </c>
    </row>
    <row r="1854" spans="18:31" s="105" customFormat="1">
      <c r="R1854" s="154"/>
      <c r="AB1854" s="124"/>
      <c r="AD1854" s="105" t="s">
        <v>2996</v>
      </c>
      <c r="AE1854" s="105" t="s">
        <v>763</v>
      </c>
    </row>
    <row r="1855" spans="18:31" s="105" customFormat="1">
      <c r="R1855" s="154"/>
      <c r="AB1855" s="124"/>
      <c r="AD1855" s="105" t="s">
        <v>2996</v>
      </c>
      <c r="AE1855" s="105" t="s">
        <v>764</v>
      </c>
    </row>
    <row r="1856" spans="18:31" s="105" customFormat="1">
      <c r="R1856" s="154"/>
      <c r="AB1856" s="124"/>
      <c r="AD1856" s="105" t="s">
        <v>2952</v>
      </c>
      <c r="AE1856" s="105" t="s">
        <v>765</v>
      </c>
    </row>
    <row r="1857" spans="18:31" s="105" customFormat="1">
      <c r="R1857" s="154"/>
      <c r="AB1857" s="124"/>
      <c r="AD1857" s="105" t="s">
        <v>2996</v>
      </c>
      <c r="AE1857" s="105" t="s">
        <v>766</v>
      </c>
    </row>
    <row r="1858" spans="18:31" s="105" customFormat="1">
      <c r="R1858" s="154"/>
      <c r="AB1858" s="124"/>
      <c r="AD1858" s="105" t="s">
        <v>2954</v>
      </c>
      <c r="AE1858" s="105" t="s">
        <v>767</v>
      </c>
    </row>
    <row r="1859" spans="18:31" s="105" customFormat="1">
      <c r="R1859" s="154"/>
      <c r="AB1859" s="124"/>
      <c r="AD1859" s="105" t="s">
        <v>2996</v>
      </c>
      <c r="AE1859" s="105" t="s">
        <v>768</v>
      </c>
    </row>
    <row r="1860" spans="18:31" s="105" customFormat="1">
      <c r="R1860" s="154"/>
      <c r="AB1860" s="124"/>
      <c r="AD1860" s="105" t="s">
        <v>2996</v>
      </c>
      <c r="AE1860" s="105" t="s">
        <v>769</v>
      </c>
    </row>
    <row r="1861" spans="18:31" s="105" customFormat="1">
      <c r="R1861" s="154"/>
      <c r="AB1861" s="124"/>
      <c r="AD1861" s="105" t="s">
        <v>2952</v>
      </c>
      <c r="AE1861" s="105" t="s">
        <v>770</v>
      </c>
    </row>
    <row r="1862" spans="18:31" s="105" customFormat="1">
      <c r="R1862" s="154"/>
      <c r="AB1862" s="124"/>
      <c r="AD1862" s="105" t="s">
        <v>2996</v>
      </c>
      <c r="AE1862" s="105" t="s">
        <v>771</v>
      </c>
    </row>
    <row r="1863" spans="18:31" s="105" customFormat="1">
      <c r="R1863" s="154"/>
      <c r="AB1863" s="124"/>
      <c r="AD1863" s="105" t="s">
        <v>2996</v>
      </c>
      <c r="AE1863" s="105" t="s">
        <v>1913</v>
      </c>
    </row>
    <row r="1864" spans="18:31" s="105" customFormat="1">
      <c r="R1864" s="154"/>
      <c r="AB1864" s="124"/>
      <c r="AD1864" s="105" t="s">
        <v>2996</v>
      </c>
      <c r="AE1864" s="105" t="s">
        <v>2676</v>
      </c>
    </row>
    <row r="1865" spans="18:31" s="105" customFormat="1">
      <c r="R1865" s="154"/>
      <c r="AB1865" s="124"/>
      <c r="AD1865" s="105" t="s">
        <v>2996</v>
      </c>
      <c r="AE1865" s="105" t="s">
        <v>1914</v>
      </c>
    </row>
    <row r="1866" spans="18:31" s="105" customFormat="1">
      <c r="R1866" s="154"/>
      <c r="AB1866" s="124"/>
      <c r="AD1866" s="105" t="s">
        <v>2953</v>
      </c>
      <c r="AE1866" s="105" t="s">
        <v>772</v>
      </c>
    </row>
    <row r="1867" spans="18:31" s="105" customFormat="1">
      <c r="R1867" s="154"/>
      <c r="AB1867" s="124"/>
      <c r="AD1867" s="105" t="s">
        <v>2953</v>
      </c>
      <c r="AE1867" s="105" t="s">
        <v>773</v>
      </c>
    </row>
    <row r="1868" spans="18:31" s="105" customFormat="1">
      <c r="R1868" s="154"/>
      <c r="AB1868" s="124"/>
      <c r="AD1868" s="105" t="s">
        <v>2953</v>
      </c>
      <c r="AE1868" s="105" t="s">
        <v>774</v>
      </c>
    </row>
    <row r="1869" spans="18:31" s="105" customFormat="1">
      <c r="R1869" s="154"/>
      <c r="AB1869" s="124"/>
      <c r="AD1869" s="105" t="s">
        <v>2953</v>
      </c>
      <c r="AE1869" s="105" t="s">
        <v>775</v>
      </c>
    </row>
    <row r="1870" spans="18:31" s="105" customFormat="1">
      <c r="R1870" s="154"/>
      <c r="AB1870" s="124"/>
      <c r="AD1870" s="105" t="s">
        <v>2953</v>
      </c>
      <c r="AE1870" s="105" t="s">
        <v>776</v>
      </c>
    </row>
    <row r="1871" spans="18:31" s="105" customFormat="1">
      <c r="R1871" s="154"/>
      <c r="AB1871" s="124"/>
      <c r="AD1871" s="105" t="s">
        <v>2953</v>
      </c>
      <c r="AE1871" s="105" t="s">
        <v>777</v>
      </c>
    </row>
    <row r="1872" spans="18:31" s="105" customFormat="1">
      <c r="R1872" s="154"/>
      <c r="AB1872" s="124"/>
      <c r="AD1872" s="105" t="s">
        <v>2953</v>
      </c>
      <c r="AE1872" s="105" t="s">
        <v>778</v>
      </c>
    </row>
    <row r="1873" spans="18:31" s="105" customFormat="1">
      <c r="R1873" s="154"/>
      <c r="AB1873" s="124"/>
      <c r="AD1873" s="105" t="s">
        <v>2951</v>
      </c>
      <c r="AE1873" s="105" t="s">
        <v>779</v>
      </c>
    </row>
    <row r="1874" spans="18:31" s="105" customFormat="1">
      <c r="R1874" s="154"/>
      <c r="AB1874" s="124"/>
      <c r="AD1874" s="105" t="s">
        <v>2953</v>
      </c>
      <c r="AE1874" s="105" t="s">
        <v>780</v>
      </c>
    </row>
    <row r="1875" spans="18:31" s="105" customFormat="1">
      <c r="R1875" s="154"/>
      <c r="AB1875" s="124"/>
      <c r="AD1875" s="105" t="s">
        <v>2953</v>
      </c>
      <c r="AE1875" s="105" t="s">
        <v>781</v>
      </c>
    </row>
    <row r="1876" spans="18:31" s="105" customFormat="1">
      <c r="R1876" s="154"/>
      <c r="AB1876" s="124"/>
      <c r="AD1876" s="105" t="s">
        <v>2953</v>
      </c>
      <c r="AE1876" s="105" t="s">
        <v>782</v>
      </c>
    </row>
    <row r="1877" spans="18:31" s="105" customFormat="1">
      <c r="R1877" s="154"/>
      <c r="AB1877" s="124"/>
      <c r="AD1877" s="105" t="s">
        <v>2953</v>
      </c>
      <c r="AE1877" s="105" t="s">
        <v>783</v>
      </c>
    </row>
    <row r="1878" spans="18:31" s="105" customFormat="1">
      <c r="R1878" s="154"/>
      <c r="AB1878" s="124"/>
      <c r="AD1878" s="105" t="s">
        <v>2953</v>
      </c>
      <c r="AE1878" s="105" t="s">
        <v>784</v>
      </c>
    </row>
    <row r="1879" spans="18:31" s="105" customFormat="1">
      <c r="R1879" s="154"/>
      <c r="AB1879" s="124"/>
      <c r="AD1879" s="105" t="s">
        <v>2953</v>
      </c>
      <c r="AE1879" s="105" t="s">
        <v>785</v>
      </c>
    </row>
    <row r="1880" spans="18:31" s="105" customFormat="1">
      <c r="R1880" s="154"/>
      <c r="AB1880" s="124"/>
      <c r="AD1880" s="105" t="s">
        <v>2953</v>
      </c>
      <c r="AE1880" s="105" t="s">
        <v>786</v>
      </c>
    </row>
    <row r="1881" spans="18:31" s="105" customFormat="1">
      <c r="R1881" s="154"/>
      <c r="AB1881" s="124"/>
      <c r="AD1881" s="105" t="s">
        <v>2953</v>
      </c>
      <c r="AE1881" s="105" t="s">
        <v>787</v>
      </c>
    </row>
    <row r="1882" spans="18:31" s="105" customFormat="1">
      <c r="R1882" s="154"/>
      <c r="AB1882" s="124"/>
      <c r="AD1882" s="105" t="s">
        <v>2953</v>
      </c>
      <c r="AE1882" s="105" t="s">
        <v>788</v>
      </c>
    </row>
    <row r="1883" spans="18:31" s="105" customFormat="1">
      <c r="R1883" s="154"/>
      <c r="AB1883" s="124"/>
      <c r="AD1883" s="105" t="s">
        <v>2953</v>
      </c>
      <c r="AE1883" s="105" t="s">
        <v>789</v>
      </c>
    </row>
    <row r="1884" spans="18:31" s="105" customFormat="1">
      <c r="R1884" s="154"/>
      <c r="AB1884" s="124"/>
      <c r="AD1884" s="105" t="s">
        <v>2953</v>
      </c>
      <c r="AE1884" s="105" t="s">
        <v>790</v>
      </c>
    </row>
    <row r="1885" spans="18:31" s="105" customFormat="1">
      <c r="R1885" s="154"/>
      <c r="AB1885" s="124"/>
      <c r="AD1885" s="105" t="s">
        <v>2953</v>
      </c>
      <c r="AE1885" s="105" t="s">
        <v>791</v>
      </c>
    </row>
    <row r="1886" spans="18:31" s="105" customFormat="1">
      <c r="R1886" s="154"/>
      <c r="AB1886" s="124"/>
      <c r="AD1886" s="105" t="s">
        <v>2953</v>
      </c>
      <c r="AE1886" s="105" t="s">
        <v>792</v>
      </c>
    </row>
    <row r="1887" spans="18:31" s="105" customFormat="1">
      <c r="R1887" s="154"/>
      <c r="AB1887" s="124"/>
      <c r="AD1887" s="105" t="s">
        <v>2953</v>
      </c>
      <c r="AE1887" s="105" t="s">
        <v>793</v>
      </c>
    </row>
    <row r="1888" spans="18:31" s="105" customFormat="1">
      <c r="R1888" s="154"/>
      <c r="AB1888" s="124"/>
      <c r="AD1888" s="105" t="s">
        <v>2953</v>
      </c>
      <c r="AE1888" s="105" t="s">
        <v>794</v>
      </c>
    </row>
    <row r="1889" spans="18:31" s="105" customFormat="1">
      <c r="R1889" s="154"/>
      <c r="AB1889" s="124"/>
      <c r="AD1889" s="105" t="s">
        <v>2953</v>
      </c>
      <c r="AE1889" s="105" t="s">
        <v>795</v>
      </c>
    </row>
    <row r="1890" spans="18:31" s="105" customFormat="1">
      <c r="R1890" s="154"/>
      <c r="AB1890" s="124"/>
      <c r="AD1890" s="105" t="s">
        <v>2952</v>
      </c>
      <c r="AE1890" s="105" t="s">
        <v>796</v>
      </c>
    </row>
    <row r="1891" spans="18:31" s="105" customFormat="1">
      <c r="R1891" s="154"/>
      <c r="AB1891" s="124"/>
      <c r="AD1891" s="105" t="s">
        <v>2996</v>
      </c>
      <c r="AE1891" s="105" t="s">
        <v>797</v>
      </c>
    </row>
    <row r="1892" spans="18:31" s="105" customFormat="1">
      <c r="R1892" s="154"/>
      <c r="AB1892" s="124"/>
      <c r="AD1892" s="105" t="s">
        <v>2952</v>
      </c>
      <c r="AE1892" s="105" t="s">
        <v>798</v>
      </c>
    </row>
    <row r="1893" spans="18:31" s="105" customFormat="1">
      <c r="R1893" s="154"/>
      <c r="AB1893" s="124"/>
      <c r="AD1893" s="105" t="s">
        <v>2953</v>
      </c>
      <c r="AE1893" s="105" t="s">
        <v>799</v>
      </c>
    </row>
    <row r="1894" spans="18:31" s="105" customFormat="1">
      <c r="R1894" s="154"/>
      <c r="AB1894" s="124"/>
      <c r="AD1894" s="105" t="s">
        <v>2953</v>
      </c>
      <c r="AE1894" s="105" t="s">
        <v>1915</v>
      </c>
    </row>
    <row r="1895" spans="18:31" s="105" customFormat="1">
      <c r="R1895" s="154"/>
      <c r="AB1895" s="124"/>
      <c r="AD1895" s="105" t="s">
        <v>2953</v>
      </c>
      <c r="AE1895" s="105" t="s">
        <v>800</v>
      </c>
    </row>
    <row r="1896" spans="18:31" s="105" customFormat="1">
      <c r="R1896" s="154"/>
      <c r="AB1896" s="124"/>
      <c r="AD1896" s="105" t="s">
        <v>2996</v>
      </c>
      <c r="AE1896" s="105" t="s">
        <v>801</v>
      </c>
    </row>
    <row r="1897" spans="18:31" s="105" customFormat="1">
      <c r="R1897" s="154"/>
      <c r="AB1897" s="124"/>
      <c r="AD1897" s="105" t="s">
        <v>2996</v>
      </c>
      <c r="AE1897" s="105" t="s">
        <v>2678</v>
      </c>
    </row>
    <row r="1898" spans="18:31" s="105" customFormat="1">
      <c r="R1898" s="154"/>
      <c r="AB1898" s="124"/>
      <c r="AD1898" s="105" t="s">
        <v>2996</v>
      </c>
      <c r="AE1898" s="105" t="s">
        <v>802</v>
      </c>
    </row>
    <row r="1899" spans="18:31" s="105" customFormat="1">
      <c r="R1899" s="154"/>
      <c r="AB1899" s="124"/>
      <c r="AD1899" s="105" t="s">
        <v>2996</v>
      </c>
      <c r="AE1899" s="105" t="s">
        <v>803</v>
      </c>
    </row>
    <row r="1900" spans="18:31" s="105" customFormat="1">
      <c r="R1900" s="154"/>
      <c r="AB1900" s="124"/>
      <c r="AD1900" s="105" t="s">
        <v>2952</v>
      </c>
      <c r="AE1900" s="105" t="s">
        <v>804</v>
      </c>
    </row>
    <row r="1901" spans="18:31" s="105" customFormat="1">
      <c r="R1901" s="154"/>
      <c r="AB1901" s="124"/>
      <c r="AD1901" s="105" t="s">
        <v>2996</v>
      </c>
      <c r="AE1901" s="105" t="s">
        <v>2679</v>
      </c>
    </row>
    <row r="1902" spans="18:31" s="105" customFormat="1">
      <c r="R1902" s="154"/>
      <c r="AB1902" s="124"/>
      <c r="AD1902" s="105" t="s">
        <v>2996</v>
      </c>
      <c r="AE1902" s="105" t="s">
        <v>1916</v>
      </c>
    </row>
    <row r="1903" spans="18:31" s="105" customFormat="1">
      <c r="R1903" s="154"/>
      <c r="AB1903" s="124"/>
      <c r="AD1903" s="105" t="s">
        <v>2996</v>
      </c>
      <c r="AE1903" s="105" t="s">
        <v>805</v>
      </c>
    </row>
    <row r="1904" spans="18:31" s="105" customFormat="1">
      <c r="R1904" s="154"/>
      <c r="AB1904" s="124"/>
      <c r="AD1904" s="105" t="s">
        <v>2996</v>
      </c>
      <c r="AE1904" s="105" t="s">
        <v>2312</v>
      </c>
    </row>
    <row r="1905" spans="18:31" s="105" customFormat="1">
      <c r="R1905" s="154"/>
      <c r="AB1905" s="124"/>
      <c r="AD1905" s="105" t="s">
        <v>2546</v>
      </c>
      <c r="AE1905" s="105" t="s">
        <v>806</v>
      </c>
    </row>
    <row r="1906" spans="18:31" s="105" customFormat="1">
      <c r="R1906" s="154"/>
      <c r="AB1906" s="124"/>
      <c r="AD1906" s="105" t="s">
        <v>2997</v>
      </c>
      <c r="AE1906" s="105" t="s">
        <v>807</v>
      </c>
    </row>
    <row r="1907" spans="18:31" s="105" customFormat="1">
      <c r="R1907" s="154"/>
      <c r="AB1907" s="124"/>
      <c r="AD1907" s="105" t="s">
        <v>2997</v>
      </c>
      <c r="AE1907" s="105" t="s">
        <v>808</v>
      </c>
    </row>
    <row r="1908" spans="18:31" s="105" customFormat="1">
      <c r="R1908" s="154"/>
      <c r="AB1908" s="124"/>
      <c r="AD1908" s="105" t="s">
        <v>2960</v>
      </c>
      <c r="AE1908" s="105" t="s">
        <v>809</v>
      </c>
    </row>
    <row r="1909" spans="18:31" s="105" customFormat="1">
      <c r="R1909" s="154"/>
      <c r="AB1909" s="124"/>
      <c r="AD1909" s="105" t="s">
        <v>2960</v>
      </c>
      <c r="AE1909" s="105" t="s">
        <v>810</v>
      </c>
    </row>
    <row r="1910" spans="18:31" s="105" customFormat="1">
      <c r="R1910" s="154"/>
      <c r="AB1910" s="124"/>
      <c r="AD1910" s="105" t="s">
        <v>2997</v>
      </c>
      <c r="AE1910" s="105" t="s">
        <v>811</v>
      </c>
    </row>
    <row r="1911" spans="18:31" s="105" customFormat="1">
      <c r="R1911" s="154"/>
      <c r="AB1911" s="124"/>
      <c r="AD1911" s="105" t="s">
        <v>2997</v>
      </c>
      <c r="AE1911" s="105" t="s">
        <v>812</v>
      </c>
    </row>
    <row r="1912" spans="18:31" s="105" customFormat="1">
      <c r="R1912" s="154"/>
      <c r="AB1912" s="124"/>
      <c r="AD1912" s="105" t="s">
        <v>2997</v>
      </c>
      <c r="AE1912" s="105" t="s">
        <v>813</v>
      </c>
    </row>
    <row r="1913" spans="18:31" s="105" customFormat="1">
      <c r="R1913" s="154"/>
      <c r="AB1913" s="124"/>
      <c r="AD1913" s="105" t="s">
        <v>2997</v>
      </c>
      <c r="AE1913" s="105" t="s">
        <v>2268</v>
      </c>
    </row>
    <row r="1914" spans="18:31" s="105" customFormat="1">
      <c r="R1914" s="154"/>
      <c r="AB1914" s="124"/>
      <c r="AD1914" s="105" t="s">
        <v>2997</v>
      </c>
      <c r="AE1914" s="105" t="s">
        <v>814</v>
      </c>
    </row>
    <row r="1915" spans="18:31" s="105" customFormat="1">
      <c r="R1915" s="154"/>
      <c r="AB1915" s="124"/>
      <c r="AD1915" s="105" t="s">
        <v>2957</v>
      </c>
      <c r="AE1915" s="105" t="s">
        <v>815</v>
      </c>
    </row>
    <row r="1916" spans="18:31" s="105" customFormat="1">
      <c r="R1916" s="154"/>
      <c r="AB1916" s="124"/>
      <c r="AD1916" s="105" t="s">
        <v>2997</v>
      </c>
      <c r="AE1916" s="105" t="s">
        <v>816</v>
      </c>
    </row>
    <row r="1917" spans="18:31" s="105" customFormat="1">
      <c r="R1917" s="154"/>
      <c r="AB1917" s="124"/>
      <c r="AD1917" s="105" t="s">
        <v>2997</v>
      </c>
      <c r="AE1917" s="105" t="s">
        <v>817</v>
      </c>
    </row>
    <row r="1918" spans="18:31" s="105" customFormat="1">
      <c r="R1918" s="154"/>
      <c r="AB1918" s="124"/>
      <c r="AD1918" s="105" t="s">
        <v>2997</v>
      </c>
      <c r="AE1918" s="105" t="s">
        <v>818</v>
      </c>
    </row>
    <row r="1919" spans="18:31" s="105" customFormat="1">
      <c r="R1919" s="154"/>
      <c r="AB1919" s="124"/>
      <c r="AD1919" s="105" t="s">
        <v>2997</v>
      </c>
      <c r="AE1919" s="105" t="s">
        <v>819</v>
      </c>
    </row>
    <row r="1920" spans="18:31" s="105" customFormat="1">
      <c r="R1920" s="154"/>
      <c r="AB1920" s="124"/>
      <c r="AD1920" s="105" t="s">
        <v>2997</v>
      </c>
      <c r="AE1920" s="105" t="s">
        <v>820</v>
      </c>
    </row>
    <row r="1921" spans="18:31" s="105" customFormat="1">
      <c r="R1921" s="154"/>
      <c r="AB1921" s="124"/>
      <c r="AD1921" s="105" t="s">
        <v>2957</v>
      </c>
      <c r="AE1921" s="105" t="s">
        <v>821</v>
      </c>
    </row>
    <row r="1922" spans="18:31" s="105" customFormat="1">
      <c r="R1922" s="154"/>
      <c r="AB1922" s="124"/>
      <c r="AD1922" s="105" t="s">
        <v>2997</v>
      </c>
      <c r="AE1922" s="105" t="s">
        <v>822</v>
      </c>
    </row>
    <row r="1923" spans="18:31" s="105" customFormat="1">
      <c r="R1923" s="154"/>
      <c r="AB1923" s="124"/>
      <c r="AD1923" s="105" t="s">
        <v>2959</v>
      </c>
      <c r="AE1923" s="105" t="s">
        <v>823</v>
      </c>
    </row>
    <row r="1924" spans="18:31" s="105" customFormat="1">
      <c r="R1924" s="154"/>
      <c r="AB1924" s="124"/>
      <c r="AD1924" s="105" t="s">
        <v>2997</v>
      </c>
      <c r="AE1924" s="105" t="s">
        <v>824</v>
      </c>
    </row>
    <row r="1925" spans="18:31" s="105" customFormat="1">
      <c r="R1925" s="154"/>
      <c r="AB1925" s="124"/>
      <c r="AD1925" s="105" t="s">
        <v>2997</v>
      </c>
      <c r="AE1925" s="105" t="s">
        <v>825</v>
      </c>
    </row>
    <row r="1926" spans="18:31" s="105" customFormat="1">
      <c r="R1926" s="154"/>
      <c r="AB1926" s="124"/>
      <c r="AD1926" s="105" t="s">
        <v>2957</v>
      </c>
      <c r="AE1926" s="105" t="s">
        <v>826</v>
      </c>
    </row>
    <row r="1927" spans="18:31" s="105" customFormat="1">
      <c r="R1927" s="154"/>
      <c r="AB1927" s="124"/>
      <c r="AD1927" s="105" t="s">
        <v>2997</v>
      </c>
      <c r="AE1927" s="105" t="s">
        <v>827</v>
      </c>
    </row>
    <row r="1928" spans="18:31" s="105" customFormat="1">
      <c r="R1928" s="154"/>
      <c r="AB1928" s="124"/>
      <c r="AD1928" s="105" t="s">
        <v>2997</v>
      </c>
      <c r="AE1928" s="105" t="s">
        <v>1917</v>
      </c>
    </row>
    <row r="1929" spans="18:31" s="105" customFormat="1">
      <c r="R1929" s="154"/>
      <c r="AB1929" s="124"/>
      <c r="AD1929" s="105" t="s">
        <v>2997</v>
      </c>
      <c r="AE1929" s="105" t="s">
        <v>2670</v>
      </c>
    </row>
    <row r="1930" spans="18:31" s="105" customFormat="1">
      <c r="R1930" s="154"/>
      <c r="AB1930" s="124"/>
      <c r="AD1930" s="105" t="s">
        <v>2997</v>
      </c>
      <c r="AE1930" s="105" t="s">
        <v>1918</v>
      </c>
    </row>
    <row r="1931" spans="18:31" s="105" customFormat="1">
      <c r="R1931" s="154"/>
      <c r="AB1931" s="124"/>
      <c r="AD1931" s="105" t="s">
        <v>2958</v>
      </c>
      <c r="AE1931" s="105" t="s">
        <v>828</v>
      </c>
    </row>
    <row r="1932" spans="18:31" s="105" customFormat="1">
      <c r="R1932" s="154"/>
      <c r="AB1932" s="124"/>
      <c r="AD1932" s="105" t="s">
        <v>2958</v>
      </c>
      <c r="AE1932" s="105" t="s">
        <v>829</v>
      </c>
    </row>
    <row r="1933" spans="18:31" s="105" customFormat="1">
      <c r="R1933" s="154"/>
      <c r="AB1933" s="124"/>
      <c r="AD1933" s="105" t="s">
        <v>2958</v>
      </c>
      <c r="AE1933" s="105" t="s">
        <v>830</v>
      </c>
    </row>
    <row r="1934" spans="18:31" s="105" customFormat="1">
      <c r="R1934" s="154"/>
      <c r="AB1934" s="124"/>
      <c r="AD1934" s="105" t="s">
        <v>2958</v>
      </c>
      <c r="AE1934" s="105" t="s">
        <v>831</v>
      </c>
    </row>
    <row r="1935" spans="18:31" s="105" customFormat="1">
      <c r="R1935" s="154"/>
      <c r="AB1935" s="124"/>
      <c r="AD1935" s="105" t="s">
        <v>2958</v>
      </c>
      <c r="AE1935" s="105" t="s">
        <v>832</v>
      </c>
    </row>
    <row r="1936" spans="18:31" s="105" customFormat="1">
      <c r="R1936" s="154"/>
      <c r="AB1936" s="124"/>
      <c r="AD1936" s="105" t="s">
        <v>2958</v>
      </c>
      <c r="AE1936" s="105" t="s">
        <v>833</v>
      </c>
    </row>
    <row r="1937" spans="18:31" s="105" customFormat="1">
      <c r="R1937" s="154"/>
      <c r="AB1937" s="124"/>
      <c r="AD1937" s="105" t="s">
        <v>2958</v>
      </c>
      <c r="AE1937" s="105" t="s">
        <v>834</v>
      </c>
    </row>
    <row r="1938" spans="18:31" s="105" customFormat="1">
      <c r="R1938" s="154"/>
      <c r="AB1938" s="124"/>
      <c r="AD1938" s="105" t="s">
        <v>2956</v>
      </c>
      <c r="AE1938" s="105" t="s">
        <v>835</v>
      </c>
    </row>
    <row r="1939" spans="18:31" s="105" customFormat="1">
      <c r="R1939" s="154"/>
      <c r="AB1939" s="124"/>
      <c r="AD1939" s="105" t="s">
        <v>2958</v>
      </c>
      <c r="AE1939" s="105" t="s">
        <v>836</v>
      </c>
    </row>
    <row r="1940" spans="18:31" s="105" customFormat="1">
      <c r="R1940" s="154"/>
      <c r="AB1940" s="124"/>
      <c r="AD1940" s="105" t="s">
        <v>2958</v>
      </c>
      <c r="AE1940" s="105" t="s">
        <v>837</v>
      </c>
    </row>
    <row r="1941" spans="18:31" s="105" customFormat="1">
      <c r="R1941" s="154"/>
      <c r="AB1941" s="124"/>
      <c r="AD1941" s="105" t="s">
        <v>2958</v>
      </c>
      <c r="AE1941" s="105" t="s">
        <v>838</v>
      </c>
    </row>
    <row r="1942" spans="18:31" s="105" customFormat="1">
      <c r="R1942" s="154"/>
      <c r="AB1942" s="124"/>
      <c r="AD1942" s="105" t="s">
        <v>2958</v>
      </c>
      <c r="AE1942" s="105" t="s">
        <v>839</v>
      </c>
    </row>
    <row r="1943" spans="18:31" s="105" customFormat="1">
      <c r="R1943" s="154"/>
      <c r="AB1943" s="124"/>
      <c r="AD1943" s="105" t="s">
        <v>2958</v>
      </c>
      <c r="AE1943" s="105" t="s">
        <v>840</v>
      </c>
    </row>
    <row r="1944" spans="18:31" s="105" customFormat="1">
      <c r="R1944" s="154"/>
      <c r="AB1944" s="124"/>
      <c r="AD1944" s="105" t="s">
        <v>2958</v>
      </c>
      <c r="AE1944" s="105" t="s">
        <v>841</v>
      </c>
    </row>
    <row r="1945" spans="18:31" s="105" customFormat="1">
      <c r="R1945" s="154"/>
      <c r="AB1945" s="124"/>
      <c r="AD1945" s="105" t="s">
        <v>2958</v>
      </c>
      <c r="AE1945" s="105" t="s">
        <v>842</v>
      </c>
    </row>
    <row r="1946" spans="18:31" s="105" customFormat="1">
      <c r="R1946" s="154"/>
      <c r="AB1946" s="124"/>
      <c r="AD1946" s="105" t="s">
        <v>2958</v>
      </c>
      <c r="AE1946" s="105" t="s">
        <v>843</v>
      </c>
    </row>
    <row r="1947" spans="18:31" s="105" customFormat="1">
      <c r="R1947" s="154"/>
      <c r="AB1947" s="124"/>
      <c r="AD1947" s="105" t="s">
        <v>2958</v>
      </c>
      <c r="AE1947" s="105" t="s">
        <v>844</v>
      </c>
    </row>
    <row r="1948" spans="18:31" s="105" customFormat="1">
      <c r="R1948" s="154"/>
      <c r="AB1948" s="124"/>
      <c r="AD1948" s="105" t="s">
        <v>2958</v>
      </c>
      <c r="AE1948" s="105" t="s">
        <v>845</v>
      </c>
    </row>
    <row r="1949" spans="18:31" s="105" customFormat="1">
      <c r="R1949" s="154"/>
      <c r="AB1949" s="124"/>
      <c r="AD1949" s="105" t="s">
        <v>2958</v>
      </c>
      <c r="AE1949" s="105" t="s">
        <v>846</v>
      </c>
    </row>
    <row r="1950" spans="18:31" s="105" customFormat="1">
      <c r="R1950" s="154"/>
      <c r="AB1950" s="124"/>
      <c r="AD1950" s="105" t="s">
        <v>2958</v>
      </c>
      <c r="AE1950" s="105" t="s">
        <v>847</v>
      </c>
    </row>
    <row r="1951" spans="18:31" s="105" customFormat="1">
      <c r="R1951" s="154"/>
      <c r="AB1951" s="124"/>
      <c r="AD1951" s="105" t="s">
        <v>2958</v>
      </c>
      <c r="AE1951" s="105" t="s">
        <v>848</v>
      </c>
    </row>
    <row r="1952" spans="18:31" s="105" customFormat="1">
      <c r="R1952" s="154"/>
      <c r="AB1952" s="124"/>
      <c r="AD1952" s="105" t="s">
        <v>2958</v>
      </c>
      <c r="AE1952" s="105" t="s">
        <v>849</v>
      </c>
    </row>
    <row r="1953" spans="18:31" s="105" customFormat="1">
      <c r="R1953" s="154"/>
      <c r="AB1953" s="124"/>
      <c r="AD1953" s="105" t="s">
        <v>2958</v>
      </c>
      <c r="AE1953" s="105" t="s">
        <v>850</v>
      </c>
    </row>
    <row r="1954" spans="18:31" s="105" customFormat="1">
      <c r="R1954" s="154"/>
      <c r="AB1954" s="124"/>
      <c r="AD1954" s="105" t="s">
        <v>2958</v>
      </c>
      <c r="AE1954" s="105" t="s">
        <v>851</v>
      </c>
    </row>
    <row r="1955" spans="18:31" s="105" customFormat="1">
      <c r="R1955" s="154"/>
      <c r="AB1955" s="124"/>
      <c r="AD1955" s="105" t="s">
        <v>2957</v>
      </c>
      <c r="AE1955" s="105" t="s">
        <v>852</v>
      </c>
    </row>
    <row r="1956" spans="18:31" s="105" customFormat="1">
      <c r="R1956" s="154"/>
      <c r="AB1956" s="124"/>
      <c r="AD1956" s="105" t="s">
        <v>2997</v>
      </c>
      <c r="AE1956" s="105" t="s">
        <v>853</v>
      </c>
    </row>
    <row r="1957" spans="18:31" s="105" customFormat="1">
      <c r="R1957" s="154"/>
      <c r="AB1957" s="124"/>
      <c r="AD1957" s="105" t="s">
        <v>2957</v>
      </c>
      <c r="AE1957" s="105" t="s">
        <v>854</v>
      </c>
    </row>
    <row r="1958" spans="18:31" s="105" customFormat="1">
      <c r="R1958" s="154"/>
      <c r="AB1958" s="124"/>
      <c r="AD1958" s="105" t="s">
        <v>2958</v>
      </c>
      <c r="AE1958" s="105" t="s">
        <v>855</v>
      </c>
    </row>
    <row r="1959" spans="18:31" s="105" customFormat="1">
      <c r="R1959" s="154"/>
      <c r="AB1959" s="124"/>
      <c r="AD1959" s="105" t="s">
        <v>2958</v>
      </c>
      <c r="AE1959" s="105" t="s">
        <v>1919</v>
      </c>
    </row>
    <row r="1960" spans="18:31" s="105" customFormat="1">
      <c r="R1960" s="154"/>
      <c r="AB1960" s="124"/>
      <c r="AD1960" s="105" t="s">
        <v>2958</v>
      </c>
      <c r="AE1960" s="105" t="s">
        <v>856</v>
      </c>
    </row>
    <row r="1961" spans="18:31" s="105" customFormat="1">
      <c r="R1961" s="154"/>
      <c r="AB1961" s="124"/>
      <c r="AD1961" s="105" t="s">
        <v>2997</v>
      </c>
      <c r="AE1961" s="105" t="s">
        <v>857</v>
      </c>
    </row>
    <row r="1962" spans="18:31" s="105" customFormat="1">
      <c r="R1962" s="154"/>
      <c r="AB1962" s="124"/>
      <c r="AD1962" s="105" t="s">
        <v>2997</v>
      </c>
      <c r="AE1962" s="105" t="s">
        <v>2672</v>
      </c>
    </row>
    <row r="1963" spans="18:31" s="105" customFormat="1">
      <c r="R1963" s="154"/>
      <c r="AB1963" s="124"/>
      <c r="AD1963" s="105" t="s">
        <v>2997</v>
      </c>
      <c r="AE1963" s="105" t="s">
        <v>858</v>
      </c>
    </row>
    <row r="1964" spans="18:31" s="105" customFormat="1">
      <c r="R1964" s="154"/>
      <c r="AB1964" s="124"/>
      <c r="AD1964" s="105" t="s">
        <v>2997</v>
      </c>
      <c r="AE1964" s="105" t="s">
        <v>859</v>
      </c>
    </row>
    <row r="1965" spans="18:31" s="105" customFormat="1">
      <c r="R1965" s="154"/>
      <c r="AB1965" s="124"/>
      <c r="AD1965" s="105" t="s">
        <v>2957</v>
      </c>
      <c r="AE1965" s="105" t="s">
        <v>860</v>
      </c>
    </row>
    <row r="1966" spans="18:31" s="105" customFormat="1">
      <c r="R1966" s="154"/>
      <c r="AB1966" s="124"/>
      <c r="AD1966" s="105" t="s">
        <v>2997</v>
      </c>
      <c r="AE1966" s="105" t="s">
        <v>2673</v>
      </c>
    </row>
    <row r="1967" spans="18:31" s="105" customFormat="1">
      <c r="R1967" s="154"/>
      <c r="AB1967" s="124"/>
      <c r="AD1967" s="105" t="s">
        <v>2997</v>
      </c>
      <c r="AE1967" s="105" t="s">
        <v>1920</v>
      </c>
    </row>
    <row r="1968" spans="18:31" s="105" customFormat="1">
      <c r="R1968" s="154"/>
      <c r="AB1968" s="124"/>
      <c r="AD1968" s="105" t="s">
        <v>2997</v>
      </c>
      <c r="AE1968" s="105" t="s">
        <v>861</v>
      </c>
    </row>
    <row r="1969" spans="18:31" s="105" customFormat="1">
      <c r="R1969" s="154"/>
      <c r="AB1969" s="124"/>
      <c r="AD1969" s="105" t="s">
        <v>2997</v>
      </c>
      <c r="AE1969" s="105" t="s">
        <v>2311</v>
      </c>
    </row>
    <row r="1970" spans="18:31" s="105" customFormat="1">
      <c r="R1970" s="154"/>
      <c r="AB1970" s="124"/>
      <c r="AD1970" s="105" t="s">
        <v>2547</v>
      </c>
      <c r="AE1970" s="105" t="s">
        <v>862</v>
      </c>
    </row>
    <row r="1971" spans="18:31" s="105" customFormat="1">
      <c r="R1971" s="154"/>
      <c r="AB1971" s="124"/>
      <c r="AD1971" s="105" t="s">
        <v>2998</v>
      </c>
      <c r="AE1971" s="105" t="s">
        <v>863</v>
      </c>
    </row>
    <row r="1972" spans="18:31" s="105" customFormat="1">
      <c r="R1972" s="154"/>
      <c r="AB1972" s="124"/>
      <c r="AD1972" s="105" t="s">
        <v>2998</v>
      </c>
      <c r="AE1972" s="105" t="s">
        <v>864</v>
      </c>
    </row>
    <row r="1973" spans="18:31" s="105" customFormat="1">
      <c r="R1973" s="154"/>
      <c r="AB1973" s="124"/>
      <c r="AD1973" s="105" t="s">
        <v>2965</v>
      </c>
      <c r="AE1973" s="105" t="s">
        <v>865</v>
      </c>
    </row>
    <row r="1974" spans="18:31" s="105" customFormat="1">
      <c r="R1974" s="154"/>
      <c r="AB1974" s="124"/>
      <c r="AD1974" s="105" t="s">
        <v>2965</v>
      </c>
      <c r="AE1974" s="105" t="s">
        <v>866</v>
      </c>
    </row>
    <row r="1975" spans="18:31" s="105" customFormat="1">
      <c r="R1975" s="154"/>
      <c r="AB1975" s="124"/>
      <c r="AD1975" s="105" t="s">
        <v>2998</v>
      </c>
      <c r="AE1975" s="105" t="s">
        <v>867</v>
      </c>
    </row>
    <row r="1976" spans="18:31" s="105" customFormat="1">
      <c r="R1976" s="154"/>
      <c r="AB1976" s="124"/>
      <c r="AD1976" s="105" t="s">
        <v>2998</v>
      </c>
      <c r="AE1976" s="105" t="s">
        <v>868</v>
      </c>
    </row>
    <row r="1977" spans="18:31" s="105" customFormat="1">
      <c r="R1977" s="154"/>
      <c r="AB1977" s="124"/>
      <c r="AD1977" s="105" t="s">
        <v>2998</v>
      </c>
      <c r="AE1977" s="105" t="s">
        <v>869</v>
      </c>
    </row>
    <row r="1978" spans="18:31" s="105" customFormat="1">
      <c r="R1978" s="154"/>
      <c r="AB1978" s="124"/>
      <c r="AD1978" s="105" t="s">
        <v>2998</v>
      </c>
      <c r="AE1978" s="105" t="s">
        <v>2269</v>
      </c>
    </row>
    <row r="1979" spans="18:31" s="105" customFormat="1">
      <c r="R1979" s="154"/>
      <c r="AB1979" s="124"/>
      <c r="AD1979" s="105" t="s">
        <v>2998</v>
      </c>
      <c r="AE1979" s="105" t="s">
        <v>870</v>
      </c>
    </row>
    <row r="1980" spans="18:31" s="105" customFormat="1">
      <c r="R1980" s="154"/>
      <c r="AB1980" s="124"/>
      <c r="AD1980" s="105" t="s">
        <v>2962</v>
      </c>
      <c r="AE1980" s="105" t="s">
        <v>871</v>
      </c>
    </row>
    <row r="1981" spans="18:31" s="105" customFormat="1">
      <c r="R1981" s="154"/>
      <c r="AB1981" s="124"/>
      <c r="AD1981" s="105" t="s">
        <v>2998</v>
      </c>
      <c r="AE1981" s="105" t="s">
        <v>872</v>
      </c>
    </row>
    <row r="1982" spans="18:31" s="105" customFormat="1">
      <c r="R1982" s="154"/>
      <c r="AB1982" s="124"/>
      <c r="AD1982" s="105" t="s">
        <v>2998</v>
      </c>
      <c r="AE1982" s="105" t="s">
        <v>873</v>
      </c>
    </row>
    <row r="1983" spans="18:31" s="105" customFormat="1">
      <c r="R1983" s="154"/>
      <c r="AB1983" s="124"/>
      <c r="AD1983" s="105" t="s">
        <v>2998</v>
      </c>
      <c r="AE1983" s="105" t="s">
        <v>874</v>
      </c>
    </row>
    <row r="1984" spans="18:31" s="105" customFormat="1">
      <c r="R1984" s="154"/>
      <c r="AB1984" s="124"/>
      <c r="AD1984" s="105" t="s">
        <v>2998</v>
      </c>
      <c r="AE1984" s="105" t="s">
        <v>875</v>
      </c>
    </row>
    <row r="1985" spans="18:31" s="105" customFormat="1">
      <c r="R1985" s="154"/>
      <c r="AB1985" s="124"/>
      <c r="AD1985" s="105" t="s">
        <v>2998</v>
      </c>
      <c r="AE1985" s="105" t="s">
        <v>876</v>
      </c>
    </row>
    <row r="1986" spans="18:31" s="105" customFormat="1">
      <c r="R1986" s="154"/>
      <c r="AB1986" s="124"/>
      <c r="AD1986" s="105" t="s">
        <v>2962</v>
      </c>
      <c r="AE1986" s="105" t="s">
        <v>877</v>
      </c>
    </row>
    <row r="1987" spans="18:31" s="105" customFormat="1">
      <c r="R1987" s="154"/>
      <c r="AB1987" s="124"/>
      <c r="AD1987" s="105" t="s">
        <v>2998</v>
      </c>
      <c r="AE1987" s="105" t="s">
        <v>878</v>
      </c>
    </row>
    <row r="1988" spans="18:31" s="105" customFormat="1">
      <c r="R1988" s="154"/>
      <c r="AB1988" s="124"/>
      <c r="AD1988" s="105" t="s">
        <v>2964</v>
      </c>
      <c r="AE1988" s="105" t="s">
        <v>879</v>
      </c>
    </row>
    <row r="1989" spans="18:31" s="105" customFormat="1">
      <c r="R1989" s="154"/>
      <c r="AB1989" s="124"/>
      <c r="AD1989" s="105" t="s">
        <v>2998</v>
      </c>
      <c r="AE1989" s="105" t="s">
        <v>880</v>
      </c>
    </row>
    <row r="1990" spans="18:31" s="105" customFormat="1">
      <c r="R1990" s="154"/>
      <c r="AB1990" s="124"/>
      <c r="AD1990" s="105" t="s">
        <v>2998</v>
      </c>
      <c r="AE1990" s="105" t="s">
        <v>881</v>
      </c>
    </row>
    <row r="1991" spans="18:31" s="105" customFormat="1">
      <c r="R1991" s="154"/>
      <c r="AB1991" s="124"/>
      <c r="AD1991" s="105" t="s">
        <v>2962</v>
      </c>
      <c r="AE1991" s="105" t="s">
        <v>882</v>
      </c>
    </row>
    <row r="1992" spans="18:31" s="105" customFormat="1">
      <c r="R1992" s="154"/>
      <c r="AB1992" s="124"/>
      <c r="AD1992" s="105" t="s">
        <v>2998</v>
      </c>
      <c r="AE1992" s="105" t="s">
        <v>883</v>
      </c>
    </row>
    <row r="1993" spans="18:31" s="105" customFormat="1">
      <c r="R1993" s="154"/>
      <c r="AB1993" s="124"/>
      <c r="AD1993" s="115" t="s">
        <v>2998</v>
      </c>
      <c r="AE1993" s="115" t="s">
        <v>1921</v>
      </c>
    </row>
    <row r="1994" spans="18:31" s="105" customFormat="1">
      <c r="R1994" s="154"/>
      <c r="AB1994" s="124"/>
      <c r="AD1994" s="115" t="s">
        <v>2998</v>
      </c>
      <c r="AE1994" s="115" t="s">
        <v>2688</v>
      </c>
    </row>
    <row r="1995" spans="18:31" s="105" customFormat="1">
      <c r="R1995" s="154"/>
      <c r="AB1995" s="124"/>
      <c r="AD1995" s="115" t="s">
        <v>2998</v>
      </c>
      <c r="AE1995" s="115" t="s">
        <v>1922</v>
      </c>
    </row>
    <row r="1996" spans="18:31" s="105" customFormat="1">
      <c r="R1996" s="154"/>
      <c r="AB1996" s="124"/>
      <c r="AD1996" s="115" t="s">
        <v>2963</v>
      </c>
      <c r="AE1996" s="115" t="s">
        <v>884</v>
      </c>
    </row>
    <row r="1997" spans="18:31" s="105" customFormat="1">
      <c r="R1997" s="154"/>
      <c r="AB1997" s="124"/>
      <c r="AD1997" s="115" t="s">
        <v>2963</v>
      </c>
      <c r="AE1997" s="115" t="s">
        <v>885</v>
      </c>
    </row>
    <row r="1998" spans="18:31" s="105" customFormat="1">
      <c r="R1998" s="154"/>
      <c r="AB1998" s="124"/>
      <c r="AD1998" s="115" t="s">
        <v>2963</v>
      </c>
      <c r="AE1998" s="115" t="s">
        <v>886</v>
      </c>
    </row>
    <row r="1999" spans="18:31" s="105" customFormat="1">
      <c r="R1999" s="154"/>
      <c r="AB1999" s="124"/>
      <c r="AD1999" s="115" t="s">
        <v>2963</v>
      </c>
      <c r="AE1999" s="115" t="s">
        <v>887</v>
      </c>
    </row>
    <row r="2000" spans="18:31" s="105" customFormat="1">
      <c r="R2000" s="154"/>
      <c r="AB2000" s="124"/>
      <c r="AD2000" s="115" t="s">
        <v>2963</v>
      </c>
      <c r="AE2000" s="115" t="s">
        <v>888</v>
      </c>
    </row>
    <row r="2001" spans="18:31" s="105" customFormat="1">
      <c r="R2001" s="154"/>
      <c r="AB2001" s="124"/>
      <c r="AD2001" s="115" t="s">
        <v>2963</v>
      </c>
      <c r="AE2001" s="115" t="s">
        <v>889</v>
      </c>
    </row>
    <row r="2002" spans="18:31" s="105" customFormat="1">
      <c r="R2002" s="154"/>
      <c r="AB2002" s="124"/>
      <c r="AD2002" s="115" t="s">
        <v>2963</v>
      </c>
      <c r="AE2002" s="115" t="s">
        <v>890</v>
      </c>
    </row>
    <row r="2003" spans="18:31" s="105" customFormat="1">
      <c r="R2003" s="154"/>
      <c r="AB2003" s="124"/>
      <c r="AD2003" s="115" t="s">
        <v>2961</v>
      </c>
      <c r="AE2003" s="115" t="s">
        <v>891</v>
      </c>
    </row>
    <row r="2004" spans="18:31" s="105" customFormat="1">
      <c r="R2004" s="154"/>
      <c r="AB2004" s="124"/>
      <c r="AD2004" s="105" t="s">
        <v>2963</v>
      </c>
      <c r="AE2004" s="105" t="s">
        <v>892</v>
      </c>
    </row>
    <row r="2005" spans="18:31" s="105" customFormat="1">
      <c r="R2005" s="154"/>
      <c r="AB2005" s="124"/>
      <c r="AD2005" s="105" t="s">
        <v>2963</v>
      </c>
      <c r="AE2005" s="105" t="s">
        <v>893</v>
      </c>
    </row>
    <row r="2006" spans="18:31" s="105" customFormat="1">
      <c r="R2006" s="154"/>
      <c r="AB2006" s="124"/>
      <c r="AD2006" s="105" t="s">
        <v>2963</v>
      </c>
      <c r="AE2006" s="105" t="s">
        <v>894</v>
      </c>
    </row>
    <row r="2007" spans="18:31" s="105" customFormat="1">
      <c r="R2007" s="154"/>
      <c r="AB2007" s="124"/>
      <c r="AD2007" s="105" t="s">
        <v>2963</v>
      </c>
      <c r="AE2007" s="105" t="s">
        <v>895</v>
      </c>
    </row>
    <row r="2008" spans="18:31" s="105" customFormat="1">
      <c r="R2008" s="154"/>
      <c r="AB2008" s="124"/>
      <c r="AD2008" s="105" t="s">
        <v>2963</v>
      </c>
      <c r="AE2008" s="105" t="s">
        <v>896</v>
      </c>
    </row>
    <row r="2009" spans="18:31" s="105" customFormat="1">
      <c r="R2009" s="154"/>
      <c r="AB2009" s="124"/>
      <c r="AD2009" s="105" t="s">
        <v>2963</v>
      </c>
      <c r="AE2009" s="105" t="s">
        <v>897</v>
      </c>
    </row>
    <row r="2010" spans="18:31" s="105" customFormat="1">
      <c r="R2010" s="154"/>
      <c r="AB2010" s="124"/>
      <c r="AD2010" s="105" t="s">
        <v>2963</v>
      </c>
      <c r="AE2010" s="105" t="s">
        <v>898</v>
      </c>
    </row>
    <row r="2011" spans="18:31" s="105" customFormat="1">
      <c r="R2011" s="154"/>
      <c r="AB2011" s="124"/>
      <c r="AD2011" s="105" t="s">
        <v>2963</v>
      </c>
      <c r="AE2011" s="105" t="s">
        <v>899</v>
      </c>
    </row>
    <row r="2012" spans="18:31" s="105" customFormat="1">
      <c r="R2012" s="154"/>
      <c r="AB2012" s="124"/>
      <c r="AD2012" s="105" t="s">
        <v>2963</v>
      </c>
      <c r="AE2012" s="105" t="s">
        <v>900</v>
      </c>
    </row>
    <row r="2013" spans="18:31" s="105" customFormat="1">
      <c r="R2013" s="154"/>
      <c r="AB2013" s="124"/>
      <c r="AD2013" s="105" t="s">
        <v>2963</v>
      </c>
      <c r="AE2013" s="105" t="s">
        <v>901</v>
      </c>
    </row>
    <row r="2014" spans="18:31" s="105" customFormat="1">
      <c r="R2014" s="154"/>
      <c r="AB2014" s="124"/>
      <c r="AD2014" s="105" t="s">
        <v>2963</v>
      </c>
      <c r="AE2014" s="105" t="s">
        <v>902</v>
      </c>
    </row>
    <row r="2015" spans="18:31" s="105" customFormat="1">
      <c r="R2015" s="154"/>
      <c r="AB2015" s="124"/>
      <c r="AD2015" s="105" t="s">
        <v>2963</v>
      </c>
      <c r="AE2015" s="105" t="s">
        <v>903</v>
      </c>
    </row>
    <row r="2016" spans="18:31" s="105" customFormat="1">
      <c r="R2016" s="154"/>
      <c r="AB2016" s="124"/>
      <c r="AD2016" s="105" t="s">
        <v>2963</v>
      </c>
      <c r="AE2016" s="105" t="s">
        <v>904</v>
      </c>
    </row>
    <row r="2017" spans="18:31" s="105" customFormat="1">
      <c r="R2017" s="154"/>
      <c r="AB2017" s="124"/>
      <c r="AD2017" s="105" t="s">
        <v>2963</v>
      </c>
      <c r="AE2017" s="105" t="s">
        <v>905</v>
      </c>
    </row>
    <row r="2018" spans="18:31" s="105" customFormat="1">
      <c r="R2018" s="154"/>
      <c r="AB2018" s="124"/>
      <c r="AD2018" s="105" t="s">
        <v>2963</v>
      </c>
      <c r="AE2018" s="105" t="s">
        <v>906</v>
      </c>
    </row>
    <row r="2019" spans="18:31" s="105" customFormat="1">
      <c r="R2019" s="154"/>
      <c r="AB2019" s="124"/>
      <c r="AD2019" s="105" t="s">
        <v>2963</v>
      </c>
      <c r="AE2019" s="105" t="s">
        <v>907</v>
      </c>
    </row>
    <row r="2020" spans="18:31" s="105" customFormat="1">
      <c r="R2020" s="154"/>
      <c r="AB2020" s="124"/>
      <c r="AD2020" s="105" t="s">
        <v>2962</v>
      </c>
      <c r="AE2020" s="105" t="s">
        <v>908</v>
      </c>
    </row>
    <row r="2021" spans="18:31" s="105" customFormat="1">
      <c r="R2021" s="154"/>
      <c r="AB2021" s="124"/>
      <c r="AD2021" s="105" t="s">
        <v>2998</v>
      </c>
      <c r="AE2021" s="105" t="s">
        <v>909</v>
      </c>
    </row>
    <row r="2022" spans="18:31" s="105" customFormat="1">
      <c r="R2022" s="154"/>
      <c r="AB2022" s="124"/>
      <c r="AD2022" s="105" t="s">
        <v>2962</v>
      </c>
      <c r="AE2022" s="105" t="s">
        <v>910</v>
      </c>
    </row>
    <row r="2023" spans="18:31" s="105" customFormat="1">
      <c r="R2023" s="154"/>
      <c r="AB2023" s="124"/>
      <c r="AD2023" s="105" t="s">
        <v>2963</v>
      </c>
      <c r="AE2023" s="105" t="s">
        <v>911</v>
      </c>
    </row>
    <row r="2024" spans="18:31" s="105" customFormat="1">
      <c r="R2024" s="154"/>
      <c r="AB2024" s="124"/>
      <c r="AD2024" s="105" t="s">
        <v>2963</v>
      </c>
      <c r="AE2024" s="105" t="s">
        <v>1923</v>
      </c>
    </row>
    <row r="2025" spans="18:31" s="105" customFormat="1">
      <c r="R2025" s="154"/>
      <c r="AB2025" s="124"/>
      <c r="AD2025" s="105" t="s">
        <v>2963</v>
      </c>
      <c r="AE2025" s="105" t="s">
        <v>912</v>
      </c>
    </row>
    <row r="2026" spans="18:31" s="105" customFormat="1">
      <c r="R2026" s="154"/>
      <c r="AB2026" s="124"/>
      <c r="AD2026" s="105" t="s">
        <v>2998</v>
      </c>
      <c r="AE2026" s="105" t="s">
        <v>913</v>
      </c>
    </row>
    <row r="2027" spans="18:31" s="105" customFormat="1">
      <c r="R2027" s="154"/>
      <c r="AB2027" s="124"/>
      <c r="AD2027" s="105" t="s">
        <v>2998</v>
      </c>
      <c r="AE2027" s="105" t="s">
        <v>2690</v>
      </c>
    </row>
    <row r="2028" spans="18:31" s="105" customFormat="1">
      <c r="R2028" s="154"/>
      <c r="AB2028" s="124"/>
      <c r="AD2028" s="105" t="s">
        <v>2998</v>
      </c>
      <c r="AE2028" s="105" t="s">
        <v>914</v>
      </c>
    </row>
    <row r="2029" spans="18:31" s="105" customFormat="1">
      <c r="R2029" s="154"/>
      <c r="AB2029" s="124"/>
      <c r="AD2029" s="105" t="s">
        <v>2998</v>
      </c>
      <c r="AE2029" s="105" t="s">
        <v>915</v>
      </c>
    </row>
    <row r="2030" spans="18:31" s="105" customFormat="1">
      <c r="R2030" s="154"/>
      <c r="AB2030" s="124"/>
      <c r="AD2030" s="105" t="s">
        <v>2962</v>
      </c>
      <c r="AE2030" s="105" t="s">
        <v>916</v>
      </c>
    </row>
    <row r="2031" spans="18:31" s="105" customFormat="1">
      <c r="R2031" s="154"/>
      <c r="AB2031" s="124"/>
      <c r="AD2031" s="105" t="s">
        <v>2998</v>
      </c>
      <c r="AE2031" s="105" t="s">
        <v>2691</v>
      </c>
    </row>
    <row r="2032" spans="18:31" s="105" customFormat="1">
      <c r="R2032" s="154"/>
      <c r="AB2032" s="124"/>
      <c r="AD2032" s="105" t="s">
        <v>2998</v>
      </c>
      <c r="AE2032" s="105" t="s">
        <v>1924</v>
      </c>
    </row>
    <row r="2033" spans="18:31" s="105" customFormat="1">
      <c r="R2033" s="154"/>
      <c r="AB2033" s="124"/>
      <c r="AD2033" s="105" t="s">
        <v>2998</v>
      </c>
      <c r="AE2033" s="105" t="s">
        <v>917</v>
      </c>
    </row>
    <row r="2034" spans="18:31" s="105" customFormat="1">
      <c r="R2034" s="154"/>
      <c r="AB2034" s="124"/>
      <c r="AD2034" s="105" t="s">
        <v>2998</v>
      </c>
      <c r="AE2034" s="105" t="s">
        <v>2314</v>
      </c>
    </row>
    <row r="2035" spans="18:31" s="105" customFormat="1">
      <c r="R2035" s="154"/>
      <c r="AB2035" s="124"/>
      <c r="AD2035" s="105" t="s">
        <v>2548</v>
      </c>
      <c r="AE2035" s="105" t="s">
        <v>918</v>
      </c>
    </row>
    <row r="2036" spans="18:31" s="105" customFormat="1">
      <c r="R2036" s="154"/>
      <c r="AB2036" s="124"/>
      <c r="AD2036" s="105" t="s">
        <v>2999</v>
      </c>
      <c r="AE2036" s="105" t="s">
        <v>2170</v>
      </c>
    </row>
    <row r="2037" spans="18:31" s="105" customFormat="1">
      <c r="R2037" s="154"/>
      <c r="AB2037" s="124"/>
      <c r="AD2037" s="105" t="s">
        <v>2999</v>
      </c>
      <c r="AE2037" s="105" t="s">
        <v>2171</v>
      </c>
    </row>
    <row r="2038" spans="18:31" s="105" customFormat="1">
      <c r="R2038" s="154"/>
      <c r="AB2038" s="124"/>
      <c r="AD2038" s="105" t="s">
        <v>2970</v>
      </c>
      <c r="AE2038" s="105" t="s">
        <v>2172</v>
      </c>
    </row>
    <row r="2039" spans="18:31" s="105" customFormat="1">
      <c r="R2039" s="154"/>
      <c r="AB2039" s="124"/>
      <c r="AD2039" s="105" t="s">
        <v>2970</v>
      </c>
      <c r="AE2039" s="105" t="s">
        <v>2173</v>
      </c>
    </row>
    <row r="2040" spans="18:31" s="105" customFormat="1">
      <c r="R2040" s="154"/>
      <c r="AB2040" s="124"/>
      <c r="AD2040" s="105" t="s">
        <v>2999</v>
      </c>
      <c r="AE2040" s="105" t="s">
        <v>2174</v>
      </c>
    </row>
    <row r="2041" spans="18:31" s="105" customFormat="1">
      <c r="R2041" s="154"/>
      <c r="AB2041" s="124"/>
      <c r="AD2041" s="105" t="s">
        <v>2999</v>
      </c>
      <c r="AE2041" s="105" t="s">
        <v>2175</v>
      </c>
    </row>
    <row r="2042" spans="18:31" s="105" customFormat="1">
      <c r="R2042" s="154"/>
      <c r="AB2042" s="124"/>
      <c r="AD2042" s="105" t="s">
        <v>2999</v>
      </c>
      <c r="AE2042" s="105" t="s">
        <v>2176</v>
      </c>
    </row>
    <row r="2043" spans="18:31" s="105" customFormat="1">
      <c r="R2043" s="154"/>
      <c r="AB2043" s="124"/>
      <c r="AD2043" s="105" t="s">
        <v>2999</v>
      </c>
      <c r="AE2043" s="105" t="s">
        <v>2270</v>
      </c>
    </row>
    <row r="2044" spans="18:31" s="105" customFormat="1">
      <c r="R2044" s="154"/>
      <c r="AB2044" s="124"/>
      <c r="AD2044" s="105" t="s">
        <v>2999</v>
      </c>
      <c r="AE2044" s="105" t="s">
        <v>2177</v>
      </c>
    </row>
    <row r="2045" spans="18:31" s="105" customFormat="1">
      <c r="R2045" s="154"/>
      <c r="AB2045" s="124"/>
      <c r="AD2045" s="105" t="s">
        <v>2967</v>
      </c>
      <c r="AE2045" s="105" t="s">
        <v>2178</v>
      </c>
    </row>
    <row r="2046" spans="18:31" s="105" customFormat="1">
      <c r="R2046" s="154"/>
      <c r="AB2046" s="124"/>
      <c r="AD2046" s="105" t="s">
        <v>2999</v>
      </c>
      <c r="AE2046" s="105" t="s">
        <v>2179</v>
      </c>
    </row>
    <row r="2047" spans="18:31" s="105" customFormat="1">
      <c r="R2047" s="154"/>
      <c r="AB2047" s="124"/>
      <c r="AD2047" s="105" t="s">
        <v>2999</v>
      </c>
      <c r="AE2047" s="105" t="s">
        <v>2180</v>
      </c>
    </row>
    <row r="2048" spans="18:31" s="105" customFormat="1">
      <c r="R2048" s="154"/>
      <c r="AB2048" s="124"/>
      <c r="AD2048" s="105" t="s">
        <v>2999</v>
      </c>
      <c r="AE2048" s="105" t="s">
        <v>2181</v>
      </c>
    </row>
    <row r="2049" spans="18:31" s="105" customFormat="1">
      <c r="R2049" s="154"/>
      <c r="AB2049" s="124"/>
      <c r="AD2049" s="105" t="s">
        <v>2999</v>
      </c>
      <c r="AE2049" s="105" t="s">
        <v>2182</v>
      </c>
    </row>
    <row r="2050" spans="18:31" s="105" customFormat="1">
      <c r="R2050" s="154"/>
      <c r="AB2050" s="124"/>
      <c r="AD2050" s="105" t="s">
        <v>2999</v>
      </c>
      <c r="AE2050" s="105" t="s">
        <v>2183</v>
      </c>
    </row>
    <row r="2051" spans="18:31" s="105" customFormat="1">
      <c r="R2051" s="154"/>
      <c r="AB2051" s="124"/>
      <c r="AD2051" s="105" t="s">
        <v>2967</v>
      </c>
      <c r="AE2051" s="105" t="s">
        <v>2184</v>
      </c>
    </row>
    <row r="2052" spans="18:31" s="105" customFormat="1">
      <c r="R2052" s="154"/>
      <c r="AB2052" s="124"/>
      <c r="AD2052" s="105" t="s">
        <v>2999</v>
      </c>
      <c r="AE2052" s="105" t="s">
        <v>2185</v>
      </c>
    </row>
    <row r="2053" spans="18:31" s="105" customFormat="1">
      <c r="R2053" s="154"/>
      <c r="AB2053" s="124"/>
      <c r="AD2053" s="105" t="s">
        <v>2969</v>
      </c>
      <c r="AE2053" s="105" t="s">
        <v>2186</v>
      </c>
    </row>
    <row r="2054" spans="18:31" s="105" customFormat="1">
      <c r="R2054" s="154"/>
      <c r="AB2054" s="124"/>
      <c r="AD2054" s="105" t="s">
        <v>2999</v>
      </c>
      <c r="AE2054" s="105" t="s">
        <v>2187</v>
      </c>
    </row>
    <row r="2055" spans="18:31" s="105" customFormat="1">
      <c r="R2055" s="154"/>
      <c r="AB2055" s="124"/>
      <c r="AD2055" s="105" t="s">
        <v>2999</v>
      </c>
      <c r="AE2055" s="105" t="s">
        <v>2188</v>
      </c>
    </row>
    <row r="2056" spans="18:31" s="105" customFormat="1">
      <c r="R2056" s="154"/>
      <c r="AB2056" s="124"/>
      <c r="AD2056" s="105" t="s">
        <v>2967</v>
      </c>
      <c r="AE2056" s="105" t="s">
        <v>2189</v>
      </c>
    </row>
    <row r="2057" spans="18:31" s="105" customFormat="1">
      <c r="R2057" s="154"/>
      <c r="AB2057" s="124"/>
      <c r="AD2057" s="105" t="s">
        <v>2999</v>
      </c>
      <c r="AE2057" s="105" t="s">
        <v>2190</v>
      </c>
    </row>
    <row r="2058" spans="18:31" s="105" customFormat="1">
      <c r="R2058" s="154"/>
      <c r="AB2058" s="124"/>
      <c r="AD2058" s="105" t="s">
        <v>2999</v>
      </c>
      <c r="AE2058" s="105" t="s">
        <v>2191</v>
      </c>
    </row>
    <row r="2059" spans="18:31" s="105" customFormat="1">
      <c r="R2059" s="154"/>
      <c r="AB2059" s="124"/>
      <c r="AD2059" s="105" t="s">
        <v>2999</v>
      </c>
      <c r="AE2059" s="105" t="s">
        <v>2694</v>
      </c>
    </row>
    <row r="2060" spans="18:31" s="105" customFormat="1">
      <c r="R2060" s="154"/>
      <c r="AB2060" s="124"/>
      <c r="AD2060" s="105" t="s">
        <v>2999</v>
      </c>
      <c r="AE2060" s="105" t="s">
        <v>2192</v>
      </c>
    </row>
    <row r="2061" spans="18:31" s="105" customFormat="1">
      <c r="R2061" s="154"/>
      <c r="AB2061" s="124"/>
      <c r="AD2061" s="105" t="s">
        <v>2968</v>
      </c>
      <c r="AE2061" s="105" t="s">
        <v>2193</v>
      </c>
    </row>
    <row r="2062" spans="18:31" s="105" customFormat="1">
      <c r="R2062" s="154"/>
      <c r="AB2062" s="124"/>
      <c r="AD2062" s="105" t="s">
        <v>2968</v>
      </c>
      <c r="AE2062" s="105" t="s">
        <v>2194</v>
      </c>
    </row>
    <row r="2063" spans="18:31" s="105" customFormat="1">
      <c r="R2063" s="154"/>
      <c r="AB2063" s="124"/>
      <c r="AD2063" s="105" t="s">
        <v>2968</v>
      </c>
      <c r="AE2063" s="105" t="s">
        <v>2195</v>
      </c>
    </row>
    <row r="2064" spans="18:31" s="105" customFormat="1">
      <c r="R2064" s="154"/>
      <c r="AB2064" s="124"/>
      <c r="AD2064" s="105" t="s">
        <v>2968</v>
      </c>
      <c r="AE2064" s="105" t="s">
        <v>2196</v>
      </c>
    </row>
    <row r="2065" spans="18:31" s="105" customFormat="1">
      <c r="R2065" s="154"/>
      <c r="AB2065" s="124"/>
      <c r="AD2065" s="105" t="s">
        <v>2968</v>
      </c>
      <c r="AE2065" s="105" t="s">
        <v>2197</v>
      </c>
    </row>
    <row r="2066" spans="18:31" s="105" customFormat="1">
      <c r="R2066" s="154"/>
      <c r="AB2066" s="124"/>
      <c r="AD2066" s="105" t="s">
        <v>2968</v>
      </c>
      <c r="AE2066" s="105" t="s">
        <v>2198</v>
      </c>
    </row>
    <row r="2067" spans="18:31" s="105" customFormat="1">
      <c r="R2067" s="154"/>
      <c r="AB2067" s="124"/>
      <c r="AD2067" s="105" t="s">
        <v>2968</v>
      </c>
      <c r="AE2067" s="105" t="s">
        <v>2199</v>
      </c>
    </row>
    <row r="2068" spans="18:31" s="105" customFormat="1">
      <c r="R2068" s="154"/>
      <c r="AB2068" s="124"/>
      <c r="AD2068" s="105" t="s">
        <v>2966</v>
      </c>
      <c r="AE2068" s="105" t="s">
        <v>2200</v>
      </c>
    </row>
    <row r="2069" spans="18:31" s="105" customFormat="1">
      <c r="R2069" s="154"/>
      <c r="AB2069" s="124"/>
      <c r="AD2069" s="105" t="s">
        <v>2968</v>
      </c>
      <c r="AE2069" s="105" t="s">
        <v>2201</v>
      </c>
    </row>
    <row r="2070" spans="18:31" s="105" customFormat="1">
      <c r="R2070" s="154"/>
      <c r="AB2070" s="124"/>
      <c r="AD2070" s="105" t="s">
        <v>2968</v>
      </c>
      <c r="AE2070" s="105" t="s">
        <v>2202</v>
      </c>
    </row>
    <row r="2071" spans="18:31" s="105" customFormat="1">
      <c r="R2071" s="154"/>
      <c r="AB2071" s="124"/>
      <c r="AD2071" s="105" t="s">
        <v>2968</v>
      </c>
      <c r="AE2071" s="105" t="s">
        <v>2203</v>
      </c>
    </row>
    <row r="2072" spans="18:31" s="105" customFormat="1">
      <c r="R2072" s="154"/>
      <c r="AB2072" s="124"/>
      <c r="AD2072" s="105" t="s">
        <v>2968</v>
      </c>
      <c r="AE2072" s="105" t="s">
        <v>2204</v>
      </c>
    </row>
    <row r="2073" spans="18:31" s="105" customFormat="1">
      <c r="R2073" s="154"/>
      <c r="AB2073" s="124"/>
      <c r="AD2073" s="105" t="s">
        <v>2968</v>
      </c>
      <c r="AE2073" s="105" t="s">
        <v>2205</v>
      </c>
    </row>
    <row r="2074" spans="18:31" s="105" customFormat="1">
      <c r="R2074" s="154"/>
      <c r="AB2074" s="124"/>
      <c r="AD2074" s="105" t="s">
        <v>2968</v>
      </c>
      <c r="AE2074" s="105" t="s">
        <v>2206</v>
      </c>
    </row>
    <row r="2075" spans="18:31" s="105" customFormat="1">
      <c r="R2075" s="154"/>
      <c r="AB2075" s="124"/>
      <c r="AD2075" s="105" t="s">
        <v>2968</v>
      </c>
      <c r="AE2075" s="105" t="s">
        <v>2207</v>
      </c>
    </row>
    <row r="2076" spans="18:31" s="105" customFormat="1">
      <c r="R2076" s="154"/>
      <c r="AB2076" s="124"/>
      <c r="AD2076" s="105" t="s">
        <v>2968</v>
      </c>
      <c r="AE2076" s="105" t="s">
        <v>2208</v>
      </c>
    </row>
    <row r="2077" spans="18:31" s="105" customFormat="1">
      <c r="R2077" s="154"/>
      <c r="AB2077" s="124"/>
      <c r="AD2077" s="105" t="s">
        <v>2968</v>
      </c>
      <c r="AE2077" s="105" t="s">
        <v>2209</v>
      </c>
    </row>
    <row r="2078" spans="18:31" s="105" customFormat="1">
      <c r="R2078" s="154"/>
      <c r="AB2078" s="124"/>
      <c r="AD2078" s="105" t="s">
        <v>2968</v>
      </c>
      <c r="AE2078" s="105" t="s">
        <v>2210</v>
      </c>
    </row>
    <row r="2079" spans="18:31" s="105" customFormat="1">
      <c r="R2079" s="154"/>
      <c r="AB2079" s="124"/>
      <c r="AD2079" s="105" t="s">
        <v>2968</v>
      </c>
      <c r="AE2079" s="105" t="s">
        <v>2211</v>
      </c>
    </row>
    <row r="2080" spans="18:31" s="105" customFormat="1">
      <c r="R2080" s="154"/>
      <c r="AB2080" s="124"/>
      <c r="AD2080" s="105" t="s">
        <v>2968</v>
      </c>
      <c r="AE2080" s="105" t="s">
        <v>2212</v>
      </c>
    </row>
    <row r="2081" spans="18:31" s="105" customFormat="1">
      <c r="R2081" s="154"/>
      <c r="AB2081" s="124"/>
      <c r="AD2081" s="105" t="s">
        <v>2968</v>
      </c>
      <c r="AE2081" s="105" t="s">
        <v>2213</v>
      </c>
    </row>
    <row r="2082" spans="18:31" s="105" customFormat="1">
      <c r="R2082" s="154"/>
      <c r="AB2082" s="124"/>
      <c r="AD2082" s="105" t="s">
        <v>2968</v>
      </c>
      <c r="AE2082" s="105" t="s">
        <v>2214</v>
      </c>
    </row>
    <row r="2083" spans="18:31" s="105" customFormat="1">
      <c r="R2083" s="154"/>
      <c r="AB2083" s="124"/>
      <c r="AD2083" s="105" t="s">
        <v>2968</v>
      </c>
      <c r="AE2083" s="105" t="s">
        <v>2215</v>
      </c>
    </row>
    <row r="2084" spans="18:31" s="105" customFormat="1">
      <c r="R2084" s="154"/>
      <c r="AB2084" s="124"/>
      <c r="AD2084" s="105" t="s">
        <v>2968</v>
      </c>
      <c r="AE2084" s="105" t="s">
        <v>2216</v>
      </c>
    </row>
    <row r="2085" spans="18:31" s="105" customFormat="1">
      <c r="R2085" s="154"/>
      <c r="AB2085" s="124"/>
      <c r="AD2085" s="105" t="s">
        <v>2967</v>
      </c>
      <c r="AE2085" s="105" t="s">
        <v>2217</v>
      </c>
    </row>
    <row r="2086" spans="18:31" s="105" customFormat="1">
      <c r="R2086" s="154"/>
      <c r="AB2086" s="124"/>
      <c r="AD2086" s="105" t="s">
        <v>2999</v>
      </c>
      <c r="AE2086" s="105" t="s">
        <v>2218</v>
      </c>
    </row>
    <row r="2087" spans="18:31" s="105" customFormat="1">
      <c r="R2087" s="154"/>
      <c r="AB2087" s="124"/>
      <c r="AD2087" s="105" t="s">
        <v>2967</v>
      </c>
      <c r="AE2087" s="105" t="s">
        <v>2219</v>
      </c>
    </row>
    <row r="2088" spans="18:31" s="105" customFormat="1">
      <c r="R2088" s="154"/>
      <c r="AB2088" s="124"/>
      <c r="AD2088" s="105" t="s">
        <v>2968</v>
      </c>
      <c r="AE2088" s="105" t="s">
        <v>2220</v>
      </c>
    </row>
    <row r="2089" spans="18:31" s="105" customFormat="1">
      <c r="R2089" s="154"/>
      <c r="AB2089" s="124"/>
      <c r="AD2089" s="105" t="s">
        <v>2968</v>
      </c>
      <c r="AE2089" s="105" t="s">
        <v>2221</v>
      </c>
    </row>
    <row r="2090" spans="18:31" s="105" customFormat="1">
      <c r="R2090" s="154"/>
      <c r="AB2090" s="124"/>
      <c r="AD2090" s="105" t="s">
        <v>2968</v>
      </c>
      <c r="AE2090" s="105" t="s">
        <v>2222</v>
      </c>
    </row>
    <row r="2091" spans="18:31" s="105" customFormat="1">
      <c r="R2091" s="154"/>
      <c r="AB2091" s="124"/>
      <c r="AD2091" s="105" t="s">
        <v>2999</v>
      </c>
      <c r="AE2091" s="105" t="s">
        <v>2223</v>
      </c>
    </row>
    <row r="2092" spans="18:31" s="105" customFormat="1">
      <c r="R2092" s="154"/>
      <c r="AB2092" s="124"/>
      <c r="AD2092" s="105" t="s">
        <v>2999</v>
      </c>
      <c r="AE2092" s="105" t="s">
        <v>2696</v>
      </c>
    </row>
    <row r="2093" spans="18:31" s="105" customFormat="1">
      <c r="R2093" s="154"/>
      <c r="AB2093" s="124"/>
      <c r="AD2093" s="105" t="s">
        <v>2999</v>
      </c>
      <c r="AE2093" s="105" t="s">
        <v>2224</v>
      </c>
    </row>
    <row r="2094" spans="18:31" s="105" customFormat="1">
      <c r="R2094" s="154"/>
      <c r="AB2094" s="124"/>
      <c r="AD2094" s="105" t="s">
        <v>2999</v>
      </c>
      <c r="AE2094" s="105" t="s">
        <v>2225</v>
      </c>
    </row>
    <row r="2095" spans="18:31" s="105" customFormat="1">
      <c r="R2095" s="154"/>
      <c r="AB2095" s="124"/>
      <c r="AD2095" s="105" t="s">
        <v>2967</v>
      </c>
      <c r="AE2095" s="105" t="s">
        <v>2226</v>
      </c>
    </row>
    <row r="2096" spans="18:31" s="105" customFormat="1">
      <c r="R2096" s="154"/>
      <c r="AB2096" s="124"/>
      <c r="AD2096" s="105" t="s">
        <v>2999</v>
      </c>
      <c r="AE2096" s="105" t="s">
        <v>2697</v>
      </c>
    </row>
    <row r="2097" spans="18:31" s="105" customFormat="1">
      <c r="R2097" s="154"/>
      <c r="AB2097" s="124"/>
      <c r="AD2097" s="105" t="s">
        <v>2999</v>
      </c>
      <c r="AE2097" s="105" t="s">
        <v>2227</v>
      </c>
    </row>
    <row r="2098" spans="18:31" s="105" customFormat="1">
      <c r="R2098" s="154"/>
      <c r="AB2098" s="124"/>
      <c r="AD2098" s="105" t="s">
        <v>2999</v>
      </c>
      <c r="AE2098" s="105" t="s">
        <v>2228</v>
      </c>
    </row>
    <row r="2099" spans="18:31" s="105" customFormat="1">
      <c r="R2099" s="154"/>
      <c r="AB2099" s="124"/>
      <c r="AD2099" s="105" t="s">
        <v>2999</v>
      </c>
      <c r="AE2099" s="105" t="s">
        <v>2315</v>
      </c>
    </row>
    <row r="2100" spans="18:31" s="105" customFormat="1">
      <c r="R2100" s="154"/>
      <c r="AB2100" s="124"/>
      <c r="AD2100" s="105" t="s">
        <v>2549</v>
      </c>
      <c r="AE2100" s="105" t="s">
        <v>2229</v>
      </c>
    </row>
    <row r="2101" spans="18:31" s="105" customFormat="1">
      <c r="R2101" s="154"/>
      <c r="AB2101" s="124"/>
      <c r="AD2101" s="105" t="s">
        <v>993</v>
      </c>
      <c r="AE2101" s="105" t="s">
        <v>3</v>
      </c>
    </row>
    <row r="2102" spans="18:31" s="105" customFormat="1">
      <c r="R2102" s="154"/>
      <c r="AB2102" s="124"/>
      <c r="AD2102" s="105" t="s">
        <v>994</v>
      </c>
      <c r="AE2102" s="105" t="s">
        <v>1011</v>
      </c>
    </row>
    <row r="2103" spans="18:31" s="105" customFormat="1">
      <c r="R2103" s="154"/>
      <c r="AB2103" s="124"/>
      <c r="AD2103" s="105" t="s">
        <v>995</v>
      </c>
      <c r="AE2103" s="105" t="s">
        <v>1012</v>
      </c>
    </row>
    <row r="2104" spans="18:31" s="105" customFormat="1">
      <c r="R2104" s="154"/>
      <c r="AB2104" s="124"/>
      <c r="AD2104" s="105" t="s">
        <v>996</v>
      </c>
      <c r="AE2104" s="105" t="s">
        <v>1013</v>
      </c>
    </row>
    <row r="2105" spans="18:31" s="105" customFormat="1">
      <c r="R2105" s="154"/>
      <c r="AB2105" s="124"/>
      <c r="AD2105" s="105" t="s">
        <v>997</v>
      </c>
      <c r="AE2105" s="105" t="s">
        <v>1014</v>
      </c>
    </row>
    <row r="2106" spans="18:31" s="105" customFormat="1">
      <c r="R2106" s="154"/>
      <c r="AB2106" s="124"/>
      <c r="AD2106" s="105" t="s">
        <v>2288</v>
      </c>
      <c r="AE2106" s="105" t="s">
        <v>2165</v>
      </c>
    </row>
    <row r="2107" spans="18:31" s="105" customFormat="1">
      <c r="R2107" s="154"/>
      <c r="AB2107" s="124"/>
      <c r="AD2107" s="105" t="s">
        <v>998</v>
      </c>
      <c r="AE2107" s="105" t="s">
        <v>26</v>
      </c>
    </row>
    <row r="2108" spans="18:31" s="105" customFormat="1">
      <c r="R2108" s="154"/>
      <c r="AB2108" s="124"/>
      <c r="AD2108" s="105" t="s">
        <v>999</v>
      </c>
      <c r="AE2108" s="105" t="s">
        <v>4</v>
      </c>
    </row>
    <row r="2109" spans="18:31" s="105" customFormat="1">
      <c r="R2109" s="154"/>
      <c r="AB2109" s="124"/>
      <c r="AD2109" s="105" t="s">
        <v>1000</v>
      </c>
      <c r="AE2109" s="105" t="s">
        <v>5</v>
      </c>
    </row>
    <row r="2110" spans="18:31" s="105" customFormat="1">
      <c r="R2110" s="154"/>
      <c r="AB2110" s="124"/>
      <c r="AD2110" s="105" t="s">
        <v>1001</v>
      </c>
      <c r="AE2110" s="105" t="s">
        <v>6</v>
      </c>
    </row>
    <row r="2111" spans="18:31" s="105" customFormat="1">
      <c r="R2111" s="154"/>
      <c r="AB2111" s="124"/>
      <c r="AD2111" s="105" t="s">
        <v>1002</v>
      </c>
      <c r="AE2111" s="105" t="s">
        <v>7</v>
      </c>
    </row>
    <row r="2112" spans="18:31" s="105" customFormat="1">
      <c r="R2112" s="154"/>
      <c r="AB2112" s="124"/>
    </row>
    <row r="2113" spans="18:28" s="105" customFormat="1">
      <c r="R2113" s="154"/>
      <c r="AB2113" s="124"/>
    </row>
    <row r="2114" spans="18:28" s="105" customFormat="1">
      <c r="R2114" s="154"/>
      <c r="AB2114" s="124"/>
    </row>
    <row r="2115" spans="18:28" s="105" customFormat="1">
      <c r="R2115" s="154"/>
      <c r="AB2115" s="124"/>
    </row>
    <row r="2116" spans="18:28" s="105" customFormat="1">
      <c r="R2116" s="154"/>
      <c r="AB2116" s="124"/>
    </row>
    <row r="2117" spans="18:28" s="105" customFormat="1">
      <c r="R2117" s="154"/>
      <c r="AB2117" s="124"/>
    </row>
    <row r="2118" spans="18:28" s="105" customFormat="1">
      <c r="R2118" s="154"/>
      <c r="AB2118" s="124"/>
    </row>
    <row r="2119" spans="18:28" s="105" customFormat="1">
      <c r="R2119" s="154"/>
      <c r="AB2119" s="124"/>
    </row>
    <row r="2120" spans="18:28" s="105" customFormat="1">
      <c r="R2120" s="154"/>
      <c r="AB2120" s="124"/>
    </row>
    <row r="2121" spans="18:28" s="105" customFormat="1">
      <c r="R2121" s="154"/>
      <c r="AB2121" s="124"/>
    </row>
    <row r="2122" spans="18:28" s="105" customFormat="1">
      <c r="R2122" s="154"/>
      <c r="AB2122" s="124"/>
    </row>
    <row r="2123" spans="18:28" s="105" customFormat="1">
      <c r="R2123" s="154"/>
      <c r="AB2123" s="124"/>
    </row>
    <row r="2124" spans="18:28" s="105" customFormat="1">
      <c r="R2124" s="154"/>
      <c r="AB2124" s="124"/>
    </row>
    <row r="2125" spans="18:28" s="105" customFormat="1">
      <c r="R2125" s="154"/>
      <c r="AB2125" s="124"/>
    </row>
    <row r="2126" spans="18:28" s="105" customFormat="1">
      <c r="R2126" s="154"/>
      <c r="AB2126" s="124"/>
    </row>
    <row r="2127" spans="18:28" s="105" customFormat="1">
      <c r="R2127" s="154"/>
      <c r="AB2127" s="124"/>
    </row>
    <row r="2128" spans="18:28" s="105" customFormat="1">
      <c r="R2128" s="154"/>
      <c r="AB2128" s="124"/>
    </row>
    <row r="2129" spans="18:28" s="105" customFormat="1">
      <c r="R2129" s="154"/>
      <c r="AB2129" s="124"/>
    </row>
    <row r="2130" spans="18:28" s="105" customFormat="1">
      <c r="R2130" s="154"/>
      <c r="AB2130" s="124"/>
    </row>
    <row r="2131" spans="18:28" s="105" customFormat="1">
      <c r="R2131" s="154"/>
      <c r="AB2131" s="124"/>
    </row>
    <row r="2132" spans="18:28" s="105" customFormat="1">
      <c r="R2132" s="154"/>
      <c r="AB2132" s="124"/>
    </row>
    <row r="2133" spans="18:28" s="105" customFormat="1">
      <c r="R2133" s="154"/>
      <c r="AB2133" s="124"/>
    </row>
    <row r="2134" spans="18:28" s="105" customFormat="1">
      <c r="R2134" s="154"/>
      <c r="AB2134" s="124"/>
    </row>
    <row r="2135" spans="18:28" s="105" customFormat="1">
      <c r="R2135" s="154"/>
      <c r="AB2135" s="124"/>
    </row>
    <row r="2136" spans="18:28" s="105" customFormat="1">
      <c r="R2136" s="154"/>
      <c r="AB2136" s="124"/>
    </row>
    <row r="2137" spans="18:28" s="105" customFormat="1">
      <c r="R2137" s="154"/>
      <c r="AB2137" s="124"/>
    </row>
    <row r="2138" spans="18:28" s="105" customFormat="1">
      <c r="R2138" s="154"/>
      <c r="AB2138" s="124"/>
    </row>
    <row r="2139" spans="18:28" s="105" customFormat="1">
      <c r="R2139" s="154"/>
      <c r="AB2139" s="124"/>
    </row>
    <row r="2140" spans="18:28" s="105" customFormat="1">
      <c r="R2140" s="154"/>
      <c r="AB2140" s="124"/>
    </row>
    <row r="2141" spans="18:28" s="105" customFormat="1">
      <c r="R2141" s="154"/>
      <c r="AB2141" s="124"/>
    </row>
    <row r="2142" spans="18:28" s="105" customFormat="1">
      <c r="R2142" s="154"/>
      <c r="AB2142" s="124"/>
    </row>
    <row r="2143" spans="18:28" s="105" customFormat="1">
      <c r="R2143" s="154"/>
      <c r="AB2143" s="124"/>
    </row>
    <row r="2144" spans="18:28" s="105" customFormat="1">
      <c r="R2144" s="154"/>
      <c r="AB2144" s="124"/>
    </row>
    <row r="2145" spans="18:28" s="105" customFormat="1">
      <c r="R2145" s="154"/>
      <c r="AB2145" s="124"/>
    </row>
    <row r="2146" spans="18:28" s="105" customFormat="1">
      <c r="R2146" s="154"/>
      <c r="AB2146" s="124"/>
    </row>
    <row r="2147" spans="18:28" s="105" customFormat="1">
      <c r="R2147" s="154"/>
      <c r="AB2147" s="124"/>
    </row>
    <row r="2148" spans="18:28" s="105" customFormat="1">
      <c r="R2148" s="154"/>
      <c r="AB2148" s="124"/>
    </row>
    <row r="2149" spans="18:28" s="105" customFormat="1">
      <c r="R2149" s="154"/>
      <c r="AB2149" s="124"/>
    </row>
    <row r="2150" spans="18:28" s="105" customFormat="1">
      <c r="R2150" s="154"/>
      <c r="AB2150" s="124"/>
    </row>
    <row r="2151" spans="18:28" s="105" customFormat="1">
      <c r="R2151" s="154"/>
      <c r="AB2151" s="124"/>
    </row>
    <row r="2152" spans="18:28" s="105" customFormat="1">
      <c r="R2152" s="154"/>
      <c r="AB2152" s="124"/>
    </row>
    <row r="2153" spans="18:28" s="105" customFormat="1">
      <c r="R2153" s="154"/>
      <c r="AB2153" s="124"/>
    </row>
    <row r="2154" spans="18:28" s="105" customFormat="1">
      <c r="R2154" s="154"/>
      <c r="AB2154" s="124"/>
    </row>
    <row r="2155" spans="18:28" s="105" customFormat="1">
      <c r="R2155" s="154"/>
      <c r="AB2155" s="124"/>
    </row>
    <row r="2156" spans="18:28" s="105" customFormat="1">
      <c r="R2156" s="154"/>
      <c r="AB2156" s="124"/>
    </row>
    <row r="2157" spans="18:28" s="105" customFormat="1">
      <c r="R2157" s="154"/>
      <c r="AB2157" s="124"/>
    </row>
    <row r="2158" spans="18:28" s="105" customFormat="1">
      <c r="R2158" s="154"/>
      <c r="AB2158" s="124"/>
    </row>
    <row r="2159" spans="18:28" s="105" customFormat="1">
      <c r="R2159" s="154"/>
      <c r="AB2159" s="124"/>
    </row>
    <row r="2160" spans="18:28" s="105" customFormat="1">
      <c r="R2160" s="154"/>
      <c r="AB2160" s="124"/>
    </row>
    <row r="2161" spans="18:28" s="105" customFormat="1">
      <c r="R2161" s="154"/>
      <c r="AB2161" s="124"/>
    </row>
    <row r="2162" spans="18:28" s="105" customFormat="1">
      <c r="R2162" s="154"/>
      <c r="AB2162" s="124"/>
    </row>
    <row r="2163" spans="18:28" s="105" customFormat="1">
      <c r="R2163" s="154"/>
      <c r="AB2163" s="124"/>
    </row>
    <row r="2164" spans="18:28" s="105" customFormat="1">
      <c r="R2164" s="154"/>
      <c r="AB2164" s="124"/>
    </row>
    <row r="2165" spans="18:28" s="105" customFormat="1">
      <c r="R2165" s="154"/>
      <c r="AB2165" s="124"/>
    </row>
    <row r="2166" spans="18:28" s="105" customFormat="1">
      <c r="R2166" s="154"/>
      <c r="AB2166" s="124"/>
    </row>
    <row r="2167" spans="18:28" s="105" customFormat="1">
      <c r="R2167" s="154"/>
      <c r="AB2167" s="124"/>
    </row>
    <row r="2168" spans="18:28" s="105" customFormat="1">
      <c r="R2168" s="154"/>
      <c r="AB2168" s="124"/>
    </row>
    <row r="2169" spans="18:28" s="105" customFormat="1">
      <c r="R2169" s="154"/>
      <c r="AB2169" s="124"/>
    </row>
    <row r="2170" spans="18:28" s="105" customFormat="1">
      <c r="R2170" s="154"/>
      <c r="AB2170" s="124"/>
    </row>
    <row r="2171" spans="18:28" s="105" customFormat="1">
      <c r="R2171" s="154"/>
      <c r="AB2171" s="124"/>
    </row>
    <row r="2172" spans="18:28" s="105" customFormat="1">
      <c r="R2172" s="154"/>
      <c r="AB2172" s="124"/>
    </row>
    <row r="2173" spans="18:28" s="105" customFormat="1">
      <c r="R2173" s="154"/>
      <c r="AB2173" s="124"/>
    </row>
    <row r="2174" spans="18:28" s="105" customFormat="1">
      <c r="R2174" s="154"/>
      <c r="AB2174" s="124"/>
    </row>
    <row r="2175" spans="18:28" s="105" customFormat="1">
      <c r="R2175" s="154"/>
      <c r="AB2175" s="124"/>
    </row>
    <row r="2176" spans="18:28" s="105" customFormat="1">
      <c r="R2176" s="154"/>
      <c r="AB2176" s="124"/>
    </row>
    <row r="2177" spans="18:28" s="105" customFormat="1">
      <c r="R2177" s="154"/>
      <c r="AB2177" s="124"/>
    </row>
    <row r="2178" spans="18:28" s="105" customFormat="1">
      <c r="R2178" s="154"/>
      <c r="AB2178" s="124"/>
    </row>
    <row r="2179" spans="18:28" s="105" customFormat="1">
      <c r="R2179" s="154"/>
      <c r="AB2179" s="124"/>
    </row>
    <row r="2180" spans="18:28" s="105" customFormat="1">
      <c r="R2180" s="154"/>
      <c r="AB2180" s="124"/>
    </row>
    <row r="2181" spans="18:28" s="105" customFormat="1">
      <c r="R2181" s="154"/>
      <c r="AB2181" s="124"/>
    </row>
    <row r="2182" spans="18:28" s="105" customFormat="1">
      <c r="R2182" s="154"/>
      <c r="AB2182" s="124"/>
    </row>
    <row r="2183" spans="18:28" s="105" customFormat="1">
      <c r="R2183" s="154"/>
      <c r="AB2183" s="124"/>
    </row>
    <row r="2184" spans="18:28" s="105" customFormat="1">
      <c r="R2184" s="154"/>
      <c r="AB2184" s="124"/>
    </row>
    <row r="2185" spans="18:28" s="105" customFormat="1">
      <c r="R2185" s="154"/>
      <c r="AB2185" s="124"/>
    </row>
    <row r="2186" spans="18:28" s="105" customFormat="1">
      <c r="R2186" s="154"/>
      <c r="AB2186" s="124"/>
    </row>
    <row r="2187" spans="18:28" s="105" customFormat="1">
      <c r="R2187" s="154"/>
      <c r="AB2187" s="124"/>
    </row>
    <row r="2188" spans="18:28" s="105" customFormat="1">
      <c r="R2188" s="154"/>
      <c r="AB2188" s="124"/>
    </row>
    <row r="2189" spans="18:28" s="105" customFormat="1">
      <c r="R2189" s="154"/>
      <c r="AB2189" s="124"/>
    </row>
    <row r="2190" spans="18:28" s="105" customFormat="1">
      <c r="R2190" s="154"/>
      <c r="AB2190" s="124"/>
    </row>
    <row r="2191" spans="18:28" s="105" customFormat="1">
      <c r="R2191" s="154"/>
      <c r="AB2191" s="124"/>
    </row>
    <row r="2192" spans="18:28" s="105" customFormat="1">
      <c r="R2192" s="154"/>
      <c r="AB2192" s="124"/>
    </row>
    <row r="2193" spans="18:28" s="105" customFormat="1">
      <c r="R2193" s="154"/>
      <c r="AB2193" s="124"/>
    </row>
    <row r="2194" spans="18:28" s="105" customFormat="1">
      <c r="R2194" s="154"/>
      <c r="AB2194" s="124"/>
    </row>
    <row r="2195" spans="18:28" s="105" customFormat="1">
      <c r="R2195" s="154"/>
      <c r="AB2195" s="124"/>
    </row>
    <row r="2196" spans="18:28" s="105" customFormat="1">
      <c r="R2196" s="154"/>
      <c r="AB2196" s="124"/>
    </row>
    <row r="2197" spans="18:28" s="105" customFormat="1">
      <c r="R2197" s="154"/>
      <c r="AB2197" s="124"/>
    </row>
    <row r="2198" spans="18:28" s="105" customFormat="1">
      <c r="R2198" s="154"/>
      <c r="AB2198" s="124"/>
    </row>
    <row r="2199" spans="18:28" s="105" customFormat="1">
      <c r="R2199" s="154"/>
      <c r="AB2199" s="124"/>
    </row>
    <row r="2200" spans="18:28" s="105" customFormat="1">
      <c r="R2200" s="154"/>
      <c r="AB2200" s="124"/>
    </row>
    <row r="2201" spans="18:28" s="105" customFormat="1">
      <c r="R2201" s="154"/>
      <c r="AB2201" s="124"/>
    </row>
    <row r="2202" spans="18:28" s="105" customFormat="1">
      <c r="R2202" s="154"/>
      <c r="AB2202" s="124"/>
    </row>
    <row r="2203" spans="18:28" s="105" customFormat="1">
      <c r="R2203" s="154"/>
      <c r="AB2203" s="124"/>
    </row>
    <row r="2204" spans="18:28" s="105" customFormat="1">
      <c r="R2204" s="154"/>
      <c r="AB2204" s="124"/>
    </row>
    <row r="2205" spans="18:28" s="105" customFormat="1">
      <c r="R2205" s="154"/>
      <c r="AB2205" s="124"/>
    </row>
    <row r="2206" spans="18:28" s="105" customFormat="1">
      <c r="R2206" s="154"/>
      <c r="AB2206" s="124"/>
    </row>
    <row r="2207" spans="18:28" s="105" customFormat="1">
      <c r="R2207" s="154"/>
      <c r="AB2207" s="124"/>
    </row>
    <row r="2208" spans="18:28" s="105" customFormat="1">
      <c r="R2208" s="154"/>
      <c r="AB2208" s="124"/>
    </row>
    <row r="2209" spans="18:28" s="105" customFormat="1">
      <c r="R2209" s="154"/>
      <c r="AB2209" s="124"/>
    </row>
    <row r="2210" spans="18:28" s="105" customFormat="1">
      <c r="R2210" s="154"/>
      <c r="AB2210" s="124"/>
    </row>
    <row r="2211" spans="18:28" s="105" customFormat="1">
      <c r="R2211" s="154"/>
      <c r="AB2211" s="124"/>
    </row>
    <row r="2212" spans="18:28" s="105" customFormat="1">
      <c r="R2212" s="154"/>
      <c r="AB2212" s="124"/>
    </row>
    <row r="2213" spans="18:28" s="105" customFormat="1">
      <c r="R2213" s="154"/>
      <c r="AB2213" s="124"/>
    </row>
    <row r="2214" spans="18:28" s="105" customFormat="1">
      <c r="R2214" s="154"/>
      <c r="AB2214" s="124"/>
    </row>
    <row r="2215" spans="18:28" s="105" customFormat="1">
      <c r="R2215" s="154"/>
      <c r="AB2215" s="124"/>
    </row>
    <row r="2216" spans="18:28" s="105" customFormat="1">
      <c r="R2216" s="154"/>
      <c r="AB2216" s="124"/>
    </row>
    <row r="2217" spans="18:28" s="105" customFormat="1">
      <c r="R2217" s="154"/>
      <c r="AB2217" s="124"/>
    </row>
    <row r="2218" spans="18:28" s="105" customFormat="1">
      <c r="R2218" s="154"/>
      <c r="AB2218" s="124"/>
    </row>
    <row r="2219" spans="18:28" s="105" customFormat="1">
      <c r="R2219" s="154"/>
      <c r="AB2219" s="124"/>
    </row>
    <row r="2220" spans="18:28" s="105" customFormat="1">
      <c r="R2220" s="154"/>
      <c r="AB2220" s="124"/>
    </row>
    <row r="2221" spans="18:28" s="105" customFormat="1">
      <c r="R2221" s="154"/>
      <c r="AB2221" s="124"/>
    </row>
    <row r="2222" spans="18:28" s="105" customFormat="1">
      <c r="R2222" s="154"/>
      <c r="AB2222" s="124"/>
    </row>
    <row r="2223" spans="18:28" s="105" customFormat="1">
      <c r="R2223" s="154"/>
      <c r="AB2223" s="124"/>
    </row>
    <row r="2224" spans="18:28" s="105" customFormat="1">
      <c r="R2224" s="154"/>
      <c r="AB2224" s="124"/>
    </row>
    <row r="2225" spans="18:28" s="105" customFormat="1">
      <c r="R2225" s="154"/>
      <c r="AB2225" s="124"/>
    </row>
    <row r="2226" spans="18:28" s="105" customFormat="1">
      <c r="R2226" s="154"/>
      <c r="AB2226" s="124"/>
    </row>
    <row r="2227" spans="18:28" s="105" customFormat="1">
      <c r="R2227" s="154"/>
      <c r="AB2227" s="124"/>
    </row>
    <row r="2228" spans="18:28" s="105" customFormat="1">
      <c r="R2228" s="154"/>
      <c r="AB2228" s="124"/>
    </row>
    <row r="2229" spans="18:28" s="105" customFormat="1">
      <c r="R2229" s="154"/>
      <c r="AB2229" s="124"/>
    </row>
    <row r="2230" spans="18:28" s="105" customFormat="1">
      <c r="R2230" s="154"/>
      <c r="AB2230" s="124"/>
    </row>
    <row r="2231" spans="18:28" s="105" customFormat="1">
      <c r="R2231" s="154"/>
      <c r="AB2231" s="124"/>
    </row>
    <row r="2232" spans="18:28" s="105" customFormat="1">
      <c r="R2232" s="154"/>
      <c r="AB2232" s="124"/>
    </row>
    <row r="2233" spans="18:28" s="105" customFormat="1">
      <c r="R2233" s="154"/>
      <c r="AB2233" s="124"/>
    </row>
    <row r="2234" spans="18:28" s="105" customFormat="1">
      <c r="R2234" s="154"/>
      <c r="AB2234" s="124"/>
    </row>
    <row r="2235" spans="18:28" s="105" customFormat="1">
      <c r="R2235" s="154"/>
      <c r="AB2235" s="124"/>
    </row>
    <row r="2236" spans="18:28" s="105" customFormat="1">
      <c r="R2236" s="154"/>
      <c r="AB2236" s="124"/>
    </row>
    <row r="2237" spans="18:28" s="105" customFormat="1">
      <c r="R2237" s="154"/>
      <c r="AB2237" s="124"/>
    </row>
    <row r="2238" spans="18:28" s="105" customFormat="1">
      <c r="R2238" s="154"/>
      <c r="AB2238" s="124"/>
    </row>
    <row r="2239" spans="18:28" s="105" customFormat="1">
      <c r="R2239" s="154"/>
      <c r="AB2239" s="124"/>
    </row>
    <row r="2240" spans="18:28" s="105" customFormat="1">
      <c r="R2240" s="154"/>
      <c r="AB2240" s="124"/>
    </row>
    <row r="2241" spans="18:28" s="105" customFormat="1">
      <c r="R2241" s="154"/>
      <c r="AB2241" s="124"/>
    </row>
    <row r="2242" spans="18:28" s="105" customFormat="1">
      <c r="R2242" s="154"/>
      <c r="AB2242" s="124"/>
    </row>
    <row r="2243" spans="18:28" s="105" customFormat="1">
      <c r="R2243" s="154"/>
      <c r="AB2243" s="124"/>
    </row>
    <row r="2244" spans="18:28" s="105" customFormat="1">
      <c r="R2244" s="154"/>
      <c r="AB2244" s="124"/>
    </row>
    <row r="2245" spans="18:28" s="105" customFormat="1">
      <c r="R2245" s="154"/>
      <c r="AB2245" s="124"/>
    </row>
    <row r="2246" spans="18:28" s="105" customFormat="1">
      <c r="R2246" s="154"/>
      <c r="AB2246" s="124"/>
    </row>
    <row r="2247" spans="18:28" s="105" customFormat="1">
      <c r="R2247" s="154"/>
      <c r="AB2247" s="124"/>
    </row>
    <row r="2248" spans="18:28" s="105" customFormat="1">
      <c r="R2248" s="154"/>
      <c r="AB2248" s="124"/>
    </row>
    <row r="2249" spans="18:28" s="105" customFormat="1">
      <c r="R2249" s="154"/>
      <c r="AB2249" s="124"/>
    </row>
    <row r="2250" spans="18:28" s="105" customFormat="1">
      <c r="R2250" s="154"/>
      <c r="AB2250" s="124"/>
    </row>
    <row r="2251" spans="18:28" s="105" customFormat="1">
      <c r="R2251" s="154"/>
      <c r="AB2251" s="124"/>
    </row>
    <row r="2252" spans="18:28" s="105" customFormat="1">
      <c r="R2252" s="154"/>
      <c r="AB2252" s="124"/>
    </row>
    <row r="2253" spans="18:28" s="105" customFormat="1">
      <c r="R2253" s="154"/>
      <c r="AB2253" s="124"/>
    </row>
    <row r="2254" spans="18:28" s="105" customFormat="1">
      <c r="R2254" s="154"/>
      <c r="AB2254" s="124"/>
    </row>
    <row r="2255" spans="18:28" s="105" customFormat="1">
      <c r="R2255" s="154"/>
      <c r="AB2255" s="124"/>
    </row>
    <row r="2256" spans="18:28" s="105" customFormat="1">
      <c r="R2256" s="154"/>
      <c r="AB2256" s="124"/>
    </row>
    <row r="2257" spans="18:28" s="105" customFormat="1">
      <c r="R2257" s="154"/>
      <c r="AB2257" s="124"/>
    </row>
    <row r="2258" spans="18:28" s="105" customFormat="1">
      <c r="R2258" s="154"/>
      <c r="AB2258" s="124"/>
    </row>
    <row r="2259" spans="18:28" s="105" customFormat="1">
      <c r="R2259" s="154"/>
      <c r="AB2259" s="124"/>
    </row>
    <row r="2260" spans="18:28" s="105" customFormat="1">
      <c r="R2260" s="154"/>
      <c r="AB2260" s="124"/>
    </row>
    <row r="2261" spans="18:28" s="105" customFormat="1">
      <c r="R2261" s="154"/>
      <c r="AB2261" s="124"/>
    </row>
    <row r="2262" spans="18:28" s="105" customFormat="1">
      <c r="R2262" s="154"/>
      <c r="AB2262" s="124"/>
    </row>
    <row r="2263" spans="18:28" s="105" customFormat="1">
      <c r="R2263" s="154"/>
      <c r="AB2263" s="124"/>
    </row>
    <row r="2264" spans="18:28" s="105" customFormat="1">
      <c r="R2264" s="154"/>
      <c r="AB2264" s="124"/>
    </row>
    <row r="2265" spans="18:28" s="105" customFormat="1">
      <c r="R2265" s="154"/>
      <c r="AB2265" s="124"/>
    </row>
    <row r="2266" spans="18:28" s="105" customFormat="1">
      <c r="R2266" s="154"/>
      <c r="AB2266" s="124"/>
    </row>
    <row r="2267" spans="18:28" s="105" customFormat="1">
      <c r="R2267" s="154"/>
      <c r="AB2267" s="124"/>
    </row>
    <row r="2268" spans="18:28" s="105" customFormat="1">
      <c r="R2268" s="154"/>
      <c r="AB2268" s="124"/>
    </row>
    <row r="2269" spans="18:28" s="105" customFormat="1">
      <c r="R2269" s="154"/>
      <c r="AB2269" s="124"/>
    </row>
    <row r="2270" spans="18:28" s="105" customFormat="1">
      <c r="R2270" s="154"/>
      <c r="AB2270" s="124"/>
    </row>
    <row r="2271" spans="18:28" s="105" customFormat="1">
      <c r="R2271" s="154"/>
      <c r="AB2271" s="124"/>
    </row>
    <row r="2272" spans="18:28" s="105" customFormat="1">
      <c r="R2272" s="154"/>
      <c r="AB2272" s="124"/>
    </row>
    <row r="2273" spans="18:28" s="105" customFormat="1">
      <c r="R2273" s="154"/>
      <c r="AB2273" s="124"/>
    </row>
    <row r="2274" spans="18:28" s="105" customFormat="1">
      <c r="R2274" s="154"/>
      <c r="AB2274" s="124"/>
    </row>
    <row r="2275" spans="18:28" s="105" customFormat="1">
      <c r="R2275" s="154"/>
      <c r="AB2275" s="124"/>
    </row>
    <row r="2276" spans="18:28" s="105" customFormat="1">
      <c r="R2276" s="154"/>
      <c r="AB2276" s="124"/>
    </row>
    <row r="2277" spans="18:28" s="105" customFormat="1">
      <c r="R2277" s="154"/>
      <c r="AB2277" s="124"/>
    </row>
    <row r="2278" spans="18:28" s="105" customFormat="1">
      <c r="R2278" s="154"/>
      <c r="AB2278" s="124"/>
    </row>
    <row r="2279" spans="18:28" s="105" customFormat="1">
      <c r="R2279" s="154"/>
      <c r="AB2279" s="124"/>
    </row>
    <row r="2280" spans="18:28" s="105" customFormat="1">
      <c r="R2280" s="154"/>
      <c r="AB2280" s="124"/>
    </row>
    <row r="2281" spans="18:28" s="105" customFormat="1">
      <c r="R2281" s="154"/>
      <c r="AB2281" s="124"/>
    </row>
    <row r="2282" spans="18:28" s="105" customFormat="1">
      <c r="R2282" s="154"/>
      <c r="AB2282" s="124"/>
    </row>
    <row r="2283" spans="18:28" s="105" customFormat="1">
      <c r="R2283" s="154"/>
      <c r="AB2283" s="124"/>
    </row>
    <row r="2284" spans="18:28" s="105" customFormat="1">
      <c r="R2284" s="154"/>
      <c r="AB2284" s="124"/>
    </row>
    <row r="2285" spans="18:28" s="105" customFormat="1">
      <c r="R2285" s="154"/>
      <c r="AB2285" s="124"/>
    </row>
    <row r="2286" spans="18:28" s="105" customFormat="1">
      <c r="R2286" s="154"/>
      <c r="AB2286" s="124"/>
    </row>
    <row r="2287" spans="18:28" s="105" customFormat="1">
      <c r="R2287" s="154"/>
      <c r="AB2287" s="124"/>
    </row>
    <row r="2288" spans="18:28" s="105" customFormat="1">
      <c r="R2288" s="154"/>
      <c r="AB2288" s="124"/>
    </row>
    <row r="2289" spans="18:28" s="105" customFormat="1">
      <c r="R2289" s="154"/>
      <c r="AB2289" s="124"/>
    </row>
    <row r="2290" spans="18:28" s="105" customFormat="1">
      <c r="R2290" s="154"/>
      <c r="AB2290" s="124"/>
    </row>
    <row r="2291" spans="18:28" s="105" customFormat="1">
      <c r="R2291" s="154"/>
      <c r="AB2291" s="124"/>
    </row>
    <row r="2292" spans="18:28" s="105" customFormat="1">
      <c r="R2292" s="154"/>
      <c r="AB2292" s="124"/>
    </row>
    <row r="2293" spans="18:28" s="105" customFormat="1">
      <c r="R2293" s="154"/>
      <c r="AB2293" s="124"/>
    </row>
    <row r="2294" spans="18:28" s="105" customFormat="1">
      <c r="R2294" s="154"/>
      <c r="AB2294" s="124"/>
    </row>
    <row r="2295" spans="18:28" s="105" customFormat="1">
      <c r="R2295" s="154"/>
      <c r="AB2295" s="124"/>
    </row>
    <row r="2296" spans="18:28" s="105" customFormat="1">
      <c r="R2296" s="154"/>
      <c r="AB2296" s="124"/>
    </row>
    <row r="2297" spans="18:28" s="105" customFormat="1">
      <c r="R2297" s="154"/>
      <c r="AB2297" s="124"/>
    </row>
    <row r="2298" spans="18:28" s="105" customFormat="1">
      <c r="R2298" s="154"/>
      <c r="AB2298" s="124"/>
    </row>
    <row r="2299" spans="18:28" s="105" customFormat="1">
      <c r="R2299" s="154"/>
      <c r="AB2299" s="124"/>
    </row>
    <row r="2300" spans="18:28" s="105" customFormat="1">
      <c r="R2300" s="154"/>
      <c r="AB2300" s="124"/>
    </row>
    <row r="2301" spans="18:28" s="105" customFormat="1">
      <c r="R2301" s="154"/>
      <c r="AB2301" s="124"/>
    </row>
    <row r="2302" spans="18:28" s="105" customFormat="1">
      <c r="R2302" s="154"/>
      <c r="AB2302" s="124"/>
    </row>
    <row r="2303" spans="18:28" s="105" customFormat="1">
      <c r="R2303" s="154"/>
      <c r="AB2303" s="124"/>
    </row>
    <row r="2304" spans="18:28" s="105" customFormat="1">
      <c r="R2304" s="154"/>
      <c r="AB2304" s="124"/>
    </row>
    <row r="2305" spans="18:28" s="105" customFormat="1">
      <c r="R2305" s="154"/>
      <c r="AB2305" s="124"/>
    </row>
    <row r="2306" spans="18:28" s="105" customFormat="1">
      <c r="R2306" s="154"/>
      <c r="AB2306" s="124"/>
    </row>
    <row r="2307" spans="18:28" s="105" customFormat="1">
      <c r="R2307" s="154"/>
      <c r="AB2307" s="124"/>
    </row>
    <row r="2308" spans="18:28" s="105" customFormat="1">
      <c r="R2308" s="154"/>
      <c r="AB2308" s="124"/>
    </row>
    <row r="2309" spans="18:28" s="105" customFormat="1">
      <c r="R2309" s="154"/>
      <c r="AB2309" s="124"/>
    </row>
    <row r="2310" spans="18:28" s="105" customFormat="1">
      <c r="R2310" s="154"/>
      <c r="AB2310" s="124"/>
    </row>
    <row r="2311" spans="18:28" s="105" customFormat="1">
      <c r="R2311" s="154"/>
      <c r="AB2311" s="124"/>
    </row>
    <row r="2312" spans="18:28" s="105" customFormat="1">
      <c r="R2312" s="154"/>
      <c r="AB2312" s="124"/>
    </row>
    <row r="2313" spans="18:28" s="105" customFormat="1">
      <c r="R2313" s="154"/>
      <c r="AB2313" s="124"/>
    </row>
    <row r="2314" spans="18:28" s="105" customFormat="1">
      <c r="R2314" s="154"/>
      <c r="AB2314" s="124"/>
    </row>
    <row r="2315" spans="18:28" s="105" customFormat="1">
      <c r="R2315" s="154"/>
      <c r="AB2315" s="124"/>
    </row>
    <row r="2316" spans="18:28" s="105" customFormat="1">
      <c r="R2316" s="154"/>
      <c r="AB2316" s="124"/>
    </row>
    <row r="2317" spans="18:28" s="105" customFormat="1">
      <c r="R2317" s="154"/>
      <c r="AB2317" s="124"/>
    </row>
    <row r="2318" spans="18:28" s="105" customFormat="1">
      <c r="R2318" s="154"/>
      <c r="AB2318" s="124"/>
    </row>
    <row r="2319" spans="18:28" s="105" customFormat="1">
      <c r="R2319" s="154"/>
      <c r="AB2319" s="124"/>
    </row>
    <row r="2320" spans="18:28" s="105" customFormat="1">
      <c r="R2320" s="154"/>
      <c r="AB2320" s="124"/>
    </row>
    <row r="2321" spans="18:28" s="105" customFormat="1">
      <c r="R2321" s="154"/>
      <c r="AB2321" s="124"/>
    </row>
    <row r="2322" spans="18:28" s="105" customFormat="1">
      <c r="R2322" s="154"/>
      <c r="AB2322" s="124"/>
    </row>
    <row r="2323" spans="18:28" s="105" customFormat="1">
      <c r="R2323" s="154"/>
      <c r="AB2323" s="124"/>
    </row>
    <row r="2324" spans="18:28" s="105" customFormat="1">
      <c r="R2324" s="154"/>
      <c r="AB2324" s="124"/>
    </row>
    <row r="2325" spans="18:28" s="105" customFormat="1">
      <c r="R2325" s="154"/>
      <c r="AB2325" s="124"/>
    </row>
    <row r="2326" spans="18:28" s="105" customFormat="1">
      <c r="R2326" s="154"/>
      <c r="AB2326" s="124"/>
    </row>
    <row r="2327" spans="18:28" s="105" customFormat="1">
      <c r="R2327" s="154"/>
      <c r="AB2327" s="124"/>
    </row>
    <row r="2328" spans="18:28" s="105" customFormat="1">
      <c r="R2328" s="154"/>
      <c r="AB2328" s="124"/>
    </row>
    <row r="2329" spans="18:28" s="105" customFormat="1">
      <c r="R2329" s="154"/>
      <c r="AB2329" s="124"/>
    </row>
    <row r="2330" spans="18:28" s="105" customFormat="1">
      <c r="R2330" s="154"/>
      <c r="AB2330" s="124"/>
    </row>
    <row r="2331" spans="18:28" s="105" customFormat="1">
      <c r="R2331" s="154"/>
      <c r="AB2331" s="124"/>
    </row>
    <row r="2332" spans="18:28" s="105" customFormat="1">
      <c r="R2332" s="154"/>
      <c r="AB2332" s="124"/>
    </row>
    <row r="2333" spans="18:28" s="105" customFormat="1">
      <c r="R2333" s="154"/>
      <c r="AB2333" s="124"/>
    </row>
    <row r="2334" spans="18:28" s="105" customFormat="1">
      <c r="R2334" s="154"/>
      <c r="AB2334" s="124"/>
    </row>
    <row r="2335" spans="18:28" s="105" customFormat="1">
      <c r="R2335" s="154"/>
      <c r="AB2335" s="124"/>
    </row>
    <row r="2336" spans="18:28" s="105" customFormat="1">
      <c r="R2336" s="154"/>
      <c r="AB2336" s="124"/>
    </row>
    <row r="2337" spans="18:28" s="105" customFormat="1">
      <c r="R2337" s="154"/>
      <c r="AB2337" s="124"/>
    </row>
    <row r="2338" spans="18:28" s="105" customFormat="1">
      <c r="R2338" s="154"/>
      <c r="AB2338" s="124"/>
    </row>
    <row r="2339" spans="18:28" s="105" customFormat="1">
      <c r="R2339" s="154"/>
      <c r="AB2339" s="124"/>
    </row>
    <row r="2340" spans="18:28" s="105" customFormat="1">
      <c r="R2340" s="154"/>
      <c r="AB2340" s="124"/>
    </row>
    <row r="2341" spans="18:28" s="105" customFormat="1">
      <c r="R2341" s="154"/>
      <c r="AB2341" s="124"/>
    </row>
    <row r="2342" spans="18:28" s="105" customFormat="1">
      <c r="R2342" s="154"/>
      <c r="AB2342" s="124"/>
    </row>
    <row r="2343" spans="18:28" s="105" customFormat="1">
      <c r="R2343" s="154"/>
      <c r="AB2343" s="124"/>
    </row>
    <row r="2344" spans="18:28" s="105" customFormat="1">
      <c r="R2344" s="154"/>
      <c r="AB2344" s="124"/>
    </row>
    <row r="2345" spans="18:28" s="105" customFormat="1">
      <c r="R2345" s="154"/>
      <c r="AB2345" s="124"/>
    </row>
    <row r="2346" spans="18:28" s="105" customFormat="1">
      <c r="R2346" s="154"/>
      <c r="AB2346" s="124"/>
    </row>
    <row r="2347" spans="18:28" s="105" customFormat="1">
      <c r="R2347" s="154"/>
      <c r="AB2347" s="124"/>
    </row>
    <row r="2348" spans="18:28" s="105" customFormat="1">
      <c r="R2348" s="154"/>
      <c r="AB2348" s="124"/>
    </row>
    <row r="2349" spans="18:28" s="105" customFormat="1">
      <c r="R2349" s="154"/>
      <c r="AB2349" s="124"/>
    </row>
    <row r="2350" spans="18:28" s="105" customFormat="1">
      <c r="R2350" s="154"/>
      <c r="AB2350" s="124"/>
    </row>
    <row r="2351" spans="18:28" s="105" customFormat="1">
      <c r="R2351" s="154"/>
      <c r="AB2351" s="124"/>
    </row>
    <row r="2352" spans="18:28" s="105" customFormat="1">
      <c r="R2352" s="154"/>
      <c r="AB2352" s="124"/>
    </row>
    <row r="2353" spans="18:28" s="105" customFormat="1">
      <c r="R2353" s="154"/>
      <c r="AB2353" s="124"/>
    </row>
    <row r="2354" spans="18:28" s="105" customFormat="1">
      <c r="R2354" s="154"/>
      <c r="AB2354" s="124"/>
    </row>
    <row r="2355" spans="18:28" s="105" customFormat="1">
      <c r="R2355" s="154"/>
      <c r="AB2355" s="124"/>
    </row>
    <row r="2356" spans="18:28" s="105" customFormat="1">
      <c r="R2356" s="154"/>
      <c r="AB2356" s="124"/>
    </row>
    <row r="2357" spans="18:28" s="105" customFormat="1">
      <c r="R2357" s="154"/>
      <c r="AB2357" s="124"/>
    </row>
    <row r="2358" spans="18:28" s="105" customFormat="1">
      <c r="R2358" s="154"/>
      <c r="AB2358" s="124"/>
    </row>
    <row r="2359" spans="18:28" s="105" customFormat="1">
      <c r="R2359" s="154"/>
      <c r="AB2359" s="124"/>
    </row>
    <row r="2360" spans="18:28" s="105" customFormat="1">
      <c r="R2360" s="154"/>
      <c r="AB2360" s="124"/>
    </row>
    <row r="2361" spans="18:28" s="105" customFormat="1">
      <c r="R2361" s="154"/>
      <c r="AB2361" s="124"/>
    </row>
    <row r="2362" spans="18:28" s="105" customFormat="1">
      <c r="R2362" s="154"/>
      <c r="AB2362" s="124"/>
    </row>
    <row r="2363" spans="18:28" s="105" customFormat="1">
      <c r="R2363" s="154"/>
      <c r="AB2363" s="124"/>
    </row>
    <row r="2364" spans="18:28" s="105" customFormat="1">
      <c r="R2364" s="154"/>
      <c r="AB2364" s="124"/>
    </row>
    <row r="2365" spans="18:28" s="105" customFormat="1">
      <c r="R2365" s="154"/>
      <c r="AB2365" s="124"/>
    </row>
    <row r="2366" spans="18:28" s="105" customFormat="1">
      <c r="R2366" s="154"/>
      <c r="AB2366" s="124"/>
    </row>
    <row r="2367" spans="18:28" s="105" customFormat="1">
      <c r="R2367" s="154"/>
      <c r="AB2367" s="124"/>
    </row>
    <row r="2368" spans="18:28" s="105" customFormat="1">
      <c r="R2368" s="154"/>
      <c r="AB2368" s="124"/>
    </row>
    <row r="2369" spans="18:28" s="105" customFormat="1">
      <c r="R2369" s="154"/>
      <c r="AB2369" s="124"/>
    </row>
    <row r="2370" spans="18:28" s="105" customFormat="1">
      <c r="R2370" s="154"/>
      <c r="AB2370" s="124"/>
    </row>
    <row r="2371" spans="18:28" s="105" customFormat="1">
      <c r="R2371" s="154"/>
      <c r="AB2371" s="124"/>
    </row>
    <row r="2372" spans="18:28" s="105" customFormat="1">
      <c r="R2372" s="154"/>
      <c r="AB2372" s="124"/>
    </row>
    <row r="2373" spans="18:28" s="105" customFormat="1">
      <c r="R2373" s="154"/>
      <c r="AB2373" s="124"/>
    </row>
    <row r="2374" spans="18:28" s="105" customFormat="1">
      <c r="R2374" s="154"/>
      <c r="AB2374" s="124"/>
    </row>
    <row r="2375" spans="18:28" s="105" customFormat="1">
      <c r="R2375" s="154"/>
      <c r="AB2375" s="124"/>
    </row>
    <row r="2376" spans="18:28" s="105" customFormat="1">
      <c r="R2376" s="154"/>
      <c r="AB2376" s="124"/>
    </row>
    <row r="2377" spans="18:28" s="105" customFormat="1">
      <c r="R2377" s="154"/>
      <c r="AB2377" s="124"/>
    </row>
    <row r="2378" spans="18:28" s="105" customFormat="1">
      <c r="R2378" s="154"/>
      <c r="AB2378" s="124"/>
    </row>
    <row r="2379" spans="18:28" s="105" customFormat="1">
      <c r="R2379" s="154"/>
      <c r="AB2379" s="124"/>
    </row>
    <row r="2380" spans="18:28" s="105" customFormat="1">
      <c r="R2380" s="154"/>
      <c r="AB2380" s="124"/>
    </row>
    <row r="2381" spans="18:28" s="105" customFormat="1">
      <c r="R2381" s="154"/>
      <c r="AB2381" s="124"/>
    </row>
    <row r="2382" spans="18:28" s="105" customFormat="1">
      <c r="R2382" s="154"/>
      <c r="AB2382" s="124"/>
    </row>
    <row r="2383" spans="18:28" s="105" customFormat="1">
      <c r="R2383" s="154"/>
      <c r="AB2383" s="124"/>
    </row>
    <row r="2384" spans="18:28" s="105" customFormat="1">
      <c r="R2384" s="154"/>
      <c r="AB2384" s="124"/>
    </row>
    <row r="2385" spans="18:28" s="105" customFormat="1">
      <c r="R2385" s="154"/>
      <c r="AB2385" s="124"/>
    </row>
    <row r="2386" spans="18:28" s="105" customFormat="1">
      <c r="R2386" s="154"/>
      <c r="AB2386" s="124"/>
    </row>
    <row r="2387" spans="18:28" s="105" customFormat="1">
      <c r="R2387" s="154"/>
      <c r="AB2387" s="124"/>
    </row>
    <row r="2388" spans="18:28" s="105" customFormat="1">
      <c r="R2388" s="154"/>
      <c r="AB2388" s="124"/>
    </row>
    <row r="2389" spans="18:28" s="105" customFormat="1">
      <c r="R2389" s="154"/>
      <c r="AB2389" s="124"/>
    </row>
    <row r="2390" spans="18:28" s="105" customFormat="1">
      <c r="R2390" s="154"/>
      <c r="AB2390" s="124"/>
    </row>
    <row r="2391" spans="18:28" s="105" customFormat="1">
      <c r="R2391" s="154"/>
      <c r="AB2391" s="124"/>
    </row>
    <row r="2392" spans="18:28" s="105" customFormat="1">
      <c r="R2392" s="154"/>
      <c r="AB2392" s="124"/>
    </row>
    <row r="2393" spans="18:28" s="105" customFormat="1">
      <c r="R2393" s="154"/>
      <c r="AB2393" s="124"/>
    </row>
    <row r="2394" spans="18:28" s="105" customFormat="1">
      <c r="R2394" s="154"/>
      <c r="AB2394" s="124"/>
    </row>
    <row r="2395" spans="18:28" s="105" customFormat="1">
      <c r="R2395" s="154"/>
      <c r="AB2395" s="124"/>
    </row>
    <row r="2396" spans="18:28" s="105" customFormat="1">
      <c r="R2396" s="154"/>
      <c r="AB2396" s="124"/>
    </row>
    <row r="2397" spans="18:28" s="105" customFormat="1">
      <c r="R2397" s="154"/>
      <c r="AB2397" s="124"/>
    </row>
    <row r="2398" spans="18:28" s="105" customFormat="1">
      <c r="R2398" s="154"/>
      <c r="AB2398" s="124"/>
    </row>
    <row r="2399" spans="18:28" s="105" customFormat="1">
      <c r="R2399" s="154"/>
      <c r="AB2399" s="124"/>
    </row>
    <row r="2400" spans="18:28" s="105" customFormat="1">
      <c r="R2400" s="154"/>
      <c r="AB2400" s="124"/>
    </row>
    <row r="2401" spans="18:28" s="105" customFormat="1">
      <c r="R2401" s="154"/>
      <c r="AB2401" s="124"/>
    </row>
    <row r="2402" spans="18:28" s="105" customFormat="1">
      <c r="R2402" s="154"/>
      <c r="AB2402" s="124"/>
    </row>
    <row r="2403" spans="18:28" s="105" customFormat="1">
      <c r="R2403" s="154"/>
      <c r="AB2403" s="124"/>
    </row>
    <row r="2404" spans="18:28" s="105" customFormat="1">
      <c r="R2404" s="154"/>
      <c r="AB2404" s="124"/>
    </row>
    <row r="2405" spans="18:28" s="105" customFormat="1">
      <c r="R2405" s="154"/>
      <c r="AB2405" s="124"/>
    </row>
    <row r="2406" spans="18:28" s="105" customFormat="1">
      <c r="R2406" s="154"/>
      <c r="AB2406" s="124"/>
    </row>
    <row r="2407" spans="18:28" s="105" customFormat="1">
      <c r="R2407" s="154"/>
      <c r="AB2407" s="124"/>
    </row>
    <row r="2408" spans="18:28" s="105" customFormat="1">
      <c r="R2408" s="154"/>
      <c r="AB2408" s="124"/>
    </row>
    <row r="2409" spans="18:28" s="105" customFormat="1">
      <c r="R2409" s="154"/>
      <c r="AB2409" s="124"/>
    </row>
    <row r="2410" spans="18:28" s="105" customFormat="1">
      <c r="R2410" s="154"/>
      <c r="AB2410" s="124"/>
    </row>
    <row r="2411" spans="18:28" s="105" customFormat="1">
      <c r="R2411" s="154"/>
      <c r="AB2411" s="124"/>
    </row>
    <row r="2412" spans="18:28" s="105" customFormat="1">
      <c r="R2412" s="154"/>
      <c r="AB2412" s="124"/>
    </row>
    <row r="2413" spans="18:28" s="105" customFormat="1">
      <c r="R2413" s="154"/>
      <c r="AB2413" s="124"/>
    </row>
    <row r="2414" spans="18:28" s="105" customFormat="1">
      <c r="R2414" s="154"/>
      <c r="AB2414" s="124"/>
    </row>
    <row r="2415" spans="18:28" s="105" customFormat="1">
      <c r="R2415" s="154"/>
      <c r="AB2415" s="124"/>
    </row>
    <row r="2416" spans="18:28" s="105" customFormat="1">
      <c r="R2416" s="154"/>
      <c r="AB2416" s="124"/>
    </row>
    <row r="2417" spans="18:28" s="105" customFormat="1">
      <c r="R2417" s="154"/>
      <c r="AB2417" s="124"/>
    </row>
    <row r="2418" spans="18:28" s="105" customFormat="1">
      <c r="R2418" s="154"/>
      <c r="AB2418" s="124"/>
    </row>
    <row r="2419" spans="18:28" s="105" customFormat="1">
      <c r="R2419" s="154"/>
      <c r="AB2419" s="124"/>
    </row>
    <row r="2420" spans="18:28" s="105" customFormat="1">
      <c r="R2420" s="154"/>
      <c r="AB2420" s="124"/>
    </row>
    <row r="2421" spans="18:28" s="105" customFormat="1">
      <c r="R2421" s="154"/>
      <c r="AB2421" s="124"/>
    </row>
    <row r="2422" spans="18:28" s="105" customFormat="1">
      <c r="R2422" s="154"/>
      <c r="AB2422" s="124"/>
    </row>
    <row r="2423" spans="18:28" s="105" customFormat="1">
      <c r="R2423" s="154"/>
      <c r="AB2423" s="124"/>
    </row>
    <row r="2424" spans="18:28" s="105" customFormat="1">
      <c r="R2424" s="154"/>
      <c r="AB2424" s="124"/>
    </row>
    <row r="2425" spans="18:28" s="105" customFormat="1">
      <c r="R2425" s="154"/>
      <c r="AB2425" s="124"/>
    </row>
    <row r="2426" spans="18:28" s="105" customFormat="1">
      <c r="R2426" s="154"/>
      <c r="AB2426" s="124"/>
    </row>
    <row r="2427" spans="18:28" s="105" customFormat="1">
      <c r="R2427" s="154"/>
      <c r="AB2427" s="124"/>
    </row>
    <row r="2428" spans="18:28" s="105" customFormat="1">
      <c r="R2428" s="154"/>
      <c r="AB2428" s="124"/>
    </row>
    <row r="2429" spans="18:28" s="105" customFormat="1">
      <c r="R2429" s="154"/>
      <c r="AB2429" s="124"/>
    </row>
    <row r="2430" spans="18:28" s="105" customFormat="1">
      <c r="R2430" s="154"/>
      <c r="AB2430" s="124"/>
    </row>
    <row r="2431" spans="18:28" s="105" customFormat="1">
      <c r="R2431" s="154"/>
      <c r="AB2431" s="124"/>
    </row>
    <row r="2432" spans="18:28" s="105" customFormat="1">
      <c r="R2432" s="154"/>
      <c r="AB2432" s="124"/>
    </row>
    <row r="2433" spans="18:28" s="105" customFormat="1">
      <c r="R2433" s="154"/>
      <c r="AB2433" s="124"/>
    </row>
    <row r="2434" spans="18:28" s="105" customFormat="1">
      <c r="R2434" s="154"/>
      <c r="AB2434" s="124"/>
    </row>
    <row r="2435" spans="18:28" s="105" customFormat="1">
      <c r="R2435" s="154"/>
      <c r="AB2435" s="124"/>
    </row>
    <row r="2436" spans="18:28" s="105" customFormat="1">
      <c r="R2436" s="154"/>
      <c r="AB2436" s="124"/>
    </row>
    <row r="2437" spans="18:28" s="105" customFormat="1">
      <c r="R2437" s="154"/>
      <c r="AB2437" s="124"/>
    </row>
    <row r="2438" spans="18:28" s="105" customFormat="1">
      <c r="R2438" s="154"/>
      <c r="AB2438" s="124"/>
    </row>
    <row r="2439" spans="18:28" s="105" customFormat="1">
      <c r="R2439" s="154"/>
      <c r="AB2439" s="124"/>
    </row>
    <row r="2440" spans="18:28" s="105" customFormat="1">
      <c r="R2440" s="154"/>
      <c r="AB2440" s="124"/>
    </row>
    <row r="2441" spans="18:28" s="105" customFormat="1">
      <c r="R2441" s="154"/>
      <c r="AB2441" s="124"/>
    </row>
    <row r="2442" spans="18:28" s="105" customFormat="1">
      <c r="R2442" s="154"/>
      <c r="AB2442" s="124"/>
    </row>
    <row r="2443" spans="18:28" s="105" customFormat="1">
      <c r="R2443" s="154"/>
      <c r="AB2443" s="124"/>
    </row>
    <row r="2444" spans="18:28" s="105" customFormat="1">
      <c r="R2444" s="154"/>
      <c r="AB2444" s="124"/>
    </row>
    <row r="2445" spans="18:28" s="105" customFormat="1">
      <c r="R2445" s="154"/>
      <c r="AB2445" s="124"/>
    </row>
    <row r="2446" spans="18:28" s="105" customFormat="1">
      <c r="R2446" s="154"/>
      <c r="AB2446" s="124"/>
    </row>
    <row r="2447" spans="18:28" s="105" customFormat="1">
      <c r="R2447" s="154"/>
      <c r="AB2447" s="124"/>
    </row>
    <row r="2448" spans="18:28" s="105" customFormat="1">
      <c r="R2448" s="154"/>
      <c r="AB2448" s="124"/>
    </row>
    <row r="2449" spans="18:28" s="105" customFormat="1">
      <c r="R2449" s="154"/>
      <c r="AB2449" s="124"/>
    </row>
    <row r="2450" spans="18:28" s="105" customFormat="1">
      <c r="R2450" s="154"/>
      <c r="AB2450" s="124"/>
    </row>
    <row r="2451" spans="18:28" s="105" customFormat="1">
      <c r="R2451" s="154"/>
      <c r="AB2451" s="124"/>
    </row>
    <row r="2452" spans="18:28" s="105" customFormat="1">
      <c r="R2452" s="154"/>
      <c r="AB2452" s="124"/>
    </row>
    <row r="2453" spans="18:28" s="105" customFormat="1">
      <c r="R2453" s="154"/>
      <c r="AB2453" s="124"/>
    </row>
    <row r="2454" spans="18:28" s="105" customFormat="1">
      <c r="R2454" s="154"/>
      <c r="AB2454" s="124"/>
    </row>
    <row r="2455" spans="18:28" s="105" customFormat="1">
      <c r="R2455" s="154"/>
      <c r="AB2455" s="124"/>
    </row>
    <row r="2456" spans="18:28" s="105" customFormat="1">
      <c r="R2456" s="154"/>
      <c r="AB2456" s="124"/>
    </row>
    <row r="2457" spans="18:28" s="105" customFormat="1">
      <c r="R2457" s="154"/>
      <c r="AB2457" s="124"/>
    </row>
    <row r="2458" spans="18:28" s="105" customFormat="1">
      <c r="R2458" s="154"/>
      <c r="AB2458" s="124"/>
    </row>
    <row r="2459" spans="18:28" s="105" customFormat="1">
      <c r="R2459" s="154"/>
      <c r="AB2459" s="124"/>
    </row>
    <row r="2460" spans="18:28" s="105" customFormat="1">
      <c r="R2460" s="154"/>
      <c r="AB2460" s="124"/>
    </row>
    <row r="2461" spans="18:28" s="105" customFormat="1">
      <c r="R2461" s="154"/>
      <c r="AB2461" s="124"/>
    </row>
    <row r="2462" spans="18:28" s="105" customFormat="1">
      <c r="R2462" s="154"/>
      <c r="AB2462" s="124"/>
    </row>
    <row r="2463" spans="18:28" s="105" customFormat="1">
      <c r="R2463" s="154"/>
      <c r="AB2463" s="124"/>
    </row>
    <row r="2464" spans="18:28" s="105" customFormat="1">
      <c r="R2464" s="154"/>
      <c r="AB2464" s="124"/>
    </row>
    <row r="2465" spans="18:28" s="105" customFormat="1">
      <c r="R2465" s="154"/>
      <c r="AB2465" s="124"/>
    </row>
    <row r="2466" spans="18:28" s="105" customFormat="1">
      <c r="R2466" s="154"/>
      <c r="AB2466" s="124"/>
    </row>
    <row r="2467" spans="18:28" s="105" customFormat="1">
      <c r="R2467" s="154"/>
      <c r="AB2467" s="124"/>
    </row>
    <row r="2468" spans="18:28" s="105" customFormat="1">
      <c r="R2468" s="154"/>
      <c r="AB2468" s="124"/>
    </row>
    <row r="2469" spans="18:28" s="105" customFormat="1">
      <c r="R2469" s="154"/>
      <c r="AB2469" s="124"/>
    </row>
    <row r="2470" spans="18:28" s="105" customFormat="1">
      <c r="R2470" s="154"/>
      <c r="AB2470" s="124"/>
    </row>
    <row r="2471" spans="18:28" s="105" customFormat="1">
      <c r="R2471" s="154"/>
      <c r="AB2471" s="124"/>
    </row>
    <row r="2472" spans="18:28" s="105" customFormat="1">
      <c r="R2472" s="154"/>
      <c r="AB2472" s="124"/>
    </row>
    <row r="2473" spans="18:28" s="105" customFormat="1">
      <c r="R2473" s="154"/>
      <c r="AB2473" s="124"/>
    </row>
    <row r="2474" spans="18:28" s="105" customFormat="1">
      <c r="R2474" s="154"/>
      <c r="AB2474" s="124"/>
    </row>
    <row r="2475" spans="18:28" s="105" customFormat="1">
      <c r="R2475" s="154"/>
      <c r="AB2475" s="124"/>
    </row>
    <row r="2476" spans="18:28" s="105" customFormat="1">
      <c r="R2476" s="154"/>
      <c r="AB2476" s="124"/>
    </row>
    <row r="2477" spans="18:28" s="105" customFormat="1">
      <c r="R2477" s="154"/>
      <c r="AB2477" s="124"/>
    </row>
    <row r="2478" spans="18:28" s="105" customFormat="1">
      <c r="R2478" s="154"/>
      <c r="AB2478" s="124"/>
    </row>
    <row r="2479" spans="18:28" s="105" customFormat="1">
      <c r="R2479" s="154"/>
      <c r="AB2479" s="124"/>
    </row>
    <row r="2480" spans="18:28" s="105" customFormat="1">
      <c r="R2480" s="154"/>
      <c r="AB2480" s="124"/>
    </row>
    <row r="2481" spans="18:28" s="105" customFormat="1">
      <c r="R2481" s="154"/>
      <c r="AB2481" s="124"/>
    </row>
    <row r="2482" spans="18:28" s="105" customFormat="1">
      <c r="R2482" s="154"/>
      <c r="AB2482" s="124"/>
    </row>
    <row r="2483" spans="18:28" s="105" customFormat="1">
      <c r="R2483" s="154"/>
      <c r="AB2483" s="124"/>
    </row>
    <row r="2484" spans="18:28" s="105" customFormat="1">
      <c r="R2484" s="154"/>
      <c r="AB2484" s="124"/>
    </row>
    <row r="2485" spans="18:28" s="105" customFormat="1">
      <c r="R2485" s="154"/>
      <c r="AB2485" s="124"/>
    </row>
    <row r="2486" spans="18:28" s="105" customFormat="1">
      <c r="R2486" s="154"/>
      <c r="AB2486" s="124"/>
    </row>
    <row r="2487" spans="18:28" s="105" customFormat="1">
      <c r="R2487" s="154"/>
      <c r="AB2487" s="124"/>
    </row>
    <row r="2488" spans="18:28" s="105" customFormat="1">
      <c r="R2488" s="154"/>
      <c r="AB2488" s="124"/>
    </row>
    <row r="2489" spans="18:28" s="105" customFormat="1">
      <c r="R2489" s="154"/>
      <c r="AB2489" s="124"/>
    </row>
    <row r="2490" spans="18:28" s="105" customFormat="1">
      <c r="R2490" s="154"/>
      <c r="AB2490" s="124"/>
    </row>
    <row r="2491" spans="18:28" s="105" customFormat="1">
      <c r="R2491" s="154"/>
      <c r="AB2491" s="124"/>
    </row>
    <row r="2492" spans="18:28" s="105" customFormat="1">
      <c r="R2492" s="154"/>
      <c r="AB2492" s="124"/>
    </row>
    <row r="2493" spans="18:28" s="105" customFormat="1">
      <c r="R2493" s="154"/>
      <c r="AB2493" s="124"/>
    </row>
    <row r="2494" spans="18:28" s="105" customFormat="1">
      <c r="R2494" s="154"/>
      <c r="AB2494" s="124"/>
    </row>
    <row r="2495" spans="18:28" s="105" customFormat="1">
      <c r="R2495" s="154"/>
      <c r="AB2495" s="124"/>
    </row>
    <row r="2496" spans="18:28" s="105" customFormat="1">
      <c r="R2496" s="154"/>
      <c r="AB2496" s="124"/>
    </row>
    <row r="2497" spans="18:28" s="105" customFormat="1">
      <c r="R2497" s="154"/>
      <c r="AB2497" s="124"/>
    </row>
    <row r="2498" spans="18:28" s="105" customFormat="1">
      <c r="R2498" s="154"/>
      <c r="AB2498" s="124"/>
    </row>
    <row r="2499" spans="18:28" s="105" customFormat="1">
      <c r="R2499" s="154"/>
      <c r="AB2499" s="124"/>
    </row>
    <row r="2500" spans="18:28" s="105" customFormat="1">
      <c r="R2500" s="154"/>
      <c r="AB2500" s="124"/>
    </row>
    <row r="2501" spans="18:28" s="105" customFormat="1">
      <c r="R2501" s="154"/>
      <c r="AB2501" s="124"/>
    </row>
    <row r="2502" spans="18:28" s="105" customFormat="1">
      <c r="R2502" s="154"/>
      <c r="AB2502" s="124"/>
    </row>
    <row r="2503" spans="18:28" s="105" customFormat="1">
      <c r="R2503" s="154"/>
      <c r="AB2503" s="124"/>
    </row>
    <row r="2504" spans="18:28" s="105" customFormat="1">
      <c r="R2504" s="154"/>
      <c r="AB2504" s="124"/>
    </row>
    <row r="2505" spans="18:28" s="105" customFormat="1">
      <c r="R2505" s="154"/>
      <c r="AB2505" s="124"/>
    </row>
    <row r="2506" spans="18:28" s="105" customFormat="1">
      <c r="R2506" s="154"/>
      <c r="AB2506" s="124"/>
    </row>
    <row r="2507" spans="18:28" s="105" customFormat="1">
      <c r="R2507" s="154"/>
      <c r="AB2507" s="124"/>
    </row>
    <row r="2508" spans="18:28" s="105" customFormat="1">
      <c r="R2508" s="154"/>
      <c r="AB2508" s="124"/>
    </row>
    <row r="2509" spans="18:28" s="105" customFormat="1">
      <c r="R2509" s="154"/>
      <c r="AB2509" s="124"/>
    </row>
    <row r="2510" spans="18:28" s="105" customFormat="1">
      <c r="R2510" s="154"/>
      <c r="AB2510" s="124"/>
    </row>
    <row r="2511" spans="18:28" s="105" customFormat="1">
      <c r="R2511" s="154"/>
      <c r="AB2511" s="124"/>
    </row>
    <row r="2512" spans="18:28" s="105" customFormat="1">
      <c r="R2512" s="154"/>
      <c r="AB2512" s="124"/>
    </row>
    <row r="2513" spans="18:28" s="105" customFormat="1">
      <c r="R2513" s="154"/>
      <c r="AB2513" s="124"/>
    </row>
    <row r="2514" spans="18:28" s="105" customFormat="1">
      <c r="R2514" s="154"/>
      <c r="AB2514" s="124"/>
    </row>
    <row r="2515" spans="18:28" s="105" customFormat="1">
      <c r="R2515" s="154"/>
      <c r="AB2515" s="124"/>
    </row>
    <row r="2516" spans="18:28" s="105" customFormat="1">
      <c r="R2516" s="154"/>
      <c r="AB2516" s="124"/>
    </row>
    <row r="2517" spans="18:28" s="105" customFormat="1">
      <c r="R2517" s="154"/>
      <c r="AB2517" s="124"/>
    </row>
    <row r="2518" spans="18:28" s="105" customFormat="1">
      <c r="R2518" s="154"/>
      <c r="AB2518" s="124"/>
    </row>
    <row r="2519" spans="18:28" s="105" customFormat="1">
      <c r="R2519" s="154"/>
      <c r="AB2519" s="124"/>
    </row>
    <row r="2520" spans="18:28" s="105" customFormat="1">
      <c r="R2520" s="154"/>
      <c r="AB2520" s="124"/>
    </row>
    <row r="2521" spans="18:28" s="105" customFormat="1">
      <c r="R2521" s="154"/>
      <c r="AB2521" s="124"/>
    </row>
    <row r="2522" spans="18:28" s="105" customFormat="1">
      <c r="R2522" s="154"/>
      <c r="AB2522" s="124"/>
    </row>
    <row r="2523" spans="18:28" s="105" customFormat="1">
      <c r="R2523" s="154"/>
      <c r="AB2523" s="124"/>
    </row>
    <row r="2524" spans="18:28" s="105" customFormat="1">
      <c r="R2524" s="154"/>
      <c r="AB2524" s="124"/>
    </row>
    <row r="2525" spans="18:28" s="105" customFormat="1">
      <c r="R2525" s="154"/>
      <c r="AB2525" s="124"/>
    </row>
    <row r="2526" spans="18:28" s="105" customFormat="1">
      <c r="R2526" s="154"/>
      <c r="AB2526" s="124"/>
    </row>
    <row r="2527" spans="18:28" s="105" customFormat="1">
      <c r="R2527" s="154"/>
      <c r="AB2527" s="124"/>
    </row>
    <row r="2528" spans="18:28" s="105" customFormat="1">
      <c r="R2528" s="154"/>
      <c r="AB2528" s="124"/>
    </row>
    <row r="2529" spans="18:28" s="105" customFormat="1">
      <c r="R2529" s="154"/>
      <c r="AB2529" s="124"/>
    </row>
    <row r="2530" spans="18:28" s="105" customFormat="1">
      <c r="R2530" s="154"/>
      <c r="AB2530" s="124"/>
    </row>
    <row r="2531" spans="18:28" s="105" customFormat="1">
      <c r="R2531" s="154"/>
      <c r="AB2531" s="124"/>
    </row>
    <row r="2532" spans="18:28" s="105" customFormat="1">
      <c r="R2532" s="154"/>
      <c r="AB2532" s="124"/>
    </row>
    <row r="2533" spans="18:28" s="105" customFormat="1">
      <c r="R2533" s="154"/>
      <c r="AB2533" s="124"/>
    </row>
    <row r="2534" spans="18:28" s="105" customFormat="1">
      <c r="R2534" s="154"/>
      <c r="AB2534" s="124"/>
    </row>
    <row r="2535" spans="18:28" s="105" customFormat="1">
      <c r="R2535" s="154"/>
      <c r="AB2535" s="124"/>
    </row>
    <row r="2536" spans="18:28" s="105" customFormat="1">
      <c r="R2536" s="154"/>
      <c r="AB2536" s="124"/>
    </row>
    <row r="2537" spans="18:28" s="105" customFormat="1">
      <c r="R2537" s="154"/>
      <c r="AB2537" s="124"/>
    </row>
    <row r="2538" spans="18:28" s="105" customFormat="1">
      <c r="R2538" s="154"/>
      <c r="AB2538" s="124"/>
    </row>
    <row r="2539" spans="18:28" s="105" customFormat="1">
      <c r="R2539" s="154"/>
      <c r="AB2539" s="124"/>
    </row>
    <row r="2540" spans="18:28" s="105" customFormat="1">
      <c r="R2540" s="154"/>
      <c r="AB2540" s="124"/>
    </row>
    <row r="2541" spans="18:28" s="105" customFormat="1">
      <c r="R2541" s="154"/>
      <c r="AB2541" s="124"/>
    </row>
    <row r="2542" spans="18:28" s="105" customFormat="1">
      <c r="R2542" s="154"/>
      <c r="AB2542" s="124"/>
    </row>
    <row r="2543" spans="18:28" s="105" customFormat="1">
      <c r="R2543" s="154"/>
      <c r="AB2543" s="124"/>
    </row>
    <row r="2544" spans="18:28" s="105" customFormat="1">
      <c r="R2544" s="154"/>
      <c r="AB2544" s="124"/>
    </row>
    <row r="2545" spans="18:28" s="105" customFormat="1">
      <c r="R2545" s="154"/>
      <c r="AB2545" s="124"/>
    </row>
    <row r="2546" spans="18:28" s="105" customFormat="1">
      <c r="R2546" s="154"/>
      <c r="AB2546" s="124"/>
    </row>
    <row r="2547" spans="18:28" s="105" customFormat="1">
      <c r="R2547" s="154"/>
      <c r="AB2547" s="124"/>
    </row>
    <row r="2548" spans="18:28" s="105" customFormat="1">
      <c r="R2548" s="154"/>
      <c r="AB2548" s="124"/>
    </row>
    <row r="2549" spans="18:28" s="105" customFormat="1">
      <c r="R2549" s="154"/>
      <c r="AB2549" s="124"/>
    </row>
    <row r="2550" spans="18:28" s="105" customFormat="1">
      <c r="R2550" s="154"/>
      <c r="AB2550" s="124"/>
    </row>
    <row r="2551" spans="18:28" s="105" customFormat="1">
      <c r="R2551" s="154"/>
      <c r="AB2551" s="124"/>
    </row>
    <row r="2552" spans="18:28" s="105" customFormat="1">
      <c r="R2552" s="154"/>
      <c r="AB2552" s="124"/>
    </row>
    <row r="2553" spans="18:28" s="105" customFormat="1">
      <c r="R2553" s="154"/>
      <c r="AB2553" s="124"/>
    </row>
    <row r="2554" spans="18:28" s="105" customFormat="1">
      <c r="R2554" s="154"/>
      <c r="AB2554" s="124"/>
    </row>
    <row r="2555" spans="18:28" s="105" customFormat="1">
      <c r="R2555" s="154"/>
      <c r="AB2555" s="124"/>
    </row>
    <row r="2556" spans="18:28" s="105" customFormat="1">
      <c r="R2556" s="154"/>
      <c r="AB2556" s="124"/>
    </row>
    <row r="2557" spans="18:28" s="105" customFormat="1">
      <c r="R2557" s="154"/>
      <c r="AB2557" s="124"/>
    </row>
    <row r="2558" spans="18:28" s="105" customFormat="1">
      <c r="R2558" s="154"/>
      <c r="AB2558" s="124"/>
    </row>
    <row r="2559" spans="18:28" s="105" customFormat="1">
      <c r="R2559" s="154"/>
      <c r="AB2559" s="124"/>
    </row>
    <row r="2560" spans="18:28" s="105" customFormat="1">
      <c r="R2560" s="154"/>
      <c r="AB2560" s="124"/>
    </row>
    <row r="2561" spans="18:28" s="105" customFormat="1">
      <c r="R2561" s="154"/>
      <c r="AB2561" s="124"/>
    </row>
    <row r="2562" spans="18:28" s="105" customFormat="1">
      <c r="R2562" s="154"/>
      <c r="AB2562" s="124"/>
    </row>
    <row r="2563" spans="18:28" s="105" customFormat="1">
      <c r="R2563" s="154"/>
      <c r="AB2563" s="124"/>
    </row>
    <row r="2564" spans="18:28" s="105" customFormat="1">
      <c r="R2564" s="154"/>
      <c r="AB2564" s="124"/>
    </row>
    <row r="2565" spans="18:28" s="105" customFormat="1">
      <c r="R2565" s="154"/>
      <c r="AB2565" s="124"/>
    </row>
    <row r="2566" spans="18:28" s="105" customFormat="1">
      <c r="R2566" s="154"/>
      <c r="AB2566" s="124"/>
    </row>
    <row r="2567" spans="18:28" s="105" customFormat="1">
      <c r="R2567" s="154"/>
      <c r="AB2567" s="124"/>
    </row>
    <row r="2568" spans="18:28" s="105" customFormat="1">
      <c r="R2568" s="154"/>
      <c r="AB2568" s="124"/>
    </row>
    <row r="2569" spans="18:28" s="105" customFormat="1">
      <c r="R2569" s="154"/>
      <c r="AB2569" s="124"/>
    </row>
    <row r="2570" spans="18:28" s="105" customFormat="1">
      <c r="R2570" s="154"/>
      <c r="AB2570" s="124"/>
    </row>
    <row r="2571" spans="18:28" s="105" customFormat="1">
      <c r="R2571" s="154"/>
      <c r="AB2571" s="124"/>
    </row>
    <row r="2572" spans="18:28" s="105" customFormat="1">
      <c r="R2572" s="154"/>
      <c r="AB2572" s="124"/>
    </row>
    <row r="2573" spans="18:28" s="105" customFormat="1">
      <c r="R2573" s="154"/>
      <c r="AB2573" s="124"/>
    </row>
    <row r="2574" spans="18:28" s="105" customFormat="1">
      <c r="R2574" s="154"/>
      <c r="AB2574" s="124"/>
    </row>
    <row r="2575" spans="18:28" s="105" customFormat="1">
      <c r="R2575" s="154"/>
      <c r="AB2575" s="124"/>
    </row>
    <row r="2576" spans="18:28" s="105" customFormat="1">
      <c r="R2576" s="154"/>
      <c r="AB2576" s="124"/>
    </row>
    <row r="2577" spans="18:28" s="105" customFormat="1">
      <c r="R2577" s="154"/>
      <c r="AB2577" s="124"/>
    </row>
    <row r="2578" spans="18:28" s="105" customFormat="1">
      <c r="R2578" s="154"/>
      <c r="AB2578" s="124"/>
    </row>
    <row r="2579" spans="18:28" s="105" customFormat="1">
      <c r="R2579" s="154"/>
      <c r="AB2579" s="124"/>
    </row>
    <row r="2580" spans="18:28" s="105" customFormat="1">
      <c r="R2580" s="154"/>
      <c r="AB2580" s="124"/>
    </row>
    <row r="2581" spans="18:28" s="105" customFormat="1">
      <c r="R2581" s="154"/>
      <c r="AB2581" s="124"/>
    </row>
    <row r="2582" spans="18:28" s="105" customFormat="1">
      <c r="R2582" s="154"/>
      <c r="AB2582" s="124"/>
    </row>
    <row r="2583" spans="18:28" s="105" customFormat="1">
      <c r="R2583" s="154"/>
      <c r="AB2583" s="124"/>
    </row>
    <row r="2584" spans="18:28" s="105" customFormat="1">
      <c r="R2584" s="154"/>
      <c r="AB2584" s="124"/>
    </row>
    <row r="2585" spans="18:28" s="105" customFormat="1">
      <c r="R2585" s="154"/>
      <c r="AB2585" s="124"/>
    </row>
    <row r="2586" spans="18:28" s="105" customFormat="1">
      <c r="R2586" s="154"/>
      <c r="AB2586" s="124"/>
    </row>
    <row r="2587" spans="18:28" s="105" customFormat="1">
      <c r="R2587" s="154"/>
      <c r="AB2587" s="124"/>
    </row>
    <row r="2588" spans="18:28" s="105" customFormat="1">
      <c r="R2588" s="154"/>
      <c r="AB2588" s="124"/>
    </row>
    <row r="2589" spans="18:28" s="105" customFormat="1">
      <c r="R2589" s="154"/>
      <c r="AB2589" s="124"/>
    </row>
    <row r="2590" spans="18:28" s="105" customFormat="1">
      <c r="R2590" s="154"/>
      <c r="AB2590" s="124"/>
    </row>
    <row r="2591" spans="18:28" s="105" customFormat="1">
      <c r="R2591" s="154"/>
      <c r="AB2591" s="124"/>
    </row>
    <row r="2592" spans="18:28" s="105" customFormat="1">
      <c r="R2592" s="154"/>
      <c r="AB2592" s="124"/>
    </row>
    <row r="2593" spans="18:28" s="105" customFormat="1">
      <c r="R2593" s="154"/>
      <c r="AB2593" s="124"/>
    </row>
    <row r="2594" spans="18:28" s="105" customFormat="1">
      <c r="R2594" s="154"/>
      <c r="AB2594" s="124"/>
    </row>
    <row r="2595" spans="18:28" s="105" customFormat="1">
      <c r="R2595" s="154"/>
      <c r="AB2595" s="124"/>
    </row>
    <row r="2596" spans="18:28" s="105" customFormat="1">
      <c r="R2596" s="154"/>
      <c r="AB2596" s="124"/>
    </row>
    <row r="2597" spans="18:28" s="105" customFormat="1">
      <c r="R2597" s="154"/>
      <c r="AB2597" s="124"/>
    </row>
    <row r="2598" spans="18:28" s="105" customFormat="1">
      <c r="R2598" s="154"/>
      <c r="AB2598" s="124"/>
    </row>
    <row r="2599" spans="18:28" s="105" customFormat="1">
      <c r="R2599" s="154"/>
      <c r="AB2599" s="124"/>
    </row>
    <row r="2600" spans="18:28" s="105" customFormat="1">
      <c r="R2600" s="154"/>
      <c r="AB2600" s="124"/>
    </row>
    <row r="2601" spans="18:28" s="105" customFormat="1">
      <c r="R2601" s="154"/>
      <c r="AB2601" s="124"/>
    </row>
    <row r="2602" spans="18:28" s="105" customFormat="1">
      <c r="R2602" s="154"/>
      <c r="AB2602" s="124"/>
    </row>
    <row r="2603" spans="18:28" s="105" customFormat="1">
      <c r="R2603" s="154"/>
      <c r="AB2603" s="124"/>
    </row>
    <row r="2604" spans="18:28" s="105" customFormat="1">
      <c r="R2604" s="154"/>
      <c r="AB2604" s="124"/>
    </row>
    <row r="2605" spans="18:28" s="105" customFormat="1">
      <c r="R2605" s="154"/>
      <c r="AB2605" s="124"/>
    </row>
    <row r="2606" spans="18:28" s="105" customFormat="1">
      <c r="R2606" s="154"/>
      <c r="AB2606" s="124"/>
    </row>
    <row r="2607" spans="18:28" s="105" customFormat="1">
      <c r="R2607" s="154"/>
      <c r="AB2607" s="124"/>
    </row>
    <row r="2608" spans="18:28" s="105" customFormat="1">
      <c r="R2608" s="154"/>
      <c r="AB2608" s="124"/>
    </row>
    <row r="2609" spans="18:28" s="105" customFormat="1">
      <c r="R2609" s="154"/>
      <c r="AB2609" s="124"/>
    </row>
    <row r="2610" spans="18:28" s="105" customFormat="1">
      <c r="R2610" s="154"/>
      <c r="AB2610" s="124"/>
    </row>
    <row r="2611" spans="18:28" s="105" customFormat="1">
      <c r="R2611" s="154"/>
      <c r="AB2611" s="124"/>
    </row>
    <row r="2612" spans="18:28" s="105" customFormat="1">
      <c r="R2612" s="154"/>
      <c r="AB2612" s="124"/>
    </row>
    <row r="2613" spans="18:28" s="105" customFormat="1">
      <c r="R2613" s="154"/>
      <c r="AB2613" s="124"/>
    </row>
    <row r="2614" spans="18:28" s="105" customFormat="1">
      <c r="R2614" s="154"/>
      <c r="AB2614" s="124"/>
    </row>
    <row r="2615" spans="18:28" s="105" customFormat="1">
      <c r="R2615" s="154"/>
      <c r="AB2615" s="124"/>
    </row>
    <row r="2616" spans="18:28" s="105" customFormat="1">
      <c r="R2616" s="154"/>
      <c r="AB2616" s="124"/>
    </row>
    <row r="2617" spans="18:28" s="105" customFormat="1">
      <c r="R2617" s="154"/>
      <c r="AB2617" s="124"/>
    </row>
    <row r="2618" spans="18:28" s="105" customFormat="1">
      <c r="R2618" s="154"/>
      <c r="AB2618" s="124"/>
    </row>
    <row r="2619" spans="18:28" s="105" customFormat="1">
      <c r="R2619" s="154"/>
      <c r="AB2619" s="124"/>
    </row>
    <row r="2620" spans="18:28" s="105" customFormat="1">
      <c r="R2620" s="154"/>
      <c r="AB2620" s="124"/>
    </row>
    <row r="2621" spans="18:28" s="105" customFormat="1">
      <c r="R2621" s="154"/>
      <c r="AB2621" s="124"/>
    </row>
    <row r="2622" spans="18:28" s="105" customFormat="1">
      <c r="R2622" s="154"/>
      <c r="AB2622" s="124"/>
    </row>
    <row r="2623" spans="18:28" s="105" customFormat="1">
      <c r="R2623" s="154"/>
      <c r="AB2623" s="124"/>
    </row>
    <row r="2624" spans="18:28" s="105" customFormat="1">
      <c r="R2624" s="154"/>
      <c r="AB2624" s="124"/>
    </row>
    <row r="2625" spans="18:28" s="105" customFormat="1">
      <c r="R2625" s="154"/>
      <c r="AB2625" s="124"/>
    </row>
    <row r="2626" spans="18:28" s="105" customFormat="1">
      <c r="R2626" s="154"/>
      <c r="AB2626" s="124"/>
    </row>
    <row r="2627" spans="18:28" s="105" customFormat="1">
      <c r="R2627" s="154"/>
      <c r="AB2627" s="124"/>
    </row>
    <row r="2628" spans="18:28" s="105" customFormat="1">
      <c r="R2628" s="154"/>
      <c r="AB2628" s="124"/>
    </row>
    <row r="2629" spans="18:28" s="105" customFormat="1">
      <c r="R2629" s="154"/>
      <c r="AB2629" s="124"/>
    </row>
    <row r="2630" spans="18:28" s="105" customFormat="1">
      <c r="R2630" s="154"/>
      <c r="AB2630" s="124"/>
    </row>
    <row r="2631" spans="18:28" s="105" customFormat="1">
      <c r="R2631" s="154"/>
      <c r="AB2631" s="124"/>
    </row>
    <row r="2632" spans="18:28" s="105" customFormat="1">
      <c r="R2632" s="154"/>
      <c r="AB2632" s="124"/>
    </row>
    <row r="2633" spans="18:28" s="105" customFormat="1">
      <c r="R2633" s="154"/>
      <c r="AB2633" s="124"/>
    </row>
    <row r="2634" spans="18:28" s="105" customFormat="1">
      <c r="R2634" s="154"/>
      <c r="AB2634" s="124"/>
    </row>
    <row r="2635" spans="18:28" s="105" customFormat="1">
      <c r="R2635" s="154"/>
      <c r="AB2635" s="124"/>
    </row>
    <row r="2636" spans="18:28" s="105" customFormat="1">
      <c r="R2636" s="154"/>
      <c r="AB2636" s="124"/>
    </row>
    <row r="2637" spans="18:28" s="105" customFormat="1">
      <c r="R2637" s="154"/>
      <c r="AB2637" s="124"/>
    </row>
    <row r="2638" spans="18:28" s="105" customFormat="1">
      <c r="R2638" s="154"/>
      <c r="AB2638" s="124"/>
    </row>
    <row r="2639" spans="18:28" s="105" customFormat="1">
      <c r="R2639" s="154"/>
      <c r="AB2639" s="124"/>
    </row>
    <row r="2640" spans="18:28" s="105" customFormat="1">
      <c r="R2640" s="154"/>
      <c r="AB2640" s="124"/>
    </row>
    <row r="2641" spans="18:28" s="105" customFormat="1">
      <c r="R2641" s="154"/>
      <c r="AB2641" s="124"/>
    </row>
    <row r="2642" spans="18:28" s="105" customFormat="1">
      <c r="R2642" s="154"/>
      <c r="AB2642" s="124"/>
    </row>
    <row r="2643" spans="18:28" s="105" customFormat="1">
      <c r="R2643" s="154"/>
      <c r="AB2643" s="124"/>
    </row>
    <row r="2644" spans="18:28" s="105" customFormat="1">
      <c r="R2644" s="154"/>
      <c r="AB2644" s="124"/>
    </row>
    <row r="2645" spans="18:28" s="105" customFormat="1">
      <c r="R2645" s="154"/>
      <c r="AB2645" s="124"/>
    </row>
    <row r="2646" spans="18:28" s="105" customFormat="1">
      <c r="R2646" s="154"/>
      <c r="AB2646" s="124"/>
    </row>
    <row r="2647" spans="18:28" s="105" customFormat="1">
      <c r="R2647" s="154"/>
      <c r="AB2647" s="124"/>
    </row>
    <row r="2648" spans="18:28" s="105" customFormat="1">
      <c r="R2648" s="154"/>
      <c r="AB2648" s="124"/>
    </row>
    <row r="2649" spans="18:28" s="105" customFormat="1">
      <c r="R2649" s="154"/>
      <c r="AB2649" s="124"/>
    </row>
    <row r="2650" spans="18:28" s="105" customFormat="1">
      <c r="R2650" s="154"/>
      <c r="AB2650" s="124"/>
    </row>
    <row r="2651" spans="18:28" s="105" customFormat="1">
      <c r="R2651" s="154"/>
      <c r="AB2651" s="124"/>
    </row>
    <row r="2652" spans="18:28" s="105" customFormat="1">
      <c r="R2652" s="154"/>
      <c r="AB2652" s="124"/>
    </row>
    <row r="2653" spans="18:28" s="105" customFormat="1">
      <c r="R2653" s="154"/>
      <c r="AB2653" s="124"/>
    </row>
    <row r="2654" spans="18:28" s="105" customFormat="1">
      <c r="R2654" s="154"/>
      <c r="AB2654" s="124"/>
    </row>
    <row r="2655" spans="18:28" s="105" customFormat="1">
      <c r="R2655" s="154"/>
      <c r="AB2655" s="124"/>
    </row>
    <row r="2656" spans="18:28" s="105" customFormat="1">
      <c r="R2656" s="154"/>
      <c r="AB2656" s="124"/>
    </row>
    <row r="2657" spans="18:28" s="105" customFormat="1">
      <c r="R2657" s="154"/>
      <c r="AB2657" s="124"/>
    </row>
    <row r="2658" spans="18:28" s="105" customFormat="1">
      <c r="R2658" s="154"/>
      <c r="AB2658" s="124"/>
    </row>
    <row r="2659" spans="18:28" s="105" customFormat="1">
      <c r="R2659" s="154"/>
      <c r="AB2659" s="124"/>
    </row>
    <row r="2660" spans="18:28" s="105" customFormat="1">
      <c r="R2660" s="154"/>
      <c r="AB2660" s="124"/>
    </row>
    <row r="2661" spans="18:28" s="105" customFormat="1">
      <c r="R2661" s="154"/>
      <c r="AB2661" s="124"/>
    </row>
    <row r="2662" spans="18:28" s="105" customFormat="1">
      <c r="R2662" s="154"/>
      <c r="AB2662" s="124"/>
    </row>
    <row r="2663" spans="18:28" s="105" customFormat="1">
      <c r="R2663" s="154"/>
      <c r="AB2663" s="124"/>
    </row>
    <row r="2664" spans="18:28" s="105" customFormat="1">
      <c r="R2664" s="154"/>
      <c r="AB2664" s="124"/>
    </row>
    <row r="2665" spans="18:28" s="105" customFormat="1">
      <c r="R2665" s="154"/>
      <c r="AB2665" s="124"/>
    </row>
    <row r="2666" spans="18:28" s="105" customFormat="1">
      <c r="R2666" s="154"/>
      <c r="AB2666" s="124"/>
    </row>
    <row r="2667" spans="18:28" s="105" customFormat="1">
      <c r="R2667" s="154"/>
      <c r="AB2667" s="124"/>
    </row>
    <row r="2668" spans="18:28" s="105" customFormat="1">
      <c r="R2668" s="154"/>
      <c r="AB2668" s="124"/>
    </row>
    <row r="2669" spans="18:28" s="105" customFormat="1">
      <c r="R2669" s="154"/>
      <c r="AB2669" s="124"/>
    </row>
    <row r="2670" spans="18:28" s="105" customFormat="1">
      <c r="R2670" s="154"/>
      <c r="AB2670" s="124"/>
    </row>
    <row r="2671" spans="18:28" s="105" customFormat="1">
      <c r="R2671" s="154"/>
      <c r="AB2671" s="124"/>
    </row>
    <row r="2672" spans="18:28" s="105" customFormat="1">
      <c r="R2672" s="154"/>
      <c r="AB2672" s="124"/>
    </row>
    <row r="2673" spans="18:28" s="105" customFormat="1">
      <c r="R2673" s="154"/>
      <c r="AB2673" s="124"/>
    </row>
    <row r="2674" spans="18:28" s="105" customFormat="1">
      <c r="R2674" s="154"/>
      <c r="AB2674" s="124"/>
    </row>
    <row r="2675" spans="18:28" s="105" customFormat="1">
      <c r="R2675" s="154"/>
      <c r="AB2675" s="124"/>
    </row>
    <row r="2676" spans="18:28" s="105" customFormat="1">
      <c r="R2676" s="154"/>
      <c r="AB2676" s="124"/>
    </row>
    <row r="2677" spans="18:28" s="105" customFormat="1">
      <c r="R2677" s="154"/>
      <c r="AB2677" s="124"/>
    </row>
    <row r="2678" spans="18:28" s="105" customFormat="1">
      <c r="R2678" s="154"/>
      <c r="AB2678" s="124"/>
    </row>
    <row r="2679" spans="18:28" s="105" customFormat="1">
      <c r="R2679" s="154"/>
      <c r="AB2679" s="124"/>
    </row>
    <row r="2680" spans="18:28" s="105" customFormat="1">
      <c r="R2680" s="154"/>
      <c r="AB2680" s="124"/>
    </row>
    <row r="2681" spans="18:28" s="105" customFormat="1">
      <c r="R2681" s="154"/>
      <c r="AB2681" s="124"/>
    </row>
    <row r="2682" spans="18:28" s="105" customFormat="1">
      <c r="R2682" s="154"/>
      <c r="AB2682" s="124"/>
    </row>
    <row r="2683" spans="18:28" s="105" customFormat="1">
      <c r="R2683" s="154"/>
      <c r="AB2683" s="124"/>
    </row>
    <row r="2684" spans="18:28" s="105" customFormat="1">
      <c r="R2684" s="154"/>
      <c r="AB2684" s="124"/>
    </row>
    <row r="2685" spans="18:28" s="105" customFormat="1">
      <c r="R2685" s="154"/>
      <c r="AB2685" s="124"/>
    </row>
    <row r="2686" spans="18:28" s="105" customFormat="1">
      <c r="R2686" s="154"/>
      <c r="AB2686" s="124"/>
    </row>
    <row r="2687" spans="18:28" s="105" customFormat="1">
      <c r="R2687" s="154"/>
      <c r="AB2687" s="124"/>
    </row>
    <row r="2688" spans="18:28" s="105" customFormat="1">
      <c r="R2688" s="154"/>
      <c r="AB2688" s="124"/>
    </row>
    <row r="2689" spans="18:28" s="105" customFormat="1">
      <c r="R2689" s="154"/>
      <c r="AB2689" s="124"/>
    </row>
    <row r="2690" spans="18:28" s="105" customFormat="1">
      <c r="R2690" s="154"/>
      <c r="AB2690" s="124"/>
    </row>
    <row r="2691" spans="18:28" s="105" customFormat="1">
      <c r="R2691" s="154"/>
      <c r="AB2691" s="124"/>
    </row>
    <row r="2692" spans="18:28" s="105" customFormat="1">
      <c r="R2692" s="154"/>
      <c r="AB2692" s="124"/>
    </row>
    <row r="2693" spans="18:28" s="105" customFormat="1">
      <c r="R2693" s="154"/>
      <c r="AB2693" s="124"/>
    </row>
    <row r="2694" spans="18:28" s="105" customFormat="1">
      <c r="R2694" s="154"/>
      <c r="AB2694" s="124"/>
    </row>
    <row r="2695" spans="18:28" s="105" customFormat="1">
      <c r="R2695" s="154"/>
      <c r="AB2695" s="124"/>
    </row>
    <row r="2696" spans="18:28" s="105" customFormat="1">
      <c r="R2696" s="154"/>
      <c r="AB2696" s="124"/>
    </row>
    <row r="2697" spans="18:28" s="105" customFormat="1">
      <c r="R2697" s="154"/>
      <c r="AB2697" s="124"/>
    </row>
    <row r="2698" spans="18:28" s="105" customFormat="1">
      <c r="R2698" s="154"/>
      <c r="AB2698" s="124"/>
    </row>
    <row r="2699" spans="18:28" s="105" customFormat="1">
      <c r="R2699" s="154"/>
      <c r="AB2699" s="124"/>
    </row>
    <row r="2700" spans="18:28" s="105" customFormat="1">
      <c r="R2700" s="154"/>
      <c r="AB2700" s="124"/>
    </row>
    <row r="2701" spans="18:28" s="105" customFormat="1">
      <c r="R2701" s="154"/>
      <c r="AB2701" s="124"/>
    </row>
    <row r="2702" spans="18:28" s="105" customFormat="1">
      <c r="R2702" s="154"/>
      <c r="AB2702" s="124"/>
    </row>
    <row r="2703" spans="18:28" s="105" customFormat="1">
      <c r="R2703" s="154"/>
      <c r="AB2703" s="124"/>
    </row>
    <row r="2704" spans="18:28" s="105" customFormat="1">
      <c r="R2704" s="154"/>
      <c r="AB2704" s="124"/>
    </row>
    <row r="2705" spans="18:28" s="105" customFormat="1">
      <c r="R2705" s="154"/>
      <c r="AB2705" s="124"/>
    </row>
    <row r="2706" spans="18:28" s="105" customFormat="1">
      <c r="R2706" s="154"/>
      <c r="AB2706" s="124"/>
    </row>
    <row r="2707" spans="18:28" s="105" customFormat="1">
      <c r="R2707" s="154"/>
      <c r="AB2707" s="124"/>
    </row>
    <row r="2708" spans="18:28" s="105" customFormat="1">
      <c r="R2708" s="154"/>
      <c r="AB2708" s="124"/>
    </row>
    <row r="2709" spans="18:28" s="105" customFormat="1">
      <c r="R2709" s="154"/>
      <c r="AB2709" s="124"/>
    </row>
    <row r="2710" spans="18:28" s="105" customFormat="1">
      <c r="R2710" s="154"/>
      <c r="AB2710" s="124"/>
    </row>
    <row r="2711" spans="18:28" s="105" customFormat="1">
      <c r="R2711" s="154"/>
      <c r="AB2711" s="124"/>
    </row>
    <row r="2712" spans="18:28" s="105" customFormat="1">
      <c r="R2712" s="154"/>
      <c r="AB2712" s="124"/>
    </row>
    <row r="2713" spans="18:28" s="105" customFormat="1">
      <c r="R2713" s="154"/>
      <c r="AB2713" s="124"/>
    </row>
    <row r="2714" spans="18:28" s="105" customFormat="1">
      <c r="R2714" s="154"/>
      <c r="AB2714" s="124"/>
    </row>
    <row r="2715" spans="18:28" s="105" customFormat="1">
      <c r="R2715" s="154"/>
      <c r="AB2715" s="124"/>
    </row>
    <row r="2716" spans="18:28" s="105" customFormat="1">
      <c r="R2716" s="154"/>
      <c r="AB2716" s="124"/>
    </row>
    <row r="2717" spans="18:28" s="105" customFormat="1">
      <c r="R2717" s="154"/>
      <c r="AB2717" s="124"/>
    </row>
    <row r="2718" spans="18:28" s="105" customFormat="1">
      <c r="R2718" s="154"/>
      <c r="AB2718" s="124"/>
    </row>
    <row r="2719" spans="18:28" s="105" customFormat="1">
      <c r="R2719" s="154"/>
      <c r="AB2719" s="124"/>
    </row>
    <row r="2720" spans="18:28" s="105" customFormat="1">
      <c r="R2720" s="154"/>
      <c r="AB2720" s="124"/>
    </row>
    <row r="2721" spans="18:28" s="105" customFormat="1">
      <c r="R2721" s="154"/>
      <c r="AB2721" s="124"/>
    </row>
    <row r="2722" spans="18:28" s="105" customFormat="1">
      <c r="R2722" s="154"/>
      <c r="AB2722" s="124"/>
    </row>
    <row r="2723" spans="18:28" s="105" customFormat="1">
      <c r="R2723" s="154"/>
      <c r="AB2723" s="124"/>
    </row>
    <row r="2724" spans="18:28" s="105" customFormat="1">
      <c r="R2724" s="154"/>
      <c r="AB2724" s="124"/>
    </row>
    <row r="2725" spans="18:28" s="105" customFormat="1">
      <c r="R2725" s="154"/>
      <c r="AB2725" s="124"/>
    </row>
    <row r="2726" spans="18:28" s="105" customFormat="1">
      <c r="R2726" s="154"/>
      <c r="AB2726" s="124"/>
    </row>
    <row r="2727" spans="18:28" s="105" customFormat="1">
      <c r="R2727" s="154"/>
      <c r="AB2727" s="124"/>
    </row>
    <row r="2728" spans="18:28" s="105" customFormat="1">
      <c r="R2728" s="154"/>
      <c r="AB2728" s="124"/>
    </row>
    <row r="2729" spans="18:28" s="105" customFormat="1">
      <c r="R2729" s="154"/>
      <c r="AB2729" s="124"/>
    </row>
    <row r="2730" spans="18:28" s="105" customFormat="1">
      <c r="R2730" s="154"/>
      <c r="AB2730" s="124"/>
    </row>
    <row r="2731" spans="18:28" s="105" customFormat="1">
      <c r="R2731" s="154"/>
      <c r="AB2731" s="124"/>
    </row>
    <row r="2732" spans="18:28" s="105" customFormat="1">
      <c r="R2732" s="154"/>
      <c r="AB2732" s="124"/>
    </row>
    <row r="2733" spans="18:28" s="105" customFormat="1">
      <c r="R2733" s="154"/>
      <c r="AB2733" s="124"/>
    </row>
    <row r="2734" spans="18:28" s="105" customFormat="1">
      <c r="R2734" s="154"/>
      <c r="AB2734" s="124"/>
    </row>
    <row r="2735" spans="18:28" s="105" customFormat="1">
      <c r="R2735" s="154"/>
      <c r="AB2735" s="124"/>
    </row>
    <row r="2736" spans="18:28" s="105" customFormat="1">
      <c r="R2736" s="154"/>
      <c r="AB2736" s="124"/>
    </row>
    <row r="2737" spans="18:28" s="105" customFormat="1">
      <c r="R2737" s="154"/>
      <c r="AB2737" s="124"/>
    </row>
    <row r="2738" spans="18:28" s="105" customFormat="1">
      <c r="R2738" s="154"/>
      <c r="AB2738" s="124"/>
    </row>
    <row r="2739" spans="18:28" s="105" customFormat="1">
      <c r="R2739" s="154"/>
      <c r="AB2739" s="124"/>
    </row>
    <row r="2740" spans="18:28" s="105" customFormat="1">
      <c r="R2740" s="154"/>
      <c r="AB2740" s="124"/>
    </row>
    <row r="2741" spans="18:28" s="105" customFormat="1">
      <c r="R2741" s="154"/>
      <c r="AB2741" s="124"/>
    </row>
    <row r="2742" spans="18:28" s="105" customFormat="1">
      <c r="R2742" s="154"/>
      <c r="AB2742" s="124"/>
    </row>
    <row r="2743" spans="18:28" s="105" customFormat="1">
      <c r="R2743" s="154"/>
      <c r="AB2743" s="124"/>
    </row>
    <row r="2744" spans="18:28" s="105" customFormat="1">
      <c r="R2744" s="154"/>
      <c r="AB2744" s="124"/>
    </row>
    <row r="2745" spans="18:28" s="105" customFormat="1">
      <c r="R2745" s="154"/>
      <c r="AB2745" s="124"/>
    </row>
    <row r="2746" spans="18:28" s="105" customFormat="1">
      <c r="R2746" s="154"/>
      <c r="AB2746" s="124"/>
    </row>
    <row r="2747" spans="18:28" s="105" customFormat="1">
      <c r="R2747" s="154"/>
      <c r="AB2747" s="124"/>
    </row>
    <row r="2748" spans="18:28" s="105" customFormat="1">
      <c r="R2748" s="154"/>
      <c r="AB2748" s="124"/>
    </row>
    <row r="2749" spans="18:28" s="105" customFormat="1">
      <c r="R2749" s="154"/>
      <c r="AB2749" s="124"/>
    </row>
    <row r="2750" spans="18:28" s="105" customFormat="1">
      <c r="R2750" s="154"/>
      <c r="AB2750" s="124"/>
    </row>
    <row r="2751" spans="18:28" s="105" customFormat="1">
      <c r="R2751" s="154"/>
      <c r="AB2751" s="124"/>
    </row>
    <row r="2752" spans="18:28" s="105" customFormat="1">
      <c r="R2752" s="154"/>
      <c r="AB2752" s="124"/>
    </row>
    <row r="2753" spans="18:28" s="105" customFormat="1">
      <c r="R2753" s="154"/>
      <c r="AB2753" s="124"/>
    </row>
    <row r="2754" spans="18:28" s="105" customFormat="1">
      <c r="R2754" s="154"/>
      <c r="AB2754" s="124"/>
    </row>
    <row r="2755" spans="18:28" s="105" customFormat="1">
      <c r="R2755" s="154"/>
      <c r="AB2755" s="124"/>
    </row>
    <row r="2756" spans="18:28" s="105" customFormat="1">
      <c r="R2756" s="154"/>
      <c r="AB2756" s="124"/>
    </row>
    <row r="2757" spans="18:28" s="105" customFormat="1">
      <c r="R2757" s="154"/>
      <c r="AB2757" s="124"/>
    </row>
    <row r="2758" spans="18:28" s="105" customFormat="1">
      <c r="R2758" s="154"/>
      <c r="AB2758" s="124"/>
    </row>
    <row r="2759" spans="18:28" s="105" customFormat="1">
      <c r="R2759" s="154"/>
      <c r="AB2759" s="124"/>
    </row>
    <row r="2760" spans="18:28" s="105" customFormat="1">
      <c r="R2760" s="154"/>
      <c r="AB2760" s="124"/>
    </row>
    <row r="2761" spans="18:28" s="105" customFormat="1">
      <c r="R2761" s="154"/>
      <c r="AB2761" s="124"/>
    </row>
    <row r="2762" spans="18:28" s="105" customFormat="1">
      <c r="R2762" s="154"/>
      <c r="AB2762" s="124"/>
    </row>
    <row r="2763" spans="18:28" s="105" customFormat="1">
      <c r="R2763" s="154"/>
      <c r="AB2763" s="124"/>
    </row>
    <row r="2764" spans="18:28" s="105" customFormat="1">
      <c r="R2764" s="154"/>
      <c r="AB2764" s="124"/>
    </row>
    <row r="2765" spans="18:28" s="105" customFormat="1">
      <c r="R2765" s="154"/>
      <c r="AB2765" s="124"/>
    </row>
    <row r="2766" spans="18:28" s="105" customFormat="1">
      <c r="R2766" s="154"/>
      <c r="AB2766" s="124"/>
    </row>
    <row r="2767" spans="18:28" s="105" customFormat="1">
      <c r="R2767" s="154"/>
      <c r="AB2767" s="124"/>
    </row>
    <row r="2768" spans="18:28" s="105" customFormat="1">
      <c r="R2768" s="154"/>
      <c r="AB2768" s="124"/>
    </row>
    <row r="2769" spans="18:28" s="105" customFormat="1">
      <c r="R2769" s="154"/>
      <c r="AB2769" s="124"/>
    </row>
    <row r="2770" spans="18:28" s="105" customFormat="1">
      <c r="R2770" s="154"/>
      <c r="AB2770" s="124"/>
    </row>
    <row r="2771" spans="18:28" s="105" customFormat="1">
      <c r="R2771" s="154"/>
      <c r="AB2771" s="124"/>
    </row>
    <row r="2772" spans="18:28" s="105" customFormat="1">
      <c r="R2772" s="154"/>
      <c r="AB2772" s="124"/>
    </row>
    <row r="2773" spans="18:28" s="105" customFormat="1">
      <c r="R2773" s="154"/>
      <c r="AB2773" s="124"/>
    </row>
    <row r="2774" spans="18:28" s="105" customFormat="1">
      <c r="R2774" s="154"/>
      <c r="AB2774" s="124"/>
    </row>
    <row r="2775" spans="18:28" s="105" customFormat="1">
      <c r="R2775" s="154"/>
      <c r="AB2775" s="124"/>
    </row>
    <row r="2776" spans="18:28" s="105" customFormat="1">
      <c r="R2776" s="154"/>
      <c r="AB2776" s="124"/>
    </row>
    <row r="2777" spans="18:28" s="105" customFormat="1">
      <c r="R2777" s="154"/>
      <c r="AB2777" s="124"/>
    </row>
    <row r="2778" spans="18:28" s="105" customFormat="1">
      <c r="R2778" s="154"/>
      <c r="AB2778" s="124"/>
    </row>
    <row r="2779" spans="18:28" s="105" customFormat="1">
      <c r="R2779" s="154"/>
      <c r="AB2779" s="124"/>
    </row>
    <row r="2780" spans="18:28" s="105" customFormat="1">
      <c r="R2780" s="154"/>
      <c r="AB2780" s="124"/>
    </row>
    <row r="2781" spans="18:28" s="105" customFormat="1">
      <c r="R2781" s="154"/>
      <c r="AB2781" s="124"/>
    </row>
    <row r="2782" spans="18:28" s="105" customFormat="1">
      <c r="R2782" s="154"/>
      <c r="AB2782" s="124"/>
    </row>
    <row r="2783" spans="18:28" s="105" customFormat="1">
      <c r="R2783" s="154"/>
      <c r="AB2783" s="124"/>
    </row>
    <row r="2784" spans="18:28" s="105" customFormat="1">
      <c r="R2784" s="154"/>
      <c r="AB2784" s="124"/>
    </row>
    <row r="2785" spans="18:28" s="105" customFormat="1">
      <c r="R2785" s="154"/>
      <c r="AB2785" s="124"/>
    </row>
    <row r="2786" spans="18:28" s="105" customFormat="1">
      <c r="R2786" s="154"/>
      <c r="AB2786" s="124"/>
    </row>
    <row r="2787" spans="18:28" s="105" customFormat="1">
      <c r="R2787" s="154"/>
      <c r="AB2787" s="124"/>
    </row>
    <row r="2788" spans="18:28" s="105" customFormat="1">
      <c r="R2788" s="154"/>
      <c r="AB2788" s="124"/>
    </row>
    <row r="2789" spans="18:28" s="105" customFormat="1">
      <c r="R2789" s="154"/>
      <c r="AB2789" s="124"/>
    </row>
    <row r="2790" spans="18:28" s="105" customFormat="1">
      <c r="R2790" s="154"/>
      <c r="AB2790" s="124"/>
    </row>
    <row r="2791" spans="18:28" s="105" customFormat="1">
      <c r="R2791" s="154"/>
      <c r="AB2791" s="124"/>
    </row>
    <row r="2792" spans="18:28" s="105" customFormat="1">
      <c r="R2792" s="154"/>
      <c r="AB2792" s="124"/>
    </row>
    <row r="2793" spans="18:28" s="105" customFormat="1">
      <c r="R2793" s="154"/>
      <c r="AB2793" s="124"/>
    </row>
    <row r="2794" spans="18:28" s="105" customFormat="1">
      <c r="R2794" s="154"/>
      <c r="AB2794" s="124"/>
    </row>
    <row r="2795" spans="18:28" s="105" customFormat="1">
      <c r="R2795" s="154"/>
      <c r="AB2795" s="124"/>
    </row>
    <row r="2796" spans="18:28" s="105" customFormat="1">
      <c r="R2796" s="154"/>
      <c r="AB2796" s="124"/>
    </row>
    <row r="2797" spans="18:28" s="105" customFormat="1">
      <c r="R2797" s="154"/>
      <c r="AB2797" s="124"/>
    </row>
    <row r="2798" spans="18:28" s="105" customFormat="1">
      <c r="R2798" s="154"/>
      <c r="AB2798" s="124"/>
    </row>
    <row r="2799" spans="18:28" s="105" customFormat="1">
      <c r="R2799" s="154"/>
      <c r="AB2799" s="124"/>
    </row>
    <row r="2800" spans="18:28" s="105" customFormat="1">
      <c r="R2800" s="154"/>
      <c r="AB2800" s="124"/>
    </row>
    <row r="2801" spans="18:28" s="105" customFormat="1">
      <c r="R2801" s="154"/>
      <c r="AB2801" s="124"/>
    </row>
    <row r="2802" spans="18:28" s="105" customFormat="1">
      <c r="R2802" s="154"/>
      <c r="AB2802" s="124"/>
    </row>
    <row r="2803" spans="18:28" s="105" customFormat="1">
      <c r="R2803" s="154"/>
      <c r="AB2803" s="124"/>
    </row>
    <row r="2804" spans="18:28" s="105" customFormat="1">
      <c r="R2804" s="154"/>
      <c r="AB2804" s="124"/>
    </row>
    <row r="2805" spans="18:28" s="105" customFormat="1">
      <c r="R2805" s="154"/>
      <c r="AB2805" s="124"/>
    </row>
    <row r="2806" spans="18:28" s="105" customFormat="1">
      <c r="R2806" s="154"/>
      <c r="AB2806" s="124"/>
    </row>
    <row r="2807" spans="18:28" s="105" customFormat="1">
      <c r="R2807" s="154"/>
      <c r="AB2807" s="124"/>
    </row>
    <row r="2808" spans="18:28" s="105" customFormat="1">
      <c r="R2808" s="154"/>
      <c r="AB2808" s="124"/>
    </row>
    <row r="2809" spans="18:28" s="105" customFormat="1">
      <c r="R2809" s="154"/>
      <c r="AB2809" s="124"/>
    </row>
    <row r="2810" spans="18:28" s="105" customFormat="1">
      <c r="R2810" s="154"/>
      <c r="AB2810" s="124"/>
    </row>
    <row r="2811" spans="18:28" s="105" customFormat="1">
      <c r="R2811" s="154"/>
      <c r="AB2811" s="124"/>
    </row>
    <row r="2812" spans="18:28" s="105" customFormat="1">
      <c r="R2812" s="154"/>
      <c r="AB2812" s="124"/>
    </row>
    <row r="2813" spans="18:28" s="105" customFormat="1">
      <c r="R2813" s="154"/>
      <c r="AB2813" s="124"/>
    </row>
    <row r="2814" spans="18:28" s="105" customFormat="1">
      <c r="R2814" s="154"/>
      <c r="AB2814" s="124"/>
    </row>
    <row r="2815" spans="18:28" s="105" customFormat="1">
      <c r="R2815" s="154"/>
      <c r="AB2815" s="124"/>
    </row>
    <row r="2816" spans="18:28" s="105" customFormat="1">
      <c r="R2816" s="154"/>
      <c r="AB2816" s="124"/>
    </row>
    <row r="2817" spans="18:28" s="105" customFormat="1">
      <c r="R2817" s="154"/>
      <c r="AB2817" s="124"/>
    </row>
    <row r="2818" spans="18:28" s="105" customFormat="1">
      <c r="R2818" s="154"/>
      <c r="AB2818" s="124"/>
    </row>
    <row r="2819" spans="18:28" s="105" customFormat="1">
      <c r="R2819" s="154"/>
      <c r="AB2819" s="124"/>
    </row>
    <row r="2820" spans="18:28" s="105" customFormat="1">
      <c r="R2820" s="154"/>
      <c r="AB2820" s="124"/>
    </row>
    <row r="2821" spans="18:28" s="105" customFormat="1">
      <c r="R2821" s="154"/>
      <c r="AB2821" s="124"/>
    </row>
    <row r="2822" spans="18:28" s="105" customFormat="1">
      <c r="R2822" s="154"/>
      <c r="AB2822" s="124"/>
    </row>
    <row r="2823" spans="18:28" s="105" customFormat="1">
      <c r="R2823" s="154"/>
      <c r="AB2823" s="124"/>
    </row>
    <row r="2824" spans="18:28" s="105" customFormat="1">
      <c r="R2824" s="154"/>
      <c r="AB2824" s="124"/>
    </row>
    <row r="2825" spans="18:28" s="105" customFormat="1">
      <c r="R2825" s="154"/>
      <c r="AB2825" s="124"/>
    </row>
    <row r="2826" spans="18:28" s="105" customFormat="1">
      <c r="R2826" s="154"/>
      <c r="AB2826" s="124"/>
    </row>
    <row r="2827" spans="18:28" s="105" customFormat="1">
      <c r="R2827" s="154"/>
      <c r="AB2827" s="124"/>
    </row>
    <row r="2828" spans="18:28" s="105" customFormat="1">
      <c r="R2828" s="154"/>
      <c r="AB2828" s="124"/>
    </row>
    <row r="2829" spans="18:28" s="105" customFormat="1">
      <c r="R2829" s="154"/>
      <c r="AB2829" s="124"/>
    </row>
    <row r="2830" spans="18:28" s="105" customFormat="1">
      <c r="R2830" s="154"/>
      <c r="AB2830" s="124"/>
    </row>
    <row r="2831" spans="18:28" s="105" customFormat="1">
      <c r="R2831" s="154"/>
      <c r="AB2831" s="124"/>
    </row>
    <row r="2832" spans="18:28" s="105" customFormat="1">
      <c r="R2832" s="154"/>
      <c r="AB2832" s="124"/>
    </row>
    <row r="2833" spans="18:28" s="105" customFormat="1">
      <c r="R2833" s="154"/>
      <c r="AB2833" s="124"/>
    </row>
    <row r="2834" spans="18:28" s="105" customFormat="1">
      <c r="R2834" s="154"/>
      <c r="AB2834" s="124"/>
    </row>
    <row r="2835" spans="18:28" s="105" customFormat="1">
      <c r="R2835" s="154"/>
      <c r="AB2835" s="124"/>
    </row>
    <row r="2836" spans="18:28" s="105" customFormat="1">
      <c r="R2836" s="154"/>
      <c r="AB2836" s="124"/>
    </row>
    <row r="2837" spans="18:28" s="105" customFormat="1">
      <c r="R2837" s="154"/>
      <c r="AB2837" s="124"/>
    </row>
    <row r="2838" spans="18:28" s="105" customFormat="1">
      <c r="R2838" s="154"/>
      <c r="AB2838" s="124"/>
    </row>
    <row r="2839" spans="18:28" s="105" customFormat="1">
      <c r="R2839" s="154"/>
      <c r="AB2839" s="124"/>
    </row>
    <row r="2840" spans="18:28" s="105" customFormat="1">
      <c r="R2840" s="154"/>
      <c r="AB2840" s="124"/>
    </row>
    <row r="2841" spans="18:28" s="105" customFormat="1">
      <c r="R2841" s="154"/>
      <c r="AB2841" s="124"/>
    </row>
    <row r="2842" spans="18:28" s="105" customFormat="1">
      <c r="R2842" s="154"/>
      <c r="AB2842" s="124"/>
    </row>
    <row r="2843" spans="18:28" s="105" customFormat="1">
      <c r="R2843" s="154"/>
      <c r="AB2843" s="124"/>
    </row>
    <row r="2844" spans="18:28" s="105" customFormat="1">
      <c r="R2844" s="154"/>
      <c r="AB2844" s="124"/>
    </row>
    <row r="2845" spans="18:28" s="105" customFormat="1">
      <c r="R2845" s="154"/>
      <c r="AB2845" s="124"/>
    </row>
    <row r="2846" spans="18:28" s="105" customFormat="1">
      <c r="R2846" s="154"/>
      <c r="AB2846" s="124"/>
    </row>
    <row r="2847" spans="18:28" s="105" customFormat="1">
      <c r="R2847" s="154"/>
      <c r="AB2847" s="124"/>
    </row>
    <row r="2848" spans="18:28" s="105" customFormat="1">
      <c r="R2848" s="154"/>
      <c r="AB2848" s="124"/>
    </row>
    <row r="2849" spans="18:28" s="105" customFormat="1">
      <c r="R2849" s="154"/>
      <c r="AB2849" s="124"/>
    </row>
    <row r="2850" spans="18:28" s="105" customFormat="1">
      <c r="R2850" s="154"/>
      <c r="AB2850" s="124"/>
    </row>
    <row r="2851" spans="18:28" s="105" customFormat="1">
      <c r="R2851" s="154"/>
      <c r="AB2851" s="124"/>
    </row>
    <row r="2852" spans="18:28" s="105" customFormat="1">
      <c r="R2852" s="154"/>
      <c r="AB2852" s="124"/>
    </row>
    <row r="2853" spans="18:28" s="105" customFormat="1">
      <c r="R2853" s="154"/>
      <c r="AB2853" s="124"/>
    </row>
    <row r="2854" spans="18:28" s="105" customFormat="1">
      <c r="R2854" s="154"/>
      <c r="AB2854" s="124"/>
    </row>
    <row r="2855" spans="18:28" s="105" customFormat="1">
      <c r="R2855" s="154"/>
      <c r="AB2855" s="124"/>
    </row>
    <row r="2856" spans="18:28" s="105" customFormat="1">
      <c r="R2856" s="154"/>
      <c r="AB2856" s="124"/>
    </row>
    <row r="2857" spans="18:28" s="105" customFormat="1">
      <c r="R2857" s="154"/>
      <c r="AB2857" s="124"/>
    </row>
    <row r="2858" spans="18:28" s="105" customFormat="1">
      <c r="R2858" s="154"/>
      <c r="AB2858" s="124"/>
    </row>
    <row r="2859" spans="18:28" s="105" customFormat="1">
      <c r="R2859" s="154"/>
      <c r="AB2859" s="124"/>
    </row>
    <row r="2860" spans="18:28" s="105" customFormat="1">
      <c r="R2860" s="154"/>
      <c r="AB2860" s="124"/>
    </row>
    <row r="2861" spans="18:28" s="105" customFormat="1">
      <c r="R2861" s="154"/>
      <c r="AB2861" s="124"/>
    </row>
    <row r="2862" spans="18:28" s="105" customFormat="1">
      <c r="R2862" s="154"/>
      <c r="AB2862" s="124"/>
    </row>
    <row r="2863" spans="18:28" s="105" customFormat="1">
      <c r="R2863" s="154"/>
      <c r="AB2863" s="124"/>
    </row>
    <row r="2864" spans="18:28" s="105" customFormat="1">
      <c r="R2864" s="154"/>
      <c r="AB2864" s="124"/>
    </row>
    <row r="2865" spans="18:28" s="105" customFormat="1">
      <c r="R2865" s="154"/>
      <c r="AB2865" s="124"/>
    </row>
    <row r="2866" spans="18:28" s="105" customFormat="1">
      <c r="R2866" s="154"/>
      <c r="AB2866" s="124"/>
    </row>
    <row r="2867" spans="18:28" s="105" customFormat="1">
      <c r="R2867" s="154"/>
      <c r="AB2867" s="124"/>
    </row>
    <row r="2868" spans="18:28" s="105" customFormat="1">
      <c r="R2868" s="154"/>
      <c r="AB2868" s="124"/>
    </row>
    <row r="2869" spans="18:28" s="105" customFormat="1">
      <c r="R2869" s="154"/>
      <c r="AB2869" s="124"/>
    </row>
    <row r="2870" spans="18:28" s="105" customFormat="1">
      <c r="R2870" s="154"/>
      <c r="AB2870" s="124"/>
    </row>
    <row r="2871" spans="18:28" s="105" customFormat="1">
      <c r="R2871" s="154"/>
      <c r="AB2871" s="124"/>
    </row>
    <row r="2872" spans="18:28" s="105" customFormat="1">
      <c r="R2872" s="154"/>
      <c r="AB2872" s="124"/>
    </row>
    <row r="2873" spans="18:28" s="105" customFormat="1">
      <c r="R2873" s="154"/>
      <c r="AB2873" s="124"/>
    </row>
    <row r="2874" spans="18:28" s="105" customFormat="1">
      <c r="R2874" s="154"/>
      <c r="AB2874" s="124"/>
    </row>
    <row r="2875" spans="18:28" s="105" customFormat="1">
      <c r="R2875" s="154"/>
      <c r="AB2875" s="124"/>
    </row>
    <row r="2876" spans="18:28" s="105" customFormat="1">
      <c r="R2876" s="154"/>
      <c r="AB2876" s="124"/>
    </row>
    <row r="2877" spans="18:28" s="105" customFormat="1">
      <c r="R2877" s="154"/>
      <c r="AB2877" s="124"/>
    </row>
    <row r="2878" spans="18:28" s="105" customFormat="1">
      <c r="R2878" s="154"/>
      <c r="AB2878" s="124"/>
    </row>
    <row r="2879" spans="18:28" s="105" customFormat="1">
      <c r="R2879" s="154"/>
      <c r="AB2879" s="124"/>
    </row>
    <row r="2880" spans="18:28" s="105" customFormat="1">
      <c r="R2880" s="154"/>
      <c r="AB2880" s="124"/>
    </row>
    <row r="2881" spans="18:28" s="105" customFormat="1">
      <c r="R2881" s="154"/>
      <c r="AB2881" s="124"/>
    </row>
    <row r="2882" spans="18:28" s="105" customFormat="1">
      <c r="R2882" s="154"/>
      <c r="AB2882" s="124"/>
    </row>
    <row r="2883" spans="18:28" s="105" customFormat="1">
      <c r="R2883" s="154"/>
      <c r="AB2883" s="124"/>
    </row>
    <row r="2884" spans="18:28" s="105" customFormat="1">
      <c r="R2884" s="154"/>
      <c r="AB2884" s="124"/>
    </row>
    <row r="2885" spans="18:28" s="105" customFormat="1">
      <c r="R2885" s="154"/>
      <c r="AB2885" s="124"/>
    </row>
    <row r="2886" spans="18:28" s="105" customFormat="1">
      <c r="R2886" s="154"/>
      <c r="AB2886" s="124"/>
    </row>
    <row r="2887" spans="18:28" s="105" customFormat="1">
      <c r="R2887" s="154"/>
      <c r="AB2887" s="124"/>
    </row>
    <row r="2888" spans="18:28" s="105" customFormat="1">
      <c r="R2888" s="154"/>
      <c r="AB2888" s="124"/>
    </row>
    <row r="2889" spans="18:28" s="105" customFormat="1">
      <c r="R2889" s="154"/>
      <c r="AB2889" s="124"/>
    </row>
    <row r="2890" spans="18:28" s="105" customFormat="1">
      <c r="R2890" s="154"/>
      <c r="AB2890" s="124"/>
    </row>
    <row r="2891" spans="18:28" s="105" customFormat="1">
      <c r="R2891" s="154"/>
      <c r="AB2891" s="124"/>
    </row>
    <row r="2892" spans="18:28" s="105" customFormat="1">
      <c r="R2892" s="154"/>
      <c r="AB2892" s="124"/>
    </row>
    <row r="2893" spans="18:28" s="105" customFormat="1">
      <c r="R2893" s="154"/>
      <c r="AB2893" s="124"/>
    </row>
    <row r="2894" spans="18:28" s="105" customFormat="1">
      <c r="R2894" s="154"/>
      <c r="AB2894" s="124"/>
    </row>
    <row r="2895" spans="18:28" s="105" customFormat="1">
      <c r="R2895" s="154"/>
      <c r="AB2895" s="124"/>
    </row>
    <row r="2896" spans="18:28" s="105" customFormat="1">
      <c r="R2896" s="154"/>
      <c r="AB2896" s="124"/>
    </row>
    <row r="2897" spans="18:28" s="105" customFormat="1">
      <c r="R2897" s="154"/>
      <c r="AB2897" s="124"/>
    </row>
    <row r="2898" spans="18:28" s="105" customFormat="1">
      <c r="R2898" s="154"/>
      <c r="AB2898" s="124"/>
    </row>
    <row r="2899" spans="18:28" s="105" customFormat="1">
      <c r="R2899" s="154"/>
      <c r="AB2899" s="124"/>
    </row>
    <row r="2900" spans="18:28" s="105" customFormat="1">
      <c r="R2900" s="154"/>
      <c r="AB2900" s="124"/>
    </row>
    <row r="2901" spans="18:28" s="105" customFormat="1">
      <c r="R2901" s="154"/>
      <c r="AB2901" s="124"/>
    </row>
    <row r="2902" spans="18:28" s="105" customFormat="1">
      <c r="R2902" s="154"/>
      <c r="AB2902" s="124"/>
    </row>
    <row r="2903" spans="18:28" s="105" customFormat="1">
      <c r="R2903" s="154"/>
      <c r="AB2903" s="124"/>
    </row>
    <row r="2904" spans="18:28" s="105" customFormat="1">
      <c r="R2904" s="154"/>
      <c r="AB2904" s="124"/>
    </row>
    <row r="2905" spans="18:28" s="105" customFormat="1">
      <c r="R2905" s="154"/>
      <c r="AB2905" s="124"/>
    </row>
    <row r="2906" spans="18:28" s="105" customFormat="1">
      <c r="R2906" s="154"/>
      <c r="AB2906" s="124"/>
    </row>
    <row r="2907" spans="18:28" s="105" customFormat="1">
      <c r="R2907" s="154"/>
      <c r="AB2907" s="124"/>
    </row>
    <row r="2908" spans="18:28" s="105" customFormat="1">
      <c r="R2908" s="154"/>
      <c r="AB2908" s="124"/>
    </row>
    <row r="2909" spans="18:28" s="105" customFormat="1">
      <c r="R2909" s="154"/>
      <c r="AB2909" s="124"/>
    </row>
    <row r="2910" spans="18:28" s="105" customFormat="1">
      <c r="R2910" s="154"/>
      <c r="AB2910" s="124"/>
    </row>
    <row r="2911" spans="18:28" s="105" customFormat="1">
      <c r="R2911" s="154"/>
      <c r="AB2911" s="124"/>
    </row>
    <row r="2912" spans="18:28" s="105" customFormat="1">
      <c r="R2912" s="154"/>
      <c r="AB2912" s="124"/>
    </row>
    <row r="2913" spans="18:28" s="105" customFormat="1">
      <c r="R2913" s="154"/>
      <c r="AB2913" s="124"/>
    </row>
    <row r="2914" spans="18:28" s="105" customFormat="1">
      <c r="R2914" s="154"/>
      <c r="AB2914" s="124"/>
    </row>
    <row r="2915" spans="18:28" s="105" customFormat="1">
      <c r="R2915" s="154"/>
      <c r="AB2915" s="124"/>
    </row>
    <row r="2916" spans="18:28" s="105" customFormat="1">
      <c r="R2916" s="154"/>
      <c r="AB2916" s="124"/>
    </row>
    <row r="2917" spans="18:28" s="105" customFormat="1">
      <c r="R2917" s="154"/>
      <c r="AB2917" s="124"/>
    </row>
    <row r="2918" spans="18:28" s="105" customFormat="1">
      <c r="R2918" s="154"/>
      <c r="AB2918" s="124"/>
    </row>
    <row r="2919" spans="18:28" s="105" customFormat="1">
      <c r="R2919" s="154"/>
      <c r="AB2919" s="124"/>
    </row>
    <row r="2920" spans="18:28" s="105" customFormat="1">
      <c r="R2920" s="154"/>
      <c r="AB2920" s="124"/>
    </row>
    <row r="2921" spans="18:28" s="105" customFormat="1">
      <c r="R2921" s="154"/>
      <c r="AB2921" s="124"/>
    </row>
    <row r="2922" spans="18:28" s="105" customFormat="1">
      <c r="R2922" s="154"/>
      <c r="AB2922" s="124"/>
    </row>
    <row r="2923" spans="18:28" s="105" customFormat="1">
      <c r="R2923" s="154"/>
      <c r="AB2923" s="124"/>
    </row>
    <row r="2924" spans="18:28" s="105" customFormat="1">
      <c r="R2924" s="154"/>
      <c r="AB2924" s="124"/>
    </row>
    <row r="2925" spans="18:28" s="105" customFormat="1">
      <c r="R2925" s="154"/>
      <c r="AB2925" s="124"/>
    </row>
    <row r="2926" spans="18:28" s="105" customFormat="1">
      <c r="R2926" s="154"/>
      <c r="AB2926" s="124"/>
    </row>
    <row r="2927" spans="18:28" s="105" customFormat="1">
      <c r="R2927" s="154"/>
      <c r="AB2927" s="124"/>
    </row>
    <row r="2928" spans="18:28" s="105" customFormat="1">
      <c r="R2928" s="154"/>
      <c r="AB2928" s="124"/>
    </row>
    <row r="2929" spans="18:28" s="105" customFormat="1">
      <c r="R2929" s="154"/>
      <c r="AB2929" s="124"/>
    </row>
    <row r="2930" spans="18:28" s="105" customFormat="1">
      <c r="R2930" s="154"/>
      <c r="AB2930" s="124"/>
    </row>
    <row r="2931" spans="18:28" s="105" customFormat="1">
      <c r="R2931" s="154"/>
      <c r="AB2931" s="124"/>
    </row>
    <row r="2932" spans="18:28" s="105" customFormat="1">
      <c r="R2932" s="154"/>
      <c r="AB2932" s="124"/>
    </row>
    <row r="2933" spans="18:28" s="105" customFormat="1">
      <c r="R2933" s="154"/>
      <c r="AB2933" s="124"/>
    </row>
    <row r="2934" spans="18:28" s="105" customFormat="1">
      <c r="R2934" s="154"/>
      <c r="AB2934" s="124"/>
    </row>
    <row r="2935" spans="18:28" s="105" customFormat="1">
      <c r="R2935" s="154"/>
      <c r="AB2935" s="124"/>
    </row>
    <row r="2936" spans="18:28" s="105" customFormat="1">
      <c r="R2936" s="154"/>
      <c r="AB2936" s="124"/>
    </row>
    <row r="2937" spans="18:28" s="105" customFormat="1">
      <c r="R2937" s="154"/>
      <c r="AB2937" s="124"/>
    </row>
    <row r="2938" spans="18:28" s="105" customFormat="1">
      <c r="R2938" s="154"/>
      <c r="AB2938" s="124"/>
    </row>
    <row r="2939" spans="18:28" s="105" customFormat="1">
      <c r="R2939" s="154"/>
      <c r="AB2939" s="124"/>
    </row>
    <row r="2940" spans="18:28" s="105" customFormat="1">
      <c r="R2940" s="154"/>
      <c r="AB2940" s="124"/>
    </row>
    <row r="2941" spans="18:28" s="105" customFormat="1">
      <c r="R2941" s="154"/>
      <c r="AB2941" s="124"/>
    </row>
    <row r="2942" spans="18:28" s="105" customFormat="1">
      <c r="R2942" s="154"/>
      <c r="AB2942" s="124"/>
    </row>
    <row r="2943" spans="18:28" s="105" customFormat="1">
      <c r="R2943" s="154"/>
      <c r="AB2943" s="124"/>
    </row>
    <row r="2944" spans="18:28" s="105" customFormat="1">
      <c r="R2944" s="154"/>
      <c r="AB2944" s="124"/>
    </row>
    <row r="2945" spans="18:28" s="105" customFormat="1">
      <c r="R2945" s="154"/>
      <c r="AB2945" s="124"/>
    </row>
    <row r="2946" spans="18:28" s="105" customFormat="1">
      <c r="R2946" s="154"/>
      <c r="AB2946" s="124"/>
    </row>
    <row r="2947" spans="18:28" s="105" customFormat="1">
      <c r="R2947" s="154"/>
      <c r="AB2947" s="124"/>
    </row>
    <row r="2948" spans="18:28" s="105" customFormat="1">
      <c r="R2948" s="154"/>
      <c r="AB2948" s="124"/>
    </row>
    <row r="2949" spans="18:28" s="105" customFormat="1">
      <c r="R2949" s="154"/>
      <c r="AB2949" s="124"/>
    </row>
    <row r="2950" spans="18:28" s="105" customFormat="1">
      <c r="R2950" s="154"/>
      <c r="AB2950" s="124"/>
    </row>
    <row r="2951" spans="18:28" s="105" customFormat="1">
      <c r="R2951" s="154"/>
      <c r="AB2951" s="124"/>
    </row>
    <row r="2952" spans="18:28" s="105" customFormat="1">
      <c r="R2952" s="154"/>
      <c r="AB2952" s="124"/>
    </row>
    <row r="2953" spans="18:28" s="105" customFormat="1">
      <c r="R2953" s="154"/>
      <c r="AB2953" s="124"/>
    </row>
    <row r="2954" spans="18:28" s="105" customFormat="1">
      <c r="R2954" s="154"/>
      <c r="AB2954" s="124"/>
    </row>
    <row r="2955" spans="18:28" s="105" customFormat="1">
      <c r="R2955" s="154"/>
      <c r="AB2955" s="124"/>
    </row>
    <row r="2956" spans="18:28" s="105" customFormat="1">
      <c r="R2956" s="154"/>
      <c r="AB2956" s="124"/>
    </row>
    <row r="2957" spans="18:28" s="105" customFormat="1">
      <c r="R2957" s="154"/>
      <c r="AB2957" s="124"/>
    </row>
    <row r="2958" spans="18:28" s="105" customFormat="1">
      <c r="R2958" s="154"/>
      <c r="AB2958" s="124"/>
    </row>
    <row r="2959" spans="18:28" s="105" customFormat="1">
      <c r="R2959" s="154"/>
      <c r="AB2959" s="124"/>
    </row>
    <row r="2960" spans="18:28" s="105" customFormat="1">
      <c r="R2960" s="154"/>
      <c r="AB2960" s="124"/>
    </row>
    <row r="2961" spans="18:28" s="105" customFormat="1">
      <c r="R2961" s="154"/>
      <c r="AB2961" s="124"/>
    </row>
    <row r="2962" spans="18:28" s="105" customFormat="1">
      <c r="R2962" s="154"/>
      <c r="AB2962" s="124"/>
    </row>
    <row r="2963" spans="18:28" s="105" customFormat="1">
      <c r="R2963" s="154"/>
      <c r="AB2963" s="124"/>
    </row>
    <row r="2964" spans="18:28" s="105" customFormat="1">
      <c r="R2964" s="154"/>
      <c r="AB2964" s="124"/>
    </row>
    <row r="2965" spans="18:28" s="105" customFormat="1">
      <c r="R2965" s="154"/>
      <c r="AB2965" s="124"/>
    </row>
    <row r="2966" spans="18:28" s="105" customFormat="1">
      <c r="R2966" s="154"/>
      <c r="AB2966" s="124"/>
    </row>
    <row r="2967" spans="18:28" s="105" customFormat="1">
      <c r="R2967" s="154"/>
      <c r="AB2967" s="124"/>
    </row>
    <row r="2968" spans="18:28" s="105" customFormat="1">
      <c r="R2968" s="154"/>
      <c r="AB2968" s="124"/>
    </row>
    <row r="2969" spans="18:28" s="105" customFormat="1">
      <c r="R2969" s="154"/>
      <c r="AB2969" s="124"/>
    </row>
    <row r="2970" spans="18:28" s="105" customFormat="1">
      <c r="R2970" s="154"/>
      <c r="AB2970" s="124"/>
    </row>
    <row r="2971" spans="18:28" s="105" customFormat="1">
      <c r="R2971" s="154"/>
      <c r="AB2971" s="124"/>
    </row>
    <row r="2972" spans="18:28" s="105" customFormat="1">
      <c r="R2972" s="154"/>
      <c r="AB2972" s="124"/>
    </row>
    <row r="2973" spans="18:28" s="105" customFormat="1">
      <c r="R2973" s="154"/>
      <c r="AB2973" s="124"/>
    </row>
    <row r="2974" spans="18:28" s="105" customFormat="1">
      <c r="R2974" s="154"/>
      <c r="AB2974" s="124"/>
    </row>
    <row r="2975" spans="18:28" s="105" customFormat="1">
      <c r="R2975" s="154"/>
      <c r="AB2975" s="124"/>
    </row>
    <row r="2976" spans="18:28" s="105" customFormat="1">
      <c r="R2976" s="154"/>
      <c r="AB2976" s="124"/>
    </row>
    <row r="2977" spans="18:28" s="105" customFormat="1">
      <c r="R2977" s="154"/>
      <c r="AB2977" s="124"/>
    </row>
    <row r="2978" spans="18:28" s="105" customFormat="1">
      <c r="R2978" s="154"/>
      <c r="AB2978" s="124"/>
    </row>
    <row r="2979" spans="18:28" s="105" customFormat="1">
      <c r="R2979" s="154"/>
      <c r="AB2979" s="124"/>
    </row>
    <row r="2980" spans="18:28" s="105" customFormat="1">
      <c r="R2980" s="154"/>
      <c r="AB2980" s="124"/>
    </row>
    <row r="2981" spans="18:28" s="105" customFormat="1">
      <c r="R2981" s="154"/>
      <c r="AB2981" s="124"/>
    </row>
    <row r="2982" spans="18:28" s="105" customFormat="1">
      <c r="R2982" s="154"/>
      <c r="AB2982" s="124"/>
    </row>
    <row r="2983" spans="18:28" s="105" customFormat="1">
      <c r="R2983" s="154"/>
      <c r="AB2983" s="124"/>
    </row>
    <row r="2984" spans="18:28" s="105" customFormat="1">
      <c r="R2984" s="154"/>
      <c r="AB2984" s="124"/>
    </row>
    <row r="2985" spans="18:28" s="105" customFormat="1">
      <c r="R2985" s="154"/>
      <c r="AB2985" s="124"/>
    </row>
    <row r="2986" spans="18:28" s="105" customFormat="1">
      <c r="R2986" s="154"/>
      <c r="AB2986" s="124"/>
    </row>
    <row r="2987" spans="18:28" s="105" customFormat="1">
      <c r="R2987" s="154"/>
      <c r="AB2987" s="124"/>
    </row>
    <row r="2988" spans="18:28" s="105" customFormat="1">
      <c r="R2988" s="154"/>
      <c r="AB2988" s="124"/>
    </row>
    <row r="2989" spans="18:28" s="105" customFormat="1">
      <c r="R2989" s="154"/>
      <c r="AB2989" s="124"/>
    </row>
    <row r="2990" spans="18:28" s="105" customFormat="1">
      <c r="R2990" s="154"/>
      <c r="AB2990" s="124"/>
    </row>
    <row r="2991" spans="18:28" s="105" customFormat="1">
      <c r="R2991" s="154"/>
      <c r="AB2991" s="124"/>
    </row>
    <row r="2992" spans="18:28" s="105" customFormat="1">
      <c r="R2992" s="154"/>
      <c r="AB2992" s="124"/>
    </row>
    <row r="2993" spans="18:28" s="105" customFormat="1">
      <c r="R2993" s="154"/>
      <c r="AB2993" s="124"/>
    </row>
    <row r="2994" spans="18:28" s="105" customFormat="1">
      <c r="R2994" s="154"/>
      <c r="AB2994" s="124"/>
    </row>
    <row r="2995" spans="18:28" s="105" customFormat="1">
      <c r="R2995" s="154"/>
      <c r="AB2995" s="124"/>
    </row>
    <row r="2996" spans="18:28" s="105" customFormat="1">
      <c r="R2996" s="154"/>
      <c r="AB2996" s="124"/>
    </row>
    <row r="2997" spans="18:28" s="105" customFormat="1">
      <c r="R2997" s="154"/>
      <c r="AB2997" s="124"/>
    </row>
    <row r="2998" spans="18:28" s="105" customFormat="1">
      <c r="R2998" s="154"/>
      <c r="AB2998" s="124"/>
    </row>
    <row r="2999" spans="18:28" s="105" customFormat="1">
      <c r="R2999" s="154"/>
      <c r="AB2999" s="124"/>
    </row>
    <row r="3000" spans="18:28" s="105" customFormat="1">
      <c r="R3000" s="154"/>
      <c r="AB3000" s="124"/>
    </row>
    <row r="3001" spans="18:28" s="105" customFormat="1">
      <c r="R3001" s="154"/>
      <c r="AB3001" s="124"/>
    </row>
    <row r="3002" spans="18:28" s="105" customFormat="1">
      <c r="R3002" s="154"/>
      <c r="AB3002" s="124"/>
    </row>
    <row r="3003" spans="18:28" s="105" customFormat="1">
      <c r="R3003" s="154"/>
      <c r="AB3003" s="124"/>
    </row>
    <row r="3004" spans="18:28" s="105" customFormat="1">
      <c r="R3004" s="154"/>
      <c r="AB3004" s="124"/>
    </row>
    <row r="3005" spans="18:28" s="105" customFormat="1">
      <c r="R3005" s="154"/>
      <c r="AB3005" s="124"/>
    </row>
    <row r="3006" spans="18:28" s="105" customFormat="1">
      <c r="R3006" s="154"/>
      <c r="AB3006" s="124"/>
    </row>
    <row r="3007" spans="18:28" s="105" customFormat="1">
      <c r="R3007" s="154"/>
      <c r="AB3007" s="124"/>
    </row>
    <row r="3008" spans="18:28" s="105" customFormat="1">
      <c r="R3008" s="154"/>
      <c r="AB3008" s="124"/>
    </row>
    <row r="3009" spans="18:28" s="105" customFormat="1">
      <c r="R3009" s="154"/>
      <c r="AB3009" s="124"/>
    </row>
    <row r="3010" spans="18:28" s="105" customFormat="1">
      <c r="R3010" s="154"/>
      <c r="AB3010" s="124"/>
    </row>
    <row r="3011" spans="18:28" s="105" customFormat="1">
      <c r="R3011" s="154"/>
      <c r="AB3011" s="124"/>
    </row>
    <row r="3012" spans="18:28" s="105" customFormat="1">
      <c r="R3012" s="154"/>
      <c r="AB3012" s="124"/>
    </row>
    <row r="3013" spans="18:28" s="105" customFormat="1">
      <c r="R3013" s="154"/>
      <c r="AB3013" s="124"/>
    </row>
    <row r="3014" spans="18:28" s="105" customFormat="1">
      <c r="R3014" s="154"/>
      <c r="AB3014" s="124"/>
    </row>
    <row r="3015" spans="18:28" s="105" customFormat="1">
      <c r="R3015" s="154"/>
      <c r="AB3015" s="124"/>
    </row>
    <row r="3016" spans="18:28" s="105" customFormat="1">
      <c r="R3016" s="154"/>
      <c r="AB3016" s="124"/>
    </row>
    <row r="3017" spans="18:28" s="105" customFormat="1">
      <c r="R3017" s="154"/>
      <c r="AB3017" s="124"/>
    </row>
    <row r="3018" spans="18:28" s="105" customFormat="1">
      <c r="R3018" s="154"/>
      <c r="AB3018" s="124"/>
    </row>
    <row r="3019" spans="18:28" s="105" customFormat="1">
      <c r="R3019" s="154"/>
      <c r="AB3019" s="124"/>
    </row>
    <row r="3020" spans="18:28" s="105" customFormat="1">
      <c r="R3020" s="154"/>
      <c r="AB3020" s="124"/>
    </row>
    <row r="3021" spans="18:28" s="105" customFormat="1">
      <c r="R3021" s="154"/>
      <c r="AB3021" s="124"/>
    </row>
    <row r="3022" spans="18:28" s="105" customFormat="1">
      <c r="R3022" s="154"/>
      <c r="AB3022" s="124"/>
    </row>
    <row r="3023" spans="18:28" s="105" customFormat="1">
      <c r="R3023" s="154"/>
      <c r="AB3023" s="124"/>
    </row>
    <row r="3024" spans="18:28" s="105" customFormat="1">
      <c r="R3024" s="154"/>
      <c r="AB3024" s="124"/>
    </row>
    <row r="3025" spans="18:28" s="105" customFormat="1">
      <c r="R3025" s="154"/>
      <c r="AB3025" s="124"/>
    </row>
    <row r="3026" spans="18:28" s="105" customFormat="1">
      <c r="R3026" s="154"/>
      <c r="AB3026" s="124"/>
    </row>
    <row r="3027" spans="18:28" s="105" customFormat="1">
      <c r="R3027" s="154"/>
      <c r="AB3027" s="124"/>
    </row>
    <row r="3028" spans="18:28" s="105" customFormat="1">
      <c r="R3028" s="154"/>
      <c r="AB3028" s="124"/>
    </row>
    <row r="3029" spans="18:28" s="105" customFormat="1">
      <c r="R3029" s="154"/>
      <c r="AB3029" s="124"/>
    </row>
    <row r="3030" spans="18:28" s="105" customFormat="1">
      <c r="R3030" s="154"/>
      <c r="AB3030" s="124"/>
    </row>
    <row r="3031" spans="18:28" s="105" customFormat="1">
      <c r="R3031" s="154"/>
      <c r="AB3031" s="124"/>
    </row>
    <row r="3032" spans="18:28" s="105" customFormat="1">
      <c r="R3032" s="154"/>
      <c r="AB3032" s="124"/>
    </row>
    <row r="3033" spans="18:28" s="105" customFormat="1">
      <c r="R3033" s="154"/>
      <c r="AB3033" s="124"/>
    </row>
    <row r="3034" spans="18:28" s="105" customFormat="1">
      <c r="R3034" s="154"/>
      <c r="AB3034" s="124"/>
    </row>
    <row r="3035" spans="18:28" s="105" customFormat="1">
      <c r="R3035" s="154"/>
      <c r="AB3035" s="124"/>
    </row>
    <row r="3036" spans="18:28" s="105" customFormat="1">
      <c r="R3036" s="154"/>
      <c r="AB3036" s="124"/>
    </row>
    <row r="3037" spans="18:28" s="105" customFormat="1">
      <c r="R3037" s="154"/>
      <c r="AB3037" s="124"/>
    </row>
    <row r="3038" spans="18:28" s="105" customFormat="1">
      <c r="R3038" s="154"/>
      <c r="AB3038" s="124"/>
    </row>
    <row r="3039" spans="18:28" s="105" customFormat="1">
      <c r="R3039" s="154"/>
      <c r="AB3039" s="124"/>
    </row>
    <row r="3040" spans="18:28" s="105" customFormat="1">
      <c r="R3040" s="154"/>
      <c r="AB3040" s="124"/>
    </row>
    <row r="3041" spans="18:28" s="105" customFormat="1">
      <c r="R3041" s="154"/>
      <c r="AB3041" s="124"/>
    </row>
    <row r="3042" spans="18:28" s="105" customFormat="1">
      <c r="R3042" s="154"/>
      <c r="AB3042" s="124"/>
    </row>
    <row r="3043" spans="18:28" s="105" customFormat="1">
      <c r="R3043" s="154"/>
      <c r="AB3043" s="124"/>
    </row>
    <row r="3044" spans="18:28" s="105" customFormat="1">
      <c r="R3044" s="154"/>
      <c r="AB3044" s="124"/>
    </row>
    <row r="3045" spans="18:28" s="105" customFormat="1">
      <c r="R3045" s="154"/>
      <c r="AB3045" s="124"/>
    </row>
    <row r="3046" spans="18:28" s="105" customFormat="1">
      <c r="R3046" s="154"/>
      <c r="AB3046" s="124"/>
    </row>
    <row r="3047" spans="18:28" s="105" customFormat="1">
      <c r="R3047" s="154"/>
      <c r="AB3047" s="124"/>
    </row>
    <row r="3048" spans="18:28" s="105" customFormat="1">
      <c r="R3048" s="154"/>
      <c r="AB3048" s="124"/>
    </row>
    <row r="3049" spans="18:28" s="105" customFormat="1">
      <c r="R3049" s="154"/>
      <c r="AB3049" s="124"/>
    </row>
    <row r="3050" spans="18:28" s="105" customFormat="1">
      <c r="R3050" s="154"/>
      <c r="AB3050" s="124"/>
    </row>
    <row r="3051" spans="18:28" s="105" customFormat="1">
      <c r="R3051" s="154"/>
      <c r="AB3051" s="124"/>
    </row>
    <row r="3052" spans="18:28" s="105" customFormat="1">
      <c r="R3052" s="154"/>
      <c r="AB3052" s="124"/>
    </row>
    <row r="3053" spans="18:28" s="105" customFormat="1">
      <c r="R3053" s="154"/>
      <c r="AB3053" s="124"/>
    </row>
    <row r="3054" spans="18:28" s="105" customFormat="1">
      <c r="R3054" s="154"/>
      <c r="AB3054" s="124"/>
    </row>
    <row r="3055" spans="18:28" s="105" customFormat="1">
      <c r="R3055" s="154"/>
      <c r="AB3055" s="124"/>
    </row>
    <row r="3056" spans="18:28" s="105" customFormat="1">
      <c r="R3056" s="154"/>
      <c r="AB3056" s="124"/>
    </row>
    <row r="3057" spans="18:28" s="105" customFormat="1">
      <c r="R3057" s="154"/>
      <c r="AB3057" s="124"/>
    </row>
    <row r="3058" spans="18:28" s="105" customFormat="1">
      <c r="R3058" s="154"/>
      <c r="AB3058" s="124"/>
    </row>
    <row r="3059" spans="18:28" s="105" customFormat="1">
      <c r="R3059" s="154"/>
      <c r="AB3059" s="124"/>
    </row>
    <row r="3060" spans="18:28" s="105" customFormat="1">
      <c r="R3060" s="154"/>
      <c r="AB3060" s="124"/>
    </row>
    <row r="3061" spans="18:28" s="105" customFormat="1">
      <c r="R3061" s="154"/>
      <c r="AB3061" s="124"/>
    </row>
    <row r="3062" spans="18:28" s="105" customFormat="1">
      <c r="R3062" s="154"/>
      <c r="AB3062" s="124"/>
    </row>
    <row r="3063" spans="18:28" s="105" customFormat="1">
      <c r="R3063" s="154"/>
      <c r="AB3063" s="124"/>
    </row>
    <row r="3064" spans="18:28" s="105" customFormat="1">
      <c r="R3064" s="154"/>
      <c r="AB3064" s="124"/>
    </row>
    <row r="3065" spans="18:28" s="105" customFormat="1">
      <c r="R3065" s="154"/>
      <c r="AB3065" s="124"/>
    </row>
    <row r="3066" spans="18:28" s="105" customFormat="1">
      <c r="R3066" s="154"/>
      <c r="AB3066" s="124"/>
    </row>
    <row r="3067" spans="18:28" s="105" customFormat="1">
      <c r="R3067" s="154"/>
      <c r="AB3067" s="124"/>
    </row>
    <row r="3068" spans="18:28" s="105" customFormat="1">
      <c r="R3068" s="154"/>
      <c r="AB3068" s="124"/>
    </row>
    <row r="3069" spans="18:28" s="105" customFormat="1">
      <c r="R3069" s="154"/>
      <c r="AB3069" s="124"/>
    </row>
    <row r="3070" spans="18:28" s="105" customFormat="1">
      <c r="R3070" s="154"/>
      <c r="AB3070" s="124"/>
    </row>
    <row r="3071" spans="18:28" s="105" customFormat="1">
      <c r="R3071" s="154"/>
      <c r="AB3071" s="124"/>
    </row>
    <row r="3072" spans="18:28" s="105" customFormat="1">
      <c r="R3072" s="154"/>
      <c r="AB3072" s="124"/>
    </row>
    <row r="3073" spans="18:28" s="105" customFormat="1">
      <c r="R3073" s="154"/>
      <c r="AB3073" s="124"/>
    </row>
    <row r="3074" spans="18:28" s="105" customFormat="1">
      <c r="R3074" s="154"/>
      <c r="AB3074" s="124"/>
    </row>
    <row r="3075" spans="18:28" s="105" customFormat="1">
      <c r="R3075" s="154"/>
      <c r="AB3075" s="124"/>
    </row>
    <row r="3076" spans="18:28" s="105" customFormat="1">
      <c r="R3076" s="154"/>
      <c r="AB3076" s="124"/>
    </row>
    <row r="3077" spans="18:28" s="105" customFormat="1">
      <c r="R3077" s="154"/>
      <c r="AB3077" s="124"/>
    </row>
    <row r="3078" spans="18:28" s="105" customFormat="1">
      <c r="R3078" s="154"/>
      <c r="AB3078" s="124"/>
    </row>
    <row r="3079" spans="18:28" s="105" customFormat="1">
      <c r="R3079" s="154"/>
      <c r="AB3079" s="124"/>
    </row>
    <row r="3080" spans="18:28" s="105" customFormat="1">
      <c r="R3080" s="154"/>
      <c r="AB3080" s="124"/>
    </row>
    <row r="3081" spans="18:28" s="105" customFormat="1">
      <c r="R3081" s="154"/>
      <c r="AB3081" s="124"/>
    </row>
    <row r="3082" spans="18:28" s="105" customFormat="1">
      <c r="R3082" s="154"/>
      <c r="AB3082" s="124"/>
    </row>
    <row r="3083" spans="18:28" s="105" customFormat="1">
      <c r="R3083" s="154"/>
      <c r="AB3083" s="124"/>
    </row>
    <row r="3084" spans="18:28" s="105" customFormat="1">
      <c r="R3084" s="154"/>
      <c r="AB3084" s="124"/>
    </row>
    <row r="3085" spans="18:28" s="105" customFormat="1">
      <c r="R3085" s="154"/>
      <c r="AB3085" s="124"/>
    </row>
    <row r="3086" spans="18:28" s="105" customFormat="1">
      <c r="R3086" s="154"/>
      <c r="AB3086" s="124"/>
    </row>
    <row r="3087" spans="18:28" s="105" customFormat="1">
      <c r="R3087" s="154"/>
      <c r="AB3087" s="124"/>
    </row>
    <row r="3088" spans="18:28" s="105" customFormat="1">
      <c r="R3088" s="154"/>
      <c r="AB3088" s="124"/>
    </row>
    <row r="3089" spans="18:28" s="105" customFormat="1">
      <c r="R3089" s="154"/>
      <c r="AB3089" s="124"/>
    </row>
    <row r="3090" spans="18:28" s="105" customFormat="1">
      <c r="R3090" s="154"/>
      <c r="AB3090" s="124"/>
    </row>
    <row r="3091" spans="18:28" s="105" customFormat="1">
      <c r="R3091" s="154"/>
      <c r="AB3091" s="124"/>
    </row>
    <row r="3092" spans="18:28" s="105" customFormat="1">
      <c r="R3092" s="154"/>
      <c r="AB3092" s="124"/>
    </row>
    <row r="3093" spans="18:28" s="105" customFormat="1">
      <c r="R3093" s="154"/>
      <c r="AB3093" s="124"/>
    </row>
    <row r="3094" spans="18:28" s="105" customFormat="1">
      <c r="R3094" s="154"/>
      <c r="AB3094" s="124"/>
    </row>
    <row r="3095" spans="18:28" s="105" customFormat="1">
      <c r="R3095" s="154"/>
      <c r="AB3095" s="124"/>
    </row>
    <row r="3096" spans="18:28" s="105" customFormat="1">
      <c r="R3096" s="154"/>
      <c r="AB3096" s="124"/>
    </row>
    <row r="3097" spans="18:28" s="105" customFormat="1">
      <c r="R3097" s="154"/>
      <c r="AB3097" s="124"/>
    </row>
    <row r="3098" spans="18:28" s="105" customFormat="1">
      <c r="R3098" s="154"/>
      <c r="AB3098" s="124"/>
    </row>
    <row r="3099" spans="18:28" s="105" customFormat="1">
      <c r="R3099" s="154"/>
      <c r="AB3099" s="124"/>
    </row>
    <row r="3100" spans="18:28" s="105" customFormat="1">
      <c r="R3100" s="154"/>
      <c r="AB3100" s="124"/>
    </row>
    <row r="3101" spans="18:28" s="105" customFormat="1">
      <c r="R3101" s="154"/>
      <c r="AB3101" s="124"/>
    </row>
    <row r="3102" spans="18:28" s="105" customFormat="1">
      <c r="R3102" s="154"/>
      <c r="AB3102" s="124"/>
    </row>
    <row r="3103" spans="18:28" s="105" customFormat="1">
      <c r="R3103" s="154"/>
      <c r="AB3103" s="124"/>
    </row>
    <row r="3104" spans="18:28" s="105" customFormat="1">
      <c r="R3104" s="154"/>
      <c r="AB3104" s="124"/>
    </row>
    <row r="3105" spans="18:28" s="105" customFormat="1">
      <c r="R3105" s="154"/>
      <c r="AB3105" s="124"/>
    </row>
    <row r="3106" spans="18:28" s="105" customFormat="1">
      <c r="R3106" s="154"/>
      <c r="AB3106" s="124"/>
    </row>
    <row r="3107" spans="18:28" s="105" customFormat="1">
      <c r="R3107" s="154"/>
      <c r="AB3107" s="124"/>
    </row>
    <row r="3108" spans="18:28" s="105" customFormat="1">
      <c r="R3108" s="154"/>
      <c r="AB3108" s="124"/>
    </row>
    <row r="3109" spans="18:28" s="105" customFormat="1">
      <c r="R3109" s="154"/>
      <c r="AB3109" s="124"/>
    </row>
    <row r="3110" spans="18:28" s="105" customFormat="1">
      <c r="R3110" s="154"/>
      <c r="AB3110" s="124"/>
    </row>
    <row r="3111" spans="18:28" s="105" customFormat="1">
      <c r="R3111" s="154"/>
      <c r="AB3111" s="124"/>
    </row>
    <row r="3112" spans="18:28" s="105" customFormat="1">
      <c r="R3112" s="154"/>
      <c r="AB3112" s="124"/>
    </row>
    <row r="3113" spans="18:28" s="105" customFormat="1">
      <c r="R3113" s="154"/>
      <c r="AB3113" s="124"/>
    </row>
    <row r="3114" spans="18:28" s="105" customFormat="1">
      <c r="R3114" s="154"/>
      <c r="AB3114" s="124"/>
    </row>
    <row r="3115" spans="18:28" s="105" customFormat="1">
      <c r="R3115" s="154"/>
      <c r="AB3115" s="124"/>
    </row>
    <row r="3116" spans="18:28" s="105" customFormat="1">
      <c r="R3116" s="154"/>
      <c r="AB3116" s="124"/>
    </row>
    <row r="3117" spans="18:28" s="105" customFormat="1">
      <c r="R3117" s="154"/>
      <c r="AB3117" s="124"/>
    </row>
    <row r="3118" spans="18:28" s="105" customFormat="1">
      <c r="R3118" s="154"/>
      <c r="AB3118" s="124"/>
    </row>
    <row r="3119" spans="18:28" s="105" customFormat="1">
      <c r="R3119" s="154"/>
      <c r="AB3119" s="124"/>
    </row>
    <row r="3120" spans="18:28" s="105" customFormat="1">
      <c r="R3120" s="154"/>
      <c r="AB3120" s="124"/>
    </row>
    <row r="3121" spans="18:28" s="105" customFormat="1">
      <c r="R3121" s="154"/>
      <c r="AB3121" s="124"/>
    </row>
    <row r="3122" spans="18:28" s="105" customFormat="1">
      <c r="R3122" s="154"/>
      <c r="AB3122" s="124"/>
    </row>
    <row r="3123" spans="18:28" s="105" customFormat="1">
      <c r="R3123" s="154"/>
      <c r="AB3123" s="124"/>
    </row>
    <row r="3124" spans="18:28" s="105" customFormat="1">
      <c r="R3124" s="154"/>
      <c r="AB3124" s="124"/>
    </row>
    <row r="3125" spans="18:28" s="105" customFormat="1">
      <c r="R3125" s="154"/>
      <c r="AB3125" s="124"/>
    </row>
    <row r="3126" spans="18:28" s="105" customFormat="1">
      <c r="R3126" s="154"/>
      <c r="AB3126" s="124"/>
    </row>
    <row r="3127" spans="18:28" s="105" customFormat="1">
      <c r="R3127" s="154"/>
      <c r="AB3127" s="124"/>
    </row>
    <row r="3128" spans="18:28" s="105" customFormat="1">
      <c r="R3128" s="154"/>
      <c r="AB3128" s="124"/>
    </row>
    <row r="3129" spans="18:28" s="105" customFormat="1">
      <c r="R3129" s="154"/>
      <c r="AB3129" s="124"/>
    </row>
    <row r="3130" spans="18:28" s="105" customFormat="1">
      <c r="R3130" s="154"/>
      <c r="AB3130" s="124"/>
    </row>
    <row r="3131" spans="18:28" s="105" customFormat="1">
      <c r="R3131" s="154"/>
      <c r="AB3131" s="124"/>
    </row>
    <row r="3132" spans="18:28" s="105" customFormat="1">
      <c r="R3132" s="154"/>
      <c r="AB3132" s="124"/>
    </row>
    <row r="3133" spans="18:28" s="105" customFormat="1">
      <c r="R3133" s="154"/>
      <c r="AB3133" s="124"/>
    </row>
    <row r="3134" spans="18:28" s="105" customFormat="1">
      <c r="R3134" s="154"/>
      <c r="AB3134" s="124"/>
    </row>
    <row r="3135" spans="18:28" s="105" customFormat="1">
      <c r="R3135" s="154"/>
      <c r="AB3135" s="124"/>
    </row>
    <row r="3136" spans="18:28" s="105" customFormat="1">
      <c r="R3136" s="154"/>
      <c r="AB3136" s="124"/>
    </row>
    <row r="3137" spans="18:28" s="105" customFormat="1">
      <c r="R3137" s="154"/>
      <c r="AB3137" s="124"/>
    </row>
    <row r="3138" spans="18:28" s="105" customFormat="1">
      <c r="R3138" s="154"/>
      <c r="AB3138" s="124"/>
    </row>
    <row r="3139" spans="18:28" s="105" customFormat="1">
      <c r="R3139" s="154"/>
      <c r="AB3139" s="124"/>
    </row>
    <row r="3140" spans="18:28" s="105" customFormat="1">
      <c r="R3140" s="154"/>
      <c r="AB3140" s="124"/>
    </row>
    <row r="3141" spans="18:28" s="105" customFormat="1">
      <c r="R3141" s="154"/>
      <c r="AB3141" s="124"/>
    </row>
    <row r="3142" spans="18:28" s="105" customFormat="1">
      <c r="R3142" s="154"/>
      <c r="AB3142" s="124"/>
    </row>
    <row r="3143" spans="18:28" s="105" customFormat="1">
      <c r="R3143" s="154"/>
      <c r="AB3143" s="124"/>
    </row>
    <row r="3144" spans="18:28" s="105" customFormat="1">
      <c r="R3144" s="154"/>
      <c r="AB3144" s="124"/>
    </row>
    <row r="3145" spans="18:28" s="105" customFormat="1">
      <c r="R3145" s="154"/>
      <c r="AB3145" s="124"/>
    </row>
    <row r="3146" spans="18:28" s="105" customFormat="1">
      <c r="R3146" s="154"/>
      <c r="AB3146" s="124"/>
    </row>
    <row r="3147" spans="18:28" s="105" customFormat="1">
      <c r="R3147" s="154"/>
      <c r="AB3147" s="124"/>
    </row>
    <row r="3148" spans="18:28" s="105" customFormat="1">
      <c r="R3148" s="154"/>
      <c r="AB3148" s="124"/>
    </row>
    <row r="3149" spans="18:28" s="105" customFormat="1">
      <c r="R3149" s="154"/>
      <c r="AB3149" s="124"/>
    </row>
    <row r="3150" spans="18:28" s="105" customFormat="1">
      <c r="R3150" s="154"/>
      <c r="AB3150" s="124"/>
    </row>
    <row r="3151" spans="18:28" s="105" customFormat="1">
      <c r="R3151" s="154"/>
      <c r="AB3151" s="124"/>
    </row>
    <row r="3152" spans="18:28" s="105" customFormat="1">
      <c r="R3152" s="154"/>
      <c r="AB3152" s="124"/>
    </row>
    <row r="3153" spans="18:28" s="105" customFormat="1">
      <c r="R3153" s="154"/>
      <c r="AB3153" s="124"/>
    </row>
    <row r="3154" spans="18:28" s="105" customFormat="1">
      <c r="R3154" s="154"/>
      <c r="AB3154" s="124"/>
    </row>
    <row r="3155" spans="18:28" s="105" customFormat="1">
      <c r="R3155" s="154"/>
      <c r="AB3155" s="124"/>
    </row>
    <row r="3156" spans="18:28" s="105" customFormat="1">
      <c r="R3156" s="154"/>
      <c r="AB3156" s="124"/>
    </row>
    <row r="3157" spans="18:28" s="105" customFormat="1">
      <c r="R3157" s="154"/>
      <c r="AB3157" s="124"/>
    </row>
    <row r="3158" spans="18:28" s="105" customFormat="1">
      <c r="R3158" s="154"/>
      <c r="AB3158" s="124"/>
    </row>
    <row r="3159" spans="18:28" s="105" customFormat="1">
      <c r="R3159" s="154"/>
      <c r="AB3159" s="124"/>
    </row>
    <row r="3160" spans="18:28" s="105" customFormat="1">
      <c r="R3160" s="154"/>
      <c r="AB3160" s="124"/>
    </row>
    <row r="3161" spans="18:28" s="105" customFormat="1">
      <c r="R3161" s="154"/>
      <c r="AB3161" s="124"/>
    </row>
    <row r="3162" spans="18:28" s="105" customFormat="1">
      <c r="R3162" s="154"/>
      <c r="AB3162" s="124"/>
    </row>
    <row r="3163" spans="18:28" s="105" customFormat="1">
      <c r="R3163" s="154"/>
      <c r="AB3163" s="124"/>
    </row>
    <row r="3164" spans="18:28" s="105" customFormat="1">
      <c r="R3164" s="154"/>
      <c r="AB3164" s="124"/>
    </row>
    <row r="3165" spans="18:28" s="105" customFormat="1">
      <c r="R3165" s="154"/>
      <c r="AB3165" s="124"/>
    </row>
    <row r="3166" spans="18:28" s="105" customFormat="1">
      <c r="R3166" s="154"/>
      <c r="AB3166" s="124"/>
    </row>
    <row r="3167" spans="18:28" s="105" customFormat="1">
      <c r="R3167" s="154"/>
      <c r="AB3167" s="124"/>
    </row>
    <row r="3168" spans="18:28" s="105" customFormat="1">
      <c r="R3168" s="154"/>
      <c r="AB3168" s="124"/>
    </row>
    <row r="3169" spans="18:28" s="105" customFormat="1">
      <c r="R3169" s="154"/>
      <c r="AB3169" s="124"/>
    </row>
    <row r="3170" spans="18:28" s="105" customFormat="1">
      <c r="R3170" s="154"/>
      <c r="AB3170" s="124"/>
    </row>
    <row r="3171" spans="18:28" s="105" customFormat="1">
      <c r="R3171" s="154"/>
      <c r="AB3171" s="124"/>
    </row>
    <row r="3172" spans="18:28" s="105" customFormat="1">
      <c r="R3172" s="154"/>
      <c r="AB3172" s="124"/>
    </row>
    <row r="3173" spans="18:28" s="105" customFormat="1">
      <c r="R3173" s="154"/>
      <c r="AB3173" s="124"/>
    </row>
    <row r="3174" spans="18:28" s="105" customFormat="1">
      <c r="R3174" s="154"/>
      <c r="AB3174" s="124"/>
    </row>
    <row r="3175" spans="18:28" s="105" customFormat="1">
      <c r="R3175" s="154"/>
      <c r="AB3175" s="124"/>
    </row>
    <row r="3176" spans="18:28" s="105" customFormat="1">
      <c r="R3176" s="154"/>
      <c r="AB3176" s="124"/>
    </row>
    <row r="3177" spans="18:28" s="105" customFormat="1">
      <c r="R3177" s="154"/>
      <c r="AB3177" s="124"/>
    </row>
    <row r="3178" spans="18:28" s="105" customFormat="1">
      <c r="R3178" s="154"/>
      <c r="AB3178" s="124"/>
    </row>
    <row r="3179" spans="18:28" s="105" customFormat="1">
      <c r="R3179" s="154"/>
      <c r="AB3179" s="124"/>
    </row>
    <row r="3180" spans="18:28" s="105" customFormat="1">
      <c r="R3180" s="154"/>
      <c r="AB3180" s="124"/>
    </row>
    <row r="3181" spans="18:28" s="105" customFormat="1">
      <c r="R3181" s="154"/>
      <c r="AB3181" s="124"/>
    </row>
    <row r="3182" spans="18:28" s="105" customFormat="1">
      <c r="R3182" s="154"/>
      <c r="AB3182" s="124"/>
    </row>
    <row r="3183" spans="18:28" s="105" customFormat="1">
      <c r="R3183" s="154"/>
      <c r="AB3183" s="124"/>
    </row>
    <row r="3184" spans="18:28" s="105" customFormat="1">
      <c r="R3184" s="154"/>
      <c r="AB3184" s="124"/>
    </row>
    <row r="3185" spans="18:28" s="105" customFormat="1">
      <c r="R3185" s="154"/>
      <c r="AB3185" s="124"/>
    </row>
    <row r="3186" spans="18:28" s="105" customFormat="1">
      <c r="R3186" s="154"/>
      <c r="AB3186" s="124"/>
    </row>
    <row r="3187" spans="18:28" s="105" customFormat="1">
      <c r="R3187" s="154"/>
      <c r="AB3187" s="124"/>
    </row>
    <row r="3188" spans="18:28" s="105" customFormat="1">
      <c r="R3188" s="154"/>
      <c r="AB3188" s="124"/>
    </row>
    <row r="3189" spans="18:28" s="105" customFormat="1">
      <c r="R3189" s="154"/>
      <c r="AB3189" s="124"/>
    </row>
    <row r="3190" spans="18:28" s="105" customFormat="1">
      <c r="R3190" s="154"/>
      <c r="AB3190" s="124"/>
    </row>
    <row r="3191" spans="18:28" s="105" customFormat="1">
      <c r="R3191" s="154"/>
      <c r="AB3191" s="124"/>
    </row>
    <row r="3192" spans="18:28" s="105" customFormat="1">
      <c r="R3192" s="154"/>
      <c r="AB3192" s="124"/>
    </row>
    <row r="3193" spans="18:28" s="105" customFormat="1">
      <c r="R3193" s="154"/>
      <c r="AB3193" s="124"/>
    </row>
    <row r="3194" spans="18:28" s="105" customFormat="1">
      <c r="R3194" s="154"/>
      <c r="AB3194" s="124"/>
    </row>
    <row r="3195" spans="18:28" s="105" customFormat="1">
      <c r="R3195" s="154"/>
      <c r="AB3195" s="124"/>
    </row>
    <row r="3196" spans="18:28" s="105" customFormat="1">
      <c r="R3196" s="154"/>
      <c r="AB3196" s="124"/>
    </row>
    <row r="3197" spans="18:28" s="105" customFormat="1">
      <c r="R3197" s="154"/>
      <c r="AB3197" s="124"/>
    </row>
    <row r="3198" spans="18:28" s="105" customFormat="1">
      <c r="R3198" s="154"/>
      <c r="AB3198" s="124"/>
    </row>
    <row r="3199" spans="18:28" s="105" customFormat="1">
      <c r="R3199" s="154"/>
      <c r="AB3199" s="124"/>
    </row>
    <row r="3200" spans="18:28" s="105" customFormat="1">
      <c r="R3200" s="154"/>
      <c r="AB3200" s="124"/>
    </row>
    <row r="3201" spans="18:28" s="105" customFormat="1">
      <c r="R3201" s="154"/>
      <c r="AB3201" s="124"/>
    </row>
    <row r="3202" spans="18:28" s="105" customFormat="1">
      <c r="R3202" s="154"/>
      <c r="AB3202" s="124"/>
    </row>
    <row r="3203" spans="18:28" s="105" customFormat="1">
      <c r="R3203" s="154"/>
      <c r="AB3203" s="124"/>
    </row>
    <row r="3204" spans="18:28" s="105" customFormat="1">
      <c r="R3204" s="154"/>
      <c r="AB3204" s="124"/>
    </row>
    <row r="3205" spans="18:28" s="105" customFormat="1">
      <c r="R3205" s="154"/>
      <c r="AB3205" s="124"/>
    </row>
    <row r="3206" spans="18:28" s="105" customFormat="1">
      <c r="R3206" s="154"/>
      <c r="AB3206" s="124"/>
    </row>
    <row r="3207" spans="18:28" s="105" customFormat="1">
      <c r="R3207" s="154"/>
      <c r="AB3207" s="124"/>
    </row>
    <row r="3208" spans="18:28" s="105" customFormat="1">
      <c r="R3208" s="154"/>
      <c r="AB3208" s="124"/>
    </row>
    <row r="3209" spans="18:28" s="105" customFormat="1">
      <c r="R3209" s="154"/>
      <c r="AB3209" s="124"/>
    </row>
    <row r="3210" spans="18:28" s="105" customFormat="1">
      <c r="R3210" s="154"/>
      <c r="AB3210" s="124"/>
    </row>
    <row r="3211" spans="18:28" s="105" customFormat="1">
      <c r="R3211" s="154"/>
      <c r="AB3211" s="124"/>
    </row>
    <row r="3212" spans="18:28" s="105" customFormat="1">
      <c r="R3212" s="154"/>
      <c r="AB3212" s="124"/>
    </row>
    <row r="3213" spans="18:28" s="105" customFormat="1">
      <c r="R3213" s="154"/>
      <c r="AB3213" s="124"/>
    </row>
    <row r="3214" spans="18:28" s="105" customFormat="1">
      <c r="R3214" s="154"/>
      <c r="AB3214" s="124"/>
    </row>
    <row r="3215" spans="18:28" s="105" customFormat="1">
      <c r="R3215" s="154"/>
      <c r="AB3215" s="124"/>
    </row>
    <row r="3216" spans="18:28" s="105" customFormat="1">
      <c r="R3216" s="154"/>
      <c r="AB3216" s="124"/>
    </row>
    <row r="3217" spans="18:28" s="105" customFormat="1">
      <c r="R3217" s="154"/>
      <c r="AB3217" s="124"/>
    </row>
    <row r="3218" spans="18:28" s="105" customFormat="1">
      <c r="R3218" s="154"/>
      <c r="AB3218" s="124"/>
    </row>
    <row r="3219" spans="18:28" s="105" customFormat="1">
      <c r="R3219" s="154"/>
      <c r="AB3219" s="124"/>
    </row>
    <row r="3220" spans="18:28" s="105" customFormat="1">
      <c r="R3220" s="154"/>
      <c r="AB3220" s="124"/>
    </row>
    <row r="3221" spans="18:28" s="105" customFormat="1">
      <c r="R3221" s="154"/>
      <c r="AB3221" s="124"/>
    </row>
    <row r="3222" spans="18:28" s="105" customFormat="1">
      <c r="R3222" s="154"/>
      <c r="AB3222" s="124"/>
    </row>
    <row r="3223" spans="18:28" s="105" customFormat="1">
      <c r="R3223" s="154"/>
      <c r="AB3223" s="124"/>
    </row>
    <row r="3224" spans="18:28" s="105" customFormat="1">
      <c r="R3224" s="154"/>
      <c r="AB3224" s="124"/>
    </row>
    <row r="3225" spans="18:28" s="105" customFormat="1">
      <c r="R3225" s="154"/>
      <c r="AB3225" s="124"/>
    </row>
    <row r="3226" spans="18:28" s="105" customFormat="1">
      <c r="R3226" s="154"/>
      <c r="AB3226" s="124"/>
    </row>
    <row r="3227" spans="18:28" s="105" customFormat="1">
      <c r="R3227" s="154"/>
      <c r="AB3227" s="124"/>
    </row>
    <row r="3228" spans="18:28" s="105" customFormat="1">
      <c r="R3228" s="154"/>
      <c r="AB3228" s="124"/>
    </row>
    <row r="3229" spans="18:28" s="105" customFormat="1">
      <c r="R3229" s="154"/>
      <c r="AB3229" s="124"/>
    </row>
    <row r="3230" spans="18:28" s="105" customFormat="1">
      <c r="R3230" s="154"/>
      <c r="AB3230" s="124"/>
    </row>
    <row r="3231" spans="18:28" s="105" customFormat="1">
      <c r="R3231" s="154"/>
      <c r="AB3231" s="124"/>
    </row>
    <row r="3232" spans="18:28" s="105" customFormat="1">
      <c r="R3232" s="154"/>
      <c r="AB3232" s="124"/>
    </row>
    <row r="3233" spans="18:28" s="105" customFormat="1">
      <c r="R3233" s="154"/>
      <c r="AB3233" s="124"/>
    </row>
    <row r="3234" spans="18:28" s="105" customFormat="1">
      <c r="R3234" s="154"/>
      <c r="AB3234" s="124"/>
    </row>
    <row r="3235" spans="18:28" s="105" customFormat="1">
      <c r="R3235" s="154"/>
      <c r="AB3235" s="124"/>
    </row>
    <row r="3236" spans="18:28" s="105" customFormat="1">
      <c r="R3236" s="154"/>
      <c r="AB3236" s="124"/>
    </row>
    <row r="3237" spans="18:28" s="105" customFormat="1">
      <c r="R3237" s="154"/>
      <c r="AB3237" s="124"/>
    </row>
    <row r="3238" spans="18:28" s="105" customFormat="1">
      <c r="R3238" s="154"/>
      <c r="AB3238" s="124"/>
    </row>
    <row r="3239" spans="18:28" s="105" customFormat="1">
      <c r="R3239" s="154"/>
      <c r="AB3239" s="124"/>
    </row>
    <row r="3240" spans="18:28" s="105" customFormat="1">
      <c r="R3240" s="154"/>
      <c r="AB3240" s="124"/>
    </row>
    <row r="3241" spans="18:28" s="105" customFormat="1">
      <c r="R3241" s="154"/>
      <c r="AB3241" s="124"/>
    </row>
    <row r="3242" spans="18:28" s="105" customFormat="1">
      <c r="R3242" s="154"/>
      <c r="AB3242" s="124"/>
    </row>
    <row r="3243" spans="18:28" s="105" customFormat="1">
      <c r="R3243" s="154"/>
      <c r="AB3243" s="124"/>
    </row>
    <row r="3244" spans="18:28" s="105" customFormat="1">
      <c r="R3244" s="154"/>
      <c r="AB3244" s="124"/>
    </row>
    <row r="3245" spans="18:28" s="105" customFormat="1">
      <c r="R3245" s="154"/>
      <c r="AB3245" s="124"/>
    </row>
    <row r="3246" spans="18:28" s="105" customFormat="1">
      <c r="R3246" s="154"/>
      <c r="AB3246" s="124"/>
    </row>
    <row r="3247" spans="18:28" s="105" customFormat="1">
      <c r="R3247" s="154"/>
      <c r="AB3247" s="124"/>
    </row>
    <row r="3248" spans="18:28" s="105" customFormat="1">
      <c r="R3248" s="154"/>
      <c r="AB3248" s="124"/>
    </row>
    <row r="3249" spans="18:28" s="105" customFormat="1">
      <c r="R3249" s="154"/>
      <c r="AB3249" s="124"/>
    </row>
    <row r="3250" spans="18:28" s="105" customFormat="1">
      <c r="R3250" s="154"/>
      <c r="AB3250" s="124"/>
    </row>
    <row r="3251" spans="18:28" s="105" customFormat="1">
      <c r="R3251" s="154"/>
      <c r="AB3251" s="124"/>
    </row>
    <row r="3252" spans="18:28" s="105" customFormat="1">
      <c r="R3252" s="154"/>
      <c r="AB3252" s="124"/>
    </row>
    <row r="3253" spans="18:28" s="105" customFormat="1">
      <c r="R3253" s="154"/>
      <c r="AB3253" s="124"/>
    </row>
    <row r="3254" spans="18:28" s="105" customFormat="1">
      <c r="R3254" s="154"/>
      <c r="AB3254" s="124"/>
    </row>
    <row r="3255" spans="18:28" s="105" customFormat="1">
      <c r="R3255" s="154"/>
      <c r="AB3255" s="124"/>
    </row>
    <row r="3256" spans="18:28" s="105" customFormat="1">
      <c r="R3256" s="154"/>
      <c r="AB3256" s="124"/>
    </row>
    <row r="3257" spans="18:28" s="105" customFormat="1">
      <c r="R3257" s="154"/>
      <c r="AB3257" s="124"/>
    </row>
    <row r="3258" spans="18:28" s="105" customFormat="1">
      <c r="R3258" s="154"/>
      <c r="AB3258" s="124"/>
    </row>
    <row r="3259" spans="18:28" s="105" customFormat="1">
      <c r="R3259" s="154"/>
      <c r="AB3259" s="124"/>
    </row>
    <row r="3260" spans="18:28" s="105" customFormat="1">
      <c r="R3260" s="154"/>
      <c r="AB3260" s="124"/>
    </row>
    <row r="3261" spans="18:28" s="105" customFormat="1">
      <c r="R3261" s="154"/>
      <c r="AB3261" s="124"/>
    </row>
    <row r="3262" spans="18:28" s="105" customFormat="1">
      <c r="R3262" s="154"/>
      <c r="AB3262" s="124"/>
    </row>
    <row r="3263" spans="18:28" s="105" customFormat="1">
      <c r="R3263" s="154"/>
      <c r="AB3263" s="124"/>
    </row>
    <row r="3264" spans="18:28" s="105" customFormat="1">
      <c r="R3264" s="154"/>
      <c r="AB3264" s="124"/>
    </row>
    <row r="3265" spans="18:28" s="105" customFormat="1">
      <c r="R3265" s="154"/>
      <c r="AB3265" s="124"/>
    </row>
    <row r="3266" spans="18:28" s="105" customFormat="1">
      <c r="R3266" s="154"/>
      <c r="AB3266" s="124"/>
    </row>
    <row r="3267" spans="18:28" s="105" customFormat="1">
      <c r="R3267" s="154"/>
      <c r="AB3267" s="124"/>
    </row>
    <row r="3268" spans="18:28" s="105" customFormat="1">
      <c r="R3268" s="154"/>
      <c r="AB3268" s="124"/>
    </row>
    <row r="3269" spans="18:28" s="105" customFormat="1">
      <c r="R3269" s="154"/>
      <c r="AB3269" s="124"/>
    </row>
    <row r="3270" spans="18:28" s="105" customFormat="1">
      <c r="R3270" s="154"/>
      <c r="AB3270" s="124"/>
    </row>
    <row r="3271" spans="18:28" s="105" customFormat="1">
      <c r="R3271" s="154"/>
      <c r="AB3271" s="124"/>
    </row>
    <row r="3272" spans="18:28" s="105" customFormat="1">
      <c r="R3272" s="154"/>
      <c r="AB3272" s="124"/>
    </row>
    <row r="3273" spans="18:28" s="105" customFormat="1">
      <c r="R3273" s="154"/>
      <c r="AB3273" s="124"/>
    </row>
    <row r="3274" spans="18:28" s="105" customFormat="1">
      <c r="R3274" s="154"/>
      <c r="AB3274" s="124"/>
    </row>
    <row r="3275" spans="18:28" s="105" customFormat="1">
      <c r="R3275" s="154"/>
      <c r="AB3275" s="124"/>
    </row>
    <row r="3276" spans="18:28" s="105" customFormat="1">
      <c r="R3276" s="154"/>
      <c r="AB3276" s="124"/>
    </row>
    <row r="3277" spans="18:28" s="105" customFormat="1">
      <c r="R3277" s="154"/>
      <c r="AB3277" s="124"/>
    </row>
    <row r="3278" spans="18:28" s="105" customFormat="1">
      <c r="R3278" s="154"/>
      <c r="AB3278" s="124"/>
    </row>
    <row r="3279" spans="18:28" s="105" customFormat="1">
      <c r="R3279" s="154"/>
      <c r="AB3279" s="124"/>
    </row>
    <row r="3280" spans="18:28" s="105" customFormat="1">
      <c r="R3280" s="154"/>
      <c r="AB3280" s="124"/>
    </row>
    <row r="3281" spans="18:28" s="105" customFormat="1">
      <c r="R3281" s="154"/>
      <c r="AB3281" s="124"/>
    </row>
    <row r="3282" spans="18:28" s="105" customFormat="1">
      <c r="R3282" s="154"/>
      <c r="AB3282" s="124"/>
    </row>
    <row r="3283" spans="18:28" s="105" customFormat="1">
      <c r="R3283" s="154"/>
      <c r="AB3283" s="124"/>
    </row>
    <row r="3284" spans="18:28" s="105" customFormat="1">
      <c r="R3284" s="154"/>
      <c r="AB3284" s="124"/>
    </row>
    <row r="3285" spans="18:28" s="105" customFormat="1">
      <c r="R3285" s="154"/>
      <c r="AB3285" s="124"/>
    </row>
    <row r="3286" spans="18:28" s="105" customFormat="1">
      <c r="R3286" s="154"/>
      <c r="AB3286" s="124"/>
    </row>
    <row r="3287" spans="18:28" s="105" customFormat="1">
      <c r="R3287" s="154"/>
      <c r="AB3287" s="124"/>
    </row>
    <row r="3288" spans="18:28" s="105" customFormat="1">
      <c r="R3288" s="154"/>
      <c r="AB3288" s="124"/>
    </row>
    <row r="3289" spans="18:28" s="105" customFormat="1">
      <c r="R3289" s="154"/>
      <c r="AB3289" s="124"/>
    </row>
    <row r="3290" spans="18:28" s="105" customFormat="1">
      <c r="R3290" s="154"/>
      <c r="AB3290" s="124"/>
    </row>
    <row r="3291" spans="18:28" s="105" customFormat="1">
      <c r="R3291" s="154"/>
      <c r="AB3291" s="124"/>
    </row>
    <row r="3292" spans="18:28" s="105" customFormat="1">
      <c r="R3292" s="154"/>
      <c r="AB3292" s="124"/>
    </row>
    <row r="3293" spans="18:28" s="105" customFormat="1">
      <c r="R3293" s="154"/>
      <c r="AB3293" s="124"/>
    </row>
    <row r="3294" spans="18:28" s="105" customFormat="1">
      <c r="R3294" s="154"/>
      <c r="AB3294" s="124"/>
    </row>
    <row r="3295" spans="18:28" s="105" customFormat="1">
      <c r="R3295" s="154"/>
      <c r="AB3295" s="124"/>
    </row>
    <row r="3296" spans="18:28" s="105" customFormat="1">
      <c r="R3296" s="154"/>
      <c r="AB3296" s="124"/>
    </row>
    <row r="3297" spans="18:28" s="105" customFormat="1">
      <c r="R3297" s="154"/>
      <c r="AB3297" s="124"/>
    </row>
    <row r="3298" spans="18:28" s="105" customFormat="1">
      <c r="R3298" s="154"/>
      <c r="AB3298" s="124"/>
    </row>
    <row r="3299" spans="18:28" s="105" customFormat="1">
      <c r="R3299" s="154"/>
      <c r="AB3299" s="124"/>
    </row>
    <row r="3300" spans="18:28" s="105" customFormat="1">
      <c r="R3300" s="154"/>
      <c r="AB3300" s="124"/>
    </row>
    <row r="3301" spans="18:28" s="105" customFormat="1">
      <c r="R3301" s="154"/>
      <c r="AB3301" s="124"/>
    </row>
    <row r="3302" spans="18:28" s="105" customFormat="1">
      <c r="R3302" s="154"/>
      <c r="AB3302" s="124"/>
    </row>
    <row r="3303" spans="18:28" s="105" customFormat="1">
      <c r="R3303" s="154"/>
      <c r="AB3303" s="124"/>
    </row>
    <row r="3304" spans="18:28" s="105" customFormat="1">
      <c r="R3304" s="154"/>
      <c r="AB3304" s="124"/>
    </row>
    <row r="3305" spans="18:28" s="105" customFormat="1">
      <c r="R3305" s="154"/>
      <c r="AB3305" s="124"/>
    </row>
    <row r="3306" spans="18:28" s="105" customFormat="1">
      <c r="R3306" s="154"/>
      <c r="AB3306" s="124"/>
    </row>
    <row r="3307" spans="18:28" s="105" customFormat="1">
      <c r="R3307" s="154"/>
      <c r="AB3307" s="124"/>
    </row>
    <row r="3308" spans="18:28" s="105" customFormat="1">
      <c r="R3308" s="154"/>
      <c r="AB3308" s="124"/>
    </row>
    <row r="3309" spans="18:28" s="105" customFormat="1">
      <c r="R3309" s="154"/>
      <c r="AB3309" s="124"/>
    </row>
    <row r="3310" spans="18:28" s="105" customFormat="1">
      <c r="R3310" s="154"/>
      <c r="AB3310" s="124"/>
    </row>
    <row r="3311" spans="18:28" s="105" customFormat="1">
      <c r="R3311" s="154"/>
      <c r="AB3311" s="124"/>
    </row>
    <row r="3312" spans="18:28" s="105" customFormat="1">
      <c r="R3312" s="154"/>
      <c r="AB3312" s="124"/>
    </row>
    <row r="3313" spans="18:28" s="105" customFormat="1">
      <c r="R3313" s="154"/>
      <c r="AB3313" s="124"/>
    </row>
    <row r="3314" spans="18:28" s="105" customFormat="1">
      <c r="R3314" s="154"/>
      <c r="AB3314" s="124"/>
    </row>
    <row r="3315" spans="18:28" s="105" customFormat="1">
      <c r="R3315" s="154"/>
      <c r="AB3315" s="124"/>
    </row>
    <row r="3316" spans="18:28" s="105" customFormat="1">
      <c r="R3316" s="154"/>
      <c r="AB3316" s="124"/>
    </row>
    <row r="3317" spans="18:28" s="105" customFormat="1">
      <c r="R3317" s="154"/>
      <c r="AB3317" s="124"/>
    </row>
    <row r="3318" spans="18:28" s="105" customFormat="1">
      <c r="R3318" s="154"/>
      <c r="AB3318" s="124"/>
    </row>
    <row r="3319" spans="18:28" s="105" customFormat="1">
      <c r="R3319" s="154"/>
      <c r="AB3319" s="124"/>
    </row>
    <row r="3320" spans="18:28" s="105" customFormat="1">
      <c r="R3320" s="154"/>
      <c r="AB3320" s="124"/>
    </row>
    <row r="3321" spans="18:28" s="105" customFormat="1">
      <c r="R3321" s="154"/>
      <c r="AB3321" s="124"/>
    </row>
    <row r="3322" spans="18:28" s="105" customFormat="1">
      <c r="R3322" s="154"/>
      <c r="AB3322" s="124"/>
    </row>
    <row r="3323" spans="18:28" s="105" customFormat="1">
      <c r="R3323" s="154"/>
      <c r="AB3323" s="124"/>
    </row>
    <row r="3324" spans="18:28" s="105" customFormat="1">
      <c r="R3324" s="154"/>
      <c r="AB3324" s="124"/>
    </row>
    <row r="3325" spans="18:28" s="105" customFormat="1">
      <c r="R3325" s="154"/>
      <c r="AB3325" s="124"/>
    </row>
    <row r="3326" spans="18:28" s="105" customFormat="1">
      <c r="R3326" s="154"/>
      <c r="AB3326" s="124"/>
    </row>
    <row r="3327" spans="18:28" s="105" customFormat="1">
      <c r="R3327" s="154"/>
      <c r="AB3327" s="124"/>
    </row>
    <row r="3328" spans="18:28" s="105" customFormat="1">
      <c r="R3328" s="154"/>
      <c r="AB3328" s="124"/>
    </row>
    <row r="3329" spans="18:28" s="105" customFormat="1">
      <c r="R3329" s="154"/>
      <c r="AB3329" s="124"/>
    </row>
    <row r="3330" spans="18:28" s="105" customFormat="1">
      <c r="R3330" s="154"/>
      <c r="AB3330" s="124"/>
    </row>
    <row r="3331" spans="18:28" s="105" customFormat="1">
      <c r="R3331" s="154"/>
      <c r="AB3331" s="124"/>
    </row>
    <row r="3332" spans="18:28" s="105" customFormat="1">
      <c r="R3332" s="154"/>
      <c r="AB3332" s="124"/>
    </row>
    <row r="3333" spans="18:28" s="105" customFormat="1">
      <c r="R3333" s="154"/>
      <c r="AB3333" s="124"/>
    </row>
    <row r="3334" spans="18:28" s="105" customFormat="1">
      <c r="R3334" s="154"/>
      <c r="AB3334" s="124"/>
    </row>
    <row r="3335" spans="18:28" s="105" customFormat="1">
      <c r="R3335" s="154"/>
      <c r="AB3335" s="124"/>
    </row>
    <row r="3336" spans="18:28" s="105" customFormat="1">
      <c r="R3336" s="154"/>
      <c r="AB3336" s="124"/>
    </row>
    <row r="3337" spans="18:28" s="105" customFormat="1">
      <c r="R3337" s="154"/>
      <c r="AB3337" s="124"/>
    </row>
    <row r="3338" spans="18:28" s="105" customFormat="1">
      <c r="R3338" s="154"/>
      <c r="AB3338" s="124"/>
    </row>
    <row r="3339" spans="18:28" s="105" customFormat="1">
      <c r="R3339" s="154"/>
      <c r="AB3339" s="124"/>
    </row>
    <row r="3340" spans="18:28" s="105" customFormat="1">
      <c r="R3340" s="154"/>
      <c r="AB3340" s="124"/>
    </row>
    <row r="3341" spans="18:28" s="105" customFormat="1">
      <c r="R3341" s="154"/>
      <c r="AB3341" s="124"/>
    </row>
    <row r="3342" spans="18:28" s="105" customFormat="1">
      <c r="R3342" s="154"/>
      <c r="AB3342" s="124"/>
    </row>
    <row r="3343" spans="18:28" s="105" customFormat="1">
      <c r="R3343" s="154"/>
      <c r="AB3343" s="124"/>
    </row>
    <row r="3344" spans="18:28" s="105" customFormat="1">
      <c r="R3344" s="154"/>
      <c r="AB3344" s="124"/>
    </row>
    <row r="3345" spans="18:28" s="105" customFormat="1">
      <c r="R3345" s="154"/>
      <c r="AB3345" s="124"/>
    </row>
    <row r="3346" spans="18:28" s="105" customFormat="1">
      <c r="R3346" s="154"/>
      <c r="AB3346" s="124"/>
    </row>
    <row r="3347" spans="18:28" s="105" customFormat="1">
      <c r="R3347" s="154"/>
      <c r="AB3347" s="124"/>
    </row>
    <row r="3348" spans="18:28" s="105" customFormat="1">
      <c r="R3348" s="154"/>
      <c r="AB3348" s="124"/>
    </row>
    <row r="3349" spans="18:28" s="105" customFormat="1">
      <c r="R3349" s="154"/>
      <c r="AB3349" s="124"/>
    </row>
    <row r="3350" spans="18:28" s="105" customFormat="1">
      <c r="R3350" s="154"/>
      <c r="AB3350" s="124"/>
    </row>
    <row r="3351" spans="18:28" s="105" customFormat="1">
      <c r="R3351" s="154"/>
      <c r="AB3351" s="124"/>
    </row>
    <row r="3352" spans="18:28" s="105" customFormat="1">
      <c r="R3352" s="154"/>
      <c r="AB3352" s="124"/>
    </row>
    <row r="3353" spans="18:28" s="105" customFormat="1">
      <c r="R3353" s="154"/>
      <c r="AB3353" s="124"/>
    </row>
    <row r="3354" spans="18:28" s="105" customFormat="1">
      <c r="R3354" s="154"/>
      <c r="AB3354" s="124"/>
    </row>
    <row r="3355" spans="18:28" s="105" customFormat="1">
      <c r="R3355" s="154"/>
      <c r="AB3355" s="124"/>
    </row>
    <row r="3356" spans="18:28" s="105" customFormat="1">
      <c r="R3356" s="154"/>
      <c r="AB3356" s="124"/>
    </row>
    <row r="3357" spans="18:28" s="105" customFormat="1">
      <c r="R3357" s="154"/>
      <c r="AB3357" s="124"/>
    </row>
    <row r="3358" spans="18:28" s="105" customFormat="1">
      <c r="R3358" s="154"/>
      <c r="AB3358" s="124"/>
    </row>
    <row r="3359" spans="18:28" s="105" customFormat="1">
      <c r="R3359" s="154"/>
      <c r="AB3359" s="124"/>
    </row>
    <row r="3360" spans="18:28" s="105" customFormat="1">
      <c r="R3360" s="154"/>
      <c r="AB3360" s="124"/>
    </row>
    <row r="3361" spans="18:28" s="105" customFormat="1">
      <c r="R3361" s="154"/>
      <c r="AB3361" s="124"/>
    </row>
    <row r="3362" spans="18:28" s="105" customFormat="1">
      <c r="R3362" s="154"/>
      <c r="AB3362" s="124"/>
    </row>
    <row r="3363" spans="18:28" s="105" customFormat="1">
      <c r="R3363" s="154"/>
      <c r="AB3363" s="124"/>
    </row>
    <row r="3364" spans="18:28" s="105" customFormat="1">
      <c r="R3364" s="154"/>
      <c r="AB3364" s="124"/>
    </row>
    <row r="3365" spans="18:28" s="105" customFormat="1">
      <c r="R3365" s="154"/>
      <c r="AB3365" s="124"/>
    </row>
    <row r="3366" spans="18:28" s="105" customFormat="1">
      <c r="R3366" s="154"/>
      <c r="AB3366" s="124"/>
    </row>
    <row r="3367" spans="18:28" s="105" customFormat="1">
      <c r="R3367" s="154"/>
      <c r="AB3367" s="124"/>
    </row>
    <row r="3368" spans="18:28" s="105" customFormat="1">
      <c r="R3368" s="154"/>
      <c r="AB3368" s="124"/>
    </row>
    <row r="3369" spans="18:28" s="105" customFormat="1">
      <c r="R3369" s="154"/>
      <c r="AB3369" s="124"/>
    </row>
    <row r="3370" spans="18:28" s="105" customFormat="1">
      <c r="R3370" s="154"/>
      <c r="AB3370" s="124"/>
    </row>
    <row r="3371" spans="18:28" s="105" customFormat="1">
      <c r="R3371" s="154"/>
      <c r="AB3371" s="124"/>
    </row>
    <row r="3372" spans="18:28" s="105" customFormat="1">
      <c r="R3372" s="154"/>
      <c r="AB3372" s="124"/>
    </row>
    <row r="3373" spans="18:28" s="105" customFormat="1">
      <c r="R3373" s="154"/>
      <c r="AB3373" s="124"/>
    </row>
    <row r="3374" spans="18:28" s="105" customFormat="1">
      <c r="R3374" s="154"/>
      <c r="AB3374" s="124"/>
    </row>
    <row r="3375" spans="18:28" s="105" customFormat="1">
      <c r="R3375" s="154"/>
      <c r="AB3375" s="124"/>
    </row>
    <row r="3376" spans="18:28" s="105" customFormat="1">
      <c r="R3376" s="154"/>
      <c r="AB3376" s="124"/>
    </row>
    <row r="3377" spans="18:28" s="105" customFormat="1">
      <c r="R3377" s="154"/>
      <c r="AB3377" s="124"/>
    </row>
    <row r="3378" spans="18:28" s="105" customFormat="1">
      <c r="R3378" s="154"/>
      <c r="AB3378" s="124"/>
    </row>
    <row r="3379" spans="18:28" s="105" customFormat="1">
      <c r="R3379" s="154"/>
      <c r="AB3379" s="124"/>
    </row>
    <row r="3380" spans="18:28" s="105" customFormat="1">
      <c r="R3380" s="154"/>
      <c r="AB3380" s="124"/>
    </row>
    <row r="3381" spans="18:28" s="105" customFormat="1">
      <c r="R3381" s="154"/>
      <c r="AB3381" s="124"/>
    </row>
    <row r="3382" spans="18:28" s="105" customFormat="1">
      <c r="R3382" s="154"/>
      <c r="AB3382" s="124"/>
    </row>
    <row r="3383" spans="18:28" s="105" customFormat="1">
      <c r="R3383" s="154"/>
      <c r="AB3383" s="124"/>
    </row>
    <row r="3384" spans="18:28" s="105" customFormat="1">
      <c r="R3384" s="154"/>
      <c r="AB3384" s="124"/>
    </row>
    <row r="3385" spans="18:28" s="105" customFormat="1">
      <c r="R3385" s="154"/>
      <c r="AB3385" s="124"/>
    </row>
    <row r="3386" spans="18:28" s="105" customFormat="1">
      <c r="R3386" s="154"/>
      <c r="AB3386" s="124"/>
    </row>
    <row r="3387" spans="18:28" s="105" customFormat="1">
      <c r="R3387" s="154"/>
      <c r="AB3387" s="124"/>
    </row>
    <row r="3388" spans="18:28" s="105" customFormat="1">
      <c r="R3388" s="154"/>
      <c r="AB3388" s="124"/>
    </row>
    <row r="3389" spans="18:28" s="105" customFormat="1">
      <c r="R3389" s="154"/>
      <c r="AB3389" s="124"/>
    </row>
    <row r="3390" spans="18:28" s="105" customFormat="1">
      <c r="R3390" s="154"/>
      <c r="AB3390" s="124"/>
    </row>
    <row r="3391" spans="18:28" s="105" customFormat="1">
      <c r="R3391" s="154"/>
      <c r="AB3391" s="124"/>
    </row>
    <row r="3392" spans="18:28" s="105" customFormat="1">
      <c r="R3392" s="154"/>
      <c r="AB3392" s="124"/>
    </row>
    <row r="3393" spans="18:28" s="105" customFormat="1">
      <c r="R3393" s="154"/>
      <c r="AB3393" s="124"/>
    </row>
    <row r="3394" spans="18:28" s="105" customFormat="1">
      <c r="R3394" s="154"/>
      <c r="AB3394" s="124"/>
    </row>
    <row r="3395" spans="18:28" s="105" customFormat="1">
      <c r="R3395" s="154"/>
      <c r="AB3395" s="124"/>
    </row>
    <row r="3396" spans="18:28" s="105" customFormat="1">
      <c r="R3396" s="154"/>
      <c r="AB3396" s="124"/>
    </row>
    <row r="3397" spans="18:28" s="105" customFormat="1">
      <c r="R3397" s="154"/>
      <c r="AB3397" s="124"/>
    </row>
    <row r="3398" spans="18:28" s="105" customFormat="1">
      <c r="R3398" s="154"/>
      <c r="AB3398" s="124"/>
    </row>
    <row r="3399" spans="18:28" s="105" customFormat="1">
      <c r="R3399" s="154"/>
      <c r="AB3399" s="124"/>
    </row>
    <row r="3400" spans="18:28" s="105" customFormat="1">
      <c r="R3400" s="154"/>
      <c r="AB3400" s="124"/>
    </row>
    <row r="3401" spans="18:28" s="105" customFormat="1">
      <c r="R3401" s="154"/>
      <c r="AB3401" s="124"/>
    </row>
    <row r="3402" spans="18:28" s="105" customFormat="1">
      <c r="R3402" s="154"/>
      <c r="AB3402" s="124"/>
    </row>
    <row r="3403" spans="18:28" s="105" customFormat="1">
      <c r="R3403" s="154"/>
      <c r="AB3403" s="124"/>
    </row>
    <row r="3404" spans="18:28" s="105" customFormat="1">
      <c r="R3404" s="154"/>
      <c r="AB3404" s="124"/>
    </row>
    <row r="3405" spans="18:28" s="105" customFormat="1">
      <c r="R3405" s="154"/>
      <c r="AB3405" s="124"/>
    </row>
    <row r="3406" spans="18:28" s="105" customFormat="1">
      <c r="R3406" s="154"/>
      <c r="AB3406" s="124"/>
    </row>
    <row r="3407" spans="18:28" s="105" customFormat="1">
      <c r="R3407" s="154"/>
      <c r="AB3407" s="124"/>
    </row>
    <row r="3408" spans="18:28" s="105" customFormat="1">
      <c r="R3408" s="154"/>
      <c r="AB3408" s="124"/>
    </row>
    <row r="3409" spans="18:28" s="105" customFormat="1">
      <c r="R3409" s="154"/>
      <c r="AB3409" s="124"/>
    </row>
    <row r="3410" spans="18:28" s="105" customFormat="1">
      <c r="R3410" s="154"/>
      <c r="AB3410" s="124"/>
    </row>
    <row r="3411" spans="18:28" s="105" customFormat="1">
      <c r="R3411" s="154"/>
      <c r="AB3411" s="124"/>
    </row>
    <row r="3412" spans="18:28" s="105" customFormat="1">
      <c r="R3412" s="154"/>
      <c r="AB3412" s="124"/>
    </row>
    <row r="3413" spans="18:28" s="105" customFormat="1">
      <c r="R3413" s="154"/>
      <c r="AB3413" s="124"/>
    </row>
    <row r="3414" spans="18:28" s="105" customFormat="1">
      <c r="R3414" s="154"/>
      <c r="AB3414" s="124"/>
    </row>
    <row r="3415" spans="18:28" s="105" customFormat="1">
      <c r="R3415" s="154"/>
      <c r="AB3415" s="124"/>
    </row>
    <row r="3416" spans="18:28" s="105" customFormat="1">
      <c r="R3416" s="154"/>
      <c r="AB3416" s="124"/>
    </row>
    <row r="3417" spans="18:28" s="105" customFormat="1">
      <c r="R3417" s="154"/>
      <c r="AB3417" s="124"/>
    </row>
    <row r="3418" spans="18:28" s="105" customFormat="1">
      <c r="R3418" s="154"/>
      <c r="AB3418" s="124"/>
    </row>
    <row r="3419" spans="18:28" s="105" customFormat="1">
      <c r="R3419" s="154"/>
      <c r="AB3419" s="124"/>
    </row>
    <row r="3420" spans="18:28" s="105" customFormat="1">
      <c r="R3420" s="154"/>
      <c r="AB3420" s="124"/>
    </row>
    <row r="3421" spans="18:28" s="105" customFormat="1">
      <c r="R3421" s="154"/>
      <c r="AB3421" s="124"/>
    </row>
    <row r="3422" spans="18:28" s="105" customFormat="1">
      <c r="R3422" s="154"/>
      <c r="AB3422" s="124"/>
    </row>
    <row r="3423" spans="18:28" s="105" customFormat="1">
      <c r="R3423" s="154"/>
      <c r="AB3423" s="124"/>
    </row>
    <row r="3424" spans="18:28" s="105" customFormat="1">
      <c r="R3424" s="154"/>
      <c r="AB3424" s="124"/>
    </row>
    <row r="3425" spans="18:28" s="105" customFormat="1">
      <c r="R3425" s="154"/>
      <c r="AB3425" s="124"/>
    </row>
    <row r="3426" spans="18:28" s="105" customFormat="1">
      <c r="R3426" s="154"/>
      <c r="AB3426" s="124"/>
    </row>
    <row r="3427" spans="18:28" s="105" customFormat="1">
      <c r="R3427" s="154"/>
      <c r="AB3427" s="124"/>
    </row>
    <row r="3428" spans="18:28" s="105" customFormat="1">
      <c r="R3428" s="154"/>
      <c r="AB3428" s="124"/>
    </row>
    <row r="3429" spans="18:28" s="105" customFormat="1">
      <c r="R3429" s="154"/>
      <c r="AB3429" s="124"/>
    </row>
    <row r="3430" spans="18:28" s="105" customFormat="1">
      <c r="R3430" s="154"/>
      <c r="AB3430" s="124"/>
    </row>
    <row r="3431" spans="18:28" s="105" customFormat="1">
      <c r="R3431" s="154"/>
      <c r="AB3431" s="124"/>
    </row>
    <row r="3432" spans="18:28" s="105" customFormat="1">
      <c r="R3432" s="154"/>
      <c r="AB3432" s="124"/>
    </row>
    <row r="3433" spans="18:28" s="105" customFormat="1">
      <c r="R3433" s="154"/>
      <c r="AB3433" s="124"/>
    </row>
    <row r="3434" spans="18:28" s="105" customFormat="1">
      <c r="R3434" s="154"/>
      <c r="AB3434" s="124"/>
    </row>
    <row r="3435" spans="18:28" s="105" customFormat="1">
      <c r="R3435" s="154"/>
      <c r="AB3435" s="124"/>
    </row>
    <row r="3436" spans="18:28" s="105" customFormat="1">
      <c r="R3436" s="154"/>
      <c r="AB3436" s="124"/>
    </row>
    <row r="3437" spans="18:28" s="105" customFormat="1">
      <c r="R3437" s="154"/>
      <c r="AB3437" s="124"/>
    </row>
    <row r="3438" spans="18:28" s="105" customFormat="1">
      <c r="R3438" s="154"/>
      <c r="AB3438" s="124"/>
    </row>
    <row r="3439" spans="18:28" s="105" customFormat="1">
      <c r="R3439" s="154"/>
      <c r="AB3439" s="124"/>
    </row>
    <row r="3440" spans="18:28" s="105" customFormat="1">
      <c r="R3440" s="154"/>
      <c r="AB3440" s="124"/>
    </row>
    <row r="3441" spans="18:28" s="105" customFormat="1">
      <c r="R3441" s="154"/>
      <c r="AB3441" s="124"/>
    </row>
    <row r="3442" spans="18:28" s="105" customFormat="1">
      <c r="R3442" s="154"/>
      <c r="AB3442" s="124"/>
    </row>
    <row r="3443" spans="18:28" s="105" customFormat="1">
      <c r="R3443" s="154"/>
      <c r="AB3443" s="124"/>
    </row>
    <row r="3444" spans="18:28" s="105" customFormat="1">
      <c r="R3444" s="154"/>
      <c r="AB3444" s="124"/>
    </row>
    <row r="3445" spans="18:28" s="105" customFormat="1">
      <c r="R3445" s="154"/>
      <c r="AB3445" s="124"/>
    </row>
    <row r="3446" spans="18:28" s="105" customFormat="1">
      <c r="R3446" s="154"/>
      <c r="AB3446" s="124"/>
    </row>
    <row r="3447" spans="18:28" s="105" customFormat="1">
      <c r="R3447" s="154"/>
      <c r="AB3447" s="124"/>
    </row>
    <row r="3448" spans="18:28" s="105" customFormat="1">
      <c r="R3448" s="154"/>
      <c r="AB3448" s="124"/>
    </row>
    <row r="3449" spans="18:28" s="105" customFormat="1">
      <c r="R3449" s="154"/>
      <c r="AB3449" s="124"/>
    </row>
    <row r="3450" spans="18:28" s="105" customFormat="1">
      <c r="R3450" s="154"/>
      <c r="AB3450" s="124"/>
    </row>
    <row r="3451" spans="18:28" s="105" customFormat="1">
      <c r="R3451" s="154"/>
      <c r="AB3451" s="124"/>
    </row>
    <row r="3452" spans="18:28" s="105" customFormat="1">
      <c r="R3452" s="154"/>
      <c r="AB3452" s="124"/>
    </row>
    <row r="3453" spans="18:28" s="105" customFormat="1">
      <c r="R3453" s="154"/>
      <c r="AB3453" s="124"/>
    </row>
    <row r="3454" spans="18:28" s="105" customFormat="1">
      <c r="R3454" s="154"/>
      <c r="AB3454" s="124"/>
    </row>
    <row r="3455" spans="18:28" s="105" customFormat="1">
      <c r="R3455" s="154"/>
      <c r="AB3455" s="124"/>
    </row>
    <row r="3456" spans="18:28" s="105" customFormat="1">
      <c r="R3456" s="154"/>
      <c r="AB3456" s="124"/>
    </row>
    <row r="3457" spans="18:28" s="105" customFormat="1">
      <c r="R3457" s="154"/>
      <c r="AB3457" s="124"/>
    </row>
    <row r="3458" spans="18:28" s="105" customFormat="1">
      <c r="R3458" s="154"/>
      <c r="AB3458" s="124"/>
    </row>
    <row r="3459" spans="18:28" s="105" customFormat="1">
      <c r="R3459" s="154"/>
      <c r="AB3459" s="124"/>
    </row>
    <row r="3460" spans="18:28" s="105" customFormat="1">
      <c r="R3460" s="154"/>
      <c r="AB3460" s="124"/>
    </row>
    <row r="3461" spans="18:28" s="105" customFormat="1">
      <c r="R3461" s="154"/>
      <c r="AB3461" s="124"/>
    </row>
    <row r="3462" spans="18:28" s="105" customFormat="1">
      <c r="R3462" s="154"/>
      <c r="AB3462" s="124"/>
    </row>
    <row r="3463" spans="18:28" s="105" customFormat="1">
      <c r="R3463" s="154"/>
      <c r="AB3463" s="124"/>
    </row>
    <row r="3464" spans="18:28" s="105" customFormat="1">
      <c r="R3464" s="154"/>
      <c r="AB3464" s="124"/>
    </row>
    <row r="3465" spans="18:28" s="105" customFormat="1">
      <c r="R3465" s="154"/>
      <c r="AB3465" s="124"/>
    </row>
    <row r="3466" spans="18:28" s="105" customFormat="1">
      <c r="R3466" s="154"/>
      <c r="AB3466" s="124"/>
    </row>
    <row r="3467" spans="18:28" s="105" customFormat="1">
      <c r="R3467" s="154"/>
      <c r="AB3467" s="124"/>
    </row>
    <row r="3468" spans="18:28" s="105" customFormat="1">
      <c r="R3468" s="154"/>
      <c r="AB3468" s="124"/>
    </row>
    <row r="3469" spans="18:28" s="105" customFormat="1">
      <c r="R3469" s="154"/>
      <c r="AB3469" s="124"/>
    </row>
    <row r="3470" spans="18:28" s="105" customFormat="1">
      <c r="R3470" s="154"/>
      <c r="AB3470" s="124"/>
    </row>
    <row r="3471" spans="18:28" s="105" customFormat="1">
      <c r="R3471" s="154"/>
      <c r="AB3471" s="124"/>
    </row>
    <row r="3472" spans="18:28" s="105" customFormat="1">
      <c r="R3472" s="154"/>
      <c r="AB3472" s="124"/>
    </row>
    <row r="3473" spans="18:28" s="105" customFormat="1">
      <c r="R3473" s="154"/>
      <c r="AB3473" s="124"/>
    </row>
    <row r="3474" spans="18:28" s="105" customFormat="1">
      <c r="R3474" s="154"/>
      <c r="AB3474" s="124"/>
    </row>
    <row r="3475" spans="18:28" s="105" customFormat="1">
      <c r="R3475" s="154"/>
      <c r="AB3475" s="124"/>
    </row>
    <row r="3476" spans="18:28" s="105" customFormat="1">
      <c r="R3476" s="154"/>
      <c r="AB3476" s="124"/>
    </row>
    <row r="3477" spans="18:28" s="105" customFormat="1">
      <c r="R3477" s="154"/>
      <c r="AB3477" s="124"/>
    </row>
    <row r="3478" spans="18:28" s="105" customFormat="1">
      <c r="R3478" s="154"/>
      <c r="AB3478" s="124"/>
    </row>
    <row r="3479" spans="18:28" s="105" customFormat="1">
      <c r="R3479" s="154"/>
      <c r="AB3479" s="124"/>
    </row>
    <row r="3480" spans="18:28" s="105" customFormat="1">
      <c r="R3480" s="154"/>
      <c r="AB3480" s="124"/>
    </row>
    <row r="3481" spans="18:28" s="105" customFormat="1">
      <c r="R3481" s="154"/>
      <c r="AB3481" s="124"/>
    </row>
    <row r="3482" spans="18:28" s="105" customFormat="1">
      <c r="R3482" s="154"/>
      <c r="AB3482" s="124"/>
    </row>
    <row r="3483" spans="18:28" s="105" customFormat="1">
      <c r="R3483" s="154"/>
      <c r="AB3483" s="124"/>
    </row>
    <row r="3484" spans="18:28" s="105" customFormat="1">
      <c r="R3484" s="154"/>
      <c r="AB3484" s="124"/>
    </row>
    <row r="3485" spans="18:28" s="105" customFormat="1">
      <c r="R3485" s="154"/>
      <c r="AB3485" s="124"/>
    </row>
    <row r="3486" spans="18:28" s="105" customFormat="1">
      <c r="R3486" s="154"/>
      <c r="AB3486" s="124"/>
    </row>
    <row r="3487" spans="18:28" s="105" customFormat="1">
      <c r="R3487" s="154"/>
      <c r="AB3487" s="124"/>
    </row>
    <row r="3488" spans="18:28" s="105" customFormat="1">
      <c r="R3488" s="154"/>
      <c r="AB3488" s="124"/>
    </row>
    <row r="3489" spans="18:28" s="105" customFormat="1">
      <c r="R3489" s="154"/>
      <c r="AB3489" s="124"/>
    </row>
    <row r="3490" spans="18:28" s="105" customFormat="1">
      <c r="R3490" s="154"/>
      <c r="AB3490" s="124"/>
    </row>
    <row r="3491" spans="18:28" s="105" customFormat="1">
      <c r="R3491" s="154"/>
      <c r="AB3491" s="124"/>
    </row>
    <row r="3492" spans="18:28" s="105" customFormat="1">
      <c r="R3492" s="154"/>
      <c r="AB3492" s="124"/>
    </row>
    <row r="3493" spans="18:28" s="105" customFormat="1">
      <c r="R3493" s="154"/>
      <c r="AB3493" s="124"/>
    </row>
    <row r="3494" spans="18:28" s="105" customFormat="1">
      <c r="R3494" s="154"/>
      <c r="AB3494" s="124"/>
    </row>
    <row r="3495" spans="18:28" s="105" customFormat="1">
      <c r="R3495" s="154"/>
      <c r="AB3495" s="124"/>
    </row>
    <row r="3496" spans="18:28" s="105" customFormat="1">
      <c r="R3496" s="154"/>
      <c r="AB3496" s="124"/>
    </row>
    <row r="3497" spans="18:28" s="105" customFormat="1">
      <c r="R3497" s="154"/>
      <c r="AB3497" s="124"/>
    </row>
    <row r="3498" spans="18:28" s="105" customFormat="1">
      <c r="R3498" s="154"/>
      <c r="AB3498" s="124"/>
    </row>
    <row r="3499" spans="18:28" s="105" customFormat="1">
      <c r="R3499" s="154"/>
      <c r="AB3499" s="124"/>
    </row>
    <row r="3500" spans="18:28" s="105" customFormat="1">
      <c r="R3500" s="154"/>
      <c r="AB3500" s="124"/>
    </row>
    <row r="3501" spans="18:28" s="105" customFormat="1">
      <c r="R3501" s="154"/>
      <c r="AB3501" s="124"/>
    </row>
    <row r="3502" spans="18:28" s="105" customFormat="1">
      <c r="R3502" s="154"/>
      <c r="AB3502" s="124"/>
    </row>
    <row r="3503" spans="18:28" s="105" customFormat="1">
      <c r="R3503" s="154"/>
      <c r="AB3503" s="124"/>
    </row>
    <row r="3504" spans="18:28" s="105" customFormat="1">
      <c r="R3504" s="154"/>
      <c r="AB3504" s="124"/>
    </row>
    <row r="3505" spans="18:28" s="105" customFormat="1">
      <c r="R3505" s="154"/>
      <c r="AB3505" s="124"/>
    </row>
    <row r="3506" spans="18:28" s="105" customFormat="1">
      <c r="R3506" s="154"/>
      <c r="AB3506" s="124"/>
    </row>
    <row r="3507" spans="18:28" s="105" customFormat="1">
      <c r="R3507" s="154"/>
      <c r="AB3507" s="124"/>
    </row>
    <row r="3508" spans="18:28" s="105" customFormat="1">
      <c r="R3508" s="154"/>
      <c r="AB3508" s="124"/>
    </row>
    <row r="3509" spans="18:28" s="105" customFormat="1">
      <c r="R3509" s="154"/>
      <c r="AB3509" s="124"/>
    </row>
    <row r="3510" spans="18:28" s="105" customFormat="1">
      <c r="R3510" s="154"/>
      <c r="AB3510" s="124"/>
    </row>
    <row r="3511" spans="18:28" s="105" customFormat="1">
      <c r="R3511" s="154"/>
      <c r="AB3511" s="124"/>
    </row>
    <row r="3512" spans="18:28" s="105" customFormat="1">
      <c r="R3512" s="154"/>
      <c r="AB3512" s="124"/>
    </row>
    <row r="3513" spans="18:28" s="105" customFormat="1">
      <c r="R3513" s="154"/>
      <c r="AB3513" s="124"/>
    </row>
    <row r="3514" spans="18:28" s="105" customFormat="1">
      <c r="R3514" s="154"/>
      <c r="AB3514" s="124"/>
    </row>
    <row r="3515" spans="18:28" s="105" customFormat="1">
      <c r="R3515" s="154"/>
      <c r="AB3515" s="124"/>
    </row>
    <row r="3516" spans="18:28" s="105" customFormat="1">
      <c r="R3516" s="154"/>
      <c r="AB3516" s="124"/>
    </row>
    <row r="3517" spans="18:28" s="105" customFormat="1">
      <c r="R3517" s="154"/>
      <c r="AB3517" s="124"/>
    </row>
    <row r="3518" spans="18:28" s="105" customFormat="1">
      <c r="R3518" s="154"/>
      <c r="AB3518" s="124"/>
    </row>
    <row r="3519" spans="18:28" s="105" customFormat="1">
      <c r="R3519" s="154"/>
      <c r="AB3519" s="124"/>
    </row>
    <row r="3520" spans="18:28" s="105" customFormat="1">
      <c r="R3520" s="154"/>
      <c r="AB3520" s="124"/>
    </row>
    <row r="3521" spans="18:28" s="105" customFormat="1">
      <c r="R3521" s="154"/>
      <c r="AB3521" s="124"/>
    </row>
    <row r="3522" spans="18:28" s="105" customFormat="1">
      <c r="R3522" s="154"/>
      <c r="AB3522" s="124"/>
    </row>
    <row r="3523" spans="18:28" s="105" customFormat="1">
      <c r="R3523" s="154"/>
      <c r="AB3523" s="124"/>
    </row>
    <row r="3524" spans="18:28" s="105" customFormat="1">
      <c r="R3524" s="154"/>
      <c r="AB3524" s="124"/>
    </row>
    <row r="3525" spans="18:28" s="105" customFormat="1">
      <c r="R3525" s="154"/>
      <c r="AB3525" s="124"/>
    </row>
    <row r="3526" spans="18:28" s="105" customFormat="1">
      <c r="R3526" s="154"/>
      <c r="AB3526" s="124"/>
    </row>
    <row r="3527" spans="18:28" s="105" customFormat="1">
      <c r="R3527" s="154"/>
      <c r="AB3527" s="124"/>
    </row>
    <row r="3528" spans="18:28" s="105" customFormat="1">
      <c r="R3528" s="154"/>
      <c r="AB3528" s="124"/>
    </row>
    <row r="3529" spans="18:28" s="105" customFormat="1">
      <c r="R3529" s="154"/>
      <c r="AB3529" s="124"/>
    </row>
    <row r="3530" spans="18:28" s="105" customFormat="1">
      <c r="R3530" s="154"/>
      <c r="AB3530" s="124"/>
    </row>
    <row r="3531" spans="18:28" s="105" customFormat="1">
      <c r="R3531" s="154"/>
      <c r="AB3531" s="124"/>
    </row>
    <row r="3532" spans="18:28" s="105" customFormat="1">
      <c r="R3532" s="154"/>
      <c r="AB3532" s="124"/>
    </row>
    <row r="3533" spans="18:28" s="105" customFormat="1">
      <c r="R3533" s="154"/>
      <c r="AB3533" s="124"/>
    </row>
    <row r="3534" spans="18:28" s="105" customFormat="1">
      <c r="R3534" s="154"/>
      <c r="AB3534" s="124"/>
    </row>
    <row r="3535" spans="18:28" s="105" customFormat="1">
      <c r="R3535" s="154"/>
      <c r="AB3535" s="124"/>
    </row>
    <row r="3536" spans="18:28" s="105" customFormat="1">
      <c r="R3536" s="154"/>
      <c r="AB3536" s="124"/>
    </row>
    <row r="3537" spans="18:28" s="105" customFormat="1">
      <c r="R3537" s="154"/>
      <c r="AB3537" s="124"/>
    </row>
    <row r="3538" spans="18:28" s="105" customFormat="1">
      <c r="R3538" s="154"/>
      <c r="AB3538" s="124"/>
    </row>
    <row r="3539" spans="18:28" s="105" customFormat="1">
      <c r="R3539" s="154"/>
      <c r="AB3539" s="124"/>
    </row>
    <row r="3540" spans="18:28" s="105" customFormat="1">
      <c r="R3540" s="154"/>
      <c r="AB3540" s="124"/>
    </row>
    <row r="3541" spans="18:28" s="105" customFormat="1">
      <c r="R3541" s="154"/>
      <c r="AB3541" s="124"/>
    </row>
    <row r="3542" spans="18:28" s="105" customFormat="1">
      <c r="R3542" s="154"/>
      <c r="AB3542" s="124"/>
    </row>
    <row r="3543" spans="18:28" s="105" customFormat="1">
      <c r="R3543" s="154"/>
      <c r="AB3543" s="124"/>
    </row>
    <row r="3544" spans="18:28" s="105" customFormat="1">
      <c r="R3544" s="154"/>
      <c r="AB3544" s="124"/>
    </row>
    <row r="3545" spans="18:28" s="105" customFormat="1">
      <c r="R3545" s="154"/>
      <c r="AB3545" s="124"/>
    </row>
    <row r="3546" spans="18:28" s="105" customFormat="1">
      <c r="R3546" s="154"/>
      <c r="AB3546" s="124"/>
    </row>
    <row r="3547" spans="18:28" s="105" customFormat="1">
      <c r="R3547" s="154"/>
      <c r="AB3547" s="124"/>
    </row>
    <row r="3548" spans="18:28" s="105" customFormat="1">
      <c r="R3548" s="154"/>
      <c r="AB3548" s="124"/>
    </row>
    <row r="3549" spans="18:28" s="105" customFormat="1">
      <c r="R3549" s="154"/>
      <c r="AB3549" s="124"/>
    </row>
    <row r="3550" spans="18:28" s="105" customFormat="1">
      <c r="R3550" s="154"/>
      <c r="AB3550" s="124"/>
    </row>
    <row r="3551" spans="18:28" s="105" customFormat="1">
      <c r="R3551" s="154"/>
      <c r="AB3551" s="124"/>
    </row>
    <row r="3552" spans="18:28" s="105" customFormat="1">
      <c r="R3552" s="154"/>
      <c r="AB3552" s="124"/>
    </row>
    <row r="3553" spans="18:28" s="105" customFormat="1">
      <c r="R3553" s="154"/>
      <c r="AB3553" s="124"/>
    </row>
    <row r="3554" spans="18:28" s="105" customFormat="1">
      <c r="R3554" s="154"/>
      <c r="AB3554" s="124"/>
    </row>
    <row r="3555" spans="18:28" s="105" customFormat="1">
      <c r="R3555" s="154"/>
      <c r="AB3555" s="124"/>
    </row>
    <row r="3556" spans="18:28" s="105" customFormat="1">
      <c r="R3556" s="154"/>
      <c r="AB3556" s="124"/>
    </row>
    <row r="3557" spans="18:28" s="105" customFormat="1">
      <c r="R3557" s="154"/>
      <c r="AB3557" s="124"/>
    </row>
    <row r="3558" spans="18:28" s="105" customFormat="1">
      <c r="R3558" s="154"/>
      <c r="AB3558" s="124"/>
    </row>
    <row r="3559" spans="18:28" s="105" customFormat="1">
      <c r="R3559" s="154"/>
      <c r="AB3559" s="124"/>
    </row>
    <row r="3560" spans="18:28" s="105" customFormat="1">
      <c r="R3560" s="154"/>
      <c r="AB3560" s="124"/>
    </row>
    <row r="3561" spans="18:28" s="105" customFormat="1">
      <c r="R3561" s="154"/>
      <c r="AB3561" s="124"/>
    </row>
    <row r="3562" spans="18:28" s="105" customFormat="1">
      <c r="R3562" s="154"/>
      <c r="AB3562" s="124"/>
    </row>
    <row r="3563" spans="18:28" s="105" customFormat="1">
      <c r="R3563" s="154"/>
      <c r="AB3563" s="124"/>
    </row>
    <row r="3564" spans="18:28" s="105" customFormat="1">
      <c r="R3564" s="154"/>
      <c r="AB3564" s="124"/>
    </row>
    <row r="3565" spans="18:28" s="105" customFormat="1">
      <c r="R3565" s="154"/>
      <c r="AB3565" s="124"/>
    </row>
    <row r="3566" spans="18:28" s="105" customFormat="1">
      <c r="R3566" s="154"/>
      <c r="AB3566" s="124"/>
    </row>
    <row r="3567" spans="18:28" s="105" customFormat="1">
      <c r="R3567" s="154"/>
      <c r="AB3567" s="124"/>
    </row>
    <row r="3568" spans="18:28" s="105" customFormat="1">
      <c r="R3568" s="154"/>
      <c r="AB3568" s="124"/>
    </row>
    <row r="3569" spans="18:28" s="105" customFormat="1">
      <c r="R3569" s="154"/>
      <c r="AB3569" s="124"/>
    </row>
    <row r="3570" spans="18:28" s="105" customFormat="1">
      <c r="R3570" s="154"/>
      <c r="AB3570" s="124"/>
    </row>
    <row r="3571" spans="18:28" s="105" customFormat="1">
      <c r="R3571" s="154"/>
      <c r="AB3571" s="124"/>
    </row>
    <row r="3572" spans="18:28" s="105" customFormat="1">
      <c r="R3572" s="154"/>
      <c r="AB3572" s="124"/>
    </row>
    <row r="3573" spans="18:28" s="105" customFormat="1">
      <c r="R3573" s="154"/>
      <c r="AB3573" s="124"/>
    </row>
    <row r="3574" spans="18:28" s="105" customFormat="1">
      <c r="R3574" s="154"/>
      <c r="AB3574" s="124"/>
    </row>
    <row r="3575" spans="18:28" s="105" customFormat="1">
      <c r="R3575" s="154"/>
      <c r="AB3575" s="124"/>
    </row>
    <row r="3576" spans="18:28" s="105" customFormat="1">
      <c r="R3576" s="154"/>
      <c r="AB3576" s="124"/>
    </row>
    <row r="3577" spans="18:28" s="105" customFormat="1">
      <c r="R3577" s="154"/>
      <c r="AB3577" s="124"/>
    </row>
    <row r="3578" spans="18:28" s="105" customFormat="1">
      <c r="R3578" s="154"/>
      <c r="AB3578" s="124"/>
    </row>
    <row r="3579" spans="18:28" s="105" customFormat="1">
      <c r="R3579" s="154"/>
      <c r="AB3579" s="124"/>
    </row>
    <row r="3580" spans="18:28" s="105" customFormat="1">
      <c r="R3580" s="154"/>
      <c r="AB3580" s="124"/>
    </row>
    <row r="3581" spans="18:28" s="105" customFormat="1">
      <c r="R3581" s="154"/>
      <c r="AB3581" s="124"/>
    </row>
    <row r="3582" spans="18:28" s="105" customFormat="1">
      <c r="R3582" s="154"/>
      <c r="AB3582" s="124"/>
    </row>
    <row r="3583" spans="18:28" s="105" customFormat="1">
      <c r="R3583" s="154"/>
      <c r="AB3583" s="124"/>
    </row>
    <row r="3584" spans="18:28" s="105" customFormat="1">
      <c r="R3584" s="154"/>
      <c r="AB3584" s="124"/>
    </row>
    <row r="3585" spans="18:28" s="105" customFormat="1">
      <c r="R3585" s="154"/>
      <c r="AB3585" s="124"/>
    </row>
    <row r="3586" spans="18:28" s="105" customFormat="1">
      <c r="R3586" s="154"/>
      <c r="AB3586" s="124"/>
    </row>
    <row r="3587" spans="18:28" s="105" customFormat="1">
      <c r="R3587" s="154"/>
      <c r="AB3587" s="124"/>
    </row>
    <row r="3588" spans="18:28" s="105" customFormat="1">
      <c r="R3588" s="154"/>
      <c r="AB3588" s="124"/>
    </row>
    <row r="3589" spans="18:28" s="105" customFormat="1">
      <c r="R3589" s="154"/>
      <c r="AB3589" s="124"/>
    </row>
    <row r="3590" spans="18:28" s="105" customFormat="1">
      <c r="R3590" s="154"/>
      <c r="AB3590" s="124"/>
    </row>
    <row r="3591" spans="18:28" s="105" customFormat="1">
      <c r="R3591" s="154"/>
      <c r="AB3591" s="124"/>
    </row>
    <row r="3592" spans="18:28" s="105" customFormat="1">
      <c r="R3592" s="154"/>
      <c r="AB3592" s="124"/>
    </row>
    <row r="3593" spans="18:28" s="105" customFormat="1">
      <c r="R3593" s="154"/>
      <c r="AB3593" s="124"/>
    </row>
    <row r="3594" spans="18:28" s="105" customFormat="1">
      <c r="R3594" s="154"/>
      <c r="AB3594" s="124"/>
    </row>
    <row r="3595" spans="18:28" s="105" customFormat="1">
      <c r="R3595" s="154"/>
      <c r="AB3595" s="124"/>
    </row>
    <row r="3596" spans="18:28" s="105" customFormat="1">
      <c r="R3596" s="154"/>
      <c r="AB3596" s="124"/>
    </row>
    <row r="3597" spans="18:28" s="105" customFormat="1">
      <c r="R3597" s="154"/>
      <c r="AB3597" s="124"/>
    </row>
    <row r="3598" spans="18:28" s="105" customFormat="1">
      <c r="R3598" s="154"/>
      <c r="AB3598" s="124"/>
    </row>
    <row r="3599" spans="18:28" s="105" customFormat="1">
      <c r="R3599" s="154"/>
      <c r="AB3599" s="124"/>
    </row>
    <row r="3600" spans="18:28" s="105" customFormat="1">
      <c r="R3600" s="154"/>
      <c r="AB3600" s="124"/>
    </row>
    <row r="3601" spans="18:28" s="105" customFormat="1">
      <c r="R3601" s="154"/>
      <c r="AB3601" s="124"/>
    </row>
    <row r="3602" spans="18:28" s="105" customFormat="1">
      <c r="R3602" s="154"/>
      <c r="AB3602" s="124"/>
    </row>
    <row r="3603" spans="18:28" s="105" customFormat="1">
      <c r="R3603" s="154"/>
      <c r="AB3603" s="124"/>
    </row>
    <row r="3604" spans="18:28" s="105" customFormat="1">
      <c r="R3604" s="154"/>
      <c r="AB3604" s="124"/>
    </row>
    <row r="3605" spans="18:28" s="105" customFormat="1">
      <c r="R3605" s="154"/>
      <c r="AB3605" s="124"/>
    </row>
    <row r="3606" spans="18:28" s="105" customFormat="1">
      <c r="R3606" s="154"/>
      <c r="AB3606" s="124"/>
    </row>
    <row r="3607" spans="18:28" s="105" customFormat="1">
      <c r="R3607" s="154"/>
      <c r="AB3607" s="124"/>
    </row>
    <row r="3608" spans="18:28" s="105" customFormat="1">
      <c r="R3608" s="154"/>
      <c r="AB3608" s="124"/>
    </row>
    <row r="3609" spans="18:28" s="105" customFormat="1">
      <c r="R3609" s="154"/>
      <c r="AB3609" s="124"/>
    </row>
    <row r="3610" spans="18:28" s="105" customFormat="1">
      <c r="R3610" s="154"/>
      <c r="AB3610" s="124"/>
    </row>
    <row r="3611" spans="18:28" s="105" customFormat="1">
      <c r="R3611" s="154"/>
      <c r="AB3611" s="124"/>
    </row>
    <row r="3612" spans="18:28" s="105" customFormat="1">
      <c r="R3612" s="154"/>
      <c r="AB3612" s="124"/>
    </row>
    <row r="3613" spans="18:28" s="105" customFormat="1">
      <c r="R3613" s="154"/>
      <c r="AB3613" s="124"/>
    </row>
    <row r="3614" spans="18:28" s="105" customFormat="1">
      <c r="R3614" s="154"/>
      <c r="AB3614" s="124"/>
    </row>
    <row r="3615" spans="18:28" s="105" customFormat="1">
      <c r="R3615" s="154"/>
      <c r="AB3615" s="124"/>
    </row>
    <row r="3616" spans="18:28" s="105" customFormat="1">
      <c r="R3616" s="154"/>
      <c r="AB3616" s="124"/>
    </row>
    <row r="3617" spans="18:28" s="105" customFormat="1">
      <c r="R3617" s="154"/>
      <c r="AB3617" s="124"/>
    </row>
    <row r="3618" spans="18:28" s="105" customFormat="1">
      <c r="R3618" s="154"/>
      <c r="AB3618" s="124"/>
    </row>
    <row r="3619" spans="18:28" s="105" customFormat="1">
      <c r="R3619" s="154"/>
      <c r="AB3619" s="124"/>
    </row>
    <row r="3620" spans="18:28" s="105" customFormat="1">
      <c r="R3620" s="154"/>
      <c r="AB3620" s="124"/>
    </row>
    <row r="3621" spans="18:28" s="105" customFormat="1">
      <c r="R3621" s="154"/>
      <c r="AB3621" s="124"/>
    </row>
    <row r="3622" spans="18:28" s="105" customFormat="1">
      <c r="R3622" s="154"/>
      <c r="AB3622" s="124"/>
    </row>
    <row r="3623" spans="18:28" s="105" customFormat="1">
      <c r="R3623" s="154"/>
      <c r="AB3623" s="124"/>
    </row>
    <row r="3624" spans="18:28" s="105" customFormat="1">
      <c r="R3624" s="154"/>
      <c r="AB3624" s="124"/>
    </row>
    <row r="3625" spans="18:28" s="105" customFormat="1">
      <c r="R3625" s="154"/>
      <c r="AB3625" s="124"/>
    </row>
    <row r="3626" spans="18:28" s="105" customFormat="1">
      <c r="R3626" s="154"/>
      <c r="AB3626" s="124"/>
    </row>
    <row r="3627" spans="18:28" s="105" customFormat="1">
      <c r="R3627" s="154"/>
      <c r="AB3627" s="124"/>
    </row>
    <row r="3628" spans="18:28" s="105" customFormat="1">
      <c r="R3628" s="154"/>
      <c r="AB3628" s="124"/>
    </row>
    <row r="3629" spans="18:28" s="105" customFormat="1">
      <c r="R3629" s="154"/>
      <c r="AB3629" s="124"/>
    </row>
    <row r="3630" spans="18:28" s="105" customFormat="1">
      <c r="R3630" s="154"/>
      <c r="AB3630" s="124"/>
    </row>
    <row r="3631" spans="18:28" s="105" customFormat="1">
      <c r="R3631" s="154"/>
      <c r="AB3631" s="124"/>
    </row>
    <row r="3632" spans="18:28" s="105" customFormat="1">
      <c r="R3632" s="154"/>
      <c r="AB3632" s="124"/>
    </row>
    <row r="3633" spans="18:28" s="105" customFormat="1">
      <c r="R3633" s="154"/>
      <c r="AB3633" s="124"/>
    </row>
    <row r="3634" spans="18:28" s="105" customFormat="1">
      <c r="R3634" s="154"/>
      <c r="AB3634" s="124"/>
    </row>
    <row r="3635" spans="18:28" s="105" customFormat="1">
      <c r="R3635" s="154"/>
      <c r="AB3635" s="124"/>
    </row>
    <row r="3636" spans="18:28" s="105" customFormat="1">
      <c r="R3636" s="154"/>
      <c r="AB3636" s="124"/>
    </row>
    <row r="3637" spans="18:28" s="105" customFormat="1">
      <c r="R3637" s="154"/>
      <c r="AB3637" s="124"/>
    </row>
    <row r="3638" spans="18:28" s="105" customFormat="1">
      <c r="R3638" s="154"/>
      <c r="AB3638" s="124"/>
    </row>
    <row r="3639" spans="18:28" s="105" customFormat="1">
      <c r="R3639" s="154"/>
      <c r="AB3639" s="124"/>
    </row>
    <row r="3640" spans="18:28" s="105" customFormat="1">
      <c r="R3640" s="154"/>
      <c r="AB3640" s="124"/>
    </row>
    <row r="3641" spans="18:28" s="105" customFormat="1">
      <c r="R3641" s="154"/>
      <c r="AB3641" s="124"/>
    </row>
    <row r="3642" spans="18:28" s="105" customFormat="1">
      <c r="R3642" s="154"/>
      <c r="AB3642" s="124"/>
    </row>
    <row r="3643" spans="18:28" s="105" customFormat="1">
      <c r="R3643" s="154"/>
      <c r="AB3643" s="124"/>
    </row>
    <row r="3644" spans="18:28" s="105" customFormat="1">
      <c r="R3644" s="154"/>
      <c r="AB3644" s="124"/>
    </row>
    <row r="3645" spans="18:28" s="105" customFormat="1">
      <c r="R3645" s="154"/>
      <c r="AB3645" s="124"/>
    </row>
    <row r="3646" spans="18:28" s="105" customFormat="1">
      <c r="R3646" s="154"/>
      <c r="AB3646" s="124"/>
    </row>
    <row r="3647" spans="18:28" s="105" customFormat="1">
      <c r="R3647" s="154"/>
      <c r="AB3647" s="124"/>
    </row>
    <row r="3648" spans="18:28" s="105" customFormat="1">
      <c r="R3648" s="154"/>
      <c r="AB3648" s="124"/>
    </row>
    <row r="3649" spans="18:28" s="105" customFormat="1">
      <c r="R3649" s="154"/>
      <c r="AB3649" s="124"/>
    </row>
    <row r="3650" spans="18:28" s="105" customFormat="1">
      <c r="R3650" s="154"/>
      <c r="AB3650" s="124"/>
    </row>
    <row r="3651" spans="18:28" s="105" customFormat="1">
      <c r="R3651" s="154"/>
      <c r="AB3651" s="124"/>
    </row>
    <row r="3652" spans="18:28" s="105" customFormat="1">
      <c r="R3652" s="154"/>
      <c r="AB3652" s="124"/>
    </row>
    <row r="3653" spans="18:28" s="105" customFormat="1">
      <c r="R3653" s="154"/>
      <c r="AB3653" s="124"/>
    </row>
    <row r="3654" spans="18:28" s="105" customFormat="1">
      <c r="R3654" s="154"/>
      <c r="AB3654" s="124"/>
    </row>
    <row r="3655" spans="18:28" s="105" customFormat="1">
      <c r="R3655" s="154"/>
      <c r="AB3655" s="124"/>
    </row>
    <row r="3656" spans="18:28" s="105" customFormat="1">
      <c r="R3656" s="154"/>
      <c r="AB3656" s="124"/>
    </row>
    <row r="3657" spans="18:28" s="105" customFormat="1">
      <c r="R3657" s="154"/>
      <c r="AB3657" s="124"/>
    </row>
    <row r="3658" spans="18:28" s="105" customFormat="1">
      <c r="R3658" s="154"/>
      <c r="AB3658" s="124"/>
    </row>
    <row r="3659" spans="18:28" s="105" customFormat="1">
      <c r="R3659" s="154"/>
      <c r="AB3659" s="124"/>
    </row>
    <row r="3660" spans="18:28" s="105" customFormat="1">
      <c r="R3660" s="154"/>
      <c r="AB3660" s="124"/>
    </row>
    <row r="3661" spans="18:28" s="105" customFormat="1">
      <c r="R3661" s="154"/>
      <c r="AB3661" s="124"/>
    </row>
    <row r="3662" spans="18:28" s="105" customFormat="1">
      <c r="R3662" s="154"/>
      <c r="AB3662" s="124"/>
    </row>
    <row r="3663" spans="18:28" s="105" customFormat="1">
      <c r="R3663" s="154"/>
      <c r="AB3663" s="124"/>
    </row>
    <row r="3664" spans="18:28" s="105" customFormat="1">
      <c r="R3664" s="154"/>
      <c r="AB3664" s="124"/>
    </row>
    <row r="3665" spans="18:28" s="105" customFormat="1">
      <c r="R3665" s="154"/>
      <c r="AB3665" s="124"/>
    </row>
    <row r="3666" spans="18:28" s="105" customFormat="1">
      <c r="R3666" s="154"/>
      <c r="AB3666" s="124"/>
    </row>
    <row r="3667" spans="18:28" s="105" customFormat="1">
      <c r="R3667" s="154"/>
      <c r="AB3667" s="124"/>
    </row>
    <row r="3668" spans="18:28" s="105" customFormat="1">
      <c r="R3668" s="154"/>
      <c r="AB3668" s="124"/>
    </row>
    <row r="3669" spans="18:28" s="105" customFormat="1">
      <c r="R3669" s="154"/>
      <c r="AB3669" s="124"/>
    </row>
    <row r="3670" spans="18:28" s="105" customFormat="1">
      <c r="R3670" s="154"/>
      <c r="AB3670" s="124"/>
    </row>
    <row r="3671" spans="18:28" s="105" customFormat="1">
      <c r="R3671" s="154"/>
      <c r="AB3671" s="124"/>
    </row>
    <row r="3672" spans="18:28" s="105" customFormat="1">
      <c r="R3672" s="154"/>
      <c r="AB3672" s="124"/>
    </row>
    <row r="3673" spans="18:28" s="105" customFormat="1">
      <c r="R3673" s="154"/>
      <c r="AB3673" s="124"/>
    </row>
    <row r="3674" spans="18:28" s="105" customFormat="1">
      <c r="R3674" s="154"/>
      <c r="AB3674" s="124"/>
    </row>
    <row r="3675" spans="18:28" s="105" customFormat="1">
      <c r="R3675" s="154"/>
      <c r="AB3675" s="124"/>
    </row>
    <row r="3676" spans="18:28" s="105" customFormat="1">
      <c r="R3676" s="154"/>
      <c r="AB3676" s="124"/>
    </row>
    <row r="3677" spans="18:28" s="105" customFormat="1">
      <c r="R3677" s="154"/>
      <c r="AB3677" s="124"/>
    </row>
    <row r="3678" spans="18:28" s="105" customFormat="1">
      <c r="R3678" s="154"/>
      <c r="AB3678" s="124"/>
    </row>
    <row r="3679" spans="18:28" s="105" customFormat="1">
      <c r="R3679" s="154"/>
      <c r="AB3679" s="124"/>
    </row>
    <row r="3680" spans="18:28" s="105" customFormat="1">
      <c r="R3680" s="154"/>
      <c r="AB3680" s="124"/>
    </row>
    <row r="3681" spans="18:28" s="105" customFormat="1">
      <c r="R3681" s="154"/>
      <c r="AB3681" s="124"/>
    </row>
    <row r="3682" spans="18:28" s="105" customFormat="1">
      <c r="R3682" s="154"/>
      <c r="AB3682" s="124"/>
    </row>
    <row r="3683" spans="18:28" s="105" customFormat="1">
      <c r="R3683" s="154"/>
      <c r="AB3683" s="124"/>
    </row>
    <row r="3684" spans="18:28" s="105" customFormat="1">
      <c r="R3684" s="154"/>
      <c r="AB3684" s="124"/>
    </row>
    <row r="3685" spans="18:28" s="105" customFormat="1">
      <c r="R3685" s="154"/>
      <c r="AB3685" s="124"/>
    </row>
    <row r="3686" spans="18:28" s="105" customFormat="1">
      <c r="R3686" s="154"/>
      <c r="AB3686" s="124"/>
    </row>
    <row r="3687" spans="18:28" s="105" customFormat="1">
      <c r="R3687" s="154"/>
      <c r="AB3687" s="124"/>
    </row>
    <row r="3688" spans="18:28" s="105" customFormat="1">
      <c r="R3688" s="154"/>
      <c r="AB3688" s="124"/>
    </row>
    <row r="3689" spans="18:28" s="105" customFormat="1">
      <c r="R3689" s="154"/>
      <c r="AB3689" s="124"/>
    </row>
    <row r="3690" spans="18:28" s="105" customFormat="1">
      <c r="R3690" s="154"/>
      <c r="AB3690" s="124"/>
    </row>
    <row r="3691" spans="18:28" s="105" customFormat="1">
      <c r="R3691" s="154"/>
      <c r="AB3691" s="124"/>
    </row>
    <row r="3692" spans="18:28" s="105" customFormat="1">
      <c r="R3692" s="154"/>
      <c r="AB3692" s="124"/>
    </row>
    <row r="3693" spans="18:28" s="105" customFormat="1">
      <c r="R3693" s="154"/>
      <c r="AB3693" s="124"/>
    </row>
    <row r="3694" spans="18:28" s="105" customFormat="1">
      <c r="R3694" s="154"/>
      <c r="AB3694" s="124"/>
    </row>
    <row r="3695" spans="18:28" s="105" customFormat="1">
      <c r="R3695" s="154"/>
      <c r="AB3695" s="124"/>
    </row>
    <row r="3696" spans="18:28" s="105" customFormat="1">
      <c r="R3696" s="154"/>
      <c r="AB3696" s="124"/>
    </row>
    <row r="3697" spans="18:28" s="105" customFormat="1">
      <c r="R3697" s="154"/>
      <c r="AB3697" s="124"/>
    </row>
    <row r="3698" spans="18:28" s="105" customFormat="1">
      <c r="R3698" s="154"/>
      <c r="AB3698" s="124"/>
    </row>
    <row r="3699" spans="18:28" s="105" customFormat="1">
      <c r="R3699" s="154"/>
      <c r="AB3699" s="124"/>
    </row>
    <row r="3700" spans="18:28" s="105" customFormat="1">
      <c r="R3700" s="154"/>
      <c r="AB3700" s="124"/>
    </row>
    <row r="3701" spans="18:28" s="105" customFormat="1">
      <c r="R3701" s="154"/>
      <c r="AB3701" s="124"/>
    </row>
    <row r="3702" spans="18:28" s="105" customFormat="1">
      <c r="R3702" s="154"/>
      <c r="AB3702" s="124"/>
    </row>
    <row r="3703" spans="18:28" s="105" customFormat="1">
      <c r="R3703" s="154"/>
      <c r="AB3703" s="124"/>
    </row>
    <row r="3704" spans="18:28" s="105" customFormat="1">
      <c r="R3704" s="154"/>
      <c r="AB3704" s="124"/>
    </row>
    <row r="3705" spans="18:28" s="105" customFormat="1">
      <c r="R3705" s="154"/>
      <c r="AB3705" s="124"/>
    </row>
    <row r="3706" spans="18:28" s="105" customFormat="1">
      <c r="R3706" s="154"/>
      <c r="AB3706" s="124"/>
    </row>
    <row r="3707" spans="18:28" s="105" customFormat="1">
      <c r="R3707" s="154"/>
      <c r="AB3707" s="124"/>
    </row>
    <row r="3708" spans="18:28" s="105" customFormat="1">
      <c r="R3708" s="154"/>
      <c r="AB3708" s="124"/>
    </row>
    <row r="3709" spans="18:28" s="105" customFormat="1">
      <c r="R3709" s="154"/>
      <c r="AB3709" s="124"/>
    </row>
    <row r="3710" spans="18:28" s="105" customFormat="1">
      <c r="R3710" s="154"/>
      <c r="AB3710" s="124"/>
    </row>
    <row r="3711" spans="18:28" s="105" customFormat="1">
      <c r="R3711" s="154"/>
      <c r="AB3711" s="124"/>
    </row>
    <row r="3712" spans="18:28" s="105" customFormat="1">
      <c r="R3712" s="154"/>
      <c r="AB3712" s="124"/>
    </row>
    <row r="3713" spans="18:28" s="105" customFormat="1">
      <c r="R3713" s="154"/>
      <c r="AB3713" s="124"/>
    </row>
    <row r="3714" spans="18:28" s="105" customFormat="1">
      <c r="R3714" s="154"/>
      <c r="AB3714" s="124"/>
    </row>
    <row r="3715" spans="18:28" s="105" customFormat="1">
      <c r="R3715" s="154"/>
      <c r="AB3715" s="124"/>
    </row>
    <row r="3716" spans="18:28" s="105" customFormat="1">
      <c r="R3716" s="154"/>
      <c r="AB3716" s="124"/>
    </row>
    <row r="3717" spans="18:28" s="105" customFormat="1">
      <c r="R3717" s="154"/>
      <c r="AB3717" s="124"/>
    </row>
    <row r="3718" spans="18:28" s="105" customFormat="1">
      <c r="R3718" s="154"/>
      <c r="AB3718" s="124"/>
    </row>
    <row r="3719" spans="18:28" s="105" customFormat="1">
      <c r="R3719" s="154"/>
      <c r="AB3719" s="124"/>
    </row>
    <row r="3720" spans="18:28" s="105" customFormat="1">
      <c r="R3720" s="154"/>
      <c r="AB3720" s="124"/>
    </row>
    <row r="3721" spans="18:28" s="105" customFormat="1">
      <c r="R3721" s="154"/>
      <c r="AB3721" s="124"/>
    </row>
    <row r="3722" spans="18:28" s="105" customFormat="1">
      <c r="R3722" s="154"/>
      <c r="AB3722" s="124"/>
    </row>
    <row r="3723" spans="18:28" s="105" customFormat="1">
      <c r="R3723" s="154"/>
      <c r="AB3723" s="124"/>
    </row>
    <row r="3724" spans="18:28" s="105" customFormat="1">
      <c r="R3724" s="154"/>
      <c r="AB3724" s="124"/>
    </row>
    <row r="3725" spans="18:28" s="105" customFormat="1">
      <c r="R3725" s="154"/>
      <c r="AB3725" s="124"/>
    </row>
    <row r="3726" spans="18:28" s="105" customFormat="1">
      <c r="R3726" s="154"/>
      <c r="AB3726" s="124"/>
    </row>
    <row r="3727" spans="18:28" s="105" customFormat="1">
      <c r="R3727" s="154"/>
      <c r="AB3727" s="124"/>
    </row>
    <row r="3728" spans="18:28" s="105" customFormat="1">
      <c r="R3728" s="154"/>
      <c r="AB3728" s="124"/>
    </row>
    <row r="3729" spans="18:28" s="105" customFormat="1">
      <c r="R3729" s="154"/>
      <c r="AB3729" s="124"/>
    </row>
    <row r="3730" spans="18:28" s="105" customFormat="1">
      <c r="R3730" s="154"/>
      <c r="AB3730" s="124"/>
    </row>
    <row r="3731" spans="18:28" s="105" customFormat="1">
      <c r="R3731" s="154"/>
      <c r="AB3731" s="124"/>
    </row>
    <row r="3732" spans="18:28" s="105" customFormat="1">
      <c r="R3732" s="154"/>
      <c r="AB3732" s="124"/>
    </row>
    <row r="3733" spans="18:28" s="105" customFormat="1">
      <c r="R3733" s="154"/>
      <c r="AB3733" s="124"/>
    </row>
    <row r="3734" spans="18:28" s="105" customFormat="1">
      <c r="R3734" s="154"/>
      <c r="AB3734" s="124"/>
    </row>
    <row r="3735" spans="18:28" s="105" customFormat="1">
      <c r="R3735" s="154"/>
      <c r="AB3735" s="124"/>
    </row>
    <row r="3736" spans="18:28" s="105" customFormat="1">
      <c r="R3736" s="154"/>
      <c r="AB3736" s="124"/>
    </row>
    <row r="3737" spans="18:28" s="105" customFormat="1">
      <c r="R3737" s="154"/>
      <c r="AB3737" s="124"/>
    </row>
    <row r="3738" spans="18:28" s="105" customFormat="1">
      <c r="R3738" s="154"/>
      <c r="AB3738" s="124"/>
    </row>
    <row r="3739" spans="18:28" s="105" customFormat="1">
      <c r="R3739" s="154"/>
      <c r="AB3739" s="124"/>
    </row>
    <row r="3740" spans="18:28" s="105" customFormat="1">
      <c r="R3740" s="154"/>
      <c r="AB3740" s="124"/>
    </row>
    <row r="3741" spans="18:28" s="105" customFormat="1">
      <c r="R3741" s="154"/>
      <c r="AB3741" s="124"/>
    </row>
    <row r="3742" spans="18:28" s="105" customFormat="1">
      <c r="R3742" s="154"/>
      <c r="AB3742" s="124"/>
    </row>
    <row r="3743" spans="18:28" s="105" customFormat="1">
      <c r="R3743" s="154"/>
      <c r="AB3743" s="124"/>
    </row>
    <row r="3744" spans="18:28" s="105" customFormat="1">
      <c r="R3744" s="154"/>
      <c r="AB3744" s="124"/>
    </row>
    <row r="3745" spans="18:28" s="105" customFormat="1">
      <c r="R3745" s="154"/>
      <c r="AB3745" s="124"/>
    </row>
    <row r="3746" spans="18:28" s="105" customFormat="1">
      <c r="R3746" s="154"/>
      <c r="AB3746" s="124"/>
    </row>
    <row r="3747" spans="18:28" s="105" customFormat="1">
      <c r="R3747" s="154"/>
      <c r="AB3747" s="124"/>
    </row>
    <row r="3748" spans="18:28" s="105" customFormat="1">
      <c r="R3748" s="154"/>
      <c r="AB3748" s="124"/>
    </row>
    <row r="3749" spans="18:28" s="105" customFormat="1">
      <c r="R3749" s="154"/>
      <c r="AB3749" s="124"/>
    </row>
    <row r="3750" spans="18:28" s="105" customFormat="1">
      <c r="R3750" s="154"/>
      <c r="AB3750" s="124"/>
    </row>
    <row r="3751" spans="18:28" s="105" customFormat="1">
      <c r="R3751" s="154"/>
      <c r="AB3751" s="124"/>
    </row>
    <row r="3752" spans="18:28" s="105" customFormat="1">
      <c r="R3752" s="154"/>
      <c r="AB3752" s="124"/>
    </row>
    <row r="3753" spans="18:28" s="105" customFormat="1">
      <c r="R3753" s="154"/>
      <c r="AB3753" s="124"/>
    </row>
    <row r="3754" spans="18:28" s="105" customFormat="1">
      <c r="R3754" s="154"/>
      <c r="AB3754" s="124"/>
    </row>
    <row r="3755" spans="18:28" s="105" customFormat="1">
      <c r="R3755" s="154"/>
      <c r="AB3755" s="124"/>
    </row>
    <row r="3756" spans="18:28" s="105" customFormat="1">
      <c r="R3756" s="154"/>
      <c r="AB3756" s="124"/>
    </row>
    <row r="3757" spans="18:28" s="105" customFormat="1">
      <c r="R3757" s="154"/>
      <c r="AB3757" s="124"/>
    </row>
    <row r="3758" spans="18:28" s="105" customFormat="1">
      <c r="R3758" s="154"/>
      <c r="AB3758" s="124"/>
    </row>
    <row r="3759" spans="18:28" s="105" customFormat="1">
      <c r="R3759" s="154"/>
      <c r="AB3759" s="124"/>
    </row>
    <row r="3760" spans="18:28" s="105" customFormat="1">
      <c r="R3760" s="154"/>
      <c r="AB3760" s="124"/>
    </row>
    <row r="3761" spans="18:28" s="105" customFormat="1">
      <c r="R3761" s="154"/>
      <c r="AB3761" s="124"/>
    </row>
    <row r="3762" spans="18:28" s="105" customFormat="1">
      <c r="R3762" s="154"/>
      <c r="AB3762" s="124"/>
    </row>
    <row r="3763" spans="18:28" s="105" customFormat="1">
      <c r="R3763" s="154"/>
      <c r="AB3763" s="124"/>
    </row>
    <row r="3764" spans="18:28" s="105" customFormat="1">
      <c r="R3764" s="154"/>
      <c r="AB3764" s="124"/>
    </row>
    <row r="3765" spans="18:28" s="105" customFormat="1">
      <c r="R3765" s="154"/>
      <c r="AB3765" s="124"/>
    </row>
    <row r="3766" spans="18:28" s="105" customFormat="1">
      <c r="R3766" s="154"/>
      <c r="AB3766" s="124"/>
    </row>
    <row r="3767" spans="18:28" s="105" customFormat="1">
      <c r="R3767" s="154"/>
      <c r="AB3767" s="124"/>
    </row>
    <row r="3768" spans="18:28" s="105" customFormat="1">
      <c r="R3768" s="154"/>
      <c r="AB3768" s="124"/>
    </row>
    <row r="3769" spans="18:28" s="105" customFormat="1">
      <c r="R3769" s="154"/>
      <c r="AB3769" s="124"/>
    </row>
    <row r="3770" spans="18:28" s="105" customFormat="1">
      <c r="R3770" s="154"/>
      <c r="AB3770" s="124"/>
    </row>
    <row r="3771" spans="18:28" s="105" customFormat="1">
      <c r="R3771" s="154"/>
      <c r="AB3771" s="124"/>
    </row>
    <row r="3772" spans="18:28" s="105" customFormat="1">
      <c r="R3772" s="154"/>
      <c r="AB3772" s="124"/>
    </row>
    <row r="3773" spans="18:28" s="105" customFormat="1">
      <c r="R3773" s="154"/>
      <c r="AB3773" s="124"/>
    </row>
    <row r="3774" spans="18:28" s="105" customFormat="1">
      <c r="R3774" s="154"/>
      <c r="AB3774" s="124"/>
    </row>
    <row r="3775" spans="18:28" s="105" customFormat="1">
      <c r="R3775" s="154"/>
      <c r="AB3775" s="124"/>
    </row>
    <row r="3776" spans="18:28" s="105" customFormat="1">
      <c r="R3776" s="154"/>
      <c r="AB3776" s="124"/>
    </row>
    <row r="3777" spans="18:28" s="105" customFormat="1">
      <c r="R3777" s="154"/>
      <c r="AB3777" s="124"/>
    </row>
    <row r="3778" spans="18:28" s="105" customFormat="1">
      <c r="R3778" s="154"/>
      <c r="AB3778" s="124"/>
    </row>
    <row r="3779" spans="18:28" s="105" customFormat="1">
      <c r="R3779" s="154"/>
      <c r="AB3779" s="124"/>
    </row>
    <row r="3780" spans="18:28" s="105" customFormat="1">
      <c r="R3780" s="154"/>
      <c r="AB3780" s="124"/>
    </row>
    <row r="3781" spans="18:28" s="105" customFormat="1">
      <c r="R3781" s="154"/>
      <c r="AB3781" s="124"/>
    </row>
    <row r="3782" spans="18:28" s="105" customFormat="1">
      <c r="R3782" s="154"/>
      <c r="AB3782" s="124"/>
    </row>
    <row r="3783" spans="18:28" s="105" customFormat="1">
      <c r="R3783" s="154"/>
      <c r="AB3783" s="124"/>
    </row>
    <row r="3784" spans="18:28" s="105" customFormat="1">
      <c r="R3784" s="154"/>
      <c r="AB3784" s="124"/>
    </row>
    <row r="3785" spans="18:28" s="105" customFormat="1">
      <c r="R3785" s="154"/>
      <c r="AB3785" s="124"/>
    </row>
    <row r="3786" spans="18:28" s="105" customFormat="1">
      <c r="R3786" s="154"/>
      <c r="AB3786" s="124"/>
    </row>
    <row r="3787" spans="18:28" s="105" customFormat="1">
      <c r="R3787" s="154"/>
      <c r="AB3787" s="124"/>
    </row>
    <row r="3788" spans="18:28" s="105" customFormat="1">
      <c r="R3788" s="154"/>
      <c r="AB3788" s="124"/>
    </row>
    <row r="3789" spans="18:28" s="105" customFormat="1">
      <c r="R3789" s="154"/>
      <c r="AB3789" s="124"/>
    </row>
    <row r="3790" spans="18:28" s="105" customFormat="1">
      <c r="R3790" s="154"/>
      <c r="AB3790" s="124"/>
    </row>
    <row r="3791" spans="18:28" s="105" customFormat="1">
      <c r="R3791" s="154"/>
      <c r="AB3791" s="124"/>
    </row>
    <row r="3792" spans="18:28" s="105" customFormat="1">
      <c r="R3792" s="154"/>
      <c r="AB3792" s="124"/>
    </row>
    <row r="3793" spans="18:28" s="105" customFormat="1">
      <c r="R3793" s="154"/>
      <c r="AB3793" s="124"/>
    </row>
    <row r="3794" spans="18:28" s="105" customFormat="1">
      <c r="R3794" s="154"/>
      <c r="AB3794" s="124"/>
    </row>
    <row r="3795" spans="18:28" s="105" customFormat="1">
      <c r="R3795" s="154"/>
      <c r="AB3795" s="124"/>
    </row>
    <row r="3796" spans="18:28" s="105" customFormat="1">
      <c r="R3796" s="154"/>
      <c r="AB3796" s="124"/>
    </row>
    <row r="3797" spans="18:28" s="105" customFormat="1">
      <c r="R3797" s="154"/>
      <c r="AB3797" s="124"/>
    </row>
    <row r="3798" spans="18:28" s="105" customFormat="1">
      <c r="R3798" s="154"/>
      <c r="AB3798" s="124"/>
    </row>
    <row r="3799" spans="18:28" s="105" customFormat="1">
      <c r="R3799" s="154"/>
      <c r="AB3799" s="124"/>
    </row>
    <row r="3800" spans="18:28" s="105" customFormat="1">
      <c r="R3800" s="154"/>
      <c r="AB3800" s="124"/>
    </row>
    <row r="3801" spans="18:28" s="105" customFormat="1">
      <c r="R3801" s="154"/>
      <c r="AB3801" s="124"/>
    </row>
    <row r="3802" spans="18:28" s="105" customFormat="1">
      <c r="R3802" s="154"/>
      <c r="AB3802" s="124"/>
    </row>
    <row r="3803" spans="18:28" s="105" customFormat="1">
      <c r="R3803" s="154"/>
      <c r="AB3803" s="124"/>
    </row>
    <row r="3804" spans="18:28" s="105" customFormat="1">
      <c r="R3804" s="154"/>
      <c r="AB3804" s="124"/>
    </row>
    <row r="3805" spans="18:28" s="105" customFormat="1">
      <c r="R3805" s="154"/>
      <c r="AB3805" s="124"/>
    </row>
    <row r="3806" spans="18:28" s="105" customFormat="1">
      <c r="R3806" s="154"/>
      <c r="AB3806" s="124"/>
    </row>
    <row r="3807" spans="18:28" s="105" customFormat="1">
      <c r="R3807" s="154"/>
      <c r="AB3807" s="124"/>
    </row>
    <row r="3808" spans="18:28" s="105" customFormat="1">
      <c r="R3808" s="154"/>
      <c r="AB3808" s="124"/>
    </row>
    <row r="3809" spans="18:28" s="105" customFormat="1">
      <c r="R3809" s="154"/>
      <c r="AB3809" s="124"/>
    </row>
    <row r="3810" spans="18:28" s="105" customFormat="1">
      <c r="R3810" s="154"/>
      <c r="AB3810" s="124"/>
    </row>
    <row r="3811" spans="18:28" s="105" customFormat="1">
      <c r="R3811" s="154"/>
      <c r="AB3811" s="124"/>
    </row>
    <row r="3812" spans="18:28" s="105" customFormat="1">
      <c r="R3812" s="154"/>
      <c r="AB3812" s="124"/>
    </row>
    <row r="3813" spans="18:28" s="105" customFormat="1">
      <c r="R3813" s="154"/>
      <c r="AB3813" s="124"/>
    </row>
    <row r="3814" spans="18:28" s="105" customFormat="1">
      <c r="R3814" s="154"/>
      <c r="AB3814" s="124"/>
    </row>
    <row r="3815" spans="18:28" s="105" customFormat="1">
      <c r="R3815" s="154"/>
      <c r="AB3815" s="124"/>
    </row>
    <row r="3816" spans="18:28" s="105" customFormat="1">
      <c r="R3816" s="154"/>
      <c r="AB3816" s="124"/>
    </row>
    <row r="3817" spans="18:28" s="105" customFormat="1">
      <c r="R3817" s="154"/>
      <c r="AB3817" s="124"/>
    </row>
    <row r="3818" spans="18:28" s="105" customFormat="1">
      <c r="R3818" s="154"/>
      <c r="AB3818" s="124"/>
    </row>
    <row r="3819" spans="18:28" s="105" customFormat="1">
      <c r="R3819" s="154"/>
      <c r="AB3819" s="124"/>
    </row>
    <row r="3820" spans="18:28" s="105" customFormat="1">
      <c r="R3820" s="154"/>
      <c r="AB3820" s="124"/>
    </row>
    <row r="3821" spans="18:28" s="105" customFormat="1">
      <c r="R3821" s="154"/>
      <c r="AB3821" s="124"/>
    </row>
    <row r="3822" spans="18:28" s="105" customFormat="1">
      <c r="R3822" s="154"/>
      <c r="AB3822" s="124"/>
    </row>
    <row r="3823" spans="18:28" s="105" customFormat="1">
      <c r="R3823" s="154"/>
      <c r="AB3823" s="124"/>
    </row>
    <row r="3824" spans="18:28" s="105" customFormat="1">
      <c r="R3824" s="154"/>
      <c r="AB3824" s="124"/>
    </row>
    <row r="3825" spans="18:28" s="105" customFormat="1">
      <c r="R3825" s="154"/>
      <c r="AB3825" s="124"/>
    </row>
    <row r="3826" spans="18:28" s="105" customFormat="1">
      <c r="R3826" s="154"/>
      <c r="AB3826" s="124"/>
    </row>
    <row r="3827" spans="18:28" s="105" customFormat="1">
      <c r="R3827" s="154"/>
      <c r="AB3827" s="124"/>
    </row>
    <row r="3828" spans="18:28" s="105" customFormat="1">
      <c r="R3828" s="154"/>
      <c r="AB3828" s="124"/>
    </row>
    <row r="3829" spans="18:28" s="105" customFormat="1">
      <c r="R3829" s="154"/>
      <c r="AB3829" s="124"/>
    </row>
    <row r="3830" spans="18:28" s="105" customFormat="1">
      <c r="R3830" s="154"/>
      <c r="AB3830" s="124"/>
    </row>
    <row r="3831" spans="18:28" s="105" customFormat="1">
      <c r="R3831" s="154"/>
      <c r="AB3831" s="124"/>
    </row>
    <row r="3832" spans="18:28" s="105" customFormat="1">
      <c r="R3832" s="154"/>
      <c r="AB3832" s="124"/>
    </row>
    <row r="3833" spans="18:28" s="105" customFormat="1">
      <c r="R3833" s="154"/>
      <c r="AB3833" s="124"/>
    </row>
    <row r="3834" spans="18:28" s="105" customFormat="1">
      <c r="R3834" s="154"/>
      <c r="AB3834" s="124"/>
    </row>
    <row r="3835" spans="18:28" s="105" customFormat="1">
      <c r="R3835" s="154"/>
      <c r="AB3835" s="124"/>
    </row>
    <row r="3836" spans="18:28" s="105" customFormat="1">
      <c r="R3836" s="154"/>
      <c r="AB3836" s="124"/>
    </row>
    <row r="3837" spans="18:28" s="105" customFormat="1">
      <c r="R3837" s="154"/>
      <c r="AB3837" s="124"/>
    </row>
    <row r="3838" spans="18:28" s="105" customFormat="1">
      <c r="R3838" s="154"/>
      <c r="AB3838" s="124"/>
    </row>
    <row r="3839" spans="18:28" s="105" customFormat="1">
      <c r="R3839" s="154"/>
      <c r="AB3839" s="124"/>
    </row>
    <row r="3840" spans="18:28" s="105" customFormat="1">
      <c r="R3840" s="154"/>
      <c r="AB3840" s="124"/>
    </row>
    <row r="3841" spans="18:28" s="105" customFormat="1">
      <c r="R3841" s="154"/>
      <c r="AB3841" s="124"/>
    </row>
    <row r="3842" spans="18:28" s="105" customFormat="1">
      <c r="R3842" s="154"/>
      <c r="AB3842" s="124"/>
    </row>
    <row r="3843" spans="18:28" s="105" customFormat="1">
      <c r="R3843" s="154"/>
      <c r="AB3843" s="124"/>
    </row>
    <row r="3844" spans="18:28" s="105" customFormat="1">
      <c r="R3844" s="154"/>
      <c r="AB3844" s="124"/>
    </row>
    <row r="3845" spans="18:28" s="105" customFormat="1">
      <c r="R3845" s="154"/>
      <c r="AB3845" s="124"/>
    </row>
    <row r="3846" spans="18:28" s="105" customFormat="1">
      <c r="R3846" s="154"/>
      <c r="AB3846" s="124"/>
    </row>
    <row r="3847" spans="18:28" s="105" customFormat="1">
      <c r="R3847" s="154"/>
      <c r="AB3847" s="124"/>
    </row>
    <row r="3848" spans="18:28" s="105" customFormat="1">
      <c r="R3848" s="154"/>
      <c r="AB3848" s="124"/>
    </row>
    <row r="3849" spans="18:28" s="105" customFormat="1">
      <c r="R3849" s="154"/>
      <c r="AB3849" s="124"/>
    </row>
    <row r="3850" spans="18:28" s="105" customFormat="1">
      <c r="R3850" s="154"/>
      <c r="AB3850" s="124"/>
    </row>
    <row r="3851" spans="18:28" s="105" customFormat="1">
      <c r="R3851" s="154"/>
      <c r="AB3851" s="124"/>
    </row>
    <row r="3852" spans="18:28" s="105" customFormat="1">
      <c r="R3852" s="154"/>
      <c r="AB3852" s="124"/>
    </row>
    <row r="3853" spans="18:28" s="105" customFormat="1">
      <c r="R3853" s="154"/>
      <c r="AB3853" s="124"/>
    </row>
    <row r="3854" spans="18:28" s="105" customFormat="1">
      <c r="R3854" s="154"/>
      <c r="AB3854" s="124"/>
    </row>
    <row r="3855" spans="18:28" s="105" customFormat="1">
      <c r="R3855" s="154"/>
      <c r="AB3855" s="124"/>
    </row>
    <row r="3856" spans="18:28" s="105" customFormat="1">
      <c r="R3856" s="154"/>
      <c r="AB3856" s="124"/>
    </row>
    <row r="3857" spans="18:28" s="105" customFormat="1">
      <c r="R3857" s="154"/>
      <c r="AB3857" s="124"/>
    </row>
    <row r="3858" spans="18:28" s="105" customFormat="1">
      <c r="R3858" s="154"/>
      <c r="AB3858" s="124"/>
    </row>
    <row r="3859" spans="18:28" s="105" customFormat="1">
      <c r="R3859" s="154"/>
      <c r="AB3859" s="124"/>
    </row>
    <row r="3860" spans="18:28" s="105" customFormat="1">
      <c r="R3860" s="154"/>
      <c r="AB3860" s="124"/>
    </row>
    <row r="3861" spans="18:28" s="105" customFormat="1">
      <c r="R3861" s="154"/>
      <c r="AB3861" s="124"/>
    </row>
    <row r="3862" spans="18:28" s="105" customFormat="1">
      <c r="R3862" s="154"/>
      <c r="AB3862" s="124"/>
    </row>
    <row r="3863" spans="18:28" s="105" customFormat="1">
      <c r="R3863" s="154"/>
      <c r="AB3863" s="124"/>
    </row>
    <row r="3864" spans="18:28" s="105" customFormat="1">
      <c r="R3864" s="154"/>
      <c r="AB3864" s="124"/>
    </row>
    <row r="3865" spans="18:28" s="105" customFormat="1">
      <c r="R3865" s="154"/>
      <c r="AB3865" s="124"/>
    </row>
    <row r="3866" spans="18:28" s="105" customFormat="1">
      <c r="R3866" s="154"/>
      <c r="AB3866" s="124"/>
    </row>
    <row r="3867" spans="18:28" s="105" customFormat="1">
      <c r="R3867" s="154"/>
      <c r="AB3867" s="124"/>
    </row>
    <row r="3868" spans="18:28" s="105" customFormat="1">
      <c r="R3868" s="154"/>
      <c r="AB3868" s="124"/>
    </row>
    <row r="3869" spans="18:28" s="105" customFormat="1">
      <c r="R3869" s="154"/>
      <c r="AB3869" s="124"/>
    </row>
    <row r="3870" spans="18:28" s="105" customFormat="1">
      <c r="R3870" s="154"/>
      <c r="AB3870" s="124"/>
    </row>
    <row r="3871" spans="18:28" s="105" customFormat="1">
      <c r="R3871" s="154"/>
      <c r="AB3871" s="124"/>
    </row>
    <row r="3872" spans="18:28" s="105" customFormat="1">
      <c r="R3872" s="154"/>
      <c r="AB3872" s="124"/>
    </row>
    <row r="3873" spans="18:28" s="105" customFormat="1">
      <c r="R3873" s="154"/>
      <c r="AB3873" s="124"/>
    </row>
    <row r="3874" spans="18:28" s="105" customFormat="1">
      <c r="R3874" s="154"/>
      <c r="AB3874" s="124"/>
    </row>
  </sheetData>
  <sheetProtection sheet="1" scenarios="1" formatCells="0" formatColumns="0" formatRows="0" insertRows="0" deleteRows="0" sort="0" autoFilter="0" pivotTables="0"/>
  <autoFilter ref="A4:DA3874"/>
  <sortState ref="CV5:DA1993">
    <sortCondition ref="CV5:CV1992"/>
    <sortCondition ref="CW5:CW1992"/>
    <sortCondition ref="CV5:CV1993"/>
    <sortCondition ref="CW5:CW1993"/>
  </sortState>
  <pageMargins left="0.25" right="0.2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5207"/>
  <sheetViews>
    <sheetView topLeftCell="A10" zoomScale="85" zoomScaleNormal="85" workbookViewId="0">
      <selection activeCell="L27" sqref="L27"/>
    </sheetView>
  </sheetViews>
  <sheetFormatPr defaultColWidth="13.125" defaultRowHeight="12.9"/>
  <cols>
    <col min="1" max="1" width="16.375" style="5" bestFit="1" customWidth="1"/>
    <col min="2" max="2" width="23.625" style="5" customWidth="1"/>
    <col min="3" max="3" width="14.25" style="5" customWidth="1"/>
    <col min="4" max="7" width="13.125" style="5" customWidth="1"/>
    <col min="8" max="8" width="14.75" style="5" customWidth="1"/>
    <col min="9" max="9" width="17.875" style="5" customWidth="1"/>
    <col min="10" max="20" width="13.125" style="5" customWidth="1"/>
    <col min="21" max="16384" width="13.125" style="5"/>
  </cols>
  <sheetData>
    <row r="1" spans="1:27" ht="13.6">
      <c r="G1" s="1"/>
    </row>
    <row r="2" spans="1:27" ht="13.6">
      <c r="A2" s="1" t="s">
        <v>11</v>
      </c>
      <c r="B2" s="7" t="s">
        <v>1798</v>
      </c>
      <c r="C2" s="9"/>
      <c r="D2" s="9"/>
      <c r="E2" s="9"/>
      <c r="F2" s="9"/>
      <c r="G2" s="1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s="4" customFormat="1" ht="40.75">
      <c r="A3" s="4" t="s">
        <v>992</v>
      </c>
      <c r="D3" s="4" t="s">
        <v>991</v>
      </c>
      <c r="G3" s="4" t="s">
        <v>1802</v>
      </c>
      <c r="H3" s="4" t="s">
        <v>1807</v>
      </c>
      <c r="I3" s="4" t="s">
        <v>1806</v>
      </c>
      <c r="J3" s="4" t="s">
        <v>1808</v>
      </c>
      <c r="K3" s="4" t="s">
        <v>1809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32" t="s">
        <v>2472</v>
      </c>
      <c r="X3" s="132"/>
      <c r="Y3" s="132"/>
      <c r="Z3" s="132" t="s">
        <v>2472</v>
      </c>
      <c r="AA3" s="132"/>
    </row>
    <row r="4" spans="1:27" s="1" customFormat="1" ht="13.6">
      <c r="A4" s="1" t="s">
        <v>23</v>
      </c>
      <c r="B4" s="1" t="s">
        <v>10</v>
      </c>
      <c r="D4" s="1" t="s">
        <v>8</v>
      </c>
      <c r="G4" s="1" t="s">
        <v>1010</v>
      </c>
      <c r="H4" s="1" t="s">
        <v>1687</v>
      </c>
      <c r="I4" s="1" t="s">
        <v>1805</v>
      </c>
      <c r="J4" s="1" t="s">
        <v>938</v>
      </c>
      <c r="K4" s="1" t="s">
        <v>937</v>
      </c>
      <c r="O4" s="1" t="s">
        <v>1803</v>
      </c>
      <c r="R4" s="1" t="s">
        <v>1804</v>
      </c>
    </row>
    <row r="5" spans="1:27">
      <c r="A5" s="9" t="s">
        <v>28</v>
      </c>
      <c r="B5" s="9" t="s">
        <v>2418</v>
      </c>
      <c r="C5" s="9"/>
      <c r="D5" s="9" t="s">
        <v>80</v>
      </c>
      <c r="E5" s="9" t="s">
        <v>181</v>
      </c>
      <c r="F5" s="9"/>
      <c r="G5" s="9" t="s">
        <v>129</v>
      </c>
      <c r="H5" s="9" t="s">
        <v>1688</v>
      </c>
      <c r="I5" s="9" t="s">
        <v>1127</v>
      </c>
      <c r="J5" s="9" t="s">
        <v>28</v>
      </c>
      <c r="K5" s="9" t="s">
        <v>1</v>
      </c>
      <c r="L5" s="9"/>
      <c r="M5" s="9"/>
      <c r="N5" s="9"/>
      <c r="O5" s="9" t="s">
        <v>1688</v>
      </c>
      <c r="P5" s="9" t="s">
        <v>129</v>
      </c>
      <c r="Q5" s="9"/>
      <c r="R5" s="9" t="s">
        <v>1740</v>
      </c>
      <c r="S5" s="9" t="s">
        <v>129</v>
      </c>
      <c r="T5" s="9"/>
      <c r="U5" s="9"/>
      <c r="V5" s="9"/>
      <c r="W5" s="9" t="s">
        <v>939</v>
      </c>
      <c r="X5" s="9" t="s">
        <v>2463</v>
      </c>
      <c r="Y5" s="9"/>
      <c r="Z5" s="9" t="s">
        <v>27</v>
      </c>
      <c r="AA5" s="9" t="s">
        <v>2464</v>
      </c>
    </row>
    <row r="6" spans="1:27">
      <c r="A6" s="9" t="s">
        <v>29</v>
      </c>
      <c r="B6" s="9" t="s">
        <v>2419</v>
      </c>
      <c r="C6" s="9"/>
      <c r="D6" s="9" t="s">
        <v>81</v>
      </c>
      <c r="E6" s="9" t="s">
        <v>182</v>
      </c>
      <c r="F6" s="9"/>
      <c r="G6" s="9" t="s">
        <v>130</v>
      </c>
      <c r="H6" s="9" t="s">
        <v>1689</v>
      </c>
      <c r="I6" s="9" t="s">
        <v>1128</v>
      </c>
      <c r="J6" s="9" t="s">
        <v>29</v>
      </c>
      <c r="K6" s="9" t="s">
        <v>927</v>
      </c>
      <c r="L6" s="9"/>
      <c r="M6" s="9"/>
      <c r="N6" s="9"/>
      <c r="O6" s="9" t="s">
        <v>1689</v>
      </c>
      <c r="P6" s="9" t="s">
        <v>130</v>
      </c>
      <c r="Q6" s="9"/>
      <c r="R6" s="9" t="s">
        <v>1741</v>
      </c>
      <c r="S6" s="9" t="s">
        <v>130</v>
      </c>
      <c r="T6" s="9"/>
      <c r="U6" s="9"/>
      <c r="V6" s="9"/>
      <c r="W6" s="9" t="s">
        <v>940</v>
      </c>
      <c r="X6" s="9" t="s">
        <v>2463</v>
      </c>
      <c r="Y6" s="9"/>
      <c r="Z6" s="9" t="s">
        <v>1003</v>
      </c>
      <c r="AA6" s="9" t="s">
        <v>2465</v>
      </c>
    </row>
    <row r="7" spans="1:27">
      <c r="A7" s="9" t="s">
        <v>30</v>
      </c>
      <c r="B7" s="9" t="s">
        <v>2420</v>
      </c>
      <c r="C7" s="9"/>
      <c r="D7" s="9" t="s">
        <v>82</v>
      </c>
      <c r="E7" s="9" t="s">
        <v>183</v>
      </c>
      <c r="F7" s="9"/>
      <c r="G7" s="9" t="s">
        <v>131</v>
      </c>
      <c r="H7" s="9" t="s">
        <v>1690</v>
      </c>
      <c r="I7" s="9" t="s">
        <v>1129</v>
      </c>
      <c r="J7" s="9" t="s">
        <v>30</v>
      </c>
      <c r="K7" s="9" t="s">
        <v>928</v>
      </c>
      <c r="L7" s="9"/>
      <c r="M7" s="9"/>
      <c r="N7" s="9"/>
      <c r="O7" s="9" t="s">
        <v>1690</v>
      </c>
      <c r="P7" s="9" t="s">
        <v>131</v>
      </c>
      <c r="Q7" s="9"/>
      <c r="R7" s="9" t="s">
        <v>1742</v>
      </c>
      <c r="S7" s="9" t="s">
        <v>131</v>
      </c>
      <c r="T7" s="9"/>
      <c r="U7" s="9"/>
      <c r="V7" s="9"/>
      <c r="W7" s="9" t="s">
        <v>941</v>
      </c>
      <c r="X7" s="9" t="s">
        <v>2463</v>
      </c>
      <c r="Y7" s="9"/>
      <c r="Z7" s="9" t="s">
        <v>1004</v>
      </c>
      <c r="AA7" s="9" t="s">
        <v>2466</v>
      </c>
    </row>
    <row r="8" spans="1:27">
      <c r="A8" s="9" t="s">
        <v>31</v>
      </c>
      <c r="B8" s="9" t="s">
        <v>2554</v>
      </c>
      <c r="C8" s="9"/>
      <c r="D8" s="9" t="s">
        <v>83</v>
      </c>
      <c r="E8" s="9" t="s">
        <v>184</v>
      </c>
      <c r="F8" s="9"/>
      <c r="G8" s="9" t="s">
        <v>132</v>
      </c>
      <c r="H8" s="9" t="s">
        <v>1691</v>
      </c>
      <c r="I8" s="9" t="s">
        <v>1130</v>
      </c>
      <c r="J8" s="9" t="s">
        <v>31</v>
      </c>
      <c r="K8" s="9" t="s">
        <v>929</v>
      </c>
      <c r="L8" s="9"/>
      <c r="M8" s="9"/>
      <c r="N8" s="9"/>
      <c r="O8" s="9" t="s">
        <v>1691</v>
      </c>
      <c r="P8" s="9" t="s">
        <v>132</v>
      </c>
      <c r="Q8" s="9"/>
      <c r="R8" s="9" t="s">
        <v>1743</v>
      </c>
      <c r="S8" s="9" t="s">
        <v>132</v>
      </c>
      <c r="T8" s="9"/>
      <c r="U8" s="9"/>
      <c r="V8" s="9"/>
      <c r="W8" s="9" t="s">
        <v>942</v>
      </c>
      <c r="X8" s="9" t="s">
        <v>2463</v>
      </c>
      <c r="Y8" s="9"/>
      <c r="Z8" s="9" t="s">
        <v>1005</v>
      </c>
      <c r="AA8" s="9" t="s">
        <v>2466</v>
      </c>
    </row>
    <row r="9" spans="1:27">
      <c r="A9" s="9" t="s">
        <v>32</v>
      </c>
      <c r="B9" s="9" t="s">
        <v>2421</v>
      </c>
      <c r="C9" s="9"/>
      <c r="D9" s="9" t="s">
        <v>84</v>
      </c>
      <c r="E9" s="9" t="s">
        <v>185</v>
      </c>
      <c r="F9" s="9"/>
      <c r="G9" s="9" t="s">
        <v>133</v>
      </c>
      <c r="H9" s="9" t="s">
        <v>1692</v>
      </c>
      <c r="I9" s="9" t="s">
        <v>1131</v>
      </c>
      <c r="J9" s="9" t="s">
        <v>32</v>
      </c>
      <c r="K9" s="9" t="s">
        <v>930</v>
      </c>
      <c r="L9" s="9"/>
      <c r="M9" s="9"/>
      <c r="N9" s="9"/>
      <c r="O9" s="9" t="s">
        <v>1692</v>
      </c>
      <c r="P9" s="9" t="s">
        <v>133</v>
      </c>
      <c r="Q9" s="9"/>
      <c r="R9" s="9" t="s">
        <v>1744</v>
      </c>
      <c r="S9" s="9" t="s">
        <v>133</v>
      </c>
      <c r="T9" s="9"/>
      <c r="U9" s="9"/>
      <c r="V9" s="9"/>
      <c r="W9" s="9" t="s">
        <v>943</v>
      </c>
      <c r="X9" s="9" t="s">
        <v>2463</v>
      </c>
      <c r="Y9" s="9"/>
      <c r="Z9" s="9" t="s">
        <v>1006</v>
      </c>
      <c r="AA9" s="9" t="s">
        <v>2465</v>
      </c>
    </row>
    <row r="10" spans="1:27">
      <c r="A10" s="9" t="s">
        <v>33</v>
      </c>
      <c r="B10" s="9" t="s">
        <v>2555</v>
      </c>
      <c r="C10" s="9"/>
      <c r="D10" s="9" t="s">
        <v>85</v>
      </c>
      <c r="E10" s="9" t="s">
        <v>186</v>
      </c>
      <c r="F10" s="9"/>
      <c r="G10" s="9" t="s">
        <v>134</v>
      </c>
      <c r="H10" s="9" t="s">
        <v>1693</v>
      </c>
      <c r="I10" s="9" t="s">
        <v>1132</v>
      </c>
      <c r="J10" s="9" t="s">
        <v>33</v>
      </c>
      <c r="K10" s="9" t="s">
        <v>931</v>
      </c>
      <c r="L10" s="9"/>
      <c r="M10" s="9"/>
      <c r="N10" s="9"/>
      <c r="O10" s="9" t="s">
        <v>1693</v>
      </c>
      <c r="P10" s="9" t="s">
        <v>134</v>
      </c>
      <c r="Q10" s="9"/>
      <c r="R10" s="9" t="s">
        <v>1745</v>
      </c>
      <c r="S10" s="9" t="s">
        <v>134</v>
      </c>
      <c r="T10" s="9"/>
      <c r="U10" s="9"/>
      <c r="V10" s="9"/>
      <c r="W10" s="9" t="s">
        <v>944</v>
      </c>
      <c r="X10" s="9" t="s">
        <v>2463</v>
      </c>
      <c r="Y10" s="9"/>
      <c r="Z10" s="9" t="s">
        <v>1007</v>
      </c>
      <c r="AA10" s="9" t="s">
        <v>2466</v>
      </c>
    </row>
    <row r="11" spans="1:27">
      <c r="A11" s="9" t="s">
        <v>34</v>
      </c>
      <c r="B11" s="9" t="s">
        <v>2422</v>
      </c>
      <c r="C11" s="9"/>
      <c r="D11" s="9" t="s">
        <v>86</v>
      </c>
      <c r="E11" s="9" t="s">
        <v>187</v>
      </c>
      <c r="F11" s="9"/>
      <c r="G11" s="9" t="s">
        <v>135</v>
      </c>
      <c r="H11" s="9" t="s">
        <v>1694</v>
      </c>
      <c r="I11" s="9" t="s">
        <v>1133</v>
      </c>
      <c r="J11" s="9" t="s">
        <v>34</v>
      </c>
      <c r="K11" s="9" t="s">
        <v>2</v>
      </c>
      <c r="L11" s="9"/>
      <c r="M11" s="9"/>
      <c r="N11" s="9"/>
      <c r="O11" s="9" t="s">
        <v>1694</v>
      </c>
      <c r="P11" s="9" t="s">
        <v>135</v>
      </c>
      <c r="Q11" s="9"/>
      <c r="R11" s="9" t="s">
        <v>1746</v>
      </c>
      <c r="S11" s="9" t="s">
        <v>135</v>
      </c>
      <c r="T11" s="9"/>
      <c r="U11" s="9"/>
      <c r="V11" s="9"/>
      <c r="W11" s="9" t="s">
        <v>945</v>
      </c>
      <c r="X11" s="9" t="s">
        <v>2463</v>
      </c>
      <c r="Y11" s="9"/>
      <c r="Z11" s="9" t="s">
        <v>1008</v>
      </c>
      <c r="AA11" s="9" t="s">
        <v>922</v>
      </c>
    </row>
    <row r="12" spans="1:27">
      <c r="A12" s="9" t="s">
        <v>35</v>
      </c>
      <c r="B12" s="9" t="s">
        <v>2423</v>
      </c>
      <c r="C12" s="9"/>
      <c r="D12" s="9" t="s">
        <v>2230</v>
      </c>
      <c r="E12" s="9" t="s">
        <v>2233</v>
      </c>
      <c r="F12" s="9"/>
      <c r="G12" s="9" t="s">
        <v>136</v>
      </c>
      <c r="H12" s="9" t="s">
        <v>1695</v>
      </c>
      <c r="I12" s="9" t="s">
        <v>2256</v>
      </c>
      <c r="J12" s="9" t="s">
        <v>35</v>
      </c>
      <c r="K12" s="9" t="s">
        <v>236</v>
      </c>
      <c r="L12" s="9"/>
      <c r="M12" s="9"/>
      <c r="N12" s="9"/>
      <c r="O12" s="9" t="s">
        <v>1695</v>
      </c>
      <c r="P12" s="9" t="s">
        <v>136</v>
      </c>
      <c r="Q12" s="9"/>
      <c r="R12" s="9" t="s">
        <v>1747</v>
      </c>
      <c r="S12" s="9" t="s">
        <v>136</v>
      </c>
      <c r="T12" s="9"/>
      <c r="U12" s="9"/>
      <c r="V12" s="9"/>
      <c r="W12" s="9" t="s">
        <v>946</v>
      </c>
      <c r="X12" s="9" t="s">
        <v>2463</v>
      </c>
      <c r="Y12" s="9"/>
      <c r="Z12" s="9" t="s">
        <v>1009</v>
      </c>
      <c r="AA12" s="9" t="s">
        <v>2464</v>
      </c>
    </row>
    <row r="13" spans="1:27">
      <c r="A13" s="9" t="s">
        <v>36</v>
      </c>
      <c r="B13" s="9" t="s">
        <v>2556</v>
      </c>
      <c r="C13" s="9"/>
      <c r="D13" s="9" t="s">
        <v>233</v>
      </c>
      <c r="E13" s="9" t="s">
        <v>188</v>
      </c>
      <c r="F13" s="9"/>
      <c r="G13" s="9" t="s">
        <v>137</v>
      </c>
      <c r="H13" s="9" t="s">
        <v>1696</v>
      </c>
      <c r="I13" s="9" t="s">
        <v>1134</v>
      </c>
      <c r="J13" s="9" t="s">
        <v>36</v>
      </c>
      <c r="K13" s="9"/>
      <c r="L13" s="9"/>
      <c r="M13" s="9"/>
      <c r="N13" s="9"/>
      <c r="O13" s="9" t="s">
        <v>1696</v>
      </c>
      <c r="P13" s="9" t="s">
        <v>137</v>
      </c>
      <c r="Q13" s="9"/>
      <c r="R13" s="9" t="s">
        <v>1748</v>
      </c>
      <c r="S13" s="9" t="s">
        <v>137</v>
      </c>
      <c r="T13" s="9"/>
      <c r="U13" s="9"/>
      <c r="V13" s="9"/>
      <c r="W13" s="9" t="s">
        <v>947</v>
      </c>
      <c r="X13" s="9" t="s">
        <v>2463</v>
      </c>
      <c r="Y13" s="9"/>
      <c r="Z13" s="9"/>
      <c r="AA13" s="9"/>
    </row>
    <row r="14" spans="1:27">
      <c r="A14" s="9" t="s">
        <v>37</v>
      </c>
      <c r="B14" s="9" t="s">
        <v>2424</v>
      </c>
      <c r="C14" s="9"/>
      <c r="D14" s="9" t="s">
        <v>87</v>
      </c>
      <c r="E14" s="9" t="s">
        <v>189</v>
      </c>
      <c r="F14" s="9"/>
      <c r="G14" s="9" t="s">
        <v>138</v>
      </c>
      <c r="H14" s="9" t="s">
        <v>1697</v>
      </c>
      <c r="I14" s="9" t="s">
        <v>1135</v>
      </c>
      <c r="J14" s="9" t="s">
        <v>37</v>
      </c>
      <c r="K14" s="9"/>
      <c r="L14" s="9"/>
      <c r="M14" s="9"/>
      <c r="N14" s="9"/>
      <c r="O14" s="9" t="s">
        <v>1697</v>
      </c>
      <c r="P14" s="9" t="s">
        <v>138</v>
      </c>
      <c r="Q14" s="9"/>
      <c r="R14" s="9" t="s">
        <v>1749</v>
      </c>
      <c r="S14" s="9" t="s">
        <v>138</v>
      </c>
      <c r="T14" s="9"/>
      <c r="U14" s="9"/>
      <c r="V14" s="9"/>
      <c r="W14" s="9" t="s">
        <v>948</v>
      </c>
      <c r="X14" s="9" t="s">
        <v>2463</v>
      </c>
      <c r="Y14" s="9"/>
      <c r="Z14" s="9"/>
      <c r="AA14" s="9"/>
    </row>
    <row r="15" spans="1:27">
      <c r="A15" s="9" t="s">
        <v>38</v>
      </c>
      <c r="B15" s="9" t="s">
        <v>2425</v>
      </c>
      <c r="C15" s="9"/>
      <c r="D15" s="9" t="s">
        <v>88</v>
      </c>
      <c r="E15" s="9" t="s">
        <v>190</v>
      </c>
      <c r="F15" s="9"/>
      <c r="G15" s="9" t="s">
        <v>139</v>
      </c>
      <c r="H15" s="9" t="s">
        <v>1698</v>
      </c>
      <c r="I15" s="9" t="s">
        <v>1136</v>
      </c>
      <c r="J15" s="9" t="s">
        <v>38</v>
      </c>
      <c r="K15" s="9"/>
      <c r="L15" s="9"/>
      <c r="M15" s="9"/>
      <c r="N15" s="9"/>
      <c r="O15" s="9" t="s">
        <v>1698</v>
      </c>
      <c r="P15" s="9" t="s">
        <v>139</v>
      </c>
      <c r="Q15" s="9"/>
      <c r="R15" s="9" t="s">
        <v>1750</v>
      </c>
      <c r="S15" s="9" t="s">
        <v>139</v>
      </c>
      <c r="T15" s="9"/>
      <c r="U15" s="9"/>
      <c r="V15" s="9"/>
      <c r="W15" s="9" t="s">
        <v>949</v>
      </c>
      <c r="X15" s="9" t="s">
        <v>2463</v>
      </c>
      <c r="Y15" s="9"/>
      <c r="Z15" s="9"/>
      <c r="AA15" s="9"/>
    </row>
    <row r="16" spans="1:27">
      <c r="A16" s="9" t="s">
        <v>39</v>
      </c>
      <c r="B16" s="9" t="s">
        <v>2557</v>
      </c>
      <c r="C16" s="9"/>
      <c r="D16" s="9" t="s">
        <v>89</v>
      </c>
      <c r="E16" s="9" t="s">
        <v>191</v>
      </c>
      <c r="F16" s="9"/>
      <c r="G16" s="9" t="s">
        <v>140</v>
      </c>
      <c r="H16" s="9" t="s">
        <v>1699</v>
      </c>
      <c r="I16" s="9" t="s">
        <v>1137</v>
      </c>
      <c r="J16" s="9" t="s">
        <v>39</v>
      </c>
      <c r="K16" s="9"/>
      <c r="L16" s="9"/>
      <c r="M16" s="9"/>
      <c r="N16" s="9"/>
      <c r="O16" s="9" t="s">
        <v>1699</v>
      </c>
      <c r="P16" s="9" t="s">
        <v>140</v>
      </c>
      <c r="Q16" s="9"/>
      <c r="R16" s="9" t="s">
        <v>1751</v>
      </c>
      <c r="S16" s="9" t="s">
        <v>140</v>
      </c>
      <c r="T16" s="9"/>
      <c r="U16" s="9"/>
      <c r="V16" s="9"/>
      <c r="W16" s="9" t="s">
        <v>950</v>
      </c>
      <c r="X16" s="9" t="s">
        <v>2463</v>
      </c>
      <c r="Y16" s="9"/>
      <c r="Z16" s="9"/>
      <c r="AA16" s="9"/>
    </row>
    <row r="17" spans="1:27">
      <c r="A17" s="9" t="s">
        <v>40</v>
      </c>
      <c r="B17" s="9" t="s">
        <v>2426</v>
      </c>
      <c r="C17" s="9"/>
      <c r="D17" s="9" t="s">
        <v>90</v>
      </c>
      <c r="E17" s="9" t="s">
        <v>192</v>
      </c>
      <c r="F17" s="9"/>
      <c r="G17" s="9" t="s">
        <v>141</v>
      </c>
      <c r="H17" s="9" t="s">
        <v>1700</v>
      </c>
      <c r="I17" s="9" t="s">
        <v>1138</v>
      </c>
      <c r="J17" s="9" t="s">
        <v>40</v>
      </c>
      <c r="K17" s="9"/>
      <c r="L17" s="9"/>
      <c r="M17" s="9"/>
      <c r="N17" s="9"/>
      <c r="O17" s="9" t="s">
        <v>1700</v>
      </c>
      <c r="P17" s="9" t="s">
        <v>141</v>
      </c>
      <c r="Q17" s="9"/>
      <c r="R17" s="9" t="s">
        <v>1752</v>
      </c>
      <c r="S17" s="9" t="s">
        <v>141</v>
      </c>
      <c r="T17" s="9"/>
      <c r="U17" s="9"/>
      <c r="V17" s="9"/>
      <c r="W17" s="9" t="s">
        <v>951</v>
      </c>
      <c r="X17" s="9" t="s">
        <v>2463</v>
      </c>
      <c r="Y17" s="9"/>
      <c r="Z17" s="9"/>
      <c r="AA17" s="9"/>
    </row>
    <row r="18" spans="1:27">
      <c r="A18" s="9" t="s">
        <v>41</v>
      </c>
      <c r="B18" s="9" t="s">
        <v>2427</v>
      </c>
      <c r="C18" s="9"/>
      <c r="D18" s="9" t="s">
        <v>91</v>
      </c>
      <c r="E18" s="9" t="s">
        <v>193</v>
      </c>
      <c r="F18" s="9"/>
      <c r="G18" s="9" t="s">
        <v>142</v>
      </c>
      <c r="H18" s="9" t="s">
        <v>1701</v>
      </c>
      <c r="I18" s="9" t="s">
        <v>1139</v>
      </c>
      <c r="J18" s="9" t="s">
        <v>41</v>
      </c>
      <c r="K18" s="9"/>
      <c r="L18" s="9"/>
      <c r="M18" s="9"/>
      <c r="N18" s="9"/>
      <c r="O18" s="9" t="s">
        <v>1701</v>
      </c>
      <c r="P18" s="9" t="s">
        <v>142</v>
      </c>
      <c r="Q18" s="9"/>
      <c r="R18" s="9" t="s">
        <v>1753</v>
      </c>
      <c r="S18" s="9" t="s">
        <v>142</v>
      </c>
      <c r="T18" s="9"/>
      <c r="U18" s="9"/>
      <c r="V18" s="9"/>
      <c r="W18" s="9" t="s">
        <v>952</v>
      </c>
      <c r="X18" s="9" t="s">
        <v>2463</v>
      </c>
      <c r="Y18" s="9"/>
      <c r="Z18" s="9"/>
      <c r="AA18" s="9"/>
    </row>
    <row r="19" spans="1:27">
      <c r="A19" s="9" t="s">
        <v>0</v>
      </c>
      <c r="B19" s="9" t="s">
        <v>2428</v>
      </c>
      <c r="C19" s="9"/>
      <c r="D19" s="9" t="s">
        <v>92</v>
      </c>
      <c r="E19" s="9" t="s">
        <v>242</v>
      </c>
      <c r="F19" s="9"/>
      <c r="G19" s="9" t="s">
        <v>143</v>
      </c>
      <c r="H19" s="9" t="s">
        <v>1702</v>
      </c>
      <c r="I19" s="9" t="s">
        <v>1140</v>
      </c>
      <c r="J19" s="9" t="s">
        <v>0</v>
      </c>
      <c r="K19" s="9"/>
      <c r="L19" s="9"/>
      <c r="M19" s="9"/>
      <c r="N19" s="9"/>
      <c r="O19" s="9" t="s">
        <v>1702</v>
      </c>
      <c r="P19" s="9" t="s">
        <v>143</v>
      </c>
      <c r="Q19" s="9"/>
      <c r="R19" s="9" t="s">
        <v>1754</v>
      </c>
      <c r="S19" s="9" t="s">
        <v>143</v>
      </c>
      <c r="T19" s="9"/>
      <c r="U19" s="9"/>
      <c r="V19" s="9"/>
      <c r="W19" s="9" t="s">
        <v>953</v>
      </c>
      <c r="X19" s="9" t="s">
        <v>2467</v>
      </c>
      <c r="Y19" s="9"/>
      <c r="Z19" s="9"/>
      <c r="AA19" s="9"/>
    </row>
    <row r="20" spans="1:27">
      <c r="A20" s="9" t="s">
        <v>42</v>
      </c>
      <c r="B20" s="9" t="s">
        <v>2429</v>
      </c>
      <c r="C20" s="9"/>
      <c r="D20" s="9" t="s">
        <v>93</v>
      </c>
      <c r="E20" s="9" t="s">
        <v>194</v>
      </c>
      <c r="F20" s="9"/>
      <c r="G20" s="9" t="s">
        <v>144</v>
      </c>
      <c r="H20" s="9" t="s">
        <v>1703</v>
      </c>
      <c r="I20" s="9" t="s">
        <v>1141</v>
      </c>
      <c r="J20" s="9" t="s">
        <v>42</v>
      </c>
      <c r="K20" s="9"/>
      <c r="L20" s="9"/>
      <c r="M20" s="9"/>
      <c r="N20" s="9"/>
      <c r="O20" s="9" t="s">
        <v>1703</v>
      </c>
      <c r="P20" s="9" t="s">
        <v>144</v>
      </c>
      <c r="Q20" s="9"/>
      <c r="R20" s="9" t="s">
        <v>1755</v>
      </c>
      <c r="S20" s="9" t="s">
        <v>144</v>
      </c>
      <c r="T20" s="9"/>
      <c r="U20" s="9"/>
      <c r="V20" s="9"/>
      <c r="W20" s="9" t="s">
        <v>954</v>
      </c>
      <c r="X20" s="9" t="s">
        <v>2467</v>
      </c>
      <c r="Y20" s="9"/>
      <c r="Z20" s="9"/>
      <c r="AA20" s="9"/>
    </row>
    <row r="21" spans="1:27">
      <c r="A21" s="9" t="s">
        <v>43</v>
      </c>
      <c r="B21" s="9" t="s">
        <v>2430</v>
      </c>
      <c r="C21" s="9"/>
      <c r="D21" s="9" t="s">
        <v>94</v>
      </c>
      <c r="E21" s="9" t="s">
        <v>195</v>
      </c>
      <c r="F21" s="9"/>
      <c r="G21" s="9" t="s">
        <v>145</v>
      </c>
      <c r="H21" s="9" t="s">
        <v>1704</v>
      </c>
      <c r="I21" s="9" t="s">
        <v>1142</v>
      </c>
      <c r="J21" s="9" t="s">
        <v>43</v>
      </c>
      <c r="K21" s="9"/>
      <c r="L21" s="9"/>
      <c r="M21" s="9"/>
      <c r="N21" s="9"/>
      <c r="O21" s="9" t="s">
        <v>1704</v>
      </c>
      <c r="P21" s="9" t="s">
        <v>145</v>
      </c>
      <c r="Q21" s="9"/>
      <c r="R21" s="9" t="s">
        <v>1756</v>
      </c>
      <c r="S21" s="9" t="s">
        <v>145</v>
      </c>
      <c r="T21" s="9"/>
      <c r="U21" s="9"/>
      <c r="V21" s="9"/>
      <c r="W21" s="9" t="s">
        <v>955</v>
      </c>
      <c r="X21" s="9" t="s">
        <v>2467</v>
      </c>
      <c r="Y21" s="9"/>
      <c r="Z21" s="9"/>
      <c r="AA21" s="9"/>
    </row>
    <row r="22" spans="1:27">
      <c r="A22" s="9" t="s">
        <v>2558</v>
      </c>
      <c r="B22" s="9" t="s">
        <v>2559</v>
      </c>
      <c r="C22" s="9"/>
      <c r="D22" s="9" t="s">
        <v>25</v>
      </c>
      <c r="E22" s="9" t="s">
        <v>196</v>
      </c>
      <c r="F22" s="9"/>
      <c r="G22" s="9" t="s">
        <v>2560</v>
      </c>
      <c r="H22" s="9" t="s">
        <v>2561</v>
      </c>
      <c r="I22" s="9" t="s">
        <v>1143</v>
      </c>
      <c r="J22" s="9" t="s">
        <v>2558</v>
      </c>
      <c r="K22" s="9"/>
      <c r="L22" s="9"/>
      <c r="M22" s="9"/>
      <c r="N22" s="9"/>
      <c r="O22" s="9" t="s">
        <v>2561</v>
      </c>
      <c r="P22" s="9" t="s">
        <v>2560</v>
      </c>
      <c r="Q22" s="9"/>
      <c r="R22" s="9" t="s">
        <v>2562</v>
      </c>
      <c r="S22" s="9" t="s">
        <v>2560</v>
      </c>
      <c r="T22" s="9"/>
      <c r="U22" s="9"/>
      <c r="V22" s="9"/>
      <c r="W22" s="9" t="s">
        <v>2563</v>
      </c>
      <c r="X22" s="9" t="s">
        <v>2467</v>
      </c>
      <c r="Y22" s="9"/>
      <c r="Z22" s="9"/>
      <c r="AA22" s="9"/>
    </row>
    <row r="23" spans="1:27">
      <c r="A23" s="9" t="s">
        <v>44</v>
      </c>
      <c r="B23" s="9" t="s">
        <v>2564</v>
      </c>
      <c r="C23" s="9"/>
      <c r="D23" s="9" t="s">
        <v>95</v>
      </c>
      <c r="E23" s="9" t="s">
        <v>197</v>
      </c>
      <c r="F23" s="9"/>
      <c r="G23" s="9" t="s">
        <v>146</v>
      </c>
      <c r="H23" s="9" t="s">
        <v>1705</v>
      </c>
      <c r="I23" s="9" t="s">
        <v>1144</v>
      </c>
      <c r="J23" s="9" t="s">
        <v>44</v>
      </c>
      <c r="K23" s="9"/>
      <c r="L23" s="9"/>
      <c r="M23" s="9"/>
      <c r="N23" s="9"/>
      <c r="O23" s="9" t="s">
        <v>1705</v>
      </c>
      <c r="P23" s="9" t="s">
        <v>146</v>
      </c>
      <c r="Q23" s="9"/>
      <c r="R23" s="9" t="s">
        <v>1757</v>
      </c>
      <c r="S23" s="9" t="s">
        <v>146</v>
      </c>
      <c r="T23" s="9"/>
      <c r="U23" s="9"/>
      <c r="V23" s="9"/>
      <c r="W23" s="9" t="s">
        <v>956</v>
      </c>
      <c r="X23" s="9" t="s">
        <v>2468</v>
      </c>
      <c r="Y23" s="9"/>
      <c r="Z23" s="9"/>
      <c r="AA23" s="9"/>
    </row>
    <row r="24" spans="1:27">
      <c r="A24" s="9" t="s">
        <v>45</v>
      </c>
      <c r="B24" s="9" t="s">
        <v>2565</v>
      </c>
      <c r="C24" s="9"/>
      <c r="D24" s="9" t="s">
        <v>96</v>
      </c>
      <c r="E24" s="9" t="s">
        <v>198</v>
      </c>
      <c r="F24" s="9"/>
      <c r="G24" s="9" t="s">
        <v>147</v>
      </c>
      <c r="H24" s="9" t="s">
        <v>1706</v>
      </c>
      <c r="I24" s="9" t="s">
        <v>1145</v>
      </c>
      <c r="J24" s="9" t="s">
        <v>45</v>
      </c>
      <c r="K24" s="9"/>
      <c r="L24" s="9"/>
      <c r="M24" s="9"/>
      <c r="N24" s="9"/>
      <c r="O24" s="9" t="s">
        <v>1706</v>
      </c>
      <c r="P24" s="9" t="s">
        <v>147</v>
      </c>
      <c r="Q24" s="9"/>
      <c r="R24" s="9" t="s">
        <v>1758</v>
      </c>
      <c r="S24" s="9" t="s">
        <v>147</v>
      </c>
      <c r="T24" s="9"/>
      <c r="U24" s="9"/>
      <c r="V24" s="9"/>
      <c r="W24" s="9" t="s">
        <v>957</v>
      </c>
      <c r="X24" s="9" t="s">
        <v>2468</v>
      </c>
      <c r="Y24" s="9"/>
      <c r="Z24" s="9"/>
      <c r="AA24" s="9"/>
    </row>
    <row r="25" spans="1:27">
      <c r="A25" s="9" t="s">
        <v>46</v>
      </c>
      <c r="B25" s="9" t="s">
        <v>2431</v>
      </c>
      <c r="C25" s="9"/>
      <c r="D25" s="9" t="s">
        <v>97</v>
      </c>
      <c r="E25" s="9" t="s">
        <v>199</v>
      </c>
      <c r="F25" s="9"/>
      <c r="G25" s="9" t="s">
        <v>148</v>
      </c>
      <c r="H25" s="9" t="s">
        <v>1707</v>
      </c>
      <c r="I25" s="9" t="s">
        <v>1146</v>
      </c>
      <c r="J25" s="9" t="s">
        <v>46</v>
      </c>
      <c r="K25" s="9"/>
      <c r="L25" s="9"/>
      <c r="M25" s="9"/>
      <c r="N25" s="9"/>
      <c r="O25" s="9" t="s">
        <v>1707</v>
      </c>
      <c r="P25" s="9" t="s">
        <v>148</v>
      </c>
      <c r="Q25" s="9"/>
      <c r="R25" s="9" t="s">
        <v>1759</v>
      </c>
      <c r="S25" s="9" t="s">
        <v>148</v>
      </c>
      <c r="T25" s="9"/>
      <c r="U25" s="9"/>
      <c r="V25" s="9"/>
      <c r="W25" s="9" t="s">
        <v>958</v>
      </c>
      <c r="X25" s="9" t="s">
        <v>2468</v>
      </c>
      <c r="Y25" s="9"/>
      <c r="Z25" s="9"/>
      <c r="AA25" s="9"/>
    </row>
    <row r="26" spans="1:27">
      <c r="A26" s="9" t="s">
        <v>47</v>
      </c>
      <c r="B26" s="9" t="s">
        <v>2432</v>
      </c>
      <c r="C26" s="9"/>
      <c r="D26" s="9" t="s">
        <v>98</v>
      </c>
      <c r="E26" s="9" t="s">
        <v>200</v>
      </c>
      <c r="F26" s="9"/>
      <c r="G26" s="9" t="s">
        <v>149</v>
      </c>
      <c r="H26" s="9" t="s">
        <v>1708</v>
      </c>
      <c r="I26" s="9" t="s">
        <v>1147</v>
      </c>
      <c r="J26" s="9" t="s">
        <v>47</v>
      </c>
      <c r="K26" s="9"/>
      <c r="L26" s="9"/>
      <c r="M26" s="9"/>
      <c r="N26" s="9"/>
      <c r="O26" s="9" t="s">
        <v>1708</v>
      </c>
      <c r="P26" s="9" t="s">
        <v>149</v>
      </c>
      <c r="Q26" s="9"/>
      <c r="R26" s="9" t="s">
        <v>1760</v>
      </c>
      <c r="S26" s="9" t="s">
        <v>149</v>
      </c>
      <c r="T26" s="9"/>
      <c r="U26" s="9"/>
      <c r="V26" s="9"/>
      <c r="W26" s="9" t="s">
        <v>959</v>
      </c>
      <c r="X26" s="9" t="s">
        <v>2468</v>
      </c>
      <c r="Y26" s="9"/>
      <c r="Z26" s="9"/>
      <c r="AA26" s="9"/>
    </row>
    <row r="27" spans="1:27">
      <c r="A27" s="9" t="s">
        <v>48</v>
      </c>
      <c r="B27" s="9" t="s">
        <v>2433</v>
      </c>
      <c r="C27" s="9"/>
      <c r="D27" s="9" t="s">
        <v>1825</v>
      </c>
      <c r="E27" s="9" t="s">
        <v>2166</v>
      </c>
      <c r="F27" s="9"/>
      <c r="G27" s="9" t="s">
        <v>150</v>
      </c>
      <c r="H27" s="9" t="s">
        <v>1709</v>
      </c>
      <c r="I27" s="9" t="s">
        <v>1869</v>
      </c>
      <c r="J27" s="9" t="s">
        <v>48</v>
      </c>
      <c r="K27" s="9"/>
      <c r="L27" s="9"/>
      <c r="M27" s="9"/>
      <c r="N27" s="9"/>
      <c r="O27" s="9" t="s">
        <v>1709</v>
      </c>
      <c r="P27" s="9" t="s">
        <v>150</v>
      </c>
      <c r="Q27" s="9"/>
      <c r="R27" s="9" t="s">
        <v>1761</v>
      </c>
      <c r="S27" s="9" t="s">
        <v>150</v>
      </c>
      <c r="T27" s="9"/>
      <c r="U27" s="9"/>
      <c r="V27" s="9"/>
      <c r="W27" s="9" t="s">
        <v>960</v>
      </c>
      <c r="X27" s="9" t="s">
        <v>2468</v>
      </c>
      <c r="Y27" s="9"/>
      <c r="Z27" s="9"/>
      <c r="AA27" s="9"/>
    </row>
    <row r="28" spans="1:27">
      <c r="A28" s="9" t="s">
        <v>49</v>
      </c>
      <c r="B28" s="9" t="s">
        <v>2434</v>
      </c>
      <c r="C28" s="9"/>
      <c r="D28" s="9" t="s">
        <v>2566</v>
      </c>
      <c r="E28" s="9" t="s">
        <v>2553</v>
      </c>
      <c r="F28" s="9"/>
      <c r="G28" s="9" t="s">
        <v>151</v>
      </c>
      <c r="H28" s="9" t="s">
        <v>1710</v>
      </c>
      <c r="I28" s="9" t="s">
        <v>2567</v>
      </c>
      <c r="J28" s="9" t="s">
        <v>49</v>
      </c>
      <c r="K28" s="9"/>
      <c r="L28" s="9"/>
      <c r="M28" s="9"/>
      <c r="N28" s="9"/>
      <c r="O28" s="9" t="s">
        <v>1710</v>
      </c>
      <c r="P28" s="9" t="s">
        <v>151</v>
      </c>
      <c r="Q28" s="9"/>
      <c r="R28" s="9" t="s">
        <v>1762</v>
      </c>
      <c r="S28" s="9" t="s">
        <v>151</v>
      </c>
      <c r="T28" s="9"/>
      <c r="U28" s="9"/>
      <c r="V28" s="9"/>
      <c r="W28" s="9" t="s">
        <v>961</v>
      </c>
      <c r="X28" s="9" t="s">
        <v>2468</v>
      </c>
      <c r="Y28" s="9"/>
      <c r="Z28" s="9"/>
      <c r="AA28" s="9"/>
    </row>
    <row r="29" spans="1:27">
      <c r="A29" s="9" t="s">
        <v>50</v>
      </c>
      <c r="B29" s="9" t="s">
        <v>2435</v>
      </c>
      <c r="C29" s="9"/>
      <c r="D29" s="9" t="s">
        <v>1826</v>
      </c>
      <c r="E29" s="9" t="s">
        <v>2167</v>
      </c>
      <c r="F29" s="9"/>
      <c r="G29" s="9" t="s">
        <v>152</v>
      </c>
      <c r="H29" s="9" t="s">
        <v>1711</v>
      </c>
      <c r="I29" s="9" t="s">
        <v>1870</v>
      </c>
      <c r="J29" s="9" t="s">
        <v>50</v>
      </c>
      <c r="K29" s="9"/>
      <c r="L29" s="9"/>
      <c r="M29" s="9"/>
      <c r="N29" s="9"/>
      <c r="O29" s="9" t="s">
        <v>1711</v>
      </c>
      <c r="P29" s="9" t="s">
        <v>152</v>
      </c>
      <c r="Q29" s="9"/>
      <c r="R29" s="9" t="s">
        <v>1763</v>
      </c>
      <c r="S29" s="9" t="s">
        <v>152</v>
      </c>
      <c r="T29" s="9"/>
      <c r="U29" s="9"/>
      <c r="V29" s="9"/>
      <c r="W29" s="9" t="s">
        <v>962</v>
      </c>
      <c r="X29" s="9" t="s">
        <v>2468</v>
      </c>
      <c r="Y29" s="9"/>
      <c r="Z29" s="9"/>
      <c r="AA29" s="9"/>
    </row>
    <row r="30" spans="1:27">
      <c r="A30" s="9" t="s">
        <v>51</v>
      </c>
      <c r="B30" s="9" t="s">
        <v>2436</v>
      </c>
      <c r="C30" s="9"/>
      <c r="D30" s="9" t="s">
        <v>99</v>
      </c>
      <c r="E30" s="9" t="s">
        <v>201</v>
      </c>
      <c r="F30" s="9"/>
      <c r="G30" s="9" t="s">
        <v>153</v>
      </c>
      <c r="H30" s="9" t="s">
        <v>1712</v>
      </c>
      <c r="I30" s="9" t="s">
        <v>1148</v>
      </c>
      <c r="J30" s="9" t="s">
        <v>51</v>
      </c>
      <c r="K30" s="9"/>
      <c r="L30" s="9"/>
      <c r="M30" s="9"/>
      <c r="N30" s="9"/>
      <c r="O30" s="9" t="s">
        <v>1712</v>
      </c>
      <c r="P30" s="9" t="s">
        <v>153</v>
      </c>
      <c r="Q30" s="9"/>
      <c r="R30" s="9" t="s">
        <v>1764</v>
      </c>
      <c r="S30" s="9" t="s">
        <v>153</v>
      </c>
      <c r="T30" s="9"/>
      <c r="U30" s="9"/>
      <c r="V30" s="9"/>
      <c r="W30" s="9" t="s">
        <v>963</v>
      </c>
      <c r="X30" s="9" t="s">
        <v>2468</v>
      </c>
      <c r="Y30" s="9"/>
      <c r="Z30" s="9"/>
      <c r="AA30" s="9"/>
    </row>
    <row r="31" spans="1:27">
      <c r="A31" s="9" t="s">
        <v>52</v>
      </c>
      <c r="B31" s="9" t="s">
        <v>2437</v>
      </c>
      <c r="C31" s="9"/>
      <c r="D31" s="9" t="s">
        <v>112</v>
      </c>
      <c r="E31" s="9" t="s">
        <v>202</v>
      </c>
      <c r="F31" s="9"/>
      <c r="G31" s="9" t="s">
        <v>154</v>
      </c>
      <c r="H31" s="9" t="s">
        <v>1713</v>
      </c>
      <c r="I31" s="9" t="s">
        <v>1149</v>
      </c>
      <c r="J31" s="9" t="s">
        <v>52</v>
      </c>
      <c r="K31" s="9"/>
      <c r="L31" s="9"/>
      <c r="M31" s="9"/>
      <c r="N31" s="9"/>
      <c r="O31" s="9" t="s">
        <v>1713</v>
      </c>
      <c r="P31" s="9" t="s">
        <v>154</v>
      </c>
      <c r="Q31" s="9"/>
      <c r="R31" s="9" t="s">
        <v>1765</v>
      </c>
      <c r="S31" s="9" t="s">
        <v>154</v>
      </c>
      <c r="T31" s="9"/>
      <c r="U31" s="9"/>
      <c r="V31" s="9"/>
      <c r="W31" s="9" t="s">
        <v>964</v>
      </c>
      <c r="X31" s="9" t="s">
        <v>93</v>
      </c>
      <c r="Y31" s="9"/>
      <c r="Z31" s="9"/>
      <c r="AA31" s="9"/>
    </row>
    <row r="32" spans="1:27">
      <c r="A32" s="9" t="s">
        <v>53</v>
      </c>
      <c r="B32" s="9" t="s">
        <v>2438</v>
      </c>
      <c r="C32" s="9"/>
      <c r="D32" s="9" t="s">
        <v>115</v>
      </c>
      <c r="E32" s="9" t="s">
        <v>203</v>
      </c>
      <c r="F32" s="9"/>
      <c r="G32" s="9" t="s">
        <v>155</v>
      </c>
      <c r="H32" s="9" t="s">
        <v>1714</v>
      </c>
      <c r="I32" s="9" t="s">
        <v>1150</v>
      </c>
      <c r="J32" s="9" t="s">
        <v>53</v>
      </c>
      <c r="K32" s="9"/>
      <c r="L32" s="9"/>
      <c r="M32" s="9"/>
      <c r="N32" s="9"/>
      <c r="O32" s="9" t="s">
        <v>1714</v>
      </c>
      <c r="P32" s="9" t="s">
        <v>155</v>
      </c>
      <c r="Q32" s="9"/>
      <c r="R32" s="9" t="s">
        <v>1766</v>
      </c>
      <c r="S32" s="9" t="s">
        <v>155</v>
      </c>
      <c r="T32" s="9"/>
      <c r="U32" s="9"/>
      <c r="V32" s="9"/>
      <c r="W32" s="9" t="s">
        <v>965</v>
      </c>
      <c r="X32" s="9" t="s">
        <v>93</v>
      </c>
      <c r="Y32" s="9"/>
      <c r="Z32" s="9"/>
      <c r="AA32" s="9"/>
    </row>
    <row r="33" spans="1:27">
      <c r="A33" s="9" t="s">
        <v>54</v>
      </c>
      <c r="B33" s="9" t="s">
        <v>2439</v>
      </c>
      <c r="C33" s="9"/>
      <c r="D33" s="9" t="s">
        <v>120</v>
      </c>
      <c r="E33" s="9" t="s">
        <v>204</v>
      </c>
      <c r="F33" s="9"/>
      <c r="G33" s="9" t="s">
        <v>156</v>
      </c>
      <c r="H33" s="9" t="s">
        <v>1715</v>
      </c>
      <c r="I33" s="9" t="s">
        <v>1151</v>
      </c>
      <c r="J33" s="9" t="s">
        <v>54</v>
      </c>
      <c r="K33" s="9"/>
      <c r="L33" s="9"/>
      <c r="M33" s="9"/>
      <c r="N33" s="9"/>
      <c r="O33" s="9" t="s">
        <v>1715</v>
      </c>
      <c r="P33" s="9" t="s">
        <v>156</v>
      </c>
      <c r="Q33" s="9"/>
      <c r="R33" s="9" t="s">
        <v>1767</v>
      </c>
      <c r="S33" s="9" t="s">
        <v>156</v>
      </c>
      <c r="T33" s="9"/>
      <c r="U33" s="9"/>
      <c r="V33" s="9"/>
      <c r="W33" s="9" t="s">
        <v>966</v>
      </c>
      <c r="X33" s="9" t="s">
        <v>93</v>
      </c>
      <c r="Y33" s="9"/>
      <c r="Z33" s="9"/>
      <c r="AA33" s="9"/>
    </row>
    <row r="34" spans="1:27">
      <c r="A34" s="9" t="s">
        <v>55</v>
      </c>
      <c r="B34" s="9" t="s">
        <v>2440</v>
      </c>
      <c r="C34" s="9"/>
      <c r="D34" s="9" t="s">
        <v>100</v>
      </c>
      <c r="E34" s="9" t="s">
        <v>205</v>
      </c>
      <c r="F34" s="9"/>
      <c r="G34" s="9" t="s">
        <v>157</v>
      </c>
      <c r="H34" s="9" t="s">
        <v>1716</v>
      </c>
      <c r="I34" s="9" t="s">
        <v>1152</v>
      </c>
      <c r="J34" s="9" t="s">
        <v>55</v>
      </c>
      <c r="K34" s="9"/>
      <c r="L34" s="9"/>
      <c r="M34" s="9"/>
      <c r="N34" s="9"/>
      <c r="O34" s="9" t="s">
        <v>1716</v>
      </c>
      <c r="P34" s="9" t="s">
        <v>157</v>
      </c>
      <c r="Q34" s="9"/>
      <c r="R34" s="9" t="s">
        <v>1768</v>
      </c>
      <c r="S34" s="9" t="s">
        <v>157</v>
      </c>
      <c r="T34" s="9"/>
      <c r="U34" s="9"/>
      <c r="V34" s="9"/>
      <c r="W34" s="9" t="s">
        <v>967</v>
      </c>
      <c r="X34" s="9" t="s">
        <v>93</v>
      </c>
      <c r="Y34" s="9"/>
      <c r="Z34" s="9"/>
      <c r="AA34" s="9"/>
    </row>
    <row r="35" spans="1:27">
      <c r="A35" s="9" t="s">
        <v>56</v>
      </c>
      <c r="B35" s="9" t="s">
        <v>2568</v>
      </c>
      <c r="C35" s="9"/>
      <c r="D35" s="9" t="s">
        <v>123</v>
      </c>
      <c r="E35" s="9" t="s">
        <v>206</v>
      </c>
      <c r="F35" s="9"/>
      <c r="G35" s="9" t="s">
        <v>158</v>
      </c>
      <c r="H35" s="9" t="s">
        <v>1717</v>
      </c>
      <c r="I35" s="9" t="s">
        <v>1153</v>
      </c>
      <c r="J35" s="9" t="s">
        <v>56</v>
      </c>
      <c r="K35" s="9"/>
      <c r="L35" s="9"/>
      <c r="M35" s="9"/>
      <c r="N35" s="9"/>
      <c r="O35" s="9" t="s">
        <v>1717</v>
      </c>
      <c r="P35" s="9" t="s">
        <v>158</v>
      </c>
      <c r="Q35" s="9"/>
      <c r="R35" s="9" t="s">
        <v>1769</v>
      </c>
      <c r="S35" s="9" t="s">
        <v>158</v>
      </c>
      <c r="T35" s="9"/>
      <c r="U35" s="9"/>
      <c r="V35" s="9"/>
      <c r="W35" s="9" t="s">
        <v>968</v>
      </c>
      <c r="X35" s="9" t="s">
        <v>93</v>
      </c>
      <c r="Y35" s="9"/>
      <c r="Z35" s="9"/>
      <c r="AA35" s="9"/>
    </row>
    <row r="36" spans="1:27">
      <c r="A36" s="9" t="s">
        <v>2238</v>
      </c>
      <c r="B36" s="9" t="s">
        <v>2441</v>
      </c>
      <c r="C36" s="9"/>
      <c r="D36" s="9" t="s">
        <v>101</v>
      </c>
      <c r="E36" s="9" t="s">
        <v>207</v>
      </c>
      <c r="F36" s="9"/>
      <c r="G36" s="9" t="s">
        <v>2240</v>
      </c>
      <c r="H36" s="9" t="s">
        <v>2234</v>
      </c>
      <c r="I36" s="9" t="s">
        <v>1154</v>
      </c>
      <c r="J36" s="9" t="s">
        <v>2238</v>
      </c>
      <c r="K36" s="9"/>
      <c r="L36" s="9"/>
      <c r="M36" s="9"/>
      <c r="N36" s="9"/>
      <c r="O36" s="9" t="s">
        <v>2234</v>
      </c>
      <c r="P36" s="9" t="s">
        <v>2240</v>
      </c>
      <c r="Q36" s="9"/>
      <c r="R36" s="9" t="s">
        <v>2236</v>
      </c>
      <c r="S36" s="9" t="s">
        <v>2240</v>
      </c>
      <c r="T36" s="9"/>
      <c r="U36" s="9"/>
      <c r="V36" s="9"/>
      <c r="W36" s="9" t="s">
        <v>2231</v>
      </c>
      <c r="X36" s="9" t="s">
        <v>93</v>
      </c>
      <c r="Y36" s="9"/>
      <c r="Z36" s="9"/>
      <c r="AA36" s="9"/>
    </row>
    <row r="37" spans="1:27">
      <c r="A37" s="9" t="s">
        <v>2569</v>
      </c>
      <c r="B37" s="9" t="s">
        <v>2570</v>
      </c>
      <c r="C37" s="9"/>
      <c r="D37" s="9" t="s">
        <v>102</v>
      </c>
      <c r="E37" s="9" t="s">
        <v>208</v>
      </c>
      <c r="F37" s="9"/>
      <c r="G37" s="9" t="s">
        <v>2571</v>
      </c>
      <c r="H37" s="9" t="s">
        <v>2572</v>
      </c>
      <c r="I37" s="9" t="s">
        <v>1155</v>
      </c>
      <c r="J37" s="9" t="s">
        <v>2569</v>
      </c>
      <c r="K37" s="9"/>
      <c r="L37" s="9"/>
      <c r="M37" s="9"/>
      <c r="N37" s="9"/>
      <c r="O37" s="9" t="s">
        <v>2572</v>
      </c>
      <c r="P37" s="9" t="s">
        <v>2571</v>
      </c>
      <c r="Q37" s="9"/>
      <c r="R37" s="9" t="s">
        <v>2573</v>
      </c>
      <c r="S37" s="9" t="s">
        <v>2571</v>
      </c>
      <c r="T37" s="9"/>
      <c r="U37" s="9"/>
      <c r="V37" s="9"/>
      <c r="W37" s="9" t="s">
        <v>2574</v>
      </c>
      <c r="X37" s="9" t="s">
        <v>93</v>
      </c>
      <c r="Y37" s="9"/>
      <c r="Z37" s="9"/>
      <c r="AA37" s="9"/>
    </row>
    <row r="38" spans="1:27">
      <c r="A38" s="9" t="s">
        <v>2575</v>
      </c>
      <c r="B38" s="9" t="s">
        <v>2576</v>
      </c>
      <c r="C38" s="9"/>
      <c r="D38" s="9" t="s">
        <v>103</v>
      </c>
      <c r="E38" s="9" t="s">
        <v>209</v>
      </c>
      <c r="F38" s="9"/>
      <c r="G38" s="9" t="s">
        <v>2577</v>
      </c>
      <c r="H38" s="9" t="s">
        <v>2578</v>
      </c>
      <c r="I38" s="9" t="s">
        <v>1156</v>
      </c>
      <c r="J38" s="9" t="s">
        <v>2575</v>
      </c>
      <c r="K38" s="9"/>
      <c r="L38" s="9"/>
      <c r="M38" s="9"/>
      <c r="N38" s="9"/>
      <c r="O38" s="9" t="s">
        <v>2578</v>
      </c>
      <c r="P38" s="9" t="s">
        <v>2577</v>
      </c>
      <c r="Q38" s="9"/>
      <c r="R38" s="9" t="s">
        <v>2579</v>
      </c>
      <c r="S38" s="9" t="s">
        <v>2577</v>
      </c>
      <c r="T38" s="9"/>
      <c r="U38" s="9"/>
      <c r="V38" s="9"/>
      <c r="W38" s="9" t="s">
        <v>2580</v>
      </c>
      <c r="X38" s="9" t="s">
        <v>93</v>
      </c>
      <c r="Y38" s="9"/>
      <c r="Z38" s="9"/>
      <c r="AA38" s="9"/>
    </row>
    <row r="39" spans="1:27">
      <c r="A39" s="9" t="s">
        <v>2581</v>
      </c>
      <c r="B39" s="9" t="s">
        <v>2582</v>
      </c>
      <c r="C39" s="9"/>
      <c r="D39" s="9" t="s">
        <v>105</v>
      </c>
      <c r="E39" s="9" t="s">
        <v>210</v>
      </c>
      <c r="F39" s="9"/>
      <c r="G39" s="9" t="s">
        <v>2583</v>
      </c>
      <c r="H39" s="9" t="s">
        <v>2584</v>
      </c>
      <c r="I39" s="9" t="s">
        <v>1157</v>
      </c>
      <c r="J39" s="9" t="s">
        <v>2581</v>
      </c>
      <c r="K39" s="9"/>
      <c r="L39" s="9"/>
      <c r="M39" s="9"/>
      <c r="N39" s="9"/>
      <c r="O39" s="9" t="s">
        <v>2584</v>
      </c>
      <c r="P39" s="9" t="s">
        <v>2583</v>
      </c>
      <c r="Q39" s="9"/>
      <c r="R39" s="9" t="s">
        <v>2585</v>
      </c>
      <c r="S39" s="9" t="s">
        <v>2583</v>
      </c>
      <c r="T39" s="9"/>
      <c r="U39" s="9"/>
      <c r="V39" s="9"/>
      <c r="W39" s="9" t="s">
        <v>2586</v>
      </c>
      <c r="X39" s="9" t="s">
        <v>93</v>
      </c>
      <c r="Y39" s="9"/>
      <c r="Z39" s="9"/>
      <c r="AA39" s="9"/>
    </row>
    <row r="40" spans="1:27">
      <c r="A40" s="9" t="s">
        <v>57</v>
      </c>
      <c r="B40" s="9" t="s">
        <v>2442</v>
      </c>
      <c r="C40" s="9"/>
      <c r="D40" s="9" t="s">
        <v>117</v>
      </c>
      <c r="E40" s="9" t="s">
        <v>211</v>
      </c>
      <c r="F40" s="9"/>
      <c r="G40" s="9" t="s">
        <v>159</v>
      </c>
      <c r="H40" s="9" t="s">
        <v>1718</v>
      </c>
      <c r="I40" s="9" t="s">
        <v>1158</v>
      </c>
      <c r="J40" s="9" t="s">
        <v>57</v>
      </c>
      <c r="K40" s="9"/>
      <c r="L40" s="9"/>
      <c r="M40" s="9"/>
      <c r="N40" s="9"/>
      <c r="O40" s="9" t="s">
        <v>1718</v>
      </c>
      <c r="P40" s="9" t="s">
        <v>159</v>
      </c>
      <c r="Q40" s="9"/>
      <c r="R40" s="9" t="s">
        <v>1770</v>
      </c>
      <c r="S40" s="9" t="s">
        <v>159</v>
      </c>
      <c r="T40" s="9"/>
      <c r="U40" s="9"/>
      <c r="V40" s="9"/>
      <c r="W40" s="9" t="s">
        <v>969</v>
      </c>
      <c r="X40" s="9" t="s">
        <v>93</v>
      </c>
      <c r="Y40" s="9"/>
      <c r="Z40" s="9"/>
      <c r="AA40" s="9"/>
    </row>
    <row r="41" spans="1:27">
      <c r="A41" s="9" t="s">
        <v>58</v>
      </c>
      <c r="B41" s="9" t="s">
        <v>2443</v>
      </c>
      <c r="C41" s="9"/>
      <c r="D41" s="9" t="s">
        <v>106</v>
      </c>
      <c r="E41" s="9" t="s">
        <v>212</v>
      </c>
      <c r="F41" s="9"/>
      <c r="G41" s="9" t="s">
        <v>160</v>
      </c>
      <c r="H41" s="9" t="s">
        <v>1719</v>
      </c>
      <c r="I41" s="9" t="s">
        <v>1159</v>
      </c>
      <c r="J41" s="9" t="s">
        <v>58</v>
      </c>
      <c r="K41" s="9"/>
      <c r="L41" s="9"/>
      <c r="M41" s="9"/>
      <c r="N41" s="9"/>
      <c r="O41" s="9" t="s">
        <v>1719</v>
      </c>
      <c r="P41" s="9" t="s">
        <v>160</v>
      </c>
      <c r="Q41" s="9"/>
      <c r="R41" s="9" t="s">
        <v>1771</v>
      </c>
      <c r="S41" s="9" t="s">
        <v>160</v>
      </c>
      <c r="T41" s="9"/>
      <c r="U41" s="9"/>
      <c r="V41" s="9"/>
      <c r="W41" s="9" t="s">
        <v>970</v>
      </c>
      <c r="X41" s="9" t="s">
        <v>93</v>
      </c>
      <c r="Y41" s="9"/>
      <c r="Z41" s="9"/>
      <c r="AA41" s="9"/>
    </row>
    <row r="42" spans="1:27">
      <c r="A42" s="9" t="s">
        <v>59</v>
      </c>
      <c r="B42" s="9" t="s">
        <v>2444</v>
      </c>
      <c r="C42" s="9"/>
      <c r="D42" s="9" t="s">
        <v>107</v>
      </c>
      <c r="E42" s="9" t="s">
        <v>213</v>
      </c>
      <c r="F42" s="9"/>
      <c r="G42" s="9" t="s">
        <v>161</v>
      </c>
      <c r="H42" s="9" t="s">
        <v>1720</v>
      </c>
      <c r="I42" s="9" t="s">
        <v>1160</v>
      </c>
      <c r="J42" s="9" t="s">
        <v>59</v>
      </c>
      <c r="K42" s="9"/>
      <c r="L42" s="9"/>
      <c r="M42" s="9"/>
      <c r="N42" s="9"/>
      <c r="O42" s="9" t="s">
        <v>1720</v>
      </c>
      <c r="P42" s="9" t="s">
        <v>161</v>
      </c>
      <c r="Q42" s="9"/>
      <c r="R42" s="9" t="s">
        <v>1772</v>
      </c>
      <c r="S42" s="9" t="s">
        <v>161</v>
      </c>
      <c r="T42" s="9"/>
      <c r="U42" s="9"/>
      <c r="V42" s="9"/>
      <c r="W42" s="9" t="s">
        <v>971</v>
      </c>
      <c r="X42" s="9" t="s">
        <v>93</v>
      </c>
      <c r="Y42" s="9"/>
      <c r="Z42" s="9"/>
      <c r="AA42" s="9"/>
    </row>
    <row r="43" spans="1:27">
      <c r="A43" s="9" t="s">
        <v>60</v>
      </c>
      <c r="B43" s="9" t="s">
        <v>2445</v>
      </c>
      <c r="C43" s="9"/>
      <c r="D43" s="9" t="s">
        <v>124</v>
      </c>
      <c r="E43" s="9" t="s">
        <v>214</v>
      </c>
      <c r="F43" s="9"/>
      <c r="G43" s="9" t="s">
        <v>162</v>
      </c>
      <c r="H43" s="9" t="s">
        <v>1721</v>
      </c>
      <c r="I43" s="9" t="s">
        <v>1161</v>
      </c>
      <c r="J43" s="9" t="s">
        <v>60</v>
      </c>
      <c r="K43" s="9"/>
      <c r="L43" s="9"/>
      <c r="M43" s="9"/>
      <c r="N43" s="9"/>
      <c r="O43" s="9" t="s">
        <v>1721</v>
      </c>
      <c r="P43" s="9" t="s">
        <v>162</v>
      </c>
      <c r="Q43" s="9"/>
      <c r="R43" s="9" t="s">
        <v>1773</v>
      </c>
      <c r="S43" s="9" t="s">
        <v>162</v>
      </c>
      <c r="T43" s="9"/>
      <c r="U43" s="9"/>
      <c r="V43" s="9"/>
      <c r="W43" s="9" t="s">
        <v>972</v>
      </c>
      <c r="X43" s="9" t="s">
        <v>93</v>
      </c>
      <c r="Y43" s="9"/>
      <c r="Z43" s="9"/>
      <c r="AA43" s="9"/>
    </row>
    <row r="44" spans="1:27">
      <c r="A44" s="9" t="s">
        <v>63</v>
      </c>
      <c r="B44" s="9" t="s">
        <v>2587</v>
      </c>
      <c r="C44" s="9"/>
      <c r="D44" s="9" t="s">
        <v>125</v>
      </c>
      <c r="E44" s="9" t="s">
        <v>215</v>
      </c>
      <c r="F44" s="9"/>
      <c r="G44" s="9" t="s">
        <v>165</v>
      </c>
      <c r="H44" s="9" t="s">
        <v>1724</v>
      </c>
      <c r="I44" s="9" t="s">
        <v>1162</v>
      </c>
      <c r="J44" s="9" t="s">
        <v>63</v>
      </c>
      <c r="K44" s="9"/>
      <c r="L44" s="9"/>
      <c r="M44" s="9"/>
      <c r="N44" s="9"/>
      <c r="O44" s="9" t="s">
        <v>1724</v>
      </c>
      <c r="P44" s="9" t="s">
        <v>165</v>
      </c>
      <c r="Q44" s="9"/>
      <c r="R44" s="9" t="s">
        <v>1776</v>
      </c>
      <c r="S44" s="9" t="s">
        <v>165</v>
      </c>
      <c r="T44" s="9"/>
      <c r="U44" s="9"/>
      <c r="V44" s="9"/>
      <c r="W44" s="9" t="s">
        <v>975</v>
      </c>
      <c r="X44" s="9" t="s">
        <v>93</v>
      </c>
      <c r="Y44" s="9"/>
      <c r="Z44" s="9"/>
      <c r="AA44" s="9"/>
    </row>
    <row r="45" spans="1:27">
      <c r="A45" s="9" t="s">
        <v>2588</v>
      </c>
      <c r="B45" s="9" t="s">
        <v>2589</v>
      </c>
      <c r="C45" s="9"/>
      <c r="D45" s="9" t="s">
        <v>113</v>
      </c>
      <c r="E45" s="9" t="s">
        <v>216</v>
      </c>
      <c r="F45" s="9"/>
      <c r="G45" s="9" t="s">
        <v>2590</v>
      </c>
      <c r="H45" s="9" t="s">
        <v>2591</v>
      </c>
      <c r="I45" s="9" t="s">
        <v>1163</v>
      </c>
      <c r="J45" s="9" t="s">
        <v>2588</v>
      </c>
      <c r="K45" s="9"/>
      <c r="L45" s="9"/>
      <c r="M45" s="9"/>
      <c r="N45" s="9"/>
      <c r="O45" s="9" t="s">
        <v>2591</v>
      </c>
      <c r="P45" s="9" t="s">
        <v>2590</v>
      </c>
      <c r="Q45" s="9"/>
      <c r="R45" s="9" t="s">
        <v>2592</v>
      </c>
      <c r="S45" s="9" t="s">
        <v>2590</v>
      </c>
      <c r="T45" s="9"/>
      <c r="U45" s="9"/>
      <c r="V45" s="9"/>
      <c r="W45" s="9" t="s">
        <v>2593</v>
      </c>
      <c r="X45" s="9" t="s">
        <v>93</v>
      </c>
      <c r="Y45" s="9"/>
      <c r="Z45" s="9"/>
      <c r="AA45" s="9"/>
    </row>
    <row r="46" spans="1:27">
      <c r="A46" s="9" t="s">
        <v>64</v>
      </c>
      <c r="B46" s="9" t="s">
        <v>2594</v>
      </c>
      <c r="C46" s="9"/>
      <c r="D46" s="9" t="s">
        <v>116</v>
      </c>
      <c r="E46" s="9" t="s">
        <v>217</v>
      </c>
      <c r="F46" s="9"/>
      <c r="G46" s="9" t="s">
        <v>166</v>
      </c>
      <c r="H46" s="9" t="s">
        <v>1725</v>
      </c>
      <c r="I46" s="9" t="s">
        <v>1164</v>
      </c>
      <c r="J46" s="9" t="s">
        <v>64</v>
      </c>
      <c r="K46" s="9"/>
      <c r="L46" s="9"/>
      <c r="M46" s="9"/>
      <c r="N46" s="9"/>
      <c r="O46" s="9" t="s">
        <v>1725</v>
      </c>
      <c r="P46" s="9" t="s">
        <v>166</v>
      </c>
      <c r="Q46" s="9"/>
      <c r="R46" s="9" t="s">
        <v>1777</v>
      </c>
      <c r="S46" s="9" t="s">
        <v>166</v>
      </c>
      <c r="T46" s="9"/>
      <c r="U46" s="9"/>
      <c r="V46" s="9"/>
      <c r="W46" s="9" t="s">
        <v>976</v>
      </c>
      <c r="X46" s="9" t="s">
        <v>93</v>
      </c>
      <c r="Y46" s="9"/>
      <c r="Z46" s="9"/>
      <c r="AA46" s="9"/>
    </row>
    <row r="47" spans="1:27">
      <c r="A47" s="9" t="s">
        <v>61</v>
      </c>
      <c r="B47" s="9" t="s">
        <v>2446</v>
      </c>
      <c r="C47" s="9"/>
      <c r="D47" s="9" t="s">
        <v>108</v>
      </c>
      <c r="E47" s="9" t="s">
        <v>218</v>
      </c>
      <c r="F47" s="9"/>
      <c r="G47" s="9" t="s">
        <v>163</v>
      </c>
      <c r="H47" s="9" t="s">
        <v>1722</v>
      </c>
      <c r="I47" s="9" t="s">
        <v>1165</v>
      </c>
      <c r="J47" s="9" t="s">
        <v>61</v>
      </c>
      <c r="K47" s="9"/>
      <c r="L47" s="9"/>
      <c r="M47" s="9"/>
      <c r="N47" s="9"/>
      <c r="O47" s="9" t="s">
        <v>1722</v>
      </c>
      <c r="P47" s="9" t="s">
        <v>163</v>
      </c>
      <c r="Q47" s="9"/>
      <c r="R47" s="9" t="s">
        <v>1774</v>
      </c>
      <c r="S47" s="9" t="s">
        <v>163</v>
      </c>
      <c r="T47" s="9"/>
      <c r="U47" s="9"/>
      <c r="V47" s="9"/>
      <c r="W47" s="9" t="s">
        <v>973</v>
      </c>
      <c r="X47" s="9" t="s">
        <v>93</v>
      </c>
      <c r="Y47" s="9"/>
      <c r="Z47" s="9"/>
      <c r="AA47" s="9"/>
    </row>
    <row r="48" spans="1:27">
      <c r="A48" s="9" t="s">
        <v>62</v>
      </c>
      <c r="B48" s="9" t="s">
        <v>2447</v>
      </c>
      <c r="C48" s="9"/>
      <c r="D48" s="9" t="s">
        <v>118</v>
      </c>
      <c r="E48" s="9" t="s">
        <v>219</v>
      </c>
      <c r="F48" s="9"/>
      <c r="G48" s="9" t="s">
        <v>164</v>
      </c>
      <c r="H48" s="9" t="s">
        <v>1723</v>
      </c>
      <c r="I48" s="9" t="s">
        <v>1166</v>
      </c>
      <c r="J48" s="9" t="s">
        <v>62</v>
      </c>
      <c r="K48" s="9"/>
      <c r="L48" s="9"/>
      <c r="M48" s="9"/>
      <c r="N48" s="9"/>
      <c r="O48" s="9" t="s">
        <v>1723</v>
      </c>
      <c r="P48" s="9" t="s">
        <v>164</v>
      </c>
      <c r="Q48" s="9"/>
      <c r="R48" s="9" t="s">
        <v>1775</v>
      </c>
      <c r="S48" s="9" t="s">
        <v>164</v>
      </c>
      <c r="T48" s="9"/>
      <c r="U48" s="9"/>
      <c r="V48" s="9"/>
      <c r="W48" s="9" t="s">
        <v>974</v>
      </c>
      <c r="X48" s="9" t="s">
        <v>93</v>
      </c>
      <c r="Y48" s="9"/>
      <c r="Z48" s="9"/>
      <c r="AA48" s="9"/>
    </row>
    <row r="49" spans="1:27">
      <c r="A49" s="9" t="s">
        <v>65</v>
      </c>
      <c r="B49" s="9" t="s">
        <v>2448</v>
      </c>
      <c r="C49" s="9"/>
      <c r="D49" s="9" t="s">
        <v>109</v>
      </c>
      <c r="E49" s="9" t="s">
        <v>220</v>
      </c>
      <c r="F49" s="9"/>
      <c r="G49" s="9" t="s">
        <v>167</v>
      </c>
      <c r="H49" s="9" t="s">
        <v>1726</v>
      </c>
      <c r="I49" s="9" t="s">
        <v>1167</v>
      </c>
      <c r="J49" s="9" t="s">
        <v>65</v>
      </c>
      <c r="K49" s="9"/>
      <c r="L49" s="9"/>
      <c r="M49" s="9"/>
      <c r="N49" s="9"/>
      <c r="O49" s="9" t="s">
        <v>1726</v>
      </c>
      <c r="P49" s="9" t="s">
        <v>167</v>
      </c>
      <c r="Q49" s="9"/>
      <c r="R49" s="9" t="s">
        <v>1778</v>
      </c>
      <c r="S49" s="9" t="s">
        <v>167</v>
      </c>
      <c r="T49" s="9"/>
      <c r="U49" s="9"/>
      <c r="V49" s="9"/>
      <c r="W49" s="9" t="s">
        <v>977</v>
      </c>
      <c r="X49" s="9" t="s">
        <v>93</v>
      </c>
      <c r="Y49" s="9"/>
      <c r="Z49" s="9"/>
      <c r="AA49" s="9"/>
    </row>
    <row r="50" spans="1:27">
      <c r="A50" s="9" t="s">
        <v>66</v>
      </c>
      <c r="B50" s="9" t="s">
        <v>2449</v>
      </c>
      <c r="C50" s="9"/>
      <c r="D50" s="9" t="s">
        <v>121</v>
      </c>
      <c r="E50" s="9" t="s">
        <v>221</v>
      </c>
      <c r="F50" s="9"/>
      <c r="G50" s="9" t="s">
        <v>168</v>
      </c>
      <c r="H50" s="9" t="s">
        <v>1727</v>
      </c>
      <c r="I50" s="9" t="s">
        <v>1168</v>
      </c>
      <c r="J50" s="9" t="s">
        <v>66</v>
      </c>
      <c r="K50" s="9"/>
      <c r="L50" s="9"/>
      <c r="M50" s="9"/>
      <c r="N50" s="9"/>
      <c r="O50" s="9" t="s">
        <v>1727</v>
      </c>
      <c r="P50" s="9" t="s">
        <v>168</v>
      </c>
      <c r="Q50" s="9"/>
      <c r="R50" s="9" t="s">
        <v>1779</v>
      </c>
      <c r="S50" s="9" t="s">
        <v>168</v>
      </c>
      <c r="T50" s="9"/>
      <c r="U50" s="9"/>
      <c r="V50" s="9"/>
      <c r="W50" s="9" t="s">
        <v>978</v>
      </c>
      <c r="X50" s="9" t="s">
        <v>2469</v>
      </c>
      <c r="Y50" s="9"/>
      <c r="Z50" s="9"/>
      <c r="AA50" s="9"/>
    </row>
    <row r="51" spans="1:27">
      <c r="A51" s="9" t="s">
        <v>67</v>
      </c>
      <c r="B51" s="9" t="s">
        <v>2595</v>
      </c>
      <c r="C51" s="9"/>
      <c r="D51" s="9" t="s">
        <v>122</v>
      </c>
      <c r="E51" s="9" t="s">
        <v>222</v>
      </c>
      <c r="F51" s="9"/>
      <c r="G51" s="9" t="s">
        <v>169</v>
      </c>
      <c r="H51" s="9" t="s">
        <v>1728</v>
      </c>
      <c r="I51" s="9" t="s">
        <v>1169</v>
      </c>
      <c r="J51" s="9" t="s">
        <v>67</v>
      </c>
      <c r="K51" s="9"/>
      <c r="L51" s="9"/>
      <c r="M51" s="9"/>
      <c r="N51" s="9"/>
      <c r="O51" s="9" t="s">
        <v>1728</v>
      </c>
      <c r="P51" s="9" t="s">
        <v>169</v>
      </c>
      <c r="Q51" s="9"/>
      <c r="R51" s="9" t="s">
        <v>1780</v>
      </c>
      <c r="S51" s="9" t="s">
        <v>169</v>
      </c>
      <c r="T51" s="9"/>
      <c r="U51" s="9"/>
      <c r="V51" s="9"/>
      <c r="W51" s="9" t="s">
        <v>979</v>
      </c>
      <c r="X51" s="9" t="s">
        <v>2469</v>
      </c>
      <c r="Y51" s="9"/>
      <c r="Z51" s="9"/>
      <c r="AA51" s="9"/>
    </row>
    <row r="52" spans="1:27">
      <c r="A52" s="9" t="s">
        <v>68</v>
      </c>
      <c r="B52" s="9" t="s">
        <v>2450</v>
      </c>
      <c r="C52" s="9"/>
      <c r="D52" s="9" t="s">
        <v>110</v>
      </c>
      <c r="E52" s="9" t="s">
        <v>223</v>
      </c>
      <c r="F52" s="9"/>
      <c r="G52" s="9" t="s">
        <v>170</v>
      </c>
      <c r="H52" s="9" t="s">
        <v>1729</v>
      </c>
      <c r="I52" s="9" t="s">
        <v>1170</v>
      </c>
      <c r="J52" s="9" t="s">
        <v>68</v>
      </c>
      <c r="K52" s="9"/>
      <c r="L52" s="9"/>
      <c r="M52" s="9"/>
      <c r="N52" s="9"/>
      <c r="O52" s="9" t="s">
        <v>1729</v>
      </c>
      <c r="P52" s="9" t="s">
        <v>170</v>
      </c>
      <c r="Q52" s="9"/>
      <c r="R52" s="9" t="s">
        <v>1781</v>
      </c>
      <c r="S52" s="9" t="s">
        <v>170</v>
      </c>
      <c r="T52" s="9"/>
      <c r="U52" s="9"/>
      <c r="V52" s="9"/>
      <c r="W52" s="9" t="s">
        <v>980</v>
      </c>
      <c r="X52" s="9" t="s">
        <v>2469</v>
      </c>
      <c r="Y52" s="9"/>
      <c r="Z52" s="9"/>
      <c r="AA52" s="9"/>
    </row>
    <row r="53" spans="1:27">
      <c r="A53" s="9" t="s">
        <v>69</v>
      </c>
      <c r="B53" s="9" t="s">
        <v>2451</v>
      </c>
      <c r="C53" s="9"/>
      <c r="D53" s="9" t="s">
        <v>111</v>
      </c>
      <c r="E53" s="9" t="s">
        <v>224</v>
      </c>
      <c r="F53" s="9"/>
      <c r="G53" s="9" t="s">
        <v>171</v>
      </c>
      <c r="H53" s="9" t="s">
        <v>1730</v>
      </c>
      <c r="I53" s="9" t="s">
        <v>1171</v>
      </c>
      <c r="J53" s="9" t="s">
        <v>69</v>
      </c>
      <c r="K53" s="9"/>
      <c r="L53" s="9"/>
      <c r="M53" s="9"/>
      <c r="N53" s="9"/>
      <c r="O53" s="9" t="s">
        <v>1730</v>
      </c>
      <c r="P53" s="9" t="s">
        <v>171</v>
      </c>
      <c r="Q53" s="9"/>
      <c r="R53" s="9" t="s">
        <v>1782</v>
      </c>
      <c r="S53" s="9" t="s">
        <v>171</v>
      </c>
      <c r="T53" s="9"/>
      <c r="U53" s="9"/>
      <c r="V53" s="9"/>
      <c r="W53" s="9" t="s">
        <v>981</v>
      </c>
      <c r="X53" s="9" t="s">
        <v>2470</v>
      </c>
      <c r="Y53" s="9"/>
      <c r="Z53" s="9"/>
      <c r="AA53" s="9"/>
    </row>
    <row r="54" spans="1:27">
      <c r="A54" s="9" t="s">
        <v>70</v>
      </c>
      <c r="B54" s="9" t="s">
        <v>2596</v>
      </c>
      <c r="C54" s="9"/>
      <c r="D54" s="9" t="s">
        <v>104</v>
      </c>
      <c r="E54" s="9" t="s">
        <v>225</v>
      </c>
      <c r="F54" s="9"/>
      <c r="G54" s="9" t="s">
        <v>172</v>
      </c>
      <c r="H54" s="9" t="s">
        <v>1731</v>
      </c>
      <c r="I54" s="9" t="s">
        <v>1172</v>
      </c>
      <c r="J54" s="9" t="s">
        <v>70</v>
      </c>
      <c r="K54" s="9"/>
      <c r="L54" s="9"/>
      <c r="M54" s="9"/>
      <c r="N54" s="9"/>
      <c r="O54" s="9" t="s">
        <v>1731</v>
      </c>
      <c r="P54" s="9" t="s">
        <v>172</v>
      </c>
      <c r="Q54" s="9"/>
      <c r="R54" s="9" t="s">
        <v>1783</v>
      </c>
      <c r="S54" s="9" t="s">
        <v>172</v>
      </c>
      <c r="T54" s="9"/>
      <c r="U54" s="9"/>
      <c r="V54" s="9"/>
      <c r="W54" s="9" t="s">
        <v>982</v>
      </c>
      <c r="X54" s="9" t="s">
        <v>2470</v>
      </c>
      <c r="Y54" s="9"/>
      <c r="Z54" s="9"/>
      <c r="AA54" s="9"/>
    </row>
    <row r="55" spans="1:27">
      <c r="A55" s="9" t="s">
        <v>2597</v>
      </c>
      <c r="B55" s="9" t="s">
        <v>2598</v>
      </c>
      <c r="C55" s="9"/>
      <c r="D55" s="9" t="s">
        <v>114</v>
      </c>
      <c r="E55" s="9" t="s">
        <v>226</v>
      </c>
      <c r="F55" s="9"/>
      <c r="G55" s="9" t="s">
        <v>2599</v>
      </c>
      <c r="H55" s="9" t="s">
        <v>2600</v>
      </c>
      <c r="I55" s="9" t="s">
        <v>1173</v>
      </c>
      <c r="J55" s="9" t="s">
        <v>2597</v>
      </c>
      <c r="K55" s="9"/>
      <c r="L55" s="9"/>
      <c r="M55" s="9"/>
      <c r="N55" s="9"/>
      <c r="O55" s="9" t="s">
        <v>2600</v>
      </c>
      <c r="P55" s="9" t="s">
        <v>2599</v>
      </c>
      <c r="Q55" s="9"/>
      <c r="R55" s="9" t="s">
        <v>2601</v>
      </c>
      <c r="S55" s="9" t="s">
        <v>2599</v>
      </c>
      <c r="T55" s="9"/>
      <c r="U55" s="9"/>
      <c r="V55" s="9"/>
      <c r="W55" s="9" t="s">
        <v>2602</v>
      </c>
      <c r="X55" s="9" t="s">
        <v>2470</v>
      </c>
      <c r="Y55" s="9"/>
      <c r="Z55" s="9"/>
      <c r="AA55" s="9"/>
    </row>
    <row r="56" spans="1:27">
      <c r="A56" s="9" t="s">
        <v>71</v>
      </c>
      <c r="B56" s="9" t="s">
        <v>2452</v>
      </c>
      <c r="C56" s="9"/>
      <c r="D56" s="9" t="s">
        <v>234</v>
      </c>
      <c r="E56" s="9" t="s">
        <v>227</v>
      </c>
      <c r="F56" s="9"/>
      <c r="G56" s="9" t="s">
        <v>173</v>
      </c>
      <c r="H56" s="9" t="s">
        <v>1732</v>
      </c>
      <c r="I56" s="9" t="s">
        <v>1174</v>
      </c>
      <c r="J56" s="9" t="s">
        <v>71</v>
      </c>
      <c r="K56" s="9"/>
      <c r="L56" s="9"/>
      <c r="M56" s="9"/>
      <c r="N56" s="9"/>
      <c r="O56" s="9" t="s">
        <v>1732</v>
      </c>
      <c r="P56" s="9" t="s">
        <v>173</v>
      </c>
      <c r="Q56" s="9"/>
      <c r="R56" s="9" t="s">
        <v>1784</v>
      </c>
      <c r="S56" s="9" t="s">
        <v>173</v>
      </c>
      <c r="T56" s="9"/>
      <c r="U56" s="9"/>
      <c r="V56" s="9"/>
      <c r="W56" s="9" t="s">
        <v>983</v>
      </c>
      <c r="X56" s="9" t="s">
        <v>983</v>
      </c>
      <c r="Y56" s="9"/>
      <c r="Z56" s="9"/>
      <c r="AA56" s="9"/>
    </row>
    <row r="57" spans="1:27">
      <c r="A57" s="9" t="s">
        <v>72</v>
      </c>
      <c r="B57" s="9" t="s">
        <v>2603</v>
      </c>
      <c r="C57" s="9"/>
      <c r="D57" s="9" t="s">
        <v>119</v>
      </c>
      <c r="E57" s="9" t="s">
        <v>228</v>
      </c>
      <c r="F57" s="9"/>
      <c r="G57" s="9" t="s">
        <v>174</v>
      </c>
      <c r="H57" s="9" t="s">
        <v>1733</v>
      </c>
      <c r="I57" s="9" t="s">
        <v>1175</v>
      </c>
      <c r="J57" s="9" t="s">
        <v>72</v>
      </c>
      <c r="K57" s="9"/>
      <c r="L57" s="9"/>
      <c r="M57" s="9"/>
      <c r="N57" s="9"/>
      <c r="O57" s="9" t="s">
        <v>1733</v>
      </c>
      <c r="P57" s="9" t="s">
        <v>174</v>
      </c>
      <c r="Q57" s="9"/>
      <c r="R57" s="9" t="s">
        <v>1785</v>
      </c>
      <c r="S57" s="9" t="s">
        <v>174</v>
      </c>
      <c r="T57" s="9"/>
      <c r="U57" s="9"/>
      <c r="V57" s="9"/>
      <c r="W57" s="9" t="s">
        <v>984</v>
      </c>
      <c r="X57" s="9" t="s">
        <v>983</v>
      </c>
      <c r="Y57" s="9"/>
      <c r="Z57" s="9"/>
      <c r="AA57" s="9"/>
    </row>
    <row r="58" spans="1:27">
      <c r="A58" s="9" t="s">
        <v>73</v>
      </c>
      <c r="B58" s="9" t="s">
        <v>2453</v>
      </c>
      <c r="C58" s="9"/>
      <c r="D58" s="9" t="s">
        <v>1827</v>
      </c>
      <c r="E58" s="9" t="s">
        <v>2168</v>
      </c>
      <c r="F58" s="9"/>
      <c r="G58" s="9" t="s">
        <v>175</v>
      </c>
      <c r="H58" s="9" t="s">
        <v>1734</v>
      </c>
      <c r="I58" s="9" t="s">
        <v>1871</v>
      </c>
      <c r="J58" s="9" t="s">
        <v>73</v>
      </c>
      <c r="K58" s="9"/>
      <c r="L58" s="9"/>
      <c r="M58" s="9"/>
      <c r="N58" s="9"/>
      <c r="O58" s="9" t="s">
        <v>1734</v>
      </c>
      <c r="P58" s="9" t="s">
        <v>175</v>
      </c>
      <c r="Q58" s="9"/>
      <c r="R58" s="9" t="s">
        <v>1786</v>
      </c>
      <c r="S58" s="9" t="s">
        <v>175</v>
      </c>
      <c r="T58" s="9"/>
      <c r="U58" s="9"/>
      <c r="V58" s="9"/>
      <c r="W58" s="9" t="s">
        <v>985</v>
      </c>
      <c r="X58" s="9" t="s">
        <v>983</v>
      </c>
      <c r="Y58" s="9"/>
      <c r="Z58" s="9"/>
      <c r="AA58" s="9"/>
    </row>
    <row r="59" spans="1:27">
      <c r="A59" s="9" t="s">
        <v>2604</v>
      </c>
      <c r="B59" s="9" t="s">
        <v>2605</v>
      </c>
      <c r="C59" s="9"/>
      <c r="D59" s="9" t="s">
        <v>235</v>
      </c>
      <c r="E59" s="9" t="s">
        <v>229</v>
      </c>
      <c r="F59" s="9"/>
      <c r="G59" s="9" t="s">
        <v>2606</v>
      </c>
      <c r="H59" s="9" t="s">
        <v>2607</v>
      </c>
      <c r="I59" s="9" t="s">
        <v>1176</v>
      </c>
      <c r="J59" s="9" t="s">
        <v>2604</v>
      </c>
      <c r="K59" s="9"/>
      <c r="L59" s="9"/>
      <c r="M59" s="9"/>
      <c r="N59" s="9"/>
      <c r="O59" s="9" t="s">
        <v>2607</v>
      </c>
      <c r="P59" s="9" t="s">
        <v>2606</v>
      </c>
      <c r="Q59" s="9"/>
      <c r="R59" s="9" t="s">
        <v>2608</v>
      </c>
      <c r="S59" s="9" t="s">
        <v>2606</v>
      </c>
      <c r="T59" s="9"/>
      <c r="U59" s="9"/>
      <c r="V59" s="9"/>
      <c r="W59" s="9" t="s">
        <v>2609</v>
      </c>
      <c r="X59" s="9" t="s">
        <v>2470</v>
      </c>
      <c r="Y59" s="9"/>
      <c r="Z59" s="9"/>
      <c r="AA59" s="9"/>
    </row>
    <row r="60" spans="1:27">
      <c r="A60" s="9" t="s">
        <v>2239</v>
      </c>
      <c r="B60" s="9" t="s">
        <v>2454</v>
      </c>
      <c r="C60" s="9"/>
      <c r="D60" s="9" t="s">
        <v>126</v>
      </c>
      <c r="E60" s="9" t="s">
        <v>230</v>
      </c>
      <c r="F60" s="9"/>
      <c r="G60" s="9" t="s">
        <v>2241</v>
      </c>
      <c r="H60" s="9" t="s">
        <v>2235</v>
      </c>
      <c r="I60" s="9" t="s">
        <v>1177</v>
      </c>
      <c r="J60" s="9" t="s">
        <v>2239</v>
      </c>
      <c r="K60" s="9"/>
      <c r="L60" s="9"/>
      <c r="M60" s="9"/>
      <c r="N60" s="9"/>
      <c r="O60" s="9" t="s">
        <v>2235</v>
      </c>
      <c r="P60" s="9" t="s">
        <v>2241</v>
      </c>
      <c r="Q60" s="9"/>
      <c r="R60" s="9" t="s">
        <v>2237</v>
      </c>
      <c r="S60" s="9" t="s">
        <v>2241</v>
      </c>
      <c r="T60" s="9"/>
      <c r="U60" s="9"/>
      <c r="V60" s="9"/>
      <c r="W60" s="9" t="s">
        <v>2232</v>
      </c>
      <c r="X60" s="9" t="s">
        <v>2470</v>
      </c>
      <c r="Y60" s="9"/>
      <c r="Z60" s="9"/>
      <c r="AA60" s="9"/>
    </row>
    <row r="61" spans="1:27">
      <c r="A61" s="9" t="s">
        <v>74</v>
      </c>
      <c r="B61" s="9" t="s">
        <v>2455</v>
      </c>
      <c r="C61" s="9"/>
      <c r="D61" s="9" t="s">
        <v>2610</v>
      </c>
      <c r="E61" s="9" t="s">
        <v>2551</v>
      </c>
      <c r="F61" s="9"/>
      <c r="G61" s="9" t="s">
        <v>176</v>
      </c>
      <c r="H61" s="9" t="s">
        <v>1735</v>
      </c>
      <c r="I61" s="9" t="s">
        <v>2611</v>
      </c>
      <c r="J61" s="9" t="s">
        <v>74</v>
      </c>
      <c r="K61" s="9"/>
      <c r="L61" s="9"/>
      <c r="M61" s="9"/>
      <c r="N61" s="9"/>
      <c r="O61" s="9" t="s">
        <v>1735</v>
      </c>
      <c r="P61" s="9" t="s">
        <v>176</v>
      </c>
      <c r="Q61" s="9"/>
      <c r="R61" s="9" t="s">
        <v>1787</v>
      </c>
      <c r="S61" s="9" t="s">
        <v>176</v>
      </c>
      <c r="T61" s="9"/>
      <c r="U61" s="9"/>
      <c r="V61" s="9"/>
      <c r="W61" s="9" t="s">
        <v>986</v>
      </c>
      <c r="X61" s="9" t="s">
        <v>2470</v>
      </c>
      <c r="Y61" s="9"/>
      <c r="Z61" s="9"/>
      <c r="AA61" s="9"/>
    </row>
    <row r="62" spans="1:27">
      <c r="A62" s="9" t="s">
        <v>246</v>
      </c>
      <c r="B62" s="9" t="s">
        <v>2456</v>
      </c>
      <c r="C62" s="9"/>
      <c r="D62" s="9" t="s">
        <v>240</v>
      </c>
      <c r="E62" s="9" t="s">
        <v>237</v>
      </c>
      <c r="F62" s="9"/>
      <c r="G62" s="9" t="s">
        <v>245</v>
      </c>
      <c r="H62" s="9" t="s">
        <v>1736</v>
      </c>
      <c r="I62" s="9" t="s">
        <v>1178</v>
      </c>
      <c r="J62" s="9" t="s">
        <v>246</v>
      </c>
      <c r="K62" s="9"/>
      <c r="L62" s="9"/>
      <c r="M62" s="9"/>
      <c r="N62" s="9"/>
      <c r="O62" s="9" t="s">
        <v>1736</v>
      </c>
      <c r="P62" s="9" t="s">
        <v>245</v>
      </c>
      <c r="Q62" s="9"/>
      <c r="R62" s="9" t="s">
        <v>1788</v>
      </c>
      <c r="S62" s="9" t="s">
        <v>245</v>
      </c>
      <c r="T62" s="9"/>
      <c r="U62" s="9"/>
      <c r="V62" s="9"/>
      <c r="W62" s="9" t="s">
        <v>987</v>
      </c>
      <c r="X62" s="9" t="s">
        <v>2470</v>
      </c>
      <c r="Y62" s="9"/>
      <c r="Z62" s="9"/>
      <c r="AA62" s="9"/>
    </row>
    <row r="63" spans="1:27">
      <c r="A63" s="9" t="s">
        <v>2612</v>
      </c>
      <c r="B63" s="9" t="s">
        <v>2613</v>
      </c>
      <c r="C63" s="9"/>
      <c r="D63" s="9" t="s">
        <v>241</v>
      </c>
      <c r="E63" s="9" t="s">
        <v>238</v>
      </c>
      <c r="F63" s="9"/>
      <c r="G63" s="9" t="s">
        <v>2614</v>
      </c>
      <c r="H63" s="9" t="s">
        <v>2615</v>
      </c>
      <c r="I63" s="9" t="s">
        <v>1179</v>
      </c>
      <c r="J63" s="9" t="s">
        <v>2612</v>
      </c>
      <c r="K63" s="9"/>
      <c r="L63" s="9"/>
      <c r="M63" s="9"/>
      <c r="N63" s="9"/>
      <c r="O63" s="9" t="s">
        <v>2615</v>
      </c>
      <c r="P63" s="9" t="s">
        <v>2614</v>
      </c>
      <c r="Q63" s="9"/>
      <c r="R63" s="9" t="s">
        <v>2616</v>
      </c>
      <c r="S63" s="9" t="s">
        <v>2614</v>
      </c>
      <c r="T63" s="9"/>
      <c r="U63" s="9"/>
      <c r="V63" s="9"/>
      <c r="W63" s="9" t="s">
        <v>2617</v>
      </c>
      <c r="X63" s="9" t="s">
        <v>2470</v>
      </c>
      <c r="Y63" s="9"/>
      <c r="Z63" s="9"/>
      <c r="AA63" s="9"/>
    </row>
    <row r="64" spans="1:27">
      <c r="A64" s="9" t="s">
        <v>2322</v>
      </c>
      <c r="B64" s="9" t="s">
        <v>2457</v>
      </c>
      <c r="C64" s="9"/>
      <c r="D64" s="9" t="s">
        <v>127</v>
      </c>
      <c r="E64" s="9" t="s">
        <v>231</v>
      </c>
      <c r="F64" s="9"/>
      <c r="G64" s="9" t="s">
        <v>2323</v>
      </c>
      <c r="H64" s="9" t="s">
        <v>2324</v>
      </c>
      <c r="I64" s="9" t="s">
        <v>1180</v>
      </c>
      <c r="J64" s="9" t="s">
        <v>2322</v>
      </c>
      <c r="K64" s="9"/>
      <c r="L64" s="9"/>
      <c r="M64" s="9"/>
      <c r="N64" s="9"/>
      <c r="O64" s="9" t="s">
        <v>2324</v>
      </c>
      <c r="P64" s="9" t="s">
        <v>2323</v>
      </c>
      <c r="Q64" s="9"/>
      <c r="R64" s="9" t="s">
        <v>2325</v>
      </c>
      <c r="S64" s="9" t="s">
        <v>2323</v>
      </c>
      <c r="T64" s="9"/>
      <c r="U64" s="9"/>
      <c r="V64" s="9"/>
      <c r="W64" s="9" t="s">
        <v>2471</v>
      </c>
      <c r="X64" s="9" t="s">
        <v>2470</v>
      </c>
      <c r="Y64" s="9"/>
      <c r="Z64" s="9"/>
      <c r="AA64" s="9"/>
    </row>
    <row r="65" spans="1:27">
      <c r="A65" s="9" t="s">
        <v>75</v>
      </c>
      <c r="B65" s="9" t="s">
        <v>2618</v>
      </c>
      <c r="C65" s="9"/>
      <c r="D65" s="9" t="s">
        <v>2619</v>
      </c>
      <c r="E65" s="9" t="s">
        <v>2552</v>
      </c>
      <c r="F65" s="9"/>
      <c r="G65" s="9" t="s">
        <v>177</v>
      </c>
      <c r="H65" s="9" t="s">
        <v>1737</v>
      </c>
      <c r="I65" s="9" t="s">
        <v>2620</v>
      </c>
      <c r="J65" s="9" t="s">
        <v>75</v>
      </c>
      <c r="K65" s="9"/>
      <c r="L65" s="9"/>
      <c r="M65" s="9"/>
      <c r="N65" s="9"/>
      <c r="O65" s="9" t="s">
        <v>1737</v>
      </c>
      <c r="P65" s="9" t="s">
        <v>177</v>
      </c>
      <c r="Q65" s="9"/>
      <c r="R65" s="9" t="s">
        <v>1789</v>
      </c>
      <c r="S65" s="9" t="s">
        <v>177</v>
      </c>
      <c r="T65" s="9"/>
      <c r="U65" s="9"/>
      <c r="V65" s="9"/>
      <c r="W65" s="9" t="s">
        <v>988</v>
      </c>
      <c r="X65" s="9" t="s">
        <v>2470</v>
      </c>
      <c r="Y65" s="9"/>
      <c r="Z65" s="9"/>
      <c r="AA65" s="9"/>
    </row>
    <row r="66" spans="1:27">
      <c r="A66" s="9" t="s">
        <v>76</v>
      </c>
      <c r="B66" s="9" t="s">
        <v>2621</v>
      </c>
      <c r="C66" s="9"/>
      <c r="D66" s="9" t="s">
        <v>1828</v>
      </c>
      <c r="E66" s="9" t="s">
        <v>2169</v>
      </c>
      <c r="F66" s="9"/>
      <c r="G66" s="9" t="s">
        <v>178</v>
      </c>
      <c r="H66" s="9" t="s">
        <v>1738</v>
      </c>
      <c r="I66" s="9" t="s">
        <v>1872</v>
      </c>
      <c r="J66" s="9" t="s">
        <v>76</v>
      </c>
      <c r="K66" s="9"/>
      <c r="L66" s="9"/>
      <c r="M66" s="9"/>
      <c r="N66" s="9"/>
      <c r="O66" s="9" t="s">
        <v>1738</v>
      </c>
      <c r="P66" s="9" t="s">
        <v>178</v>
      </c>
      <c r="Q66" s="9"/>
      <c r="R66" s="9" t="s">
        <v>1790</v>
      </c>
      <c r="S66" s="9" t="s">
        <v>178</v>
      </c>
      <c r="T66" s="9"/>
      <c r="U66" s="9"/>
      <c r="V66" s="9"/>
      <c r="W66" s="9" t="s">
        <v>989</v>
      </c>
      <c r="X66" s="9" t="s">
        <v>2470</v>
      </c>
      <c r="Y66" s="9"/>
      <c r="Z66" s="9"/>
      <c r="AA66" s="9"/>
    </row>
    <row r="67" spans="1:27">
      <c r="A67" s="9" t="s">
        <v>2622</v>
      </c>
      <c r="B67" s="9" t="s">
        <v>2623</v>
      </c>
      <c r="C67" s="9"/>
      <c r="D67" s="9" t="s">
        <v>128</v>
      </c>
      <c r="E67" s="9" t="s">
        <v>232</v>
      </c>
      <c r="F67" s="9"/>
      <c r="G67" s="9" t="s">
        <v>2624</v>
      </c>
      <c r="H67" s="9" t="s">
        <v>2625</v>
      </c>
      <c r="I67" s="9" t="s">
        <v>1181</v>
      </c>
      <c r="J67" s="9" t="s">
        <v>2622</v>
      </c>
      <c r="K67" s="9"/>
      <c r="L67" s="9"/>
      <c r="M67" s="9"/>
      <c r="N67" s="9"/>
      <c r="O67" s="9" t="s">
        <v>2625</v>
      </c>
      <c r="P67" s="9" t="s">
        <v>2624</v>
      </c>
      <c r="Q67" s="9"/>
      <c r="R67" s="9" t="s">
        <v>2626</v>
      </c>
      <c r="S67" s="9" t="s">
        <v>2624</v>
      </c>
      <c r="T67" s="9"/>
      <c r="U67" s="9"/>
      <c r="V67" s="9"/>
      <c r="W67" s="9" t="s">
        <v>2627</v>
      </c>
      <c r="X67" s="9" t="s">
        <v>2470</v>
      </c>
      <c r="Y67" s="9"/>
      <c r="Z67" s="9"/>
      <c r="AA67" s="9"/>
    </row>
    <row r="68" spans="1:27">
      <c r="A68" s="9" t="s">
        <v>2628</v>
      </c>
      <c r="B68" s="9" t="s">
        <v>2629</v>
      </c>
      <c r="C68" s="9"/>
      <c r="D68" s="9" t="s">
        <v>180</v>
      </c>
      <c r="E68" s="9" t="s">
        <v>2271</v>
      </c>
      <c r="F68" s="9"/>
      <c r="G68" s="9" t="s">
        <v>2630</v>
      </c>
      <c r="H68" s="9" t="s">
        <v>2631</v>
      </c>
      <c r="I68" s="9" t="s">
        <v>1182</v>
      </c>
      <c r="J68" s="9" t="s">
        <v>2628</v>
      </c>
      <c r="K68" s="9"/>
      <c r="L68" s="9"/>
      <c r="M68" s="9"/>
      <c r="N68" s="9"/>
      <c r="O68" s="9" t="s">
        <v>2631</v>
      </c>
      <c r="P68" s="9" t="s">
        <v>2630</v>
      </c>
      <c r="Q68" s="9"/>
      <c r="R68" s="9" t="s">
        <v>2632</v>
      </c>
      <c r="S68" s="9" t="s">
        <v>2630</v>
      </c>
      <c r="T68" s="9"/>
      <c r="U68" s="9"/>
      <c r="V68" s="9"/>
      <c r="W68" s="9" t="s">
        <v>2633</v>
      </c>
      <c r="X68" s="9" t="s">
        <v>2470</v>
      </c>
      <c r="Y68" s="9"/>
      <c r="Z68" s="9"/>
      <c r="AA68" s="9"/>
    </row>
    <row r="69" spans="1:27">
      <c r="A69" s="9" t="s">
        <v>77</v>
      </c>
      <c r="B69" s="9" t="s">
        <v>2458</v>
      </c>
      <c r="C69" s="9"/>
      <c r="D69" s="9" t="s">
        <v>2316</v>
      </c>
      <c r="E69" s="9" t="s">
        <v>243</v>
      </c>
      <c r="F69" s="9"/>
      <c r="G69" s="9" t="s">
        <v>179</v>
      </c>
      <c r="H69" s="9" t="s">
        <v>1739</v>
      </c>
      <c r="I69" s="9" t="s">
        <v>2299</v>
      </c>
      <c r="J69" s="9" t="s">
        <v>77</v>
      </c>
      <c r="K69" s="9"/>
      <c r="L69" s="9"/>
      <c r="M69" s="9"/>
      <c r="N69" s="9"/>
      <c r="O69" s="9" t="s">
        <v>1739</v>
      </c>
      <c r="P69" s="9" t="s">
        <v>179</v>
      </c>
      <c r="Q69" s="9"/>
      <c r="R69" s="9" t="s">
        <v>1791</v>
      </c>
      <c r="S69" s="9" t="s">
        <v>179</v>
      </c>
      <c r="T69" s="9"/>
      <c r="U69" s="9"/>
      <c r="V69" s="9"/>
      <c r="W69" s="9" t="s">
        <v>990</v>
      </c>
      <c r="X69" s="9" t="s">
        <v>2470</v>
      </c>
      <c r="Y69" s="9"/>
      <c r="Z69" s="9"/>
      <c r="AA69" s="9"/>
    </row>
    <row r="70" spans="1:27">
      <c r="A70" s="9" t="s">
        <v>1575</v>
      </c>
      <c r="B70" s="9" t="s">
        <v>181</v>
      </c>
      <c r="C70" s="9"/>
      <c r="D70" s="9"/>
      <c r="E70" s="9"/>
      <c r="F70" s="9"/>
      <c r="G70" s="9"/>
      <c r="H70" s="9"/>
      <c r="I70" s="9" t="s">
        <v>1071</v>
      </c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>
      <c r="A71" s="9" t="s">
        <v>1576</v>
      </c>
      <c r="B71" s="9" t="s">
        <v>182</v>
      </c>
      <c r="C71" s="9"/>
      <c r="D71" s="9"/>
      <c r="E71" s="9"/>
      <c r="F71" s="9"/>
      <c r="G71" s="9"/>
      <c r="H71" s="9"/>
      <c r="I71" s="9" t="s">
        <v>1072</v>
      </c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>
      <c r="A72" s="9" t="s">
        <v>1577</v>
      </c>
      <c r="B72" s="9" t="s">
        <v>183</v>
      </c>
      <c r="C72" s="9"/>
      <c r="D72" s="9"/>
      <c r="E72" s="9"/>
      <c r="F72" s="9"/>
      <c r="G72" s="9"/>
      <c r="H72" s="9"/>
      <c r="I72" s="9" t="s">
        <v>1073</v>
      </c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>
      <c r="A73" s="9" t="s">
        <v>1578</v>
      </c>
      <c r="B73" s="9" t="s">
        <v>184</v>
      </c>
      <c r="C73" s="9"/>
      <c r="D73" s="9"/>
      <c r="E73" s="9"/>
      <c r="F73" s="9"/>
      <c r="G73" s="9"/>
      <c r="H73" s="9"/>
      <c r="I73" s="9" t="s">
        <v>1074</v>
      </c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>
      <c r="A74" s="9" t="s">
        <v>1579</v>
      </c>
      <c r="B74" s="9" t="s">
        <v>185</v>
      </c>
      <c r="C74" s="9"/>
      <c r="D74" s="9"/>
      <c r="E74" s="9"/>
      <c r="F74" s="9"/>
      <c r="G74" s="9"/>
      <c r="H74" s="9"/>
      <c r="I74" s="9" t="s">
        <v>1075</v>
      </c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>
      <c r="A75" s="9" t="s">
        <v>1580</v>
      </c>
      <c r="B75" s="9" t="s">
        <v>186</v>
      </c>
      <c r="C75" s="9"/>
      <c r="D75" s="9"/>
      <c r="E75" s="9"/>
      <c r="F75" s="9"/>
      <c r="G75" s="9"/>
      <c r="H75" s="9"/>
      <c r="I75" s="9" t="s">
        <v>1076</v>
      </c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>
      <c r="A76" s="9" t="s">
        <v>1581</v>
      </c>
      <c r="B76" s="9" t="s">
        <v>187</v>
      </c>
      <c r="C76" s="9"/>
      <c r="D76" s="9"/>
      <c r="E76" s="9"/>
      <c r="F76" s="9"/>
      <c r="G76" s="9"/>
      <c r="H76" s="9"/>
      <c r="I76" s="9" t="s">
        <v>1077</v>
      </c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>
      <c r="A77" s="9" t="s">
        <v>2264</v>
      </c>
      <c r="B77" s="9" t="s">
        <v>2233</v>
      </c>
      <c r="C77" s="9"/>
      <c r="D77" s="9"/>
      <c r="E77" s="9"/>
      <c r="F77" s="9"/>
      <c r="G77" s="9"/>
      <c r="H77" s="9"/>
      <c r="I77" s="9" t="s">
        <v>2255</v>
      </c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>
      <c r="A78" s="9" t="s">
        <v>1582</v>
      </c>
      <c r="B78" s="9" t="s">
        <v>188</v>
      </c>
      <c r="C78" s="9"/>
      <c r="D78" s="9"/>
      <c r="E78" s="9"/>
      <c r="F78" s="9"/>
      <c r="G78" s="9"/>
      <c r="H78" s="9"/>
      <c r="I78" s="9" t="s">
        <v>1078</v>
      </c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>
      <c r="A79" s="9" t="s">
        <v>1583</v>
      </c>
      <c r="B79" s="9" t="s">
        <v>189</v>
      </c>
      <c r="C79" s="9"/>
      <c r="D79" s="9"/>
      <c r="E79" s="9"/>
      <c r="F79" s="9"/>
      <c r="G79" s="9"/>
      <c r="H79" s="9"/>
      <c r="I79" s="9" t="s">
        <v>1079</v>
      </c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>
      <c r="A80" s="9" t="s">
        <v>1584</v>
      </c>
      <c r="B80" s="9" t="s">
        <v>190</v>
      </c>
      <c r="C80" s="9"/>
      <c r="D80" s="9"/>
      <c r="E80" s="9"/>
      <c r="F80" s="9"/>
      <c r="G80" s="9"/>
      <c r="H80" s="9"/>
      <c r="I80" s="9" t="s">
        <v>1080</v>
      </c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>
      <c r="A81" s="9" t="s">
        <v>1585</v>
      </c>
      <c r="B81" s="9" t="s">
        <v>191</v>
      </c>
      <c r="C81" s="9"/>
      <c r="D81" s="9"/>
      <c r="E81" s="9"/>
      <c r="F81" s="9"/>
      <c r="G81" s="9"/>
      <c r="H81" s="9"/>
      <c r="I81" s="9" t="s">
        <v>1081</v>
      </c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>
      <c r="A82" s="9" t="s">
        <v>1586</v>
      </c>
      <c r="B82" s="9" t="s">
        <v>192</v>
      </c>
      <c r="C82" s="9"/>
      <c r="D82" s="9"/>
      <c r="E82" s="9"/>
      <c r="F82" s="9"/>
      <c r="G82" s="9"/>
      <c r="H82" s="9"/>
      <c r="I82" s="9" t="s">
        <v>1082</v>
      </c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>
      <c r="A83" s="9" t="s">
        <v>1587</v>
      </c>
      <c r="B83" s="9" t="s">
        <v>193</v>
      </c>
      <c r="C83" s="9"/>
      <c r="D83" s="9"/>
      <c r="E83" s="9"/>
      <c r="F83" s="9"/>
      <c r="G83" s="9"/>
      <c r="H83" s="9"/>
      <c r="I83" s="9" t="s">
        <v>1083</v>
      </c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>
      <c r="A84" s="9" t="s">
        <v>1588</v>
      </c>
      <c r="B84" s="9" t="s">
        <v>242</v>
      </c>
      <c r="C84" s="9"/>
      <c r="D84" s="9"/>
      <c r="E84" s="9"/>
      <c r="F84" s="9"/>
      <c r="G84" s="9"/>
      <c r="H84" s="9"/>
      <c r="I84" s="9" t="s">
        <v>1084</v>
      </c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>
      <c r="A85" s="9" t="s">
        <v>1589</v>
      </c>
      <c r="B85" s="9" t="s">
        <v>194</v>
      </c>
      <c r="C85" s="9"/>
      <c r="D85" s="9"/>
      <c r="E85" s="9"/>
      <c r="F85" s="9"/>
      <c r="G85" s="9"/>
      <c r="H85" s="9"/>
      <c r="I85" s="9" t="s">
        <v>1085</v>
      </c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>
      <c r="A86" s="9" t="s">
        <v>1590</v>
      </c>
      <c r="B86" s="9" t="s">
        <v>195</v>
      </c>
      <c r="C86" s="9"/>
      <c r="D86" s="9"/>
      <c r="E86" s="9"/>
      <c r="F86" s="9"/>
      <c r="G86" s="9"/>
      <c r="H86" s="9"/>
      <c r="I86" s="9" t="s">
        <v>1086</v>
      </c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>
      <c r="A87" s="9" t="s">
        <v>1591</v>
      </c>
      <c r="B87" s="9" t="s">
        <v>196</v>
      </c>
      <c r="C87" s="9"/>
      <c r="D87" s="9"/>
      <c r="E87" s="9"/>
      <c r="F87" s="9"/>
      <c r="G87" s="9"/>
      <c r="H87" s="9"/>
      <c r="I87" s="9" t="s">
        <v>1087</v>
      </c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>
      <c r="A88" s="9" t="s">
        <v>1592</v>
      </c>
      <c r="B88" s="9" t="s">
        <v>197</v>
      </c>
      <c r="C88" s="9"/>
      <c r="D88" s="9"/>
      <c r="E88" s="9"/>
      <c r="F88" s="9"/>
      <c r="G88" s="9"/>
      <c r="H88" s="9"/>
      <c r="I88" s="9" t="s">
        <v>1088</v>
      </c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>
      <c r="A89" s="9" t="s">
        <v>1593</v>
      </c>
      <c r="B89" s="9" t="s">
        <v>198</v>
      </c>
      <c r="C89" s="9"/>
      <c r="D89" s="9"/>
      <c r="E89" s="9"/>
      <c r="F89" s="9"/>
      <c r="G89" s="9"/>
      <c r="H89" s="9"/>
      <c r="I89" s="9" t="s">
        <v>1089</v>
      </c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>
      <c r="A90" s="9" t="s">
        <v>1594</v>
      </c>
      <c r="B90" s="9" t="s">
        <v>199</v>
      </c>
      <c r="C90" s="9"/>
      <c r="D90" s="9"/>
      <c r="E90" s="9"/>
      <c r="F90" s="9"/>
      <c r="G90" s="9"/>
      <c r="H90" s="9"/>
      <c r="I90" s="9" t="s">
        <v>1090</v>
      </c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>
      <c r="A91" s="9" t="s">
        <v>1595</v>
      </c>
      <c r="B91" s="9" t="s">
        <v>200</v>
      </c>
      <c r="C91" s="9"/>
      <c r="D91" s="9"/>
      <c r="E91" s="9"/>
      <c r="F91" s="9"/>
      <c r="G91" s="9"/>
      <c r="H91" s="9"/>
      <c r="I91" s="9" t="s">
        <v>1091</v>
      </c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>
      <c r="A92" s="9" t="s">
        <v>1901</v>
      </c>
      <c r="B92" s="9" t="s">
        <v>2166</v>
      </c>
      <c r="C92" s="9"/>
      <c r="D92" s="9"/>
      <c r="E92" s="9"/>
      <c r="F92" s="9"/>
      <c r="G92" s="9"/>
      <c r="H92" s="9"/>
      <c r="I92" s="9" t="s">
        <v>1865</v>
      </c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>
      <c r="A93" s="9" t="s">
        <v>2634</v>
      </c>
      <c r="B93" s="9" t="s">
        <v>2553</v>
      </c>
      <c r="C93" s="9"/>
      <c r="D93" s="9"/>
      <c r="E93" s="9"/>
      <c r="F93" s="9"/>
      <c r="G93" s="9"/>
      <c r="H93" s="9"/>
      <c r="I93" s="9" t="s">
        <v>2635</v>
      </c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>
      <c r="A94" s="9" t="s">
        <v>1902</v>
      </c>
      <c r="B94" s="9" t="s">
        <v>2167</v>
      </c>
      <c r="C94" s="9"/>
      <c r="D94" s="9"/>
      <c r="E94" s="9"/>
      <c r="F94" s="9"/>
      <c r="G94" s="9"/>
      <c r="H94" s="9"/>
      <c r="I94" s="9" t="s">
        <v>1866</v>
      </c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>
      <c r="A95" s="9" t="s">
        <v>1596</v>
      </c>
      <c r="B95" s="9" t="s">
        <v>201</v>
      </c>
      <c r="C95" s="9"/>
      <c r="D95" s="9"/>
      <c r="E95" s="9"/>
      <c r="F95" s="9"/>
      <c r="G95" s="9"/>
      <c r="H95" s="9"/>
      <c r="I95" s="9" t="s">
        <v>1092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>
      <c r="A96" s="9" t="s">
        <v>1597</v>
      </c>
      <c r="B96" s="9" t="s">
        <v>202</v>
      </c>
      <c r="C96" s="9"/>
      <c r="D96" s="9"/>
      <c r="E96" s="9"/>
      <c r="F96" s="9"/>
      <c r="G96" s="9"/>
      <c r="H96" s="9"/>
      <c r="I96" s="9" t="s">
        <v>1093</v>
      </c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27">
      <c r="A97" s="9" t="s">
        <v>1598</v>
      </c>
      <c r="B97" s="9" t="s">
        <v>203</v>
      </c>
      <c r="C97" s="9"/>
      <c r="D97" s="9"/>
      <c r="E97" s="9"/>
      <c r="F97" s="9"/>
      <c r="G97" s="9"/>
      <c r="H97" s="9"/>
      <c r="I97" s="9" t="s">
        <v>1094</v>
      </c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</row>
    <row r="98" spans="1:27">
      <c r="A98" s="9" t="s">
        <v>1599</v>
      </c>
      <c r="B98" s="9" t="s">
        <v>204</v>
      </c>
      <c r="C98" s="9"/>
      <c r="D98" s="9"/>
      <c r="E98" s="9"/>
      <c r="F98" s="9"/>
      <c r="G98" s="9"/>
      <c r="H98" s="9"/>
      <c r="I98" s="9" t="s">
        <v>1095</v>
      </c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</row>
    <row r="99" spans="1:27">
      <c r="A99" s="9" t="s">
        <v>1600</v>
      </c>
      <c r="B99" s="9" t="s">
        <v>205</v>
      </c>
      <c r="C99" s="9"/>
      <c r="D99" s="9"/>
      <c r="E99" s="9"/>
      <c r="F99" s="9"/>
      <c r="G99" s="9"/>
      <c r="H99" s="9"/>
      <c r="I99" s="9" t="s">
        <v>1096</v>
      </c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</row>
    <row r="100" spans="1:27">
      <c r="A100" s="9" t="s">
        <v>1601</v>
      </c>
      <c r="B100" s="9" t="s">
        <v>206</v>
      </c>
      <c r="C100" s="9"/>
      <c r="D100" s="9"/>
      <c r="E100" s="9"/>
      <c r="F100" s="9"/>
      <c r="G100" s="9"/>
      <c r="H100" s="9"/>
      <c r="I100" s="9" t="s">
        <v>1097</v>
      </c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</row>
    <row r="101" spans="1:27">
      <c r="A101" s="9" t="s">
        <v>1602</v>
      </c>
      <c r="B101" s="9" t="s">
        <v>207</v>
      </c>
      <c r="C101" s="9"/>
      <c r="D101" s="9"/>
      <c r="E101" s="9"/>
      <c r="F101" s="9"/>
      <c r="G101" s="9"/>
      <c r="H101" s="9"/>
      <c r="I101" s="9" t="s">
        <v>1098</v>
      </c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</row>
    <row r="102" spans="1:27">
      <c r="A102" s="9" t="s">
        <v>1603</v>
      </c>
      <c r="B102" s="9" t="s">
        <v>208</v>
      </c>
      <c r="C102" s="9"/>
      <c r="D102" s="9"/>
      <c r="E102" s="9"/>
      <c r="F102" s="9"/>
      <c r="G102" s="9"/>
      <c r="H102" s="9"/>
      <c r="I102" s="9" t="s">
        <v>1099</v>
      </c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</row>
    <row r="103" spans="1:27">
      <c r="A103" s="9" t="s">
        <v>1604</v>
      </c>
      <c r="B103" s="9" t="s">
        <v>209</v>
      </c>
      <c r="C103" s="9"/>
      <c r="D103" s="9"/>
      <c r="E103" s="9"/>
      <c r="F103" s="9"/>
      <c r="G103" s="9"/>
      <c r="H103" s="9"/>
      <c r="I103" s="9" t="s">
        <v>1100</v>
      </c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</row>
    <row r="104" spans="1:27">
      <c r="A104" s="9" t="s">
        <v>1605</v>
      </c>
      <c r="B104" s="9" t="s">
        <v>210</v>
      </c>
      <c r="C104" s="9"/>
      <c r="D104" s="9"/>
      <c r="E104" s="9"/>
      <c r="F104" s="9"/>
      <c r="G104" s="9"/>
      <c r="H104" s="9"/>
      <c r="I104" s="9" t="s">
        <v>1101</v>
      </c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</row>
    <row r="105" spans="1:27">
      <c r="A105" s="9" t="s">
        <v>1606</v>
      </c>
      <c r="B105" s="9" t="s">
        <v>211</v>
      </c>
      <c r="C105" s="9"/>
      <c r="D105" s="9"/>
      <c r="E105" s="9"/>
      <c r="F105" s="9"/>
      <c r="G105" s="9"/>
      <c r="H105" s="9"/>
      <c r="I105" s="9" t="s">
        <v>1102</v>
      </c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</row>
    <row r="106" spans="1:27">
      <c r="A106" s="9" t="s">
        <v>1607</v>
      </c>
      <c r="B106" s="9" t="s">
        <v>212</v>
      </c>
      <c r="C106" s="9"/>
      <c r="D106" s="9"/>
      <c r="E106" s="9"/>
      <c r="F106" s="9"/>
      <c r="G106" s="9"/>
      <c r="H106" s="9"/>
      <c r="I106" s="9" t="s">
        <v>1103</v>
      </c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</row>
    <row r="107" spans="1:27">
      <c r="A107" s="9" t="s">
        <v>1608</v>
      </c>
      <c r="B107" s="9" t="s">
        <v>213</v>
      </c>
      <c r="C107" s="9"/>
      <c r="D107" s="9"/>
      <c r="E107" s="9"/>
      <c r="F107" s="9"/>
      <c r="G107" s="9"/>
      <c r="H107" s="9"/>
      <c r="I107" s="9" t="s">
        <v>1104</v>
      </c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</row>
    <row r="108" spans="1:27">
      <c r="A108" s="9" t="s">
        <v>1609</v>
      </c>
      <c r="B108" s="9" t="s">
        <v>214</v>
      </c>
      <c r="C108" s="9"/>
      <c r="D108" s="9"/>
      <c r="E108" s="9"/>
      <c r="F108" s="9"/>
      <c r="G108" s="9"/>
      <c r="H108" s="9"/>
      <c r="I108" s="9" t="s">
        <v>1105</v>
      </c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</row>
    <row r="109" spans="1:27">
      <c r="A109" s="9" t="s">
        <v>1610</v>
      </c>
      <c r="B109" s="9" t="s">
        <v>215</v>
      </c>
      <c r="C109" s="9"/>
      <c r="D109" s="9"/>
      <c r="E109" s="9"/>
      <c r="F109" s="9"/>
      <c r="G109" s="9"/>
      <c r="H109" s="9"/>
      <c r="I109" s="9" t="s">
        <v>1106</v>
      </c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</row>
    <row r="110" spans="1:27">
      <c r="A110" s="9" t="s">
        <v>1611</v>
      </c>
      <c r="B110" s="9" t="s">
        <v>216</v>
      </c>
      <c r="C110" s="9"/>
      <c r="D110" s="9"/>
      <c r="E110" s="9"/>
      <c r="F110" s="9"/>
      <c r="G110" s="9"/>
      <c r="H110" s="9"/>
      <c r="I110" s="9" t="s">
        <v>1107</v>
      </c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</row>
    <row r="111" spans="1:27">
      <c r="A111" s="9" t="s">
        <v>1612</v>
      </c>
      <c r="B111" s="9" t="s">
        <v>217</v>
      </c>
      <c r="C111" s="9"/>
      <c r="D111" s="9"/>
      <c r="E111" s="9"/>
      <c r="F111" s="9"/>
      <c r="G111" s="9"/>
      <c r="H111" s="9"/>
      <c r="I111" s="9" t="s">
        <v>1108</v>
      </c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</row>
    <row r="112" spans="1:27">
      <c r="A112" s="9" t="s">
        <v>1613</v>
      </c>
      <c r="B112" s="9" t="s">
        <v>218</v>
      </c>
      <c r="C112" s="9"/>
      <c r="D112" s="9"/>
      <c r="E112" s="9"/>
      <c r="F112" s="9"/>
      <c r="G112" s="9"/>
      <c r="H112" s="9"/>
      <c r="I112" s="9" t="s">
        <v>1109</v>
      </c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</row>
    <row r="113" spans="1:27">
      <c r="A113" s="9" t="s">
        <v>1614</v>
      </c>
      <c r="B113" s="9" t="s">
        <v>219</v>
      </c>
      <c r="C113" s="9"/>
      <c r="D113" s="9"/>
      <c r="E113" s="9"/>
      <c r="F113" s="9"/>
      <c r="G113" s="9"/>
      <c r="H113" s="9"/>
      <c r="I113" s="9" t="s">
        <v>1110</v>
      </c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</row>
    <row r="114" spans="1:27">
      <c r="A114" s="9" t="s">
        <v>1615</v>
      </c>
      <c r="B114" s="9" t="s">
        <v>220</v>
      </c>
      <c r="C114" s="9"/>
      <c r="D114" s="9"/>
      <c r="E114" s="9"/>
      <c r="F114" s="9"/>
      <c r="G114" s="9"/>
      <c r="H114" s="9"/>
      <c r="I114" s="9" t="s">
        <v>1111</v>
      </c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</row>
    <row r="115" spans="1:27">
      <c r="A115" s="9" t="s">
        <v>1616</v>
      </c>
      <c r="B115" s="9" t="s">
        <v>221</v>
      </c>
      <c r="C115" s="9"/>
      <c r="D115" s="9"/>
      <c r="E115" s="9"/>
      <c r="F115" s="9"/>
      <c r="G115" s="9"/>
      <c r="H115" s="9"/>
      <c r="I115" s="9" t="s">
        <v>1112</v>
      </c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</row>
    <row r="116" spans="1:27">
      <c r="A116" s="9" t="s">
        <v>1617</v>
      </c>
      <c r="B116" s="9" t="s">
        <v>222</v>
      </c>
      <c r="C116" s="9"/>
      <c r="D116" s="9"/>
      <c r="E116" s="9"/>
      <c r="F116" s="9"/>
      <c r="G116" s="9"/>
      <c r="H116" s="9"/>
      <c r="I116" s="9" t="s">
        <v>1113</v>
      </c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</row>
    <row r="117" spans="1:27">
      <c r="A117" s="9" t="s">
        <v>1618</v>
      </c>
      <c r="B117" s="9" t="s">
        <v>223</v>
      </c>
      <c r="C117" s="9"/>
      <c r="D117" s="9"/>
      <c r="E117" s="9"/>
      <c r="F117" s="9"/>
      <c r="G117" s="9"/>
      <c r="H117" s="9"/>
      <c r="I117" s="9" t="s">
        <v>1114</v>
      </c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</row>
    <row r="118" spans="1:27">
      <c r="A118" s="9" t="s">
        <v>1619</v>
      </c>
      <c r="B118" s="9" t="s">
        <v>224</v>
      </c>
      <c r="C118" s="9"/>
      <c r="D118" s="9"/>
      <c r="E118" s="9"/>
      <c r="F118" s="9"/>
      <c r="G118" s="9"/>
      <c r="H118" s="9"/>
      <c r="I118" s="9" t="s">
        <v>1115</v>
      </c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</row>
    <row r="119" spans="1:27">
      <c r="A119" s="9" t="s">
        <v>1620</v>
      </c>
      <c r="B119" s="9" t="s">
        <v>225</v>
      </c>
      <c r="C119" s="9"/>
      <c r="D119" s="9"/>
      <c r="E119" s="9"/>
      <c r="F119" s="9"/>
      <c r="G119" s="9"/>
      <c r="H119" s="9"/>
      <c r="I119" s="9" t="s">
        <v>1116</v>
      </c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</row>
    <row r="120" spans="1:27">
      <c r="A120" s="9" t="s">
        <v>1621</v>
      </c>
      <c r="B120" s="9" t="s">
        <v>226</v>
      </c>
      <c r="C120" s="9"/>
      <c r="D120" s="9"/>
      <c r="E120" s="9"/>
      <c r="F120" s="9"/>
      <c r="G120" s="9"/>
      <c r="H120" s="9"/>
      <c r="I120" s="9" t="s">
        <v>1117</v>
      </c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</row>
    <row r="121" spans="1:27">
      <c r="A121" s="9" t="s">
        <v>1622</v>
      </c>
      <c r="B121" s="9" t="s">
        <v>227</v>
      </c>
      <c r="C121" s="9"/>
      <c r="D121" s="9"/>
      <c r="E121" s="9"/>
      <c r="F121" s="9"/>
      <c r="G121" s="9"/>
      <c r="H121" s="9"/>
      <c r="I121" s="9" t="s">
        <v>1118</v>
      </c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</row>
    <row r="122" spans="1:27">
      <c r="A122" s="9" t="s">
        <v>1623</v>
      </c>
      <c r="B122" s="9" t="s">
        <v>228</v>
      </c>
      <c r="C122" s="9"/>
      <c r="D122" s="9"/>
      <c r="E122" s="9"/>
      <c r="F122" s="9"/>
      <c r="G122" s="9"/>
      <c r="H122" s="9"/>
      <c r="I122" s="9" t="s">
        <v>1119</v>
      </c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</row>
    <row r="123" spans="1:27">
      <c r="A123" s="9" t="s">
        <v>1903</v>
      </c>
      <c r="B123" s="9" t="s">
        <v>2168</v>
      </c>
      <c r="C123" s="9"/>
      <c r="D123" s="9"/>
      <c r="E123" s="9"/>
      <c r="F123" s="9"/>
      <c r="G123" s="9"/>
      <c r="H123" s="9"/>
      <c r="I123" s="9" t="s">
        <v>1867</v>
      </c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</row>
    <row r="124" spans="1:27">
      <c r="A124" s="9" t="s">
        <v>1624</v>
      </c>
      <c r="B124" s="9" t="s">
        <v>229</v>
      </c>
      <c r="C124" s="9"/>
      <c r="D124" s="9"/>
      <c r="E124" s="9"/>
      <c r="F124" s="9"/>
      <c r="G124" s="9"/>
      <c r="H124" s="9"/>
      <c r="I124" s="9" t="s">
        <v>1120</v>
      </c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</row>
    <row r="125" spans="1:27">
      <c r="A125" s="9" t="s">
        <v>1625</v>
      </c>
      <c r="B125" s="9" t="s">
        <v>230</v>
      </c>
      <c r="C125" s="9"/>
      <c r="D125" s="9"/>
      <c r="E125" s="9"/>
      <c r="F125" s="9"/>
      <c r="G125" s="9"/>
      <c r="H125" s="9"/>
      <c r="I125" s="9" t="s">
        <v>1121</v>
      </c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</row>
    <row r="126" spans="1:27">
      <c r="A126" s="9" t="s">
        <v>2636</v>
      </c>
      <c r="B126" s="9" t="s">
        <v>2551</v>
      </c>
      <c r="C126" s="9"/>
      <c r="D126" s="9"/>
      <c r="E126" s="9"/>
      <c r="F126" s="9"/>
      <c r="G126" s="9"/>
      <c r="H126" s="9"/>
      <c r="I126" s="9" t="s">
        <v>2637</v>
      </c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</row>
    <row r="127" spans="1:27">
      <c r="A127" s="9" t="s">
        <v>1626</v>
      </c>
      <c r="B127" s="9" t="s">
        <v>237</v>
      </c>
      <c r="C127" s="9"/>
      <c r="D127" s="9"/>
      <c r="E127" s="9"/>
      <c r="F127" s="9"/>
      <c r="G127" s="9"/>
      <c r="H127" s="9"/>
      <c r="I127" s="9" t="s">
        <v>1122</v>
      </c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</row>
    <row r="128" spans="1:27">
      <c r="A128" s="9" t="s">
        <v>1627</v>
      </c>
      <c r="B128" s="9" t="s">
        <v>238</v>
      </c>
      <c r="C128" s="9"/>
      <c r="D128" s="9"/>
      <c r="E128" s="9"/>
      <c r="F128" s="9"/>
      <c r="G128" s="9"/>
      <c r="H128" s="9"/>
      <c r="I128" s="9" t="s">
        <v>1123</v>
      </c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</row>
    <row r="129" spans="1:27">
      <c r="A129" s="9" t="s">
        <v>1628</v>
      </c>
      <c r="B129" s="9" t="s">
        <v>231</v>
      </c>
      <c r="C129" s="9"/>
      <c r="D129" s="9"/>
      <c r="E129" s="9"/>
      <c r="F129" s="9"/>
      <c r="G129" s="9"/>
      <c r="H129" s="9"/>
      <c r="I129" s="9" t="s">
        <v>1124</v>
      </c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</row>
    <row r="130" spans="1:27">
      <c r="A130" s="9" t="s">
        <v>2638</v>
      </c>
      <c r="B130" s="9" t="s">
        <v>2552</v>
      </c>
      <c r="C130" s="9"/>
      <c r="D130" s="9"/>
      <c r="E130" s="9"/>
      <c r="F130" s="9"/>
      <c r="G130" s="9"/>
      <c r="H130" s="9"/>
      <c r="I130" s="9" t="s">
        <v>2639</v>
      </c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</row>
    <row r="131" spans="1:27">
      <c r="A131" s="9" t="s">
        <v>1904</v>
      </c>
      <c r="B131" s="9" t="s">
        <v>2169</v>
      </c>
      <c r="C131" s="9"/>
      <c r="D131" s="9"/>
      <c r="E131" s="9"/>
      <c r="F131" s="9"/>
      <c r="G131" s="9"/>
      <c r="H131" s="9"/>
      <c r="I131" s="9" t="s">
        <v>1868</v>
      </c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</row>
    <row r="132" spans="1:27">
      <c r="A132" s="9" t="s">
        <v>1629</v>
      </c>
      <c r="B132" s="9" t="s">
        <v>232</v>
      </c>
      <c r="C132" s="9"/>
      <c r="D132" s="9"/>
      <c r="E132" s="9"/>
      <c r="F132" s="9"/>
      <c r="G132" s="9"/>
      <c r="H132" s="9"/>
      <c r="I132" s="9" t="s">
        <v>1125</v>
      </c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</row>
    <row r="133" spans="1:27">
      <c r="A133" s="9" t="s">
        <v>1630</v>
      </c>
      <c r="B133" s="9" t="s">
        <v>2271</v>
      </c>
      <c r="C133" s="9"/>
      <c r="D133" s="9"/>
      <c r="E133" s="9"/>
      <c r="F133" s="9"/>
      <c r="G133" s="9"/>
      <c r="H133" s="9"/>
      <c r="I133" s="9" t="s">
        <v>1126</v>
      </c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</row>
    <row r="134" spans="1:27">
      <c r="A134" s="9" t="s">
        <v>2295</v>
      </c>
      <c r="B134" s="9" t="s">
        <v>243</v>
      </c>
      <c r="C134" s="9"/>
      <c r="D134" s="9"/>
      <c r="E134" s="9"/>
      <c r="F134" s="9"/>
      <c r="G134" s="9"/>
      <c r="H134" s="9"/>
      <c r="I134" s="9" t="s">
        <v>2300</v>
      </c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</row>
    <row r="135" spans="1:27">
      <c r="A135" s="9" t="s">
        <v>1519</v>
      </c>
      <c r="B135" s="9" t="s">
        <v>181</v>
      </c>
      <c r="C135" s="9"/>
      <c r="D135" s="9"/>
      <c r="E135" s="9"/>
      <c r="F135" s="9"/>
      <c r="G135" s="9"/>
      <c r="H135" s="9"/>
      <c r="I135" s="9" t="s">
        <v>1015</v>
      </c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</row>
    <row r="136" spans="1:27">
      <c r="A136" s="9" t="s">
        <v>1520</v>
      </c>
      <c r="B136" s="9" t="s">
        <v>182</v>
      </c>
      <c r="C136" s="9"/>
      <c r="D136" s="9"/>
      <c r="E136" s="9"/>
      <c r="F136" s="9"/>
      <c r="G136" s="9"/>
      <c r="H136" s="9"/>
      <c r="I136" s="9" t="s">
        <v>1016</v>
      </c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</row>
    <row r="137" spans="1:27">
      <c r="A137" s="9" t="s">
        <v>1521</v>
      </c>
      <c r="B137" s="9" t="s">
        <v>183</v>
      </c>
      <c r="C137" s="9"/>
      <c r="D137" s="9"/>
      <c r="E137" s="9"/>
      <c r="F137" s="9"/>
      <c r="G137" s="9"/>
      <c r="H137" s="9"/>
      <c r="I137" s="9" t="s">
        <v>1017</v>
      </c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</row>
    <row r="138" spans="1:27">
      <c r="A138" s="9" t="s">
        <v>1522</v>
      </c>
      <c r="B138" s="9" t="s">
        <v>184</v>
      </c>
      <c r="C138" s="9"/>
      <c r="D138" s="9"/>
      <c r="E138" s="9"/>
      <c r="F138" s="9"/>
      <c r="G138" s="9"/>
      <c r="H138" s="9"/>
      <c r="I138" s="9" t="s">
        <v>1018</v>
      </c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</row>
    <row r="139" spans="1:27">
      <c r="A139" s="9" t="s">
        <v>1523</v>
      </c>
      <c r="B139" s="9" t="s">
        <v>185</v>
      </c>
      <c r="C139" s="9"/>
      <c r="D139" s="9"/>
      <c r="E139" s="9"/>
      <c r="F139" s="9"/>
      <c r="G139" s="9"/>
      <c r="H139" s="9"/>
      <c r="I139" s="9" t="s">
        <v>1019</v>
      </c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</row>
    <row r="140" spans="1:27">
      <c r="A140" s="9" t="s">
        <v>1524</v>
      </c>
      <c r="B140" s="9" t="s">
        <v>186</v>
      </c>
      <c r="C140" s="9"/>
      <c r="D140" s="9"/>
      <c r="E140" s="9"/>
      <c r="F140" s="9"/>
      <c r="G140" s="9"/>
      <c r="H140" s="9"/>
      <c r="I140" s="9" t="s">
        <v>1020</v>
      </c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</row>
    <row r="141" spans="1:27">
      <c r="A141" s="9" t="s">
        <v>1525</v>
      </c>
      <c r="B141" s="9" t="s">
        <v>187</v>
      </c>
      <c r="C141" s="9"/>
      <c r="D141" s="9"/>
      <c r="E141" s="9"/>
      <c r="F141" s="9"/>
      <c r="G141" s="9"/>
      <c r="H141" s="9"/>
      <c r="I141" s="9" t="s">
        <v>1021</v>
      </c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</row>
    <row r="142" spans="1:27">
      <c r="A142" s="9" t="s">
        <v>2263</v>
      </c>
      <c r="B142" s="9" t="s">
        <v>2233</v>
      </c>
      <c r="C142" s="9"/>
      <c r="D142" s="9"/>
      <c r="E142" s="9"/>
      <c r="F142" s="9"/>
      <c r="G142" s="9"/>
      <c r="H142" s="9"/>
      <c r="I142" s="9" t="s">
        <v>2254</v>
      </c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</row>
    <row r="143" spans="1:27">
      <c r="A143" s="9" t="s">
        <v>1526</v>
      </c>
      <c r="B143" s="9" t="s">
        <v>188</v>
      </c>
      <c r="C143" s="9"/>
      <c r="D143" s="9"/>
      <c r="E143" s="9"/>
      <c r="F143" s="9"/>
      <c r="G143" s="9"/>
      <c r="H143" s="9"/>
      <c r="I143" s="9" t="s">
        <v>1022</v>
      </c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</row>
    <row r="144" spans="1:27">
      <c r="A144" s="9" t="s">
        <v>1527</v>
      </c>
      <c r="B144" s="9" t="s">
        <v>189</v>
      </c>
      <c r="C144" s="9"/>
      <c r="D144" s="9"/>
      <c r="E144" s="9"/>
      <c r="F144" s="9"/>
      <c r="G144" s="9"/>
      <c r="H144" s="9"/>
      <c r="I144" s="9" t="s">
        <v>1023</v>
      </c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</row>
    <row r="145" spans="1:27">
      <c r="A145" s="9" t="s">
        <v>1528</v>
      </c>
      <c r="B145" s="9" t="s">
        <v>190</v>
      </c>
      <c r="C145" s="9"/>
      <c r="D145" s="9"/>
      <c r="E145" s="9"/>
      <c r="F145" s="9"/>
      <c r="G145" s="9"/>
      <c r="H145" s="9"/>
      <c r="I145" s="9" t="s">
        <v>1024</v>
      </c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</row>
    <row r="146" spans="1:27">
      <c r="A146" s="9" t="s">
        <v>1529</v>
      </c>
      <c r="B146" s="9" t="s">
        <v>191</v>
      </c>
      <c r="C146" s="9"/>
      <c r="D146" s="9"/>
      <c r="E146" s="9"/>
      <c r="F146" s="9"/>
      <c r="G146" s="9"/>
      <c r="H146" s="9"/>
      <c r="I146" s="9" t="s">
        <v>1025</v>
      </c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</row>
    <row r="147" spans="1:27">
      <c r="A147" s="9" t="s">
        <v>1530</v>
      </c>
      <c r="B147" s="9" t="s">
        <v>192</v>
      </c>
      <c r="C147" s="9"/>
      <c r="D147" s="9"/>
      <c r="E147" s="9"/>
      <c r="F147" s="9"/>
      <c r="G147" s="9"/>
      <c r="H147" s="9"/>
      <c r="I147" s="9" t="s">
        <v>1026</v>
      </c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</row>
    <row r="148" spans="1:27">
      <c r="A148" s="9" t="s">
        <v>1531</v>
      </c>
      <c r="B148" s="9" t="s">
        <v>193</v>
      </c>
      <c r="C148" s="9"/>
      <c r="D148" s="9"/>
      <c r="E148" s="9"/>
      <c r="F148" s="9"/>
      <c r="G148" s="9"/>
      <c r="H148" s="9"/>
      <c r="I148" s="9" t="s">
        <v>1027</v>
      </c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</row>
    <row r="149" spans="1:27">
      <c r="A149" s="9" t="s">
        <v>1532</v>
      </c>
      <c r="B149" s="9" t="s">
        <v>242</v>
      </c>
      <c r="C149" s="9"/>
      <c r="D149" s="9"/>
      <c r="E149" s="9"/>
      <c r="F149" s="9"/>
      <c r="G149" s="9"/>
      <c r="H149" s="9"/>
      <c r="I149" s="9" t="s">
        <v>1028</v>
      </c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</row>
    <row r="150" spans="1:27">
      <c r="A150" s="9" t="s">
        <v>1533</v>
      </c>
      <c r="B150" s="9" t="s">
        <v>194</v>
      </c>
      <c r="C150" s="9"/>
      <c r="D150" s="9"/>
      <c r="E150" s="9"/>
      <c r="F150" s="9"/>
      <c r="G150" s="9"/>
      <c r="H150" s="9"/>
      <c r="I150" s="9" t="s">
        <v>1029</v>
      </c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</row>
    <row r="151" spans="1:27">
      <c r="A151" s="9" t="s">
        <v>1534</v>
      </c>
      <c r="B151" s="9" t="s">
        <v>195</v>
      </c>
      <c r="C151" s="9"/>
      <c r="D151" s="9"/>
      <c r="E151" s="9"/>
      <c r="F151" s="9"/>
      <c r="G151" s="9"/>
      <c r="H151" s="9"/>
      <c r="I151" s="9" t="s">
        <v>1030</v>
      </c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</row>
    <row r="152" spans="1:27">
      <c r="A152" s="9" t="s">
        <v>1535</v>
      </c>
      <c r="B152" s="9" t="s">
        <v>196</v>
      </c>
      <c r="C152" s="9"/>
      <c r="D152" s="9"/>
      <c r="E152" s="9"/>
      <c r="F152" s="9"/>
      <c r="G152" s="9"/>
      <c r="H152" s="9"/>
      <c r="I152" s="9" t="s">
        <v>1031</v>
      </c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</row>
    <row r="153" spans="1:27">
      <c r="A153" s="9" t="s">
        <v>1536</v>
      </c>
      <c r="B153" s="9" t="s">
        <v>197</v>
      </c>
      <c r="C153" s="9"/>
      <c r="D153" s="9"/>
      <c r="E153" s="9"/>
      <c r="F153" s="9"/>
      <c r="G153" s="9"/>
      <c r="H153" s="9"/>
      <c r="I153" s="9" t="s">
        <v>1032</v>
      </c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</row>
    <row r="154" spans="1:27">
      <c r="A154" s="9" t="s">
        <v>1537</v>
      </c>
      <c r="B154" s="9" t="s">
        <v>198</v>
      </c>
      <c r="C154" s="9"/>
      <c r="D154" s="9"/>
      <c r="E154" s="9"/>
      <c r="F154" s="9"/>
      <c r="G154" s="9"/>
      <c r="H154" s="9"/>
      <c r="I154" s="9" t="s">
        <v>1033</v>
      </c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</row>
    <row r="155" spans="1:27">
      <c r="A155" s="9" t="s">
        <v>1538</v>
      </c>
      <c r="B155" s="9" t="s">
        <v>199</v>
      </c>
      <c r="C155" s="9"/>
      <c r="D155" s="9"/>
      <c r="E155" s="9"/>
      <c r="F155" s="9"/>
      <c r="G155" s="9"/>
      <c r="H155" s="9"/>
      <c r="I155" s="9" t="s">
        <v>1034</v>
      </c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</row>
    <row r="156" spans="1:27">
      <c r="A156" s="9" t="s">
        <v>1539</v>
      </c>
      <c r="B156" s="9" t="s">
        <v>200</v>
      </c>
      <c r="C156" s="9"/>
      <c r="D156" s="9"/>
      <c r="E156" s="9"/>
      <c r="F156" s="9"/>
      <c r="G156" s="9"/>
      <c r="H156" s="9"/>
      <c r="I156" s="9" t="s">
        <v>1035</v>
      </c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</row>
    <row r="157" spans="1:27">
      <c r="A157" s="9" t="s">
        <v>1897</v>
      </c>
      <c r="B157" s="9" t="s">
        <v>2166</v>
      </c>
      <c r="C157" s="9"/>
      <c r="D157" s="9"/>
      <c r="E157" s="9"/>
      <c r="F157" s="9"/>
      <c r="G157" s="9"/>
      <c r="H157" s="9"/>
      <c r="I157" s="9" t="s">
        <v>1861</v>
      </c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</row>
    <row r="158" spans="1:27">
      <c r="A158" s="9" t="s">
        <v>2640</v>
      </c>
      <c r="B158" s="9" t="s">
        <v>2553</v>
      </c>
      <c r="C158" s="9"/>
      <c r="D158" s="9"/>
      <c r="E158" s="9"/>
      <c r="F158" s="9"/>
      <c r="G158" s="9"/>
      <c r="H158" s="9"/>
      <c r="I158" s="9" t="s">
        <v>2641</v>
      </c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</row>
    <row r="159" spans="1:27">
      <c r="A159" s="9" t="s">
        <v>1898</v>
      </c>
      <c r="B159" s="9" t="s">
        <v>2167</v>
      </c>
      <c r="C159" s="9"/>
      <c r="D159" s="9"/>
      <c r="E159" s="9"/>
      <c r="F159" s="9"/>
      <c r="G159" s="9"/>
      <c r="H159" s="9"/>
      <c r="I159" s="9" t="s">
        <v>1862</v>
      </c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</row>
    <row r="160" spans="1:27">
      <c r="A160" s="9" t="s">
        <v>1540</v>
      </c>
      <c r="B160" s="9" t="s">
        <v>201</v>
      </c>
      <c r="C160" s="9"/>
      <c r="D160" s="9"/>
      <c r="E160" s="9"/>
      <c r="F160" s="9"/>
      <c r="G160" s="9"/>
      <c r="H160" s="9"/>
      <c r="I160" s="9" t="s">
        <v>1036</v>
      </c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</row>
    <row r="161" spans="1:27">
      <c r="A161" s="9" t="s">
        <v>1541</v>
      </c>
      <c r="B161" s="9" t="s">
        <v>202</v>
      </c>
      <c r="C161" s="9"/>
      <c r="D161" s="9"/>
      <c r="E161" s="9"/>
      <c r="F161" s="9"/>
      <c r="G161" s="9"/>
      <c r="H161" s="9"/>
      <c r="I161" s="9" t="s">
        <v>1037</v>
      </c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</row>
    <row r="162" spans="1:27">
      <c r="A162" s="9" t="s">
        <v>1542</v>
      </c>
      <c r="B162" s="9" t="s">
        <v>203</v>
      </c>
      <c r="C162" s="9"/>
      <c r="D162" s="9"/>
      <c r="E162" s="9"/>
      <c r="F162" s="9"/>
      <c r="G162" s="9"/>
      <c r="H162" s="9"/>
      <c r="I162" s="9" t="s">
        <v>1038</v>
      </c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</row>
    <row r="163" spans="1:27">
      <c r="A163" s="9" t="s">
        <v>1543</v>
      </c>
      <c r="B163" s="9" t="s">
        <v>204</v>
      </c>
      <c r="C163" s="9"/>
      <c r="D163" s="9"/>
      <c r="E163" s="9"/>
      <c r="F163" s="9"/>
      <c r="G163" s="9"/>
      <c r="H163" s="9"/>
      <c r="I163" s="9" t="s">
        <v>1039</v>
      </c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</row>
    <row r="164" spans="1:27">
      <c r="A164" s="9" t="s">
        <v>1544</v>
      </c>
      <c r="B164" s="9" t="s">
        <v>205</v>
      </c>
      <c r="C164" s="9"/>
      <c r="D164" s="9"/>
      <c r="E164" s="9"/>
      <c r="F164" s="9"/>
      <c r="G164" s="9"/>
      <c r="H164" s="9"/>
      <c r="I164" s="9" t="s">
        <v>1040</v>
      </c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</row>
    <row r="165" spans="1:27">
      <c r="A165" s="9" t="s">
        <v>1545</v>
      </c>
      <c r="B165" s="9" t="s">
        <v>206</v>
      </c>
      <c r="C165" s="9"/>
      <c r="D165" s="9"/>
      <c r="E165" s="9"/>
      <c r="F165" s="9"/>
      <c r="G165" s="9"/>
      <c r="H165" s="9"/>
      <c r="I165" s="9" t="s">
        <v>1041</v>
      </c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</row>
    <row r="166" spans="1:27">
      <c r="A166" s="9" t="s">
        <v>1546</v>
      </c>
      <c r="B166" s="9" t="s">
        <v>207</v>
      </c>
      <c r="C166" s="9"/>
      <c r="D166" s="9"/>
      <c r="E166" s="9"/>
      <c r="F166" s="9"/>
      <c r="G166" s="9"/>
      <c r="H166" s="9"/>
      <c r="I166" s="9" t="s">
        <v>1042</v>
      </c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</row>
    <row r="167" spans="1:27">
      <c r="A167" s="9" t="s">
        <v>1547</v>
      </c>
      <c r="B167" s="9" t="s">
        <v>208</v>
      </c>
      <c r="C167" s="9"/>
      <c r="D167" s="9"/>
      <c r="E167" s="9"/>
      <c r="F167" s="9"/>
      <c r="G167" s="9"/>
      <c r="H167" s="9"/>
      <c r="I167" s="9" t="s">
        <v>1043</v>
      </c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</row>
    <row r="168" spans="1:27">
      <c r="A168" s="9" t="s">
        <v>1548</v>
      </c>
      <c r="B168" s="9" t="s">
        <v>209</v>
      </c>
      <c r="C168" s="9"/>
      <c r="D168" s="9"/>
      <c r="E168" s="9"/>
      <c r="F168" s="9"/>
      <c r="G168" s="9"/>
      <c r="H168" s="9"/>
      <c r="I168" s="9" t="s">
        <v>1044</v>
      </c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</row>
    <row r="169" spans="1:27">
      <c r="A169" s="9" t="s">
        <v>1549</v>
      </c>
      <c r="B169" s="9" t="s">
        <v>210</v>
      </c>
      <c r="C169" s="9"/>
      <c r="D169" s="9"/>
      <c r="E169" s="9"/>
      <c r="F169" s="9"/>
      <c r="G169" s="9"/>
      <c r="H169" s="9"/>
      <c r="I169" s="9" t="s">
        <v>1045</v>
      </c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</row>
    <row r="170" spans="1:27">
      <c r="A170" s="9" t="s">
        <v>1550</v>
      </c>
      <c r="B170" s="9" t="s">
        <v>211</v>
      </c>
      <c r="C170" s="9"/>
      <c r="D170" s="9"/>
      <c r="E170" s="9"/>
      <c r="F170" s="9"/>
      <c r="G170" s="9"/>
      <c r="H170" s="9"/>
      <c r="I170" s="9" t="s">
        <v>1046</v>
      </c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</row>
    <row r="171" spans="1:27">
      <c r="A171" s="9" t="s">
        <v>1551</v>
      </c>
      <c r="B171" s="9" t="s">
        <v>212</v>
      </c>
      <c r="C171" s="9"/>
      <c r="D171" s="9"/>
      <c r="E171" s="9"/>
      <c r="F171" s="9"/>
      <c r="G171" s="9"/>
      <c r="H171" s="9"/>
      <c r="I171" s="9" t="s">
        <v>1047</v>
      </c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</row>
    <row r="172" spans="1:27">
      <c r="A172" s="9" t="s">
        <v>1552</v>
      </c>
      <c r="B172" s="9" t="s">
        <v>213</v>
      </c>
      <c r="C172" s="9"/>
      <c r="D172" s="9"/>
      <c r="E172" s="9"/>
      <c r="F172" s="9"/>
      <c r="G172" s="9"/>
      <c r="H172" s="9"/>
      <c r="I172" s="9" t="s">
        <v>1048</v>
      </c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</row>
    <row r="173" spans="1:27">
      <c r="A173" s="9" t="s">
        <v>1553</v>
      </c>
      <c r="B173" s="9" t="s">
        <v>214</v>
      </c>
      <c r="C173" s="9"/>
      <c r="D173" s="9"/>
      <c r="E173" s="9"/>
      <c r="F173" s="9"/>
      <c r="G173" s="9"/>
      <c r="H173" s="9"/>
      <c r="I173" s="9" t="s">
        <v>1049</v>
      </c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</row>
    <row r="174" spans="1:27">
      <c r="A174" s="9" t="s">
        <v>1554</v>
      </c>
      <c r="B174" s="9" t="s">
        <v>215</v>
      </c>
      <c r="C174" s="9"/>
      <c r="D174" s="9"/>
      <c r="E174" s="9"/>
      <c r="F174" s="9"/>
      <c r="G174" s="9"/>
      <c r="H174" s="9"/>
      <c r="I174" s="9" t="s">
        <v>1050</v>
      </c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</row>
    <row r="175" spans="1:27">
      <c r="A175" s="9" t="s">
        <v>1555</v>
      </c>
      <c r="B175" s="9" t="s">
        <v>216</v>
      </c>
      <c r="C175" s="9"/>
      <c r="D175" s="9"/>
      <c r="E175" s="9"/>
      <c r="F175" s="9"/>
      <c r="G175" s="9"/>
      <c r="H175" s="9"/>
      <c r="I175" s="9" t="s">
        <v>1051</v>
      </c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</row>
    <row r="176" spans="1:27">
      <c r="A176" s="9" t="s">
        <v>1556</v>
      </c>
      <c r="B176" s="9" t="s">
        <v>217</v>
      </c>
      <c r="C176" s="9"/>
      <c r="D176" s="9"/>
      <c r="E176" s="9"/>
      <c r="F176" s="9"/>
      <c r="G176" s="9"/>
      <c r="H176" s="9"/>
      <c r="I176" s="9" t="s">
        <v>1052</v>
      </c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</row>
    <row r="177" spans="1:27">
      <c r="A177" s="9" t="s">
        <v>1557</v>
      </c>
      <c r="B177" s="9" t="s">
        <v>218</v>
      </c>
      <c r="C177" s="9"/>
      <c r="D177" s="9"/>
      <c r="E177" s="9"/>
      <c r="F177" s="9"/>
      <c r="G177" s="9"/>
      <c r="H177" s="9"/>
      <c r="I177" s="9" t="s">
        <v>1053</v>
      </c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</row>
    <row r="178" spans="1:27">
      <c r="A178" s="9" t="s">
        <v>1558</v>
      </c>
      <c r="B178" s="9" t="s">
        <v>219</v>
      </c>
      <c r="C178" s="9"/>
      <c r="D178" s="9"/>
      <c r="E178" s="9"/>
      <c r="F178" s="9"/>
      <c r="G178" s="9"/>
      <c r="H178" s="9"/>
      <c r="I178" s="9" t="s">
        <v>1054</v>
      </c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</row>
    <row r="179" spans="1:27">
      <c r="A179" s="9" t="s">
        <v>1559</v>
      </c>
      <c r="B179" s="9" t="s">
        <v>220</v>
      </c>
      <c r="C179" s="9"/>
      <c r="D179" s="9"/>
      <c r="E179" s="9"/>
      <c r="F179" s="9"/>
      <c r="G179" s="9"/>
      <c r="H179" s="9"/>
      <c r="I179" s="9" t="s">
        <v>1055</v>
      </c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</row>
    <row r="180" spans="1:27">
      <c r="A180" s="9" t="s">
        <v>1560</v>
      </c>
      <c r="B180" s="9" t="s">
        <v>221</v>
      </c>
      <c r="C180" s="9"/>
      <c r="D180" s="9"/>
      <c r="E180" s="9"/>
      <c r="F180" s="9"/>
      <c r="G180" s="9"/>
      <c r="H180" s="9"/>
      <c r="I180" s="9" t="s">
        <v>1056</v>
      </c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</row>
    <row r="181" spans="1:27">
      <c r="A181" s="9" t="s">
        <v>1561</v>
      </c>
      <c r="B181" s="9" t="s">
        <v>222</v>
      </c>
      <c r="C181" s="9"/>
      <c r="D181" s="9"/>
      <c r="E181" s="9"/>
      <c r="F181" s="9"/>
      <c r="G181" s="9"/>
      <c r="H181" s="9"/>
      <c r="I181" s="9" t="s">
        <v>1057</v>
      </c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</row>
    <row r="182" spans="1:27">
      <c r="A182" s="9" t="s">
        <v>1562</v>
      </c>
      <c r="B182" s="9" t="s">
        <v>223</v>
      </c>
      <c r="C182" s="9"/>
      <c r="D182" s="9"/>
      <c r="E182" s="9"/>
      <c r="F182" s="9"/>
      <c r="G182" s="9"/>
      <c r="H182" s="9"/>
      <c r="I182" s="9" t="s">
        <v>1058</v>
      </c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</row>
    <row r="183" spans="1:27">
      <c r="A183" s="9" t="s">
        <v>1563</v>
      </c>
      <c r="B183" s="9" t="s">
        <v>224</v>
      </c>
      <c r="C183" s="9"/>
      <c r="D183" s="9"/>
      <c r="E183" s="9"/>
      <c r="F183" s="9"/>
      <c r="G183" s="9"/>
      <c r="H183" s="9"/>
      <c r="I183" s="9" t="s">
        <v>1059</v>
      </c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</row>
    <row r="184" spans="1:27">
      <c r="A184" s="9" t="s">
        <v>1564</v>
      </c>
      <c r="B184" s="9" t="s">
        <v>225</v>
      </c>
      <c r="C184" s="9"/>
      <c r="D184" s="9"/>
      <c r="E184" s="9"/>
      <c r="F184" s="9"/>
      <c r="G184" s="9"/>
      <c r="H184" s="9"/>
      <c r="I184" s="9" t="s">
        <v>1060</v>
      </c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</row>
    <row r="185" spans="1:27">
      <c r="A185" s="9" t="s">
        <v>1565</v>
      </c>
      <c r="B185" s="9" t="s">
        <v>226</v>
      </c>
      <c r="C185" s="9"/>
      <c r="D185" s="9"/>
      <c r="E185" s="9"/>
      <c r="F185" s="9"/>
      <c r="G185" s="9"/>
      <c r="H185" s="9"/>
      <c r="I185" s="9" t="s">
        <v>1061</v>
      </c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</row>
    <row r="186" spans="1:27">
      <c r="A186" s="9" t="s">
        <v>1566</v>
      </c>
      <c r="B186" s="9" t="s">
        <v>227</v>
      </c>
      <c r="C186" s="9"/>
      <c r="D186" s="9"/>
      <c r="E186" s="9"/>
      <c r="F186" s="9"/>
      <c r="G186" s="9"/>
      <c r="H186" s="9"/>
      <c r="I186" s="9" t="s">
        <v>1062</v>
      </c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</row>
    <row r="187" spans="1:27">
      <c r="A187" s="9" t="s">
        <v>1567</v>
      </c>
      <c r="B187" s="9" t="s">
        <v>228</v>
      </c>
      <c r="C187" s="9"/>
      <c r="D187" s="9"/>
      <c r="E187" s="9"/>
      <c r="F187" s="9"/>
      <c r="G187" s="9"/>
      <c r="H187" s="9"/>
      <c r="I187" s="9" t="s">
        <v>1063</v>
      </c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</row>
    <row r="188" spans="1:27">
      <c r="A188" s="9" t="s">
        <v>1899</v>
      </c>
      <c r="B188" s="9" t="s">
        <v>2168</v>
      </c>
      <c r="C188" s="9"/>
      <c r="D188" s="9"/>
      <c r="E188" s="9"/>
      <c r="F188" s="9"/>
      <c r="G188" s="9"/>
      <c r="H188" s="9"/>
      <c r="I188" s="9" t="s">
        <v>1863</v>
      </c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</row>
    <row r="189" spans="1:27">
      <c r="A189" s="9" t="s">
        <v>1568</v>
      </c>
      <c r="B189" s="9" t="s">
        <v>229</v>
      </c>
      <c r="C189" s="9"/>
      <c r="D189" s="9"/>
      <c r="E189" s="9"/>
      <c r="F189" s="9"/>
      <c r="G189" s="9"/>
      <c r="H189" s="9"/>
      <c r="I189" s="9" t="s">
        <v>1064</v>
      </c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</row>
    <row r="190" spans="1:27">
      <c r="A190" s="9" t="s">
        <v>1569</v>
      </c>
      <c r="B190" s="9" t="s">
        <v>230</v>
      </c>
      <c r="C190" s="9"/>
      <c r="D190" s="9"/>
      <c r="E190" s="9"/>
      <c r="F190" s="9"/>
      <c r="G190" s="9"/>
      <c r="H190" s="9"/>
      <c r="I190" s="9" t="s">
        <v>1065</v>
      </c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</row>
    <row r="191" spans="1:27">
      <c r="A191" s="9" t="s">
        <v>2642</v>
      </c>
      <c r="B191" s="9" t="s">
        <v>2551</v>
      </c>
      <c r="C191" s="9"/>
      <c r="D191" s="9"/>
      <c r="E191" s="9"/>
      <c r="F191" s="9"/>
      <c r="G191" s="9"/>
      <c r="H191" s="9"/>
      <c r="I191" s="9" t="s">
        <v>2643</v>
      </c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</row>
    <row r="192" spans="1:27">
      <c r="A192" s="9" t="s">
        <v>1570</v>
      </c>
      <c r="B192" s="9" t="s">
        <v>237</v>
      </c>
      <c r="C192" s="9"/>
      <c r="D192" s="9"/>
      <c r="E192" s="9"/>
      <c r="F192" s="9"/>
      <c r="G192" s="9"/>
      <c r="H192" s="9"/>
      <c r="I192" s="9" t="s">
        <v>1066</v>
      </c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</row>
    <row r="193" spans="1:27">
      <c r="A193" s="9" t="s">
        <v>1571</v>
      </c>
      <c r="B193" s="9" t="s">
        <v>238</v>
      </c>
      <c r="C193" s="9"/>
      <c r="D193" s="9"/>
      <c r="E193" s="9"/>
      <c r="F193" s="9"/>
      <c r="G193" s="9"/>
      <c r="H193" s="9"/>
      <c r="I193" s="9" t="s">
        <v>1067</v>
      </c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</row>
    <row r="194" spans="1:27">
      <c r="A194" s="9" t="s">
        <v>1572</v>
      </c>
      <c r="B194" s="9" t="s">
        <v>231</v>
      </c>
      <c r="C194" s="9"/>
      <c r="D194" s="9"/>
      <c r="E194" s="9"/>
      <c r="F194" s="9"/>
      <c r="G194" s="9"/>
      <c r="H194" s="9"/>
      <c r="I194" s="9" t="s">
        <v>1068</v>
      </c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</row>
    <row r="195" spans="1:27">
      <c r="A195" s="9" t="s">
        <v>2644</v>
      </c>
      <c r="B195" s="9" t="s">
        <v>2552</v>
      </c>
      <c r="C195" s="9"/>
      <c r="D195" s="9"/>
      <c r="E195" s="9"/>
      <c r="F195" s="9"/>
      <c r="G195" s="9"/>
      <c r="H195" s="9"/>
      <c r="I195" s="9" t="s">
        <v>2645</v>
      </c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</row>
    <row r="196" spans="1:27">
      <c r="A196" s="9" t="s">
        <v>1900</v>
      </c>
      <c r="B196" s="9" t="s">
        <v>2169</v>
      </c>
      <c r="C196" s="9"/>
      <c r="D196" s="9"/>
      <c r="E196" s="9"/>
      <c r="F196" s="9"/>
      <c r="G196" s="9"/>
      <c r="H196" s="9"/>
      <c r="I196" s="9" t="s">
        <v>1864</v>
      </c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</row>
    <row r="197" spans="1:27">
      <c r="A197" s="9" t="s">
        <v>1573</v>
      </c>
      <c r="B197" s="9" t="s">
        <v>232</v>
      </c>
      <c r="C197" s="9"/>
      <c r="D197" s="9"/>
      <c r="E197" s="9"/>
      <c r="F197" s="9"/>
      <c r="G197" s="9"/>
      <c r="H197" s="9"/>
      <c r="I197" s="9" t="s">
        <v>1069</v>
      </c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</row>
    <row r="198" spans="1:27">
      <c r="A198" s="9" t="s">
        <v>1574</v>
      </c>
      <c r="B198" s="9" t="s">
        <v>2271</v>
      </c>
      <c r="C198" s="9"/>
      <c r="D198" s="9"/>
      <c r="E198" s="9"/>
      <c r="F198" s="9"/>
      <c r="G198" s="9"/>
      <c r="H198" s="9"/>
      <c r="I198" s="9" t="s">
        <v>1070</v>
      </c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</row>
    <row r="199" spans="1:27">
      <c r="A199" s="9" t="s">
        <v>2296</v>
      </c>
      <c r="B199" s="9" t="s">
        <v>243</v>
      </c>
      <c r="C199" s="9"/>
      <c r="D199" s="9"/>
      <c r="E199" s="9"/>
      <c r="F199" s="9"/>
      <c r="G199" s="9"/>
      <c r="H199" s="9"/>
      <c r="I199" s="9" t="s">
        <v>2301</v>
      </c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</row>
    <row r="200" spans="1:27">
      <c r="A200" s="9" t="s">
        <v>1463</v>
      </c>
      <c r="B200" s="9" t="s">
        <v>181</v>
      </c>
      <c r="C200" s="9"/>
      <c r="D200" s="9"/>
      <c r="E200" s="9"/>
      <c r="F200" s="9"/>
      <c r="G200" s="9"/>
      <c r="H200" s="9"/>
      <c r="I200" s="9" t="s">
        <v>1183</v>
      </c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</row>
    <row r="201" spans="1:27">
      <c r="A201" s="9" t="s">
        <v>1464</v>
      </c>
      <c r="B201" s="9" t="s">
        <v>182</v>
      </c>
      <c r="C201" s="9"/>
      <c r="D201" s="9"/>
      <c r="E201" s="9"/>
      <c r="F201" s="9"/>
      <c r="G201" s="9"/>
      <c r="H201" s="9"/>
      <c r="I201" s="9" t="s">
        <v>1184</v>
      </c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</row>
    <row r="202" spans="1:27">
      <c r="A202" s="9" t="s">
        <v>1465</v>
      </c>
      <c r="B202" s="9" t="s">
        <v>183</v>
      </c>
      <c r="C202" s="9"/>
      <c r="D202" s="9"/>
      <c r="E202" s="9"/>
      <c r="F202" s="9"/>
      <c r="G202" s="9"/>
      <c r="H202" s="9"/>
      <c r="I202" s="9" t="s">
        <v>1185</v>
      </c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</row>
    <row r="203" spans="1:27">
      <c r="A203" s="9" t="s">
        <v>1466</v>
      </c>
      <c r="B203" s="9" t="s">
        <v>184</v>
      </c>
      <c r="C203" s="9"/>
      <c r="D203" s="9"/>
      <c r="E203" s="9"/>
      <c r="F203" s="9"/>
      <c r="G203" s="9"/>
      <c r="H203" s="9"/>
      <c r="I203" s="9" t="s">
        <v>1186</v>
      </c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</row>
    <row r="204" spans="1:27">
      <c r="A204" s="9" t="s">
        <v>1467</v>
      </c>
      <c r="B204" s="9" t="s">
        <v>185</v>
      </c>
      <c r="C204" s="9"/>
      <c r="D204" s="9"/>
      <c r="E204" s="9"/>
      <c r="F204" s="9"/>
      <c r="G204" s="9"/>
      <c r="H204" s="9"/>
      <c r="I204" s="9" t="s">
        <v>1187</v>
      </c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</row>
    <row r="205" spans="1:27">
      <c r="A205" s="9" t="s">
        <v>1468</v>
      </c>
      <c r="B205" s="9" t="s">
        <v>186</v>
      </c>
      <c r="C205" s="9"/>
      <c r="D205" s="9"/>
      <c r="E205" s="9"/>
      <c r="F205" s="9"/>
      <c r="G205" s="9"/>
      <c r="H205" s="9"/>
      <c r="I205" s="9" t="s">
        <v>1188</v>
      </c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</row>
    <row r="206" spans="1:27">
      <c r="A206" s="9" t="s">
        <v>1469</v>
      </c>
      <c r="B206" s="9" t="s">
        <v>187</v>
      </c>
      <c r="C206" s="9"/>
      <c r="D206" s="9"/>
      <c r="E206" s="9"/>
      <c r="F206" s="9"/>
      <c r="G206" s="9"/>
      <c r="H206" s="9"/>
      <c r="I206" s="9" t="s">
        <v>1189</v>
      </c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</row>
    <row r="207" spans="1:27">
      <c r="A207" s="9" t="s">
        <v>2262</v>
      </c>
      <c r="B207" s="9" t="s">
        <v>2233</v>
      </c>
      <c r="C207" s="9"/>
      <c r="D207" s="9"/>
      <c r="E207" s="9"/>
      <c r="F207" s="9"/>
      <c r="G207" s="9"/>
      <c r="H207" s="9"/>
      <c r="I207" s="9" t="s">
        <v>2257</v>
      </c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</row>
    <row r="208" spans="1:27">
      <c r="A208" s="9" t="s">
        <v>1470</v>
      </c>
      <c r="B208" s="9" t="s">
        <v>188</v>
      </c>
      <c r="C208" s="9"/>
      <c r="D208" s="9"/>
      <c r="E208" s="9"/>
      <c r="F208" s="9"/>
      <c r="G208" s="9"/>
      <c r="H208" s="9"/>
      <c r="I208" s="9" t="s">
        <v>1190</v>
      </c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</row>
    <row r="209" spans="1:27">
      <c r="A209" s="9" t="s">
        <v>1471</v>
      </c>
      <c r="B209" s="9" t="s">
        <v>189</v>
      </c>
      <c r="C209" s="9"/>
      <c r="D209" s="9"/>
      <c r="E209" s="9"/>
      <c r="F209" s="9"/>
      <c r="G209" s="9"/>
      <c r="H209" s="9"/>
      <c r="I209" s="9" t="s">
        <v>1191</v>
      </c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</row>
    <row r="210" spans="1:27">
      <c r="A210" s="9" t="s">
        <v>1472</v>
      </c>
      <c r="B210" s="9" t="s">
        <v>190</v>
      </c>
      <c r="C210" s="9"/>
      <c r="D210" s="9"/>
      <c r="E210" s="9"/>
      <c r="F210" s="9"/>
      <c r="G210" s="9"/>
      <c r="H210" s="9"/>
      <c r="I210" s="9" t="s">
        <v>1192</v>
      </c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</row>
    <row r="211" spans="1:27">
      <c r="A211" s="9" t="s">
        <v>1473</v>
      </c>
      <c r="B211" s="9" t="s">
        <v>191</v>
      </c>
      <c r="C211" s="9"/>
      <c r="D211" s="9"/>
      <c r="E211" s="9"/>
      <c r="F211" s="9"/>
      <c r="G211" s="9"/>
      <c r="H211" s="9"/>
      <c r="I211" s="9" t="s">
        <v>1193</v>
      </c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</row>
    <row r="212" spans="1:27">
      <c r="A212" s="9" t="s">
        <v>1474</v>
      </c>
      <c r="B212" s="9" t="s">
        <v>192</v>
      </c>
      <c r="C212" s="9"/>
      <c r="D212" s="9"/>
      <c r="E212" s="9"/>
      <c r="F212" s="9"/>
      <c r="G212" s="9"/>
      <c r="H212" s="9"/>
      <c r="I212" s="9" t="s">
        <v>1194</v>
      </c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</row>
    <row r="213" spans="1:27">
      <c r="A213" s="9" t="s">
        <v>1475</v>
      </c>
      <c r="B213" s="9" t="s">
        <v>193</v>
      </c>
      <c r="C213" s="9"/>
      <c r="D213" s="9"/>
      <c r="E213" s="9"/>
      <c r="F213" s="9"/>
      <c r="G213" s="9"/>
      <c r="H213" s="9"/>
      <c r="I213" s="9" t="s">
        <v>1195</v>
      </c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</row>
    <row r="214" spans="1:27">
      <c r="A214" s="9" t="s">
        <v>1476</v>
      </c>
      <c r="B214" s="9" t="s">
        <v>242</v>
      </c>
      <c r="C214" s="9"/>
      <c r="D214" s="9"/>
      <c r="E214" s="9"/>
      <c r="F214" s="9"/>
      <c r="G214" s="9"/>
      <c r="H214" s="9"/>
      <c r="I214" s="9" t="s">
        <v>1196</v>
      </c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</row>
    <row r="215" spans="1:27">
      <c r="A215" s="9" t="s">
        <v>1477</v>
      </c>
      <c r="B215" s="9" t="s">
        <v>194</v>
      </c>
      <c r="C215" s="9"/>
      <c r="D215" s="9"/>
      <c r="E215" s="9"/>
      <c r="F215" s="9"/>
      <c r="G215" s="9"/>
      <c r="H215" s="9"/>
      <c r="I215" s="9" t="s">
        <v>1197</v>
      </c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</row>
    <row r="216" spans="1:27">
      <c r="A216" s="9" t="s">
        <v>1478</v>
      </c>
      <c r="B216" s="9" t="s">
        <v>195</v>
      </c>
      <c r="C216" s="9"/>
      <c r="D216" s="9"/>
      <c r="E216" s="9"/>
      <c r="F216" s="9"/>
      <c r="G216" s="9"/>
      <c r="H216" s="9"/>
      <c r="I216" s="9" t="s">
        <v>1198</v>
      </c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</row>
    <row r="217" spans="1:27">
      <c r="A217" s="9" t="s">
        <v>1479</v>
      </c>
      <c r="B217" s="9" t="s">
        <v>196</v>
      </c>
      <c r="C217" s="9"/>
      <c r="D217" s="9"/>
      <c r="E217" s="9"/>
      <c r="F217" s="9"/>
      <c r="G217" s="9"/>
      <c r="H217" s="9"/>
      <c r="I217" s="9" t="s">
        <v>1199</v>
      </c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</row>
    <row r="218" spans="1:27">
      <c r="A218" s="9" t="s">
        <v>1480</v>
      </c>
      <c r="B218" s="9" t="s">
        <v>197</v>
      </c>
      <c r="C218" s="9"/>
      <c r="D218" s="9"/>
      <c r="E218" s="9"/>
      <c r="F218" s="9"/>
      <c r="G218" s="9"/>
      <c r="H218" s="9"/>
      <c r="I218" s="9" t="s">
        <v>1200</v>
      </c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</row>
    <row r="219" spans="1:27">
      <c r="A219" s="9" t="s">
        <v>1481</v>
      </c>
      <c r="B219" s="9" t="s">
        <v>198</v>
      </c>
      <c r="C219" s="9"/>
      <c r="D219" s="9"/>
      <c r="E219" s="9"/>
      <c r="F219" s="9"/>
      <c r="G219" s="9"/>
      <c r="H219" s="9"/>
      <c r="I219" s="9" t="s">
        <v>1201</v>
      </c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</row>
    <row r="220" spans="1:27">
      <c r="A220" s="9" t="s">
        <v>1482</v>
      </c>
      <c r="B220" s="9" t="s">
        <v>199</v>
      </c>
      <c r="C220" s="9"/>
      <c r="D220" s="9"/>
      <c r="E220" s="9"/>
      <c r="F220" s="9"/>
      <c r="G220" s="9"/>
      <c r="H220" s="9"/>
      <c r="I220" s="9" t="s">
        <v>1202</v>
      </c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</row>
    <row r="221" spans="1:27">
      <c r="A221" s="9" t="s">
        <v>1483</v>
      </c>
      <c r="B221" s="9" t="s">
        <v>200</v>
      </c>
      <c r="C221" s="9"/>
      <c r="D221" s="9"/>
      <c r="E221" s="9"/>
      <c r="F221" s="9"/>
      <c r="G221" s="9"/>
      <c r="H221" s="9"/>
      <c r="I221" s="9" t="s">
        <v>1203</v>
      </c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</row>
    <row r="222" spans="1:27">
      <c r="A222" s="9" t="s">
        <v>1893</v>
      </c>
      <c r="B222" s="9" t="s">
        <v>2166</v>
      </c>
      <c r="C222" s="9"/>
      <c r="D222" s="9"/>
      <c r="E222" s="9"/>
      <c r="F222" s="9"/>
      <c r="G222" s="9"/>
      <c r="H222" s="9"/>
      <c r="I222" s="9" t="s">
        <v>1873</v>
      </c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</row>
    <row r="223" spans="1:27">
      <c r="A223" s="9" t="s">
        <v>2646</v>
      </c>
      <c r="B223" s="9" t="s">
        <v>2553</v>
      </c>
      <c r="C223" s="9"/>
      <c r="D223" s="9"/>
      <c r="E223" s="9"/>
      <c r="F223" s="9"/>
      <c r="G223" s="9"/>
      <c r="H223" s="9"/>
      <c r="I223" s="9" t="s">
        <v>2647</v>
      </c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</row>
    <row r="224" spans="1:27">
      <c r="A224" s="9" t="s">
        <v>1894</v>
      </c>
      <c r="B224" s="9" t="s">
        <v>2167</v>
      </c>
      <c r="C224" s="9"/>
      <c r="D224" s="9"/>
      <c r="E224" s="9"/>
      <c r="F224" s="9"/>
      <c r="G224" s="9"/>
      <c r="H224" s="9"/>
      <c r="I224" s="9" t="s">
        <v>1874</v>
      </c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</row>
    <row r="225" spans="1:27">
      <c r="A225" s="9" t="s">
        <v>1484</v>
      </c>
      <c r="B225" s="9" t="s">
        <v>201</v>
      </c>
      <c r="C225" s="9"/>
      <c r="D225" s="9"/>
      <c r="E225" s="9"/>
      <c r="F225" s="9"/>
      <c r="G225" s="9"/>
      <c r="H225" s="9"/>
      <c r="I225" s="9" t="s">
        <v>1204</v>
      </c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</row>
    <row r="226" spans="1:27">
      <c r="A226" s="9" t="s">
        <v>1485</v>
      </c>
      <c r="B226" s="9" t="s">
        <v>202</v>
      </c>
      <c r="C226" s="9"/>
      <c r="D226" s="9"/>
      <c r="E226" s="9"/>
      <c r="F226" s="9"/>
      <c r="G226" s="9"/>
      <c r="H226" s="9"/>
      <c r="I226" s="9" t="s">
        <v>1205</v>
      </c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</row>
    <row r="227" spans="1:27">
      <c r="A227" s="9" t="s">
        <v>1486</v>
      </c>
      <c r="B227" s="9" t="s">
        <v>203</v>
      </c>
      <c r="C227" s="9"/>
      <c r="D227" s="9"/>
      <c r="E227" s="9"/>
      <c r="F227" s="9"/>
      <c r="G227" s="9"/>
      <c r="H227" s="9"/>
      <c r="I227" s="9" t="s">
        <v>1206</v>
      </c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</row>
    <row r="228" spans="1:27">
      <c r="A228" s="9" t="s">
        <v>1487</v>
      </c>
      <c r="B228" s="9" t="s">
        <v>204</v>
      </c>
      <c r="C228" s="9"/>
      <c r="D228" s="9"/>
      <c r="E228" s="9"/>
      <c r="F228" s="9"/>
      <c r="G228" s="9"/>
      <c r="H228" s="9"/>
      <c r="I228" s="9" t="s">
        <v>1207</v>
      </c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</row>
    <row r="229" spans="1:27">
      <c r="A229" s="9" t="s">
        <v>1488</v>
      </c>
      <c r="B229" s="9" t="s">
        <v>205</v>
      </c>
      <c r="C229" s="9"/>
      <c r="D229" s="9"/>
      <c r="E229" s="9"/>
      <c r="F229" s="9"/>
      <c r="G229" s="9"/>
      <c r="H229" s="9"/>
      <c r="I229" s="9" t="s">
        <v>1208</v>
      </c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</row>
    <row r="230" spans="1:27">
      <c r="A230" s="9" t="s">
        <v>1489</v>
      </c>
      <c r="B230" s="9" t="s">
        <v>206</v>
      </c>
      <c r="C230" s="9"/>
      <c r="D230" s="9"/>
      <c r="E230" s="9"/>
      <c r="F230" s="9"/>
      <c r="G230" s="9"/>
      <c r="H230" s="9"/>
      <c r="I230" s="9" t="s">
        <v>1209</v>
      </c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</row>
    <row r="231" spans="1:27">
      <c r="A231" s="9" t="s">
        <v>1490</v>
      </c>
      <c r="B231" s="9" t="s">
        <v>207</v>
      </c>
      <c r="C231" s="9"/>
      <c r="D231" s="9"/>
      <c r="E231" s="9"/>
      <c r="F231" s="9"/>
      <c r="G231" s="9"/>
      <c r="H231" s="9"/>
      <c r="I231" s="9" t="s">
        <v>1210</v>
      </c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</row>
    <row r="232" spans="1:27">
      <c r="A232" s="9" t="s">
        <v>1491</v>
      </c>
      <c r="B232" s="9" t="s">
        <v>208</v>
      </c>
      <c r="C232" s="9"/>
      <c r="D232" s="9"/>
      <c r="E232" s="9"/>
      <c r="F232" s="9"/>
      <c r="G232" s="9"/>
      <c r="H232" s="9"/>
      <c r="I232" s="9" t="s">
        <v>1211</v>
      </c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</row>
    <row r="233" spans="1:27">
      <c r="A233" s="9" t="s">
        <v>1492</v>
      </c>
      <c r="B233" s="9" t="s">
        <v>209</v>
      </c>
      <c r="C233" s="9"/>
      <c r="D233" s="9"/>
      <c r="E233" s="9"/>
      <c r="F233" s="9"/>
      <c r="G233" s="9"/>
      <c r="H233" s="9"/>
      <c r="I233" s="9" t="s">
        <v>1212</v>
      </c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</row>
    <row r="234" spans="1:27">
      <c r="A234" s="9" t="s">
        <v>1493</v>
      </c>
      <c r="B234" s="9" t="s">
        <v>210</v>
      </c>
      <c r="C234" s="9"/>
      <c r="D234" s="9"/>
      <c r="E234" s="9"/>
      <c r="F234" s="9"/>
      <c r="G234" s="9"/>
      <c r="H234" s="9"/>
      <c r="I234" s="9" t="s">
        <v>1213</v>
      </c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</row>
    <row r="235" spans="1:27">
      <c r="A235" s="9" t="s">
        <v>1494</v>
      </c>
      <c r="B235" s="9" t="s">
        <v>211</v>
      </c>
      <c r="C235" s="9"/>
      <c r="D235" s="9"/>
      <c r="E235" s="9"/>
      <c r="F235" s="9"/>
      <c r="G235" s="9"/>
      <c r="H235" s="9"/>
      <c r="I235" s="9" t="s">
        <v>1214</v>
      </c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</row>
    <row r="236" spans="1:27">
      <c r="A236" s="9" t="s">
        <v>1495</v>
      </c>
      <c r="B236" s="9" t="s">
        <v>212</v>
      </c>
      <c r="C236" s="9"/>
      <c r="D236" s="9"/>
      <c r="E236" s="9"/>
      <c r="F236" s="9"/>
      <c r="G236" s="9"/>
      <c r="H236" s="9"/>
      <c r="I236" s="9" t="s">
        <v>1215</v>
      </c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</row>
    <row r="237" spans="1:27">
      <c r="A237" s="9" t="s">
        <v>1496</v>
      </c>
      <c r="B237" s="9" t="s">
        <v>213</v>
      </c>
      <c r="C237" s="9"/>
      <c r="D237" s="9"/>
      <c r="E237" s="9"/>
      <c r="F237" s="9"/>
      <c r="G237" s="9"/>
      <c r="H237" s="9"/>
      <c r="I237" s="9" t="s">
        <v>1216</v>
      </c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</row>
    <row r="238" spans="1:27">
      <c r="A238" s="9" t="s">
        <v>1497</v>
      </c>
      <c r="B238" s="9" t="s">
        <v>214</v>
      </c>
      <c r="C238" s="9"/>
      <c r="D238" s="9"/>
      <c r="E238" s="9"/>
      <c r="F238" s="9"/>
      <c r="G238" s="9"/>
      <c r="H238" s="9"/>
      <c r="I238" s="9" t="s">
        <v>1217</v>
      </c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</row>
    <row r="239" spans="1:27">
      <c r="A239" s="9" t="s">
        <v>1498</v>
      </c>
      <c r="B239" s="9" t="s">
        <v>215</v>
      </c>
      <c r="C239" s="9"/>
      <c r="D239" s="9"/>
      <c r="E239" s="9"/>
      <c r="F239" s="9"/>
      <c r="G239" s="9"/>
      <c r="H239" s="9"/>
      <c r="I239" s="9" t="s">
        <v>1218</v>
      </c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</row>
    <row r="240" spans="1:27">
      <c r="A240" s="9" t="s">
        <v>1499</v>
      </c>
      <c r="B240" s="9" t="s">
        <v>216</v>
      </c>
      <c r="C240" s="9"/>
      <c r="D240" s="9"/>
      <c r="E240" s="9"/>
      <c r="F240" s="9"/>
      <c r="G240" s="9"/>
      <c r="H240" s="9"/>
      <c r="I240" s="9" t="s">
        <v>1219</v>
      </c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</row>
    <row r="241" spans="1:27">
      <c r="A241" s="9" t="s">
        <v>1500</v>
      </c>
      <c r="B241" s="9" t="s">
        <v>217</v>
      </c>
      <c r="C241" s="9"/>
      <c r="D241" s="9"/>
      <c r="E241" s="9"/>
      <c r="F241" s="9"/>
      <c r="G241" s="9"/>
      <c r="H241" s="9"/>
      <c r="I241" s="9" t="s">
        <v>1220</v>
      </c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</row>
    <row r="242" spans="1:27">
      <c r="A242" s="9" t="s">
        <v>1501</v>
      </c>
      <c r="B242" s="9" t="s">
        <v>218</v>
      </c>
      <c r="C242" s="9"/>
      <c r="D242" s="9"/>
      <c r="E242" s="9"/>
      <c r="F242" s="9"/>
      <c r="G242" s="9"/>
      <c r="H242" s="9"/>
      <c r="I242" s="9" t="s">
        <v>1221</v>
      </c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</row>
    <row r="243" spans="1:27">
      <c r="A243" s="9" t="s">
        <v>1502</v>
      </c>
      <c r="B243" s="9" t="s">
        <v>219</v>
      </c>
      <c r="C243" s="9"/>
      <c r="D243" s="9"/>
      <c r="E243" s="9"/>
      <c r="F243" s="9"/>
      <c r="G243" s="9"/>
      <c r="H243" s="9"/>
      <c r="I243" s="9" t="s">
        <v>1222</v>
      </c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</row>
    <row r="244" spans="1:27">
      <c r="A244" s="9" t="s">
        <v>1503</v>
      </c>
      <c r="B244" s="9" t="s">
        <v>220</v>
      </c>
      <c r="C244" s="9"/>
      <c r="D244" s="9"/>
      <c r="E244" s="9"/>
      <c r="F244" s="9"/>
      <c r="G244" s="9"/>
      <c r="H244" s="9"/>
      <c r="I244" s="9" t="s">
        <v>1223</v>
      </c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</row>
    <row r="245" spans="1:27">
      <c r="A245" s="9" t="s">
        <v>1504</v>
      </c>
      <c r="B245" s="9" t="s">
        <v>221</v>
      </c>
      <c r="C245" s="9"/>
      <c r="D245" s="9"/>
      <c r="E245" s="9"/>
      <c r="F245" s="9"/>
      <c r="G245" s="9"/>
      <c r="H245" s="9"/>
      <c r="I245" s="9" t="s">
        <v>1224</v>
      </c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</row>
    <row r="246" spans="1:27">
      <c r="A246" s="9" t="s">
        <v>1505</v>
      </c>
      <c r="B246" s="9" t="s">
        <v>222</v>
      </c>
      <c r="C246" s="9"/>
      <c r="D246" s="9"/>
      <c r="E246" s="9"/>
      <c r="F246" s="9"/>
      <c r="G246" s="9"/>
      <c r="H246" s="9"/>
      <c r="I246" s="9" t="s">
        <v>1225</v>
      </c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</row>
    <row r="247" spans="1:27">
      <c r="A247" s="9" t="s">
        <v>1506</v>
      </c>
      <c r="B247" s="9" t="s">
        <v>223</v>
      </c>
      <c r="C247" s="9"/>
      <c r="D247" s="9"/>
      <c r="E247" s="9"/>
      <c r="F247" s="9"/>
      <c r="G247" s="9"/>
      <c r="H247" s="9"/>
      <c r="I247" s="9" t="s">
        <v>1226</v>
      </c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</row>
    <row r="248" spans="1:27">
      <c r="A248" s="9" t="s">
        <v>1507</v>
      </c>
      <c r="B248" s="9" t="s">
        <v>224</v>
      </c>
      <c r="C248" s="9"/>
      <c r="D248" s="9"/>
      <c r="E248" s="9"/>
      <c r="F248" s="9"/>
      <c r="G248" s="9"/>
      <c r="H248" s="9"/>
      <c r="I248" s="9" t="s">
        <v>1227</v>
      </c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</row>
    <row r="249" spans="1:27">
      <c r="A249" s="9" t="s">
        <v>1508</v>
      </c>
      <c r="B249" s="9" t="s">
        <v>225</v>
      </c>
      <c r="C249" s="9"/>
      <c r="D249" s="9"/>
      <c r="E249" s="9"/>
      <c r="F249" s="9"/>
      <c r="G249" s="9"/>
      <c r="H249" s="9"/>
      <c r="I249" s="9" t="s">
        <v>1228</v>
      </c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</row>
    <row r="250" spans="1:27">
      <c r="A250" s="9" t="s">
        <v>1509</v>
      </c>
      <c r="B250" s="9" t="s">
        <v>226</v>
      </c>
      <c r="C250" s="9"/>
      <c r="D250" s="9"/>
      <c r="E250" s="9"/>
      <c r="F250" s="9"/>
      <c r="G250" s="9"/>
      <c r="H250" s="9"/>
      <c r="I250" s="9" t="s">
        <v>1229</v>
      </c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</row>
    <row r="251" spans="1:27">
      <c r="A251" s="9" t="s">
        <v>1510</v>
      </c>
      <c r="B251" s="9" t="s">
        <v>227</v>
      </c>
      <c r="C251" s="9"/>
      <c r="D251" s="9"/>
      <c r="E251" s="9"/>
      <c r="F251" s="9"/>
      <c r="G251" s="9"/>
      <c r="H251" s="9"/>
      <c r="I251" s="9" t="s">
        <v>1230</v>
      </c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</row>
    <row r="252" spans="1:27">
      <c r="A252" s="9" t="s">
        <v>1511</v>
      </c>
      <c r="B252" s="9" t="s">
        <v>228</v>
      </c>
      <c r="C252" s="9"/>
      <c r="D252" s="9"/>
      <c r="E252" s="9"/>
      <c r="F252" s="9"/>
      <c r="G252" s="9"/>
      <c r="H252" s="9"/>
      <c r="I252" s="9" t="s">
        <v>1231</v>
      </c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</row>
    <row r="253" spans="1:27">
      <c r="A253" s="9" t="s">
        <v>1895</v>
      </c>
      <c r="B253" s="9" t="s">
        <v>2168</v>
      </c>
      <c r="C253" s="9"/>
      <c r="D253" s="9"/>
      <c r="E253" s="9"/>
      <c r="F253" s="9"/>
      <c r="G253" s="9"/>
      <c r="H253" s="9"/>
      <c r="I253" s="9" t="s">
        <v>1875</v>
      </c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</row>
    <row r="254" spans="1:27">
      <c r="A254" s="9" t="s">
        <v>1512</v>
      </c>
      <c r="B254" s="9" t="s">
        <v>229</v>
      </c>
      <c r="C254" s="9"/>
      <c r="D254" s="9"/>
      <c r="E254" s="9"/>
      <c r="F254" s="9"/>
      <c r="G254" s="9"/>
      <c r="H254" s="9"/>
      <c r="I254" s="9" t="s">
        <v>1232</v>
      </c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</row>
    <row r="255" spans="1:27">
      <c r="A255" s="9" t="s">
        <v>1513</v>
      </c>
      <c r="B255" s="9" t="s">
        <v>230</v>
      </c>
      <c r="C255" s="9"/>
      <c r="D255" s="9"/>
      <c r="E255" s="9"/>
      <c r="F255" s="9"/>
      <c r="G255" s="9"/>
      <c r="H255" s="9"/>
      <c r="I255" s="9" t="s">
        <v>1233</v>
      </c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</row>
    <row r="256" spans="1:27">
      <c r="A256" s="9" t="s">
        <v>2648</v>
      </c>
      <c r="B256" s="9" t="s">
        <v>2551</v>
      </c>
      <c r="C256" s="9"/>
      <c r="D256" s="9"/>
      <c r="E256" s="9"/>
      <c r="F256" s="9"/>
      <c r="G256" s="9"/>
      <c r="H256" s="9"/>
      <c r="I256" s="9" t="s">
        <v>2649</v>
      </c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</row>
    <row r="257" spans="1:27">
      <c r="A257" s="9" t="s">
        <v>1514</v>
      </c>
      <c r="B257" s="9" t="s">
        <v>237</v>
      </c>
      <c r="C257" s="9"/>
      <c r="D257" s="9"/>
      <c r="E257" s="9"/>
      <c r="F257" s="9"/>
      <c r="G257" s="9"/>
      <c r="H257" s="9"/>
      <c r="I257" s="9" t="s">
        <v>1234</v>
      </c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</row>
    <row r="258" spans="1:27">
      <c r="A258" s="9" t="s">
        <v>1515</v>
      </c>
      <c r="B258" s="9" t="s">
        <v>238</v>
      </c>
      <c r="C258" s="9"/>
      <c r="D258" s="9"/>
      <c r="E258" s="9"/>
      <c r="F258" s="9"/>
      <c r="G258" s="9"/>
      <c r="H258" s="9"/>
      <c r="I258" s="9" t="s">
        <v>1235</v>
      </c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</row>
    <row r="259" spans="1:27">
      <c r="A259" s="9" t="s">
        <v>1516</v>
      </c>
      <c r="B259" s="9" t="s">
        <v>231</v>
      </c>
      <c r="C259" s="9"/>
      <c r="D259" s="9"/>
      <c r="E259" s="9"/>
      <c r="F259" s="9"/>
      <c r="G259" s="9"/>
      <c r="H259" s="9"/>
      <c r="I259" s="9" t="s">
        <v>1236</v>
      </c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</row>
    <row r="260" spans="1:27">
      <c r="A260" s="9" t="s">
        <v>2650</v>
      </c>
      <c r="B260" s="9" t="s">
        <v>2552</v>
      </c>
      <c r="C260" s="9"/>
      <c r="D260" s="9"/>
      <c r="E260" s="9"/>
      <c r="F260" s="9"/>
      <c r="G260" s="9"/>
      <c r="H260" s="9"/>
      <c r="I260" s="9" t="s">
        <v>2651</v>
      </c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</row>
    <row r="261" spans="1:27">
      <c r="A261" s="9" t="s">
        <v>1896</v>
      </c>
      <c r="B261" s="9" t="s">
        <v>2169</v>
      </c>
      <c r="C261" s="9"/>
      <c r="D261" s="9"/>
      <c r="E261" s="9"/>
      <c r="F261" s="9"/>
      <c r="G261" s="9"/>
      <c r="H261" s="9"/>
      <c r="I261" s="9" t="s">
        <v>1876</v>
      </c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</row>
    <row r="262" spans="1:27">
      <c r="A262" s="9" t="s">
        <v>1517</v>
      </c>
      <c r="B262" s="9" t="s">
        <v>232</v>
      </c>
      <c r="C262" s="9"/>
      <c r="D262" s="9"/>
      <c r="E262" s="9"/>
      <c r="F262" s="9"/>
      <c r="G262" s="9"/>
      <c r="H262" s="9"/>
      <c r="I262" s="9" t="s">
        <v>1237</v>
      </c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</row>
    <row r="263" spans="1:27">
      <c r="A263" s="9" t="s">
        <v>1518</v>
      </c>
      <c r="B263" s="9" t="s">
        <v>2271</v>
      </c>
      <c r="C263" s="9"/>
      <c r="D263" s="9"/>
      <c r="E263" s="9"/>
      <c r="F263" s="9"/>
      <c r="G263" s="9"/>
      <c r="H263" s="9"/>
      <c r="I263" s="9" t="s">
        <v>1238</v>
      </c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</row>
    <row r="264" spans="1:27">
      <c r="A264" s="9" t="s">
        <v>2297</v>
      </c>
      <c r="B264" s="9" t="s">
        <v>243</v>
      </c>
      <c r="C264" s="9"/>
      <c r="D264" s="9"/>
      <c r="E264" s="9"/>
      <c r="F264" s="9"/>
      <c r="G264" s="9"/>
      <c r="H264" s="9"/>
      <c r="I264" s="9" t="s">
        <v>2302</v>
      </c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</row>
    <row r="265" spans="1:27">
      <c r="A265" s="9" t="s">
        <v>1631</v>
      </c>
      <c r="B265" s="9" t="s">
        <v>181</v>
      </c>
      <c r="C265" s="9"/>
      <c r="D265" s="9"/>
      <c r="E265" s="9"/>
      <c r="F265" s="9"/>
      <c r="G265" s="9"/>
      <c r="H265" s="9"/>
      <c r="I265" s="9" t="s">
        <v>1575</v>
      </c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</row>
    <row r="266" spans="1:27">
      <c r="A266" s="9" t="s">
        <v>1632</v>
      </c>
      <c r="B266" s="9" t="s">
        <v>182</v>
      </c>
      <c r="C266" s="9"/>
      <c r="D266" s="9"/>
      <c r="E266" s="9"/>
      <c r="F266" s="9"/>
      <c r="G266" s="9"/>
      <c r="H266" s="9"/>
      <c r="I266" s="9" t="s">
        <v>1576</v>
      </c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</row>
    <row r="267" spans="1:27">
      <c r="A267" s="9" t="s">
        <v>1633</v>
      </c>
      <c r="B267" s="9" t="s">
        <v>183</v>
      </c>
      <c r="C267" s="9"/>
      <c r="D267" s="9"/>
      <c r="E267" s="9"/>
      <c r="F267" s="9"/>
      <c r="G267" s="9"/>
      <c r="H267" s="9"/>
      <c r="I267" s="9" t="s">
        <v>1577</v>
      </c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</row>
    <row r="268" spans="1:27">
      <c r="A268" s="9" t="s">
        <v>1634</v>
      </c>
      <c r="B268" s="9" t="s">
        <v>184</v>
      </c>
      <c r="C268" s="9"/>
      <c r="D268" s="9"/>
      <c r="E268" s="9"/>
      <c r="F268" s="9"/>
      <c r="G268" s="9"/>
      <c r="H268" s="9"/>
      <c r="I268" s="9" t="s">
        <v>1578</v>
      </c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</row>
    <row r="269" spans="1:27">
      <c r="A269" s="9" t="s">
        <v>1635</v>
      </c>
      <c r="B269" s="9" t="s">
        <v>185</v>
      </c>
      <c r="C269" s="9"/>
      <c r="D269" s="9"/>
      <c r="E269" s="9"/>
      <c r="F269" s="9"/>
      <c r="G269" s="9"/>
      <c r="H269" s="9"/>
      <c r="I269" s="9" t="s">
        <v>1579</v>
      </c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</row>
    <row r="270" spans="1:27">
      <c r="A270" s="9" t="s">
        <v>1636</v>
      </c>
      <c r="B270" s="9" t="s">
        <v>186</v>
      </c>
      <c r="C270" s="9"/>
      <c r="D270" s="9"/>
      <c r="E270" s="9"/>
      <c r="F270" s="9"/>
      <c r="G270" s="9"/>
      <c r="H270" s="9"/>
      <c r="I270" s="9" t="s">
        <v>1580</v>
      </c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</row>
    <row r="271" spans="1:27">
      <c r="A271" s="9" t="s">
        <v>1637</v>
      </c>
      <c r="B271" s="9" t="s">
        <v>187</v>
      </c>
      <c r="C271" s="9"/>
      <c r="D271" s="9"/>
      <c r="E271" s="9"/>
      <c r="F271" s="9"/>
      <c r="G271" s="9"/>
      <c r="H271" s="9"/>
      <c r="I271" s="9" t="s">
        <v>1581</v>
      </c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</row>
    <row r="272" spans="1:27">
      <c r="A272" s="9" t="s">
        <v>2265</v>
      </c>
      <c r="B272" s="9" t="s">
        <v>2233</v>
      </c>
      <c r="C272" s="9"/>
      <c r="D272" s="9"/>
      <c r="E272" s="9"/>
      <c r="F272" s="9"/>
      <c r="G272" s="9"/>
      <c r="H272" s="9"/>
      <c r="I272" s="9" t="s">
        <v>2264</v>
      </c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</row>
    <row r="273" spans="1:27">
      <c r="A273" s="9" t="s">
        <v>1638</v>
      </c>
      <c r="B273" s="9" t="s">
        <v>188</v>
      </c>
      <c r="C273" s="9"/>
      <c r="D273" s="9"/>
      <c r="E273" s="9"/>
      <c r="F273" s="9"/>
      <c r="G273" s="9"/>
      <c r="H273" s="9"/>
      <c r="I273" s="9" t="s">
        <v>1582</v>
      </c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</row>
    <row r="274" spans="1:27">
      <c r="A274" s="9" t="s">
        <v>1639</v>
      </c>
      <c r="B274" s="9" t="s">
        <v>189</v>
      </c>
      <c r="C274" s="9"/>
      <c r="D274" s="9"/>
      <c r="E274" s="9"/>
      <c r="F274" s="9"/>
      <c r="G274" s="9"/>
      <c r="H274" s="9"/>
      <c r="I274" s="9" t="s">
        <v>1583</v>
      </c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</row>
    <row r="275" spans="1:27">
      <c r="A275" s="9" t="s">
        <v>1640</v>
      </c>
      <c r="B275" s="9" t="s">
        <v>190</v>
      </c>
      <c r="C275" s="9"/>
      <c r="D275" s="9"/>
      <c r="E275" s="9"/>
      <c r="F275" s="9"/>
      <c r="G275" s="9"/>
      <c r="H275" s="9"/>
      <c r="I275" s="9" t="s">
        <v>1584</v>
      </c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</row>
    <row r="276" spans="1:27">
      <c r="A276" s="9" t="s">
        <v>1641</v>
      </c>
      <c r="B276" s="9" t="s">
        <v>191</v>
      </c>
      <c r="C276" s="9"/>
      <c r="D276" s="9"/>
      <c r="E276" s="9"/>
      <c r="F276" s="9"/>
      <c r="G276" s="9"/>
      <c r="H276" s="9"/>
      <c r="I276" s="9" t="s">
        <v>1585</v>
      </c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</row>
    <row r="277" spans="1:27">
      <c r="A277" s="9" t="s">
        <v>1642</v>
      </c>
      <c r="B277" s="9" t="s">
        <v>192</v>
      </c>
      <c r="C277" s="9"/>
      <c r="D277" s="9"/>
      <c r="E277" s="9"/>
      <c r="F277" s="9"/>
      <c r="G277" s="9"/>
      <c r="H277" s="9"/>
      <c r="I277" s="9" t="s">
        <v>1586</v>
      </c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</row>
    <row r="278" spans="1:27">
      <c r="A278" s="9" t="s">
        <v>1643</v>
      </c>
      <c r="B278" s="9" t="s">
        <v>193</v>
      </c>
      <c r="C278" s="9"/>
      <c r="D278" s="9"/>
      <c r="E278" s="9"/>
      <c r="F278" s="9"/>
      <c r="G278" s="9"/>
      <c r="H278" s="9"/>
      <c r="I278" s="9" t="s">
        <v>1587</v>
      </c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</row>
    <row r="279" spans="1:27">
      <c r="A279" s="9" t="s">
        <v>1644</v>
      </c>
      <c r="B279" s="9" t="s">
        <v>242</v>
      </c>
      <c r="C279" s="9"/>
      <c r="D279" s="9"/>
      <c r="E279" s="9"/>
      <c r="F279" s="9"/>
      <c r="G279" s="9"/>
      <c r="H279" s="9"/>
      <c r="I279" s="9" t="s">
        <v>1588</v>
      </c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</row>
    <row r="280" spans="1:27">
      <c r="A280" s="9" t="s">
        <v>1645</v>
      </c>
      <c r="B280" s="9" t="s">
        <v>194</v>
      </c>
      <c r="C280" s="9"/>
      <c r="D280" s="9"/>
      <c r="E280" s="9"/>
      <c r="F280" s="9"/>
      <c r="G280" s="9"/>
      <c r="H280" s="9"/>
      <c r="I280" s="9" t="s">
        <v>1589</v>
      </c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</row>
    <row r="281" spans="1:27">
      <c r="A281" s="9" t="s">
        <v>1646</v>
      </c>
      <c r="B281" s="9" t="s">
        <v>195</v>
      </c>
      <c r="C281" s="9"/>
      <c r="D281" s="9"/>
      <c r="E281" s="9"/>
      <c r="F281" s="9"/>
      <c r="G281" s="9"/>
      <c r="H281" s="9"/>
      <c r="I281" s="9" t="s">
        <v>1590</v>
      </c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</row>
    <row r="282" spans="1:27">
      <c r="A282" s="9" t="s">
        <v>1647</v>
      </c>
      <c r="B282" s="9" t="s">
        <v>196</v>
      </c>
      <c r="C282" s="9"/>
      <c r="D282" s="9"/>
      <c r="E282" s="9"/>
      <c r="F282" s="9"/>
      <c r="G282" s="9"/>
      <c r="H282" s="9"/>
      <c r="I282" s="9" t="s">
        <v>1591</v>
      </c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</row>
    <row r="283" spans="1:27">
      <c r="A283" s="9" t="s">
        <v>1648</v>
      </c>
      <c r="B283" s="9" t="s">
        <v>197</v>
      </c>
      <c r="C283" s="9"/>
      <c r="D283" s="9"/>
      <c r="E283" s="9"/>
      <c r="F283" s="9"/>
      <c r="G283" s="9"/>
      <c r="H283" s="9"/>
      <c r="I283" s="9" t="s">
        <v>1592</v>
      </c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</row>
    <row r="284" spans="1:27">
      <c r="A284" s="9" t="s">
        <v>1649</v>
      </c>
      <c r="B284" s="9" t="s">
        <v>198</v>
      </c>
      <c r="C284" s="9"/>
      <c r="D284" s="9"/>
      <c r="E284" s="9"/>
      <c r="F284" s="9"/>
      <c r="G284" s="9"/>
      <c r="H284" s="9"/>
      <c r="I284" s="9" t="s">
        <v>1593</v>
      </c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</row>
    <row r="285" spans="1:27">
      <c r="A285" s="9" t="s">
        <v>1650</v>
      </c>
      <c r="B285" s="9" t="s">
        <v>199</v>
      </c>
      <c r="C285" s="9"/>
      <c r="D285" s="9"/>
      <c r="E285" s="9"/>
      <c r="F285" s="9"/>
      <c r="G285" s="9"/>
      <c r="H285" s="9"/>
      <c r="I285" s="9" t="s">
        <v>1594</v>
      </c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</row>
    <row r="286" spans="1:27">
      <c r="A286" s="9" t="s">
        <v>1651</v>
      </c>
      <c r="B286" s="9" t="s">
        <v>200</v>
      </c>
      <c r="C286" s="9"/>
      <c r="D286" s="9"/>
      <c r="E286" s="9"/>
      <c r="F286" s="9"/>
      <c r="G286" s="9"/>
      <c r="H286" s="9"/>
      <c r="I286" s="9" t="s">
        <v>1595</v>
      </c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</row>
    <row r="287" spans="1:27">
      <c r="A287" s="9" t="s">
        <v>1905</v>
      </c>
      <c r="B287" s="9" t="s">
        <v>2166</v>
      </c>
      <c r="C287" s="9"/>
      <c r="D287" s="9"/>
      <c r="E287" s="9"/>
      <c r="F287" s="9"/>
      <c r="G287" s="9"/>
      <c r="H287" s="9"/>
      <c r="I287" s="9" t="s">
        <v>1901</v>
      </c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</row>
    <row r="288" spans="1:27">
      <c r="A288" s="9" t="s">
        <v>2652</v>
      </c>
      <c r="B288" s="9" t="s">
        <v>2553</v>
      </c>
      <c r="C288" s="9"/>
      <c r="D288" s="9"/>
      <c r="E288" s="9"/>
      <c r="F288" s="9"/>
      <c r="G288" s="9"/>
      <c r="H288" s="9"/>
      <c r="I288" s="9" t="s">
        <v>2634</v>
      </c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</row>
    <row r="289" spans="1:27">
      <c r="A289" s="9" t="s">
        <v>1906</v>
      </c>
      <c r="B289" s="9" t="s">
        <v>2167</v>
      </c>
      <c r="C289" s="9"/>
      <c r="D289" s="9"/>
      <c r="E289" s="9"/>
      <c r="F289" s="9"/>
      <c r="G289" s="9"/>
      <c r="H289" s="9"/>
      <c r="I289" s="9" t="s">
        <v>1902</v>
      </c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</row>
    <row r="290" spans="1:27">
      <c r="A290" s="9" t="s">
        <v>1652</v>
      </c>
      <c r="B290" s="9" t="s">
        <v>201</v>
      </c>
      <c r="C290" s="9"/>
      <c r="D290" s="9"/>
      <c r="E290" s="9"/>
      <c r="F290" s="9"/>
      <c r="G290" s="9"/>
      <c r="H290" s="9"/>
      <c r="I290" s="9" t="s">
        <v>1596</v>
      </c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</row>
    <row r="291" spans="1:27">
      <c r="A291" s="9" t="s">
        <v>1653</v>
      </c>
      <c r="B291" s="9" t="s">
        <v>202</v>
      </c>
      <c r="C291" s="9"/>
      <c r="D291" s="9"/>
      <c r="E291" s="9"/>
      <c r="F291" s="9"/>
      <c r="G291" s="9"/>
      <c r="H291" s="9"/>
      <c r="I291" s="9" t="s">
        <v>1597</v>
      </c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</row>
    <row r="292" spans="1:27">
      <c r="A292" s="9" t="s">
        <v>1654</v>
      </c>
      <c r="B292" s="9" t="s">
        <v>203</v>
      </c>
      <c r="C292" s="9"/>
      <c r="D292" s="9"/>
      <c r="E292" s="9"/>
      <c r="F292" s="9"/>
      <c r="G292" s="9"/>
      <c r="H292" s="9"/>
      <c r="I292" s="9" t="s">
        <v>1598</v>
      </c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</row>
    <row r="293" spans="1:27">
      <c r="A293" s="9" t="s">
        <v>1655</v>
      </c>
      <c r="B293" s="9" t="s">
        <v>204</v>
      </c>
      <c r="C293" s="9"/>
      <c r="D293" s="9"/>
      <c r="E293" s="9"/>
      <c r="F293" s="9"/>
      <c r="G293" s="9"/>
      <c r="H293" s="9"/>
      <c r="I293" s="9" t="s">
        <v>1599</v>
      </c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</row>
    <row r="294" spans="1:27">
      <c r="A294" s="9" t="s">
        <v>1656</v>
      </c>
      <c r="B294" s="9" t="s">
        <v>205</v>
      </c>
      <c r="C294" s="9"/>
      <c r="D294" s="9"/>
      <c r="E294" s="9"/>
      <c r="F294" s="9"/>
      <c r="G294" s="9"/>
      <c r="H294" s="9"/>
      <c r="I294" s="9" t="s">
        <v>1600</v>
      </c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</row>
    <row r="295" spans="1:27">
      <c r="A295" s="9" t="s">
        <v>1657</v>
      </c>
      <c r="B295" s="9" t="s">
        <v>206</v>
      </c>
      <c r="C295" s="9"/>
      <c r="D295" s="9"/>
      <c r="E295" s="9"/>
      <c r="F295" s="9"/>
      <c r="G295" s="9"/>
      <c r="H295" s="9"/>
      <c r="I295" s="9" t="s">
        <v>1601</v>
      </c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</row>
    <row r="296" spans="1:27">
      <c r="A296" s="9" t="s">
        <v>1658</v>
      </c>
      <c r="B296" s="9" t="s">
        <v>207</v>
      </c>
      <c r="C296" s="9"/>
      <c r="D296" s="9"/>
      <c r="E296" s="9"/>
      <c r="F296" s="9"/>
      <c r="G296" s="9"/>
      <c r="H296" s="9"/>
      <c r="I296" s="9" t="s">
        <v>1602</v>
      </c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</row>
    <row r="297" spans="1:27">
      <c r="A297" s="9" t="s">
        <v>1659</v>
      </c>
      <c r="B297" s="9" t="s">
        <v>208</v>
      </c>
      <c r="C297" s="9"/>
      <c r="D297" s="9"/>
      <c r="E297" s="9"/>
      <c r="F297" s="9"/>
      <c r="G297" s="9"/>
      <c r="H297" s="9"/>
      <c r="I297" s="9" t="s">
        <v>1603</v>
      </c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</row>
    <row r="298" spans="1:27">
      <c r="A298" s="9" t="s">
        <v>1660</v>
      </c>
      <c r="B298" s="9" t="s">
        <v>209</v>
      </c>
      <c r="C298" s="9"/>
      <c r="D298" s="9"/>
      <c r="E298" s="9"/>
      <c r="F298" s="9"/>
      <c r="G298" s="9"/>
      <c r="H298" s="9"/>
      <c r="I298" s="9" t="s">
        <v>1604</v>
      </c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</row>
    <row r="299" spans="1:27">
      <c r="A299" s="9" t="s">
        <v>1661</v>
      </c>
      <c r="B299" s="9" t="s">
        <v>210</v>
      </c>
      <c r="C299" s="9"/>
      <c r="D299" s="9"/>
      <c r="E299" s="9"/>
      <c r="F299" s="9"/>
      <c r="G299" s="9"/>
      <c r="H299" s="9"/>
      <c r="I299" s="9" t="s">
        <v>1605</v>
      </c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</row>
    <row r="300" spans="1:27">
      <c r="A300" s="9" t="s">
        <v>1662</v>
      </c>
      <c r="B300" s="9" t="s">
        <v>211</v>
      </c>
      <c r="C300" s="9"/>
      <c r="D300" s="9"/>
      <c r="E300" s="9"/>
      <c r="F300" s="9"/>
      <c r="G300" s="9"/>
      <c r="H300" s="9"/>
      <c r="I300" s="9" t="s">
        <v>1606</v>
      </c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</row>
    <row r="301" spans="1:27">
      <c r="A301" s="9" t="s">
        <v>1663</v>
      </c>
      <c r="B301" s="9" t="s">
        <v>212</v>
      </c>
      <c r="C301" s="9"/>
      <c r="D301" s="9"/>
      <c r="E301" s="9"/>
      <c r="F301" s="9"/>
      <c r="G301" s="9"/>
      <c r="H301" s="9"/>
      <c r="I301" s="9" t="s">
        <v>1607</v>
      </c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</row>
    <row r="302" spans="1:27">
      <c r="A302" s="9" t="s">
        <v>1664</v>
      </c>
      <c r="B302" s="9" t="s">
        <v>213</v>
      </c>
      <c r="C302" s="9"/>
      <c r="D302" s="9"/>
      <c r="E302" s="9"/>
      <c r="F302" s="9"/>
      <c r="G302" s="9"/>
      <c r="H302" s="9"/>
      <c r="I302" s="9" t="s">
        <v>1608</v>
      </c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</row>
    <row r="303" spans="1:27">
      <c r="A303" s="9" t="s">
        <v>1665</v>
      </c>
      <c r="B303" s="9" t="s">
        <v>214</v>
      </c>
      <c r="C303" s="9"/>
      <c r="D303" s="9"/>
      <c r="E303" s="9"/>
      <c r="F303" s="9"/>
      <c r="G303" s="9"/>
      <c r="H303" s="9"/>
      <c r="I303" s="9" t="s">
        <v>1609</v>
      </c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</row>
    <row r="304" spans="1:27">
      <c r="A304" s="9" t="s">
        <v>1666</v>
      </c>
      <c r="B304" s="9" t="s">
        <v>215</v>
      </c>
      <c r="C304" s="9"/>
      <c r="D304" s="9"/>
      <c r="E304" s="9"/>
      <c r="F304" s="9"/>
      <c r="G304" s="9"/>
      <c r="H304" s="9"/>
      <c r="I304" s="9" t="s">
        <v>1610</v>
      </c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</row>
    <row r="305" spans="1:27">
      <c r="A305" s="9" t="s">
        <v>1667</v>
      </c>
      <c r="B305" s="9" t="s">
        <v>216</v>
      </c>
      <c r="C305" s="9"/>
      <c r="D305" s="9"/>
      <c r="E305" s="9"/>
      <c r="F305" s="9"/>
      <c r="G305" s="9"/>
      <c r="H305" s="9"/>
      <c r="I305" s="9" t="s">
        <v>1611</v>
      </c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</row>
    <row r="306" spans="1:27">
      <c r="A306" s="9" t="s">
        <v>1668</v>
      </c>
      <c r="B306" s="9" t="s">
        <v>217</v>
      </c>
      <c r="C306" s="9"/>
      <c r="D306" s="9"/>
      <c r="E306" s="9"/>
      <c r="F306" s="9"/>
      <c r="G306" s="9"/>
      <c r="H306" s="9"/>
      <c r="I306" s="9" t="s">
        <v>1612</v>
      </c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</row>
    <row r="307" spans="1:27">
      <c r="A307" s="9" t="s">
        <v>1669</v>
      </c>
      <c r="B307" s="9" t="s">
        <v>218</v>
      </c>
      <c r="C307" s="9"/>
      <c r="D307" s="9"/>
      <c r="E307" s="9"/>
      <c r="F307" s="9"/>
      <c r="G307" s="9"/>
      <c r="H307" s="9"/>
      <c r="I307" s="9" t="s">
        <v>1613</v>
      </c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</row>
    <row r="308" spans="1:27">
      <c r="A308" s="9" t="s">
        <v>1670</v>
      </c>
      <c r="B308" s="9" t="s">
        <v>219</v>
      </c>
      <c r="C308" s="9"/>
      <c r="D308" s="9"/>
      <c r="E308" s="9"/>
      <c r="F308" s="9"/>
      <c r="G308" s="9"/>
      <c r="H308" s="9"/>
      <c r="I308" s="9" t="s">
        <v>1614</v>
      </c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</row>
    <row r="309" spans="1:27">
      <c r="A309" s="9" t="s">
        <v>1671</v>
      </c>
      <c r="B309" s="9" t="s">
        <v>220</v>
      </c>
      <c r="C309" s="9"/>
      <c r="D309" s="9"/>
      <c r="E309" s="9"/>
      <c r="F309" s="9"/>
      <c r="G309" s="9"/>
      <c r="H309" s="9"/>
      <c r="I309" s="9" t="s">
        <v>1615</v>
      </c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</row>
    <row r="310" spans="1:27">
      <c r="A310" s="9" t="s">
        <v>1672</v>
      </c>
      <c r="B310" s="9" t="s">
        <v>221</v>
      </c>
      <c r="C310" s="9"/>
      <c r="D310" s="9"/>
      <c r="E310" s="9"/>
      <c r="F310" s="9"/>
      <c r="G310" s="9"/>
      <c r="H310" s="9"/>
      <c r="I310" s="9" t="s">
        <v>1616</v>
      </c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</row>
    <row r="311" spans="1:27">
      <c r="A311" s="9" t="s">
        <v>1673</v>
      </c>
      <c r="B311" s="9" t="s">
        <v>222</v>
      </c>
      <c r="C311" s="9"/>
      <c r="D311" s="9"/>
      <c r="E311" s="9"/>
      <c r="F311" s="9"/>
      <c r="G311" s="9"/>
      <c r="H311" s="9"/>
      <c r="I311" s="9" t="s">
        <v>1617</v>
      </c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</row>
    <row r="312" spans="1:27">
      <c r="A312" s="9" t="s">
        <v>1674</v>
      </c>
      <c r="B312" s="9" t="s">
        <v>223</v>
      </c>
      <c r="C312" s="9"/>
      <c r="D312" s="9"/>
      <c r="E312" s="9"/>
      <c r="F312" s="9"/>
      <c r="G312" s="9"/>
      <c r="H312" s="9"/>
      <c r="I312" s="9" t="s">
        <v>1618</v>
      </c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</row>
    <row r="313" spans="1:27">
      <c r="A313" s="9" t="s">
        <v>1675</v>
      </c>
      <c r="B313" s="9" t="s">
        <v>224</v>
      </c>
      <c r="C313" s="9"/>
      <c r="D313" s="9"/>
      <c r="E313" s="9"/>
      <c r="F313" s="9"/>
      <c r="G313" s="9"/>
      <c r="H313" s="9"/>
      <c r="I313" s="9" t="s">
        <v>1619</v>
      </c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</row>
    <row r="314" spans="1:27">
      <c r="A314" s="9" t="s">
        <v>1676</v>
      </c>
      <c r="B314" s="9" t="s">
        <v>225</v>
      </c>
      <c r="C314" s="9"/>
      <c r="D314" s="9"/>
      <c r="E314" s="9"/>
      <c r="F314" s="9"/>
      <c r="G314" s="9"/>
      <c r="H314" s="9"/>
      <c r="I314" s="9" t="s">
        <v>1620</v>
      </c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</row>
    <row r="315" spans="1:27">
      <c r="A315" s="9" t="s">
        <v>1677</v>
      </c>
      <c r="B315" s="9" t="s">
        <v>226</v>
      </c>
      <c r="C315" s="9"/>
      <c r="D315" s="9"/>
      <c r="E315" s="9"/>
      <c r="F315" s="9"/>
      <c r="G315" s="9"/>
      <c r="H315" s="9"/>
      <c r="I315" s="9" t="s">
        <v>1621</v>
      </c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</row>
    <row r="316" spans="1:27">
      <c r="A316" s="9" t="s">
        <v>1678</v>
      </c>
      <c r="B316" s="9" t="s">
        <v>227</v>
      </c>
      <c r="C316" s="9"/>
      <c r="D316" s="9"/>
      <c r="E316" s="9"/>
      <c r="F316" s="9"/>
      <c r="G316" s="9"/>
      <c r="H316" s="9"/>
      <c r="I316" s="9" t="s">
        <v>1622</v>
      </c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</row>
    <row r="317" spans="1:27">
      <c r="A317" s="9" t="s">
        <v>1679</v>
      </c>
      <c r="B317" s="9" t="s">
        <v>228</v>
      </c>
      <c r="C317" s="9"/>
      <c r="D317" s="9"/>
      <c r="E317" s="9"/>
      <c r="F317" s="9"/>
      <c r="G317" s="9"/>
      <c r="H317" s="9"/>
      <c r="I317" s="9" t="s">
        <v>1623</v>
      </c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</row>
    <row r="318" spans="1:27">
      <c r="A318" s="9" t="s">
        <v>1907</v>
      </c>
      <c r="B318" s="9" t="s">
        <v>2168</v>
      </c>
      <c r="C318" s="9"/>
      <c r="D318" s="9"/>
      <c r="E318" s="9"/>
      <c r="F318" s="9"/>
      <c r="G318" s="9"/>
      <c r="H318" s="9"/>
      <c r="I318" s="9" t="s">
        <v>1903</v>
      </c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</row>
    <row r="319" spans="1:27">
      <c r="A319" s="9" t="s">
        <v>1680</v>
      </c>
      <c r="B319" s="9" t="s">
        <v>229</v>
      </c>
      <c r="C319" s="9"/>
      <c r="D319" s="9"/>
      <c r="E319" s="9"/>
      <c r="F319" s="9"/>
      <c r="G319" s="9"/>
      <c r="H319" s="9"/>
      <c r="I319" s="9" t="s">
        <v>1624</v>
      </c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</row>
    <row r="320" spans="1:27">
      <c r="A320" s="9" t="s">
        <v>1681</v>
      </c>
      <c r="B320" s="9" t="s">
        <v>230</v>
      </c>
      <c r="C320" s="9"/>
      <c r="D320" s="9"/>
      <c r="E320" s="9"/>
      <c r="F320" s="9"/>
      <c r="G320" s="9"/>
      <c r="H320" s="9"/>
      <c r="I320" s="9" t="s">
        <v>1625</v>
      </c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</row>
    <row r="321" spans="1:27">
      <c r="A321" s="9" t="s">
        <v>2653</v>
      </c>
      <c r="B321" s="9" t="s">
        <v>2551</v>
      </c>
      <c r="C321" s="9"/>
      <c r="D321" s="9"/>
      <c r="E321" s="9"/>
      <c r="F321" s="9"/>
      <c r="G321" s="9"/>
      <c r="H321" s="9"/>
      <c r="I321" s="9" t="s">
        <v>2636</v>
      </c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</row>
    <row r="322" spans="1:27">
      <c r="A322" s="9" t="s">
        <v>1682</v>
      </c>
      <c r="B322" s="9" t="s">
        <v>237</v>
      </c>
      <c r="C322" s="9"/>
      <c r="D322" s="9"/>
      <c r="E322" s="9"/>
      <c r="F322" s="9"/>
      <c r="G322" s="9"/>
      <c r="H322" s="9"/>
      <c r="I322" s="9" t="s">
        <v>1626</v>
      </c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</row>
    <row r="323" spans="1:27">
      <c r="A323" s="9" t="s">
        <v>1683</v>
      </c>
      <c r="B323" s="9" t="s">
        <v>238</v>
      </c>
      <c r="C323" s="9"/>
      <c r="D323" s="9"/>
      <c r="E323" s="9"/>
      <c r="F323" s="9"/>
      <c r="G323" s="9"/>
      <c r="H323" s="9"/>
      <c r="I323" s="9" t="s">
        <v>1627</v>
      </c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</row>
    <row r="324" spans="1:27">
      <c r="A324" s="9" t="s">
        <v>1684</v>
      </c>
      <c r="B324" s="9" t="s">
        <v>231</v>
      </c>
      <c r="C324" s="9"/>
      <c r="D324" s="9"/>
      <c r="E324" s="9"/>
      <c r="F324" s="9"/>
      <c r="G324" s="9"/>
      <c r="H324" s="9"/>
      <c r="I324" s="9" t="s">
        <v>1628</v>
      </c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</row>
    <row r="325" spans="1:27">
      <c r="A325" s="9" t="s">
        <v>2654</v>
      </c>
      <c r="B325" s="9" t="s">
        <v>2552</v>
      </c>
      <c r="C325" s="9"/>
      <c r="D325" s="9"/>
      <c r="E325" s="9"/>
      <c r="F325" s="9"/>
      <c r="G325" s="9"/>
      <c r="H325" s="9"/>
      <c r="I325" s="9" t="s">
        <v>2638</v>
      </c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</row>
    <row r="326" spans="1:27">
      <c r="A326" s="9" t="s">
        <v>1908</v>
      </c>
      <c r="B326" s="9" t="s">
        <v>2169</v>
      </c>
      <c r="C326" s="9"/>
      <c r="D326" s="9"/>
      <c r="E326" s="9"/>
      <c r="F326" s="9"/>
      <c r="G326" s="9"/>
      <c r="H326" s="9"/>
      <c r="I326" s="9" t="s">
        <v>1904</v>
      </c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</row>
    <row r="327" spans="1:27">
      <c r="A327" s="9" t="s">
        <v>1685</v>
      </c>
      <c r="B327" s="9" t="s">
        <v>232</v>
      </c>
      <c r="C327" s="9"/>
      <c r="D327" s="9"/>
      <c r="E327" s="9"/>
      <c r="F327" s="9"/>
      <c r="G327" s="9"/>
      <c r="H327" s="9"/>
      <c r="I327" s="9" t="s">
        <v>1629</v>
      </c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</row>
    <row r="328" spans="1:27">
      <c r="A328" s="9" t="s">
        <v>1686</v>
      </c>
      <c r="B328" s="9" t="s">
        <v>2271</v>
      </c>
      <c r="C328" s="9"/>
      <c r="D328" s="9"/>
      <c r="E328" s="9"/>
      <c r="F328" s="9"/>
      <c r="G328" s="9"/>
      <c r="H328" s="9"/>
      <c r="I328" s="9" t="s">
        <v>1630</v>
      </c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</row>
    <row r="329" spans="1:27">
      <c r="A329" s="9" t="s">
        <v>2298</v>
      </c>
      <c r="B329" s="9" t="s">
        <v>243</v>
      </c>
      <c r="C329" s="9"/>
      <c r="D329" s="9"/>
      <c r="E329" s="9"/>
      <c r="F329" s="9"/>
      <c r="G329" s="9"/>
      <c r="H329" s="9"/>
      <c r="I329" s="9" t="s">
        <v>2295</v>
      </c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</row>
    <row r="330" spans="1:27">
      <c r="A330" s="9" t="s">
        <v>1740</v>
      </c>
      <c r="B330" s="9" t="s">
        <v>2418</v>
      </c>
      <c r="C330" s="9"/>
      <c r="D330" s="9"/>
      <c r="E330" s="9"/>
      <c r="F330" s="9"/>
      <c r="G330" s="9"/>
      <c r="H330" s="9"/>
      <c r="I330" s="9" t="s">
        <v>1519</v>
      </c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</row>
    <row r="331" spans="1:27">
      <c r="A331" s="9" t="s">
        <v>1741</v>
      </c>
      <c r="B331" s="9" t="s">
        <v>2419</v>
      </c>
      <c r="C331" s="9"/>
      <c r="D331" s="9"/>
      <c r="E331" s="9"/>
      <c r="F331" s="9"/>
      <c r="G331" s="9"/>
      <c r="H331" s="9"/>
      <c r="I331" s="9" t="s">
        <v>1520</v>
      </c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</row>
    <row r="332" spans="1:27">
      <c r="A332" s="9" t="s">
        <v>1742</v>
      </c>
      <c r="B332" s="9" t="s">
        <v>2420</v>
      </c>
      <c r="C332" s="9"/>
      <c r="D332" s="9"/>
      <c r="E332" s="9"/>
      <c r="F332" s="9"/>
      <c r="G332" s="9"/>
      <c r="H332" s="9"/>
      <c r="I332" s="9" t="s">
        <v>1521</v>
      </c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</row>
    <row r="333" spans="1:27">
      <c r="A333" s="9" t="s">
        <v>1743</v>
      </c>
      <c r="B333" s="9" t="s">
        <v>2554</v>
      </c>
      <c r="C333" s="9"/>
      <c r="D333" s="9"/>
      <c r="E333" s="9"/>
      <c r="F333" s="9"/>
      <c r="G333" s="9"/>
      <c r="H333" s="9"/>
      <c r="I333" s="9" t="s">
        <v>1522</v>
      </c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</row>
    <row r="334" spans="1:27">
      <c r="A334" s="9" t="s">
        <v>1744</v>
      </c>
      <c r="B334" s="9" t="s">
        <v>2421</v>
      </c>
      <c r="C334" s="9"/>
      <c r="D334" s="9"/>
      <c r="E334" s="9"/>
      <c r="F334" s="9"/>
      <c r="G334" s="9"/>
      <c r="H334" s="9"/>
      <c r="I334" s="9" t="s">
        <v>1523</v>
      </c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</row>
    <row r="335" spans="1:27">
      <c r="A335" s="9" t="s">
        <v>1745</v>
      </c>
      <c r="B335" s="9" t="s">
        <v>2555</v>
      </c>
      <c r="C335" s="9"/>
      <c r="D335" s="9"/>
      <c r="E335" s="9"/>
      <c r="F335" s="9"/>
      <c r="G335" s="9"/>
      <c r="H335" s="9"/>
      <c r="I335" s="9" t="s">
        <v>1524</v>
      </c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</row>
    <row r="336" spans="1:27">
      <c r="A336" s="9" t="s">
        <v>1746</v>
      </c>
      <c r="B336" s="9" t="s">
        <v>2422</v>
      </c>
      <c r="C336" s="9"/>
      <c r="D336" s="9"/>
      <c r="E336" s="9"/>
      <c r="F336" s="9"/>
      <c r="G336" s="9"/>
      <c r="H336" s="9"/>
      <c r="I336" s="9" t="s">
        <v>1525</v>
      </c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</row>
    <row r="337" spans="1:27">
      <c r="A337" s="9" t="s">
        <v>1747</v>
      </c>
      <c r="B337" s="9" t="s">
        <v>2423</v>
      </c>
      <c r="C337" s="9"/>
      <c r="D337" s="9"/>
      <c r="E337" s="9"/>
      <c r="F337" s="9"/>
      <c r="G337" s="9"/>
      <c r="H337" s="9"/>
      <c r="I337" s="9" t="s">
        <v>2263</v>
      </c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</row>
    <row r="338" spans="1:27">
      <c r="A338" s="9" t="s">
        <v>1748</v>
      </c>
      <c r="B338" s="9" t="s">
        <v>2556</v>
      </c>
      <c r="C338" s="9"/>
      <c r="D338" s="9"/>
      <c r="E338" s="9"/>
      <c r="F338" s="9"/>
      <c r="G338" s="9"/>
      <c r="H338" s="9"/>
      <c r="I338" s="9" t="s">
        <v>1526</v>
      </c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</row>
    <row r="339" spans="1:27">
      <c r="A339" s="9" t="s">
        <v>1749</v>
      </c>
      <c r="B339" s="9" t="s">
        <v>2424</v>
      </c>
      <c r="C339" s="9"/>
      <c r="D339" s="9"/>
      <c r="E339" s="9"/>
      <c r="F339" s="9"/>
      <c r="G339" s="9"/>
      <c r="H339" s="9"/>
      <c r="I339" s="9" t="s">
        <v>1527</v>
      </c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</row>
    <row r="340" spans="1:27">
      <c r="A340" s="9" t="s">
        <v>1750</v>
      </c>
      <c r="B340" s="9" t="s">
        <v>2425</v>
      </c>
      <c r="C340" s="9"/>
      <c r="D340" s="9"/>
      <c r="E340" s="9"/>
      <c r="F340" s="9"/>
      <c r="G340" s="9"/>
      <c r="H340" s="9"/>
      <c r="I340" s="9" t="s">
        <v>1528</v>
      </c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</row>
    <row r="341" spans="1:27">
      <c r="A341" s="9" t="s">
        <v>1751</v>
      </c>
      <c r="B341" s="9" t="s">
        <v>2557</v>
      </c>
      <c r="C341" s="9"/>
      <c r="D341" s="9"/>
      <c r="E341" s="9"/>
      <c r="F341" s="9"/>
      <c r="G341" s="9"/>
      <c r="H341" s="9"/>
      <c r="I341" s="9" t="s">
        <v>1529</v>
      </c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</row>
    <row r="342" spans="1:27">
      <c r="A342" s="9" t="s">
        <v>1752</v>
      </c>
      <c r="B342" s="9" t="s">
        <v>2426</v>
      </c>
      <c r="C342" s="9"/>
      <c r="D342" s="9"/>
      <c r="E342" s="9"/>
      <c r="F342" s="9"/>
      <c r="G342" s="9"/>
      <c r="H342" s="9"/>
      <c r="I342" s="9" t="s">
        <v>1530</v>
      </c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</row>
    <row r="343" spans="1:27">
      <c r="A343" s="9" t="s">
        <v>1753</v>
      </c>
      <c r="B343" s="9" t="s">
        <v>2427</v>
      </c>
      <c r="C343" s="9"/>
      <c r="D343" s="9"/>
      <c r="E343" s="9"/>
      <c r="F343" s="9"/>
      <c r="G343" s="9"/>
      <c r="H343" s="9"/>
      <c r="I343" s="9" t="s">
        <v>1531</v>
      </c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</row>
    <row r="344" spans="1:27">
      <c r="A344" s="9" t="s">
        <v>1754</v>
      </c>
      <c r="B344" s="9" t="s">
        <v>2428</v>
      </c>
      <c r="C344" s="9"/>
      <c r="D344" s="9"/>
      <c r="E344" s="9"/>
      <c r="F344" s="9"/>
      <c r="G344" s="9"/>
      <c r="H344" s="9"/>
      <c r="I344" s="9" t="s">
        <v>1532</v>
      </c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</row>
    <row r="345" spans="1:27">
      <c r="A345" s="9" t="s">
        <v>1755</v>
      </c>
      <c r="B345" s="9" t="s">
        <v>2429</v>
      </c>
      <c r="C345" s="9"/>
      <c r="D345" s="9"/>
      <c r="E345" s="9"/>
      <c r="F345" s="9"/>
      <c r="G345" s="9"/>
      <c r="H345" s="9"/>
      <c r="I345" s="9" t="s">
        <v>1533</v>
      </c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</row>
    <row r="346" spans="1:27">
      <c r="A346" s="9" t="s">
        <v>1756</v>
      </c>
      <c r="B346" s="9" t="s">
        <v>2430</v>
      </c>
      <c r="C346" s="9"/>
      <c r="D346" s="9"/>
      <c r="E346" s="9"/>
      <c r="F346" s="9"/>
      <c r="G346" s="9"/>
      <c r="H346" s="9"/>
      <c r="I346" s="9" t="s">
        <v>1534</v>
      </c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</row>
    <row r="347" spans="1:27">
      <c r="A347" s="9" t="s">
        <v>2562</v>
      </c>
      <c r="B347" s="9" t="s">
        <v>2559</v>
      </c>
      <c r="C347" s="9"/>
      <c r="D347" s="9"/>
      <c r="E347" s="9"/>
      <c r="F347" s="9"/>
      <c r="G347" s="9"/>
      <c r="H347" s="9"/>
      <c r="I347" s="9" t="s">
        <v>1535</v>
      </c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</row>
    <row r="348" spans="1:27">
      <c r="A348" s="9" t="s">
        <v>1757</v>
      </c>
      <c r="B348" s="9" t="s">
        <v>2564</v>
      </c>
      <c r="C348" s="9"/>
      <c r="D348" s="9"/>
      <c r="E348" s="9"/>
      <c r="F348" s="9"/>
      <c r="G348" s="9"/>
      <c r="H348" s="9"/>
      <c r="I348" s="9" t="s">
        <v>1536</v>
      </c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</row>
    <row r="349" spans="1:27">
      <c r="A349" s="9" t="s">
        <v>1758</v>
      </c>
      <c r="B349" s="9" t="s">
        <v>2565</v>
      </c>
      <c r="C349" s="9"/>
      <c r="D349" s="9"/>
      <c r="E349" s="9"/>
      <c r="F349" s="9"/>
      <c r="G349" s="9"/>
      <c r="H349" s="9"/>
      <c r="I349" s="9" t="s">
        <v>1537</v>
      </c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</row>
    <row r="350" spans="1:27">
      <c r="A350" s="9" t="s">
        <v>1759</v>
      </c>
      <c r="B350" s="9" t="s">
        <v>2431</v>
      </c>
      <c r="C350" s="9"/>
      <c r="D350" s="9"/>
      <c r="E350" s="9"/>
      <c r="F350" s="9"/>
      <c r="G350" s="9"/>
      <c r="H350" s="9"/>
      <c r="I350" s="9" t="s">
        <v>1538</v>
      </c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</row>
    <row r="351" spans="1:27">
      <c r="A351" s="9" t="s">
        <v>1760</v>
      </c>
      <c r="B351" s="9" t="s">
        <v>2432</v>
      </c>
      <c r="C351" s="9"/>
      <c r="D351" s="9"/>
      <c r="E351" s="9"/>
      <c r="F351" s="9"/>
      <c r="G351" s="9"/>
      <c r="H351" s="9"/>
      <c r="I351" s="9" t="s">
        <v>1539</v>
      </c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</row>
    <row r="352" spans="1:27">
      <c r="A352" s="9" t="s">
        <v>1761</v>
      </c>
      <c r="B352" s="9" t="s">
        <v>2433</v>
      </c>
      <c r="C352" s="9"/>
      <c r="D352" s="9"/>
      <c r="E352" s="9"/>
      <c r="F352" s="9"/>
      <c r="G352" s="9"/>
      <c r="H352" s="9"/>
      <c r="I352" s="9" t="s">
        <v>1897</v>
      </c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</row>
    <row r="353" spans="1:27">
      <c r="A353" s="9" t="s">
        <v>1762</v>
      </c>
      <c r="B353" s="9" t="s">
        <v>2434</v>
      </c>
      <c r="C353" s="9"/>
      <c r="D353" s="9"/>
      <c r="E353" s="9"/>
      <c r="F353" s="9"/>
      <c r="G353" s="9"/>
      <c r="H353" s="9"/>
      <c r="I353" s="9" t="s">
        <v>2640</v>
      </c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</row>
    <row r="354" spans="1:27">
      <c r="A354" s="9" t="s">
        <v>1763</v>
      </c>
      <c r="B354" s="9" t="s">
        <v>2435</v>
      </c>
      <c r="C354" s="9"/>
      <c r="D354" s="9"/>
      <c r="E354" s="9"/>
      <c r="F354" s="9"/>
      <c r="G354" s="9"/>
      <c r="H354" s="9"/>
      <c r="I354" s="9" t="s">
        <v>1898</v>
      </c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</row>
    <row r="355" spans="1:27">
      <c r="A355" s="9" t="s">
        <v>1764</v>
      </c>
      <c r="B355" s="9" t="s">
        <v>2436</v>
      </c>
      <c r="C355" s="9"/>
      <c r="D355" s="9"/>
      <c r="E355" s="9"/>
      <c r="F355" s="9"/>
      <c r="G355" s="9"/>
      <c r="H355" s="9"/>
      <c r="I355" s="9" t="s">
        <v>1540</v>
      </c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</row>
    <row r="356" spans="1:27">
      <c r="A356" s="9" t="s">
        <v>1765</v>
      </c>
      <c r="B356" s="9" t="s">
        <v>2437</v>
      </c>
      <c r="C356" s="9"/>
      <c r="D356" s="9"/>
      <c r="E356" s="9"/>
      <c r="F356" s="9"/>
      <c r="G356" s="9"/>
      <c r="H356" s="9"/>
      <c r="I356" s="9" t="s">
        <v>1541</v>
      </c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</row>
    <row r="357" spans="1:27">
      <c r="A357" s="9" t="s">
        <v>1766</v>
      </c>
      <c r="B357" s="9" t="s">
        <v>2438</v>
      </c>
      <c r="C357" s="9"/>
      <c r="D357" s="9"/>
      <c r="E357" s="9"/>
      <c r="F357" s="9"/>
      <c r="G357" s="9"/>
      <c r="H357" s="9"/>
      <c r="I357" s="9" t="s">
        <v>1542</v>
      </c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</row>
    <row r="358" spans="1:27">
      <c r="A358" s="9" t="s">
        <v>1767</v>
      </c>
      <c r="B358" s="9" t="s">
        <v>2439</v>
      </c>
      <c r="C358" s="9"/>
      <c r="D358" s="9"/>
      <c r="E358" s="9"/>
      <c r="F358" s="9"/>
      <c r="G358" s="9"/>
      <c r="H358" s="9"/>
      <c r="I358" s="9" t="s">
        <v>1543</v>
      </c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</row>
    <row r="359" spans="1:27">
      <c r="A359" s="9" t="s">
        <v>1768</v>
      </c>
      <c r="B359" s="9" t="s">
        <v>2440</v>
      </c>
      <c r="C359" s="9"/>
      <c r="D359" s="9"/>
      <c r="E359" s="9"/>
      <c r="F359" s="9"/>
      <c r="G359" s="9"/>
      <c r="H359" s="9"/>
      <c r="I359" s="9" t="s">
        <v>1544</v>
      </c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</row>
    <row r="360" spans="1:27">
      <c r="A360" s="9" t="s">
        <v>1769</v>
      </c>
      <c r="B360" s="9" t="s">
        <v>2568</v>
      </c>
      <c r="C360" s="9"/>
      <c r="D360" s="9"/>
      <c r="E360" s="9"/>
      <c r="F360" s="9"/>
      <c r="G360" s="9"/>
      <c r="H360" s="9"/>
      <c r="I360" s="9" t="s">
        <v>1545</v>
      </c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</row>
    <row r="361" spans="1:27">
      <c r="A361" s="9" t="s">
        <v>2236</v>
      </c>
      <c r="B361" s="9" t="s">
        <v>2441</v>
      </c>
      <c r="C361" s="9"/>
      <c r="D361" s="9"/>
      <c r="E361" s="9"/>
      <c r="F361" s="9"/>
      <c r="G361" s="9"/>
      <c r="H361" s="9"/>
      <c r="I361" s="9" t="s">
        <v>1546</v>
      </c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</row>
    <row r="362" spans="1:27">
      <c r="A362" s="9" t="s">
        <v>2573</v>
      </c>
      <c r="B362" s="9" t="s">
        <v>2570</v>
      </c>
      <c r="C362" s="9"/>
      <c r="D362" s="9"/>
      <c r="E362" s="9"/>
      <c r="F362" s="9"/>
      <c r="G362" s="9"/>
      <c r="H362" s="9"/>
      <c r="I362" s="9" t="s">
        <v>1547</v>
      </c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</row>
    <row r="363" spans="1:27">
      <c r="A363" s="9" t="s">
        <v>2579</v>
      </c>
      <c r="B363" s="9" t="s">
        <v>2576</v>
      </c>
      <c r="C363" s="9"/>
      <c r="D363" s="9"/>
      <c r="E363" s="9"/>
      <c r="F363" s="9"/>
      <c r="G363" s="9"/>
      <c r="H363" s="9"/>
      <c r="I363" s="9" t="s">
        <v>1548</v>
      </c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</row>
    <row r="364" spans="1:27">
      <c r="A364" s="9" t="s">
        <v>2585</v>
      </c>
      <c r="B364" s="9" t="s">
        <v>2582</v>
      </c>
      <c r="C364" s="9"/>
      <c r="D364" s="9"/>
      <c r="E364" s="9"/>
      <c r="F364" s="9"/>
      <c r="G364" s="9"/>
      <c r="H364" s="9"/>
      <c r="I364" s="9" t="s">
        <v>1549</v>
      </c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</row>
    <row r="365" spans="1:27">
      <c r="A365" s="9" t="s">
        <v>1770</v>
      </c>
      <c r="B365" s="9" t="s">
        <v>2442</v>
      </c>
      <c r="C365" s="9"/>
      <c r="D365" s="9"/>
      <c r="E365" s="9"/>
      <c r="F365" s="9"/>
      <c r="G365" s="9"/>
      <c r="H365" s="9"/>
      <c r="I365" s="9" t="s">
        <v>1550</v>
      </c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</row>
    <row r="366" spans="1:27">
      <c r="A366" s="9" t="s">
        <v>1771</v>
      </c>
      <c r="B366" s="9" t="s">
        <v>2443</v>
      </c>
      <c r="C366" s="9"/>
      <c r="D366" s="9"/>
      <c r="E366" s="9"/>
      <c r="F366" s="9"/>
      <c r="G366" s="9"/>
      <c r="H366" s="9"/>
      <c r="I366" s="9" t="s">
        <v>1551</v>
      </c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</row>
    <row r="367" spans="1:27">
      <c r="A367" s="9" t="s">
        <v>1772</v>
      </c>
      <c r="B367" s="9" t="s">
        <v>2444</v>
      </c>
      <c r="C367" s="9"/>
      <c r="D367" s="9"/>
      <c r="E367" s="9"/>
      <c r="F367" s="9"/>
      <c r="G367" s="9"/>
      <c r="H367" s="9"/>
      <c r="I367" s="9" t="s">
        <v>1552</v>
      </c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</row>
    <row r="368" spans="1:27">
      <c r="A368" s="9" t="s">
        <v>1773</v>
      </c>
      <c r="B368" s="9" t="s">
        <v>2445</v>
      </c>
      <c r="C368" s="9"/>
      <c r="D368" s="9"/>
      <c r="E368" s="9"/>
      <c r="F368" s="9"/>
      <c r="G368" s="9"/>
      <c r="H368" s="9"/>
      <c r="I368" s="9" t="s">
        <v>1553</v>
      </c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</row>
    <row r="369" spans="1:27">
      <c r="A369" s="9" t="s">
        <v>1776</v>
      </c>
      <c r="B369" s="9" t="s">
        <v>2587</v>
      </c>
      <c r="C369" s="9"/>
      <c r="D369" s="9"/>
      <c r="E369" s="9"/>
      <c r="F369" s="9"/>
      <c r="G369" s="9"/>
      <c r="H369" s="9"/>
      <c r="I369" s="9" t="s">
        <v>1554</v>
      </c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</row>
    <row r="370" spans="1:27">
      <c r="A370" s="9" t="s">
        <v>2592</v>
      </c>
      <c r="B370" s="9" t="s">
        <v>2589</v>
      </c>
      <c r="C370" s="9"/>
      <c r="D370" s="9"/>
      <c r="E370" s="9"/>
      <c r="F370" s="9"/>
      <c r="G370" s="9"/>
      <c r="H370" s="9"/>
      <c r="I370" s="9" t="s">
        <v>1555</v>
      </c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</row>
    <row r="371" spans="1:27">
      <c r="A371" s="9" t="s">
        <v>1777</v>
      </c>
      <c r="B371" s="9" t="s">
        <v>2594</v>
      </c>
      <c r="C371" s="9"/>
      <c r="D371" s="9"/>
      <c r="E371" s="9"/>
      <c r="F371" s="9"/>
      <c r="G371" s="9"/>
      <c r="H371" s="9"/>
      <c r="I371" s="9" t="s">
        <v>1556</v>
      </c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</row>
    <row r="372" spans="1:27">
      <c r="A372" s="9" t="s">
        <v>1774</v>
      </c>
      <c r="B372" s="9" t="s">
        <v>2446</v>
      </c>
      <c r="C372" s="9"/>
      <c r="D372" s="9"/>
      <c r="E372" s="9"/>
      <c r="F372" s="9"/>
      <c r="G372" s="9"/>
      <c r="H372" s="9"/>
      <c r="I372" s="9" t="s">
        <v>1557</v>
      </c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</row>
    <row r="373" spans="1:27">
      <c r="A373" s="9" t="s">
        <v>1775</v>
      </c>
      <c r="B373" s="9" t="s">
        <v>2447</v>
      </c>
      <c r="C373" s="9"/>
      <c r="D373" s="9"/>
      <c r="E373" s="9"/>
      <c r="F373" s="9"/>
      <c r="G373" s="9"/>
      <c r="H373" s="9"/>
      <c r="I373" s="9" t="s">
        <v>1558</v>
      </c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</row>
    <row r="374" spans="1:27">
      <c r="A374" s="9" t="s">
        <v>1778</v>
      </c>
      <c r="B374" s="9" t="s">
        <v>2448</v>
      </c>
      <c r="C374" s="9"/>
      <c r="D374" s="9"/>
      <c r="E374" s="9"/>
      <c r="F374" s="9"/>
      <c r="G374" s="9"/>
      <c r="H374" s="9"/>
      <c r="I374" s="9" t="s">
        <v>1559</v>
      </c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</row>
    <row r="375" spans="1:27">
      <c r="A375" s="9" t="s">
        <v>1779</v>
      </c>
      <c r="B375" s="9" t="s">
        <v>2449</v>
      </c>
      <c r="C375" s="9"/>
      <c r="D375" s="9"/>
      <c r="E375" s="9"/>
      <c r="F375" s="9"/>
      <c r="G375" s="9"/>
      <c r="H375" s="9"/>
      <c r="I375" s="9" t="s">
        <v>1560</v>
      </c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</row>
    <row r="376" spans="1:27">
      <c r="A376" s="9" t="s">
        <v>1780</v>
      </c>
      <c r="B376" s="9" t="s">
        <v>2595</v>
      </c>
      <c r="C376" s="9"/>
      <c r="D376" s="9"/>
      <c r="E376" s="9"/>
      <c r="F376" s="9"/>
      <c r="G376" s="9"/>
      <c r="H376" s="9"/>
      <c r="I376" s="9" t="s">
        <v>1561</v>
      </c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</row>
    <row r="377" spans="1:27">
      <c r="A377" s="9" t="s">
        <v>1781</v>
      </c>
      <c r="B377" s="9" t="s">
        <v>2450</v>
      </c>
      <c r="C377" s="9"/>
      <c r="D377" s="9"/>
      <c r="E377" s="9"/>
      <c r="F377" s="9"/>
      <c r="G377" s="9"/>
      <c r="H377" s="9"/>
      <c r="I377" s="9" t="s">
        <v>1562</v>
      </c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</row>
    <row r="378" spans="1:27">
      <c r="A378" s="9" t="s">
        <v>1782</v>
      </c>
      <c r="B378" s="9" t="s">
        <v>2451</v>
      </c>
      <c r="C378" s="9"/>
      <c r="D378" s="9"/>
      <c r="E378" s="9"/>
      <c r="F378" s="9"/>
      <c r="G378" s="9"/>
      <c r="H378" s="9"/>
      <c r="I378" s="9" t="s">
        <v>1563</v>
      </c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</row>
    <row r="379" spans="1:27">
      <c r="A379" s="9" t="s">
        <v>1783</v>
      </c>
      <c r="B379" s="9" t="s">
        <v>2596</v>
      </c>
      <c r="C379" s="9"/>
      <c r="D379" s="9"/>
      <c r="E379" s="9"/>
      <c r="F379" s="9"/>
      <c r="G379" s="9"/>
      <c r="H379" s="9"/>
      <c r="I379" s="9" t="s">
        <v>1564</v>
      </c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</row>
    <row r="380" spans="1:27">
      <c r="A380" s="9" t="s">
        <v>2601</v>
      </c>
      <c r="B380" s="9" t="s">
        <v>2598</v>
      </c>
      <c r="C380" s="9"/>
      <c r="D380" s="9"/>
      <c r="E380" s="9"/>
      <c r="F380" s="9"/>
      <c r="G380" s="9"/>
      <c r="H380" s="9"/>
      <c r="I380" s="9" t="s">
        <v>1565</v>
      </c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</row>
    <row r="381" spans="1:27">
      <c r="A381" s="9" t="s">
        <v>1784</v>
      </c>
      <c r="B381" s="9" t="s">
        <v>2452</v>
      </c>
      <c r="C381" s="9"/>
      <c r="D381" s="9"/>
      <c r="E381" s="9"/>
      <c r="F381" s="9"/>
      <c r="G381" s="9"/>
      <c r="H381" s="9"/>
      <c r="I381" s="9" t="s">
        <v>1566</v>
      </c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</row>
    <row r="382" spans="1:27">
      <c r="A382" s="9" t="s">
        <v>1785</v>
      </c>
      <c r="B382" s="9" t="s">
        <v>2603</v>
      </c>
      <c r="C382" s="9"/>
      <c r="D382" s="9"/>
      <c r="E382" s="9"/>
      <c r="F382" s="9"/>
      <c r="G382" s="9"/>
      <c r="H382" s="9"/>
      <c r="I382" s="9" t="s">
        <v>1567</v>
      </c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</row>
    <row r="383" spans="1:27">
      <c r="A383" s="9" t="s">
        <v>1786</v>
      </c>
      <c r="B383" s="9" t="s">
        <v>2453</v>
      </c>
      <c r="C383" s="9"/>
      <c r="D383" s="9"/>
      <c r="E383" s="9"/>
      <c r="F383" s="9"/>
      <c r="G383" s="9"/>
      <c r="H383" s="9"/>
      <c r="I383" s="9" t="s">
        <v>1899</v>
      </c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</row>
    <row r="384" spans="1:27">
      <c r="A384" s="9" t="s">
        <v>2608</v>
      </c>
      <c r="B384" s="9" t="s">
        <v>2605</v>
      </c>
      <c r="C384" s="9"/>
      <c r="D384" s="9"/>
      <c r="E384" s="9"/>
      <c r="F384" s="9"/>
      <c r="G384" s="9"/>
      <c r="H384" s="9"/>
      <c r="I384" s="9" t="s">
        <v>1568</v>
      </c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</row>
    <row r="385" spans="1:27">
      <c r="A385" s="9" t="s">
        <v>2237</v>
      </c>
      <c r="B385" s="9" t="s">
        <v>2454</v>
      </c>
      <c r="C385" s="9"/>
      <c r="D385" s="9"/>
      <c r="E385" s="9"/>
      <c r="F385" s="9"/>
      <c r="G385" s="9"/>
      <c r="H385" s="9"/>
      <c r="I385" s="9" t="s">
        <v>1569</v>
      </c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</row>
    <row r="386" spans="1:27">
      <c r="A386" s="9" t="s">
        <v>1787</v>
      </c>
      <c r="B386" s="9" t="s">
        <v>2455</v>
      </c>
      <c r="C386" s="9"/>
      <c r="D386" s="9"/>
      <c r="E386" s="9"/>
      <c r="F386" s="9"/>
      <c r="G386" s="9"/>
      <c r="H386" s="9"/>
      <c r="I386" s="9" t="s">
        <v>2642</v>
      </c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</row>
    <row r="387" spans="1:27">
      <c r="A387" s="9" t="s">
        <v>1788</v>
      </c>
      <c r="B387" s="9" t="s">
        <v>2456</v>
      </c>
      <c r="C387" s="9"/>
      <c r="D387" s="9"/>
      <c r="E387" s="9"/>
      <c r="F387" s="9"/>
      <c r="G387" s="9"/>
      <c r="H387" s="9"/>
      <c r="I387" s="9" t="s">
        <v>1570</v>
      </c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</row>
    <row r="388" spans="1:27">
      <c r="A388" s="9" t="s">
        <v>2616</v>
      </c>
      <c r="B388" s="9" t="s">
        <v>2613</v>
      </c>
      <c r="C388" s="9"/>
      <c r="D388" s="9"/>
      <c r="E388" s="9"/>
      <c r="F388" s="9"/>
      <c r="G388" s="9"/>
      <c r="H388" s="9"/>
      <c r="I388" s="9" t="s">
        <v>1571</v>
      </c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</row>
    <row r="389" spans="1:27">
      <c r="A389" s="9" t="s">
        <v>2325</v>
      </c>
      <c r="B389" s="9" t="s">
        <v>2457</v>
      </c>
      <c r="C389" s="9"/>
      <c r="D389" s="9"/>
      <c r="E389" s="9"/>
      <c r="F389" s="9"/>
      <c r="G389" s="9"/>
      <c r="H389" s="9"/>
      <c r="I389" s="9" t="s">
        <v>1572</v>
      </c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</row>
    <row r="390" spans="1:27">
      <c r="A390" s="9" t="s">
        <v>1789</v>
      </c>
      <c r="B390" s="9" t="s">
        <v>2618</v>
      </c>
      <c r="C390" s="9"/>
      <c r="D390" s="9"/>
      <c r="E390" s="9"/>
      <c r="F390" s="9"/>
      <c r="G390" s="9"/>
      <c r="H390" s="9"/>
      <c r="I390" s="9" t="s">
        <v>2644</v>
      </c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</row>
    <row r="391" spans="1:27">
      <c r="A391" s="9" t="s">
        <v>1790</v>
      </c>
      <c r="B391" s="9" t="s">
        <v>2621</v>
      </c>
      <c r="C391" s="9"/>
      <c r="D391" s="9"/>
      <c r="E391" s="9"/>
      <c r="F391" s="9"/>
      <c r="G391" s="9"/>
      <c r="H391" s="9"/>
      <c r="I391" s="9" t="s">
        <v>1900</v>
      </c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</row>
    <row r="392" spans="1:27">
      <c r="A392" s="9" t="s">
        <v>2626</v>
      </c>
      <c r="B392" s="9" t="s">
        <v>2623</v>
      </c>
      <c r="C392" s="9"/>
      <c r="D392" s="9"/>
      <c r="E392" s="9"/>
      <c r="F392" s="9"/>
      <c r="G392" s="9"/>
      <c r="H392" s="9"/>
      <c r="I392" s="9" t="s">
        <v>1573</v>
      </c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</row>
    <row r="393" spans="1:27">
      <c r="A393" s="9" t="s">
        <v>2632</v>
      </c>
      <c r="B393" s="9" t="s">
        <v>2629</v>
      </c>
      <c r="C393" s="9"/>
      <c r="D393" s="9"/>
      <c r="E393" s="9"/>
      <c r="F393" s="9"/>
      <c r="G393" s="9"/>
      <c r="H393" s="9"/>
      <c r="I393" s="9" t="s">
        <v>1574</v>
      </c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</row>
    <row r="394" spans="1:27">
      <c r="A394" s="9" t="s">
        <v>1791</v>
      </c>
      <c r="B394" s="9" t="s">
        <v>2458</v>
      </c>
      <c r="C394" s="9"/>
      <c r="D394" s="9"/>
      <c r="E394" s="9"/>
      <c r="F394" s="9"/>
      <c r="G394" s="9"/>
      <c r="H394" s="9"/>
      <c r="I394" s="9" t="s">
        <v>2296</v>
      </c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</row>
    <row r="395" spans="1:27">
      <c r="A395" s="9" t="s">
        <v>1</v>
      </c>
      <c r="B395" s="9" t="s">
        <v>27</v>
      </c>
      <c r="C395" s="9"/>
      <c r="D395" s="9"/>
      <c r="E395" s="9"/>
      <c r="F395" s="9"/>
      <c r="G395" s="9"/>
      <c r="H395" s="9"/>
      <c r="I395" s="9" t="s">
        <v>1463</v>
      </c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</row>
    <row r="396" spans="1:27">
      <c r="A396" s="9" t="s">
        <v>927</v>
      </c>
      <c r="B396" s="9" t="s">
        <v>2326</v>
      </c>
      <c r="C396" s="9"/>
      <c r="D396" s="9"/>
      <c r="E396" s="9"/>
      <c r="F396" s="9"/>
      <c r="G396" s="9"/>
      <c r="H396" s="9"/>
      <c r="I396" s="9" t="s">
        <v>1464</v>
      </c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</row>
    <row r="397" spans="1:27">
      <c r="A397" s="9" t="s">
        <v>928</v>
      </c>
      <c r="B397" s="9" t="s">
        <v>2327</v>
      </c>
      <c r="C397" s="9"/>
      <c r="D397" s="9"/>
      <c r="E397" s="9"/>
      <c r="F397" s="9"/>
      <c r="G397" s="9"/>
      <c r="H397" s="9"/>
      <c r="I397" s="9" t="s">
        <v>1465</v>
      </c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</row>
    <row r="398" spans="1:27">
      <c r="A398" s="9" t="s">
        <v>929</v>
      </c>
      <c r="B398" s="9" t="s">
        <v>2328</v>
      </c>
      <c r="C398" s="9"/>
      <c r="D398" s="9"/>
      <c r="E398" s="9"/>
      <c r="F398" s="9"/>
      <c r="G398" s="9"/>
      <c r="H398" s="9"/>
      <c r="I398" s="9" t="s">
        <v>1466</v>
      </c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</row>
    <row r="399" spans="1:27">
      <c r="A399" s="9" t="s">
        <v>930</v>
      </c>
      <c r="B399" s="9" t="s">
        <v>2329</v>
      </c>
      <c r="C399" s="9"/>
      <c r="D399" s="9"/>
      <c r="E399" s="9"/>
      <c r="F399" s="9"/>
      <c r="G399" s="9"/>
      <c r="H399" s="9"/>
      <c r="I399" s="9" t="s">
        <v>1467</v>
      </c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</row>
    <row r="400" spans="1:27">
      <c r="A400" s="9" t="s">
        <v>931</v>
      </c>
      <c r="B400" s="9" t="s">
        <v>2330</v>
      </c>
      <c r="C400" s="9"/>
      <c r="D400" s="9"/>
      <c r="E400" s="9"/>
      <c r="F400" s="9"/>
      <c r="G400" s="9"/>
      <c r="H400" s="9"/>
      <c r="I400" s="9" t="s">
        <v>1468</v>
      </c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</row>
    <row r="401" spans="1:27">
      <c r="A401" s="9" t="s">
        <v>2</v>
      </c>
      <c r="B401" s="9" t="s">
        <v>2331</v>
      </c>
      <c r="C401" s="9"/>
      <c r="D401" s="9"/>
      <c r="E401" s="9"/>
      <c r="F401" s="9"/>
      <c r="G401" s="9"/>
      <c r="H401" s="9"/>
      <c r="I401" s="9" t="s">
        <v>1469</v>
      </c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</row>
    <row r="402" spans="1:27">
      <c r="A402" s="9" t="s">
        <v>236</v>
      </c>
      <c r="B402" s="9" t="s">
        <v>2332</v>
      </c>
      <c r="C402" s="9"/>
      <c r="D402" s="9"/>
      <c r="E402" s="9"/>
      <c r="F402" s="9"/>
      <c r="G402" s="9"/>
      <c r="H402" s="9"/>
      <c r="I402" s="9" t="s">
        <v>2262</v>
      </c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</row>
    <row r="403" spans="1:27">
      <c r="A403" s="9" t="s">
        <v>1688</v>
      </c>
      <c r="B403" s="9" t="s">
        <v>2418</v>
      </c>
      <c r="C403" s="9"/>
      <c r="D403" s="9"/>
      <c r="E403" s="9"/>
      <c r="F403" s="9"/>
      <c r="G403" s="9"/>
      <c r="H403" s="9"/>
      <c r="I403" s="9" t="s">
        <v>1470</v>
      </c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</row>
    <row r="404" spans="1:27">
      <c r="A404" s="9" t="s">
        <v>1689</v>
      </c>
      <c r="B404" s="9" t="s">
        <v>2419</v>
      </c>
      <c r="C404" s="9"/>
      <c r="D404" s="9"/>
      <c r="E404" s="9"/>
      <c r="F404" s="9"/>
      <c r="G404" s="9"/>
      <c r="H404" s="9"/>
      <c r="I404" s="9" t="s">
        <v>1471</v>
      </c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</row>
    <row r="405" spans="1:27">
      <c r="A405" s="9" t="s">
        <v>1690</v>
      </c>
      <c r="B405" s="9" t="s">
        <v>2420</v>
      </c>
      <c r="C405" s="9"/>
      <c r="D405" s="9"/>
      <c r="E405" s="9"/>
      <c r="F405" s="9"/>
      <c r="G405" s="9"/>
      <c r="H405" s="9"/>
      <c r="I405" s="9" t="s">
        <v>1472</v>
      </c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</row>
    <row r="406" spans="1:27">
      <c r="A406" s="9" t="s">
        <v>1691</v>
      </c>
      <c r="B406" s="9" t="s">
        <v>2554</v>
      </c>
      <c r="C406" s="9"/>
      <c r="D406" s="9"/>
      <c r="E406" s="9"/>
      <c r="F406" s="9"/>
      <c r="G406" s="9"/>
      <c r="H406" s="9"/>
      <c r="I406" s="9" t="s">
        <v>1473</v>
      </c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</row>
    <row r="407" spans="1:27">
      <c r="A407" s="9" t="s">
        <v>1692</v>
      </c>
      <c r="B407" s="9" t="s">
        <v>2421</v>
      </c>
      <c r="C407" s="9"/>
      <c r="D407" s="9"/>
      <c r="E407" s="9"/>
      <c r="F407" s="9"/>
      <c r="G407" s="9"/>
      <c r="H407" s="9"/>
      <c r="I407" s="9" t="s">
        <v>1474</v>
      </c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</row>
    <row r="408" spans="1:27">
      <c r="A408" s="9" t="s">
        <v>1693</v>
      </c>
      <c r="B408" s="9" t="s">
        <v>2555</v>
      </c>
      <c r="C408" s="9"/>
      <c r="D408" s="9"/>
      <c r="E408" s="9"/>
      <c r="F408" s="9"/>
      <c r="G408" s="9"/>
      <c r="H408" s="9"/>
      <c r="I408" s="9" t="s">
        <v>1475</v>
      </c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</row>
    <row r="409" spans="1:27">
      <c r="A409" s="9" t="s">
        <v>1694</v>
      </c>
      <c r="B409" s="9" t="s">
        <v>2422</v>
      </c>
      <c r="C409" s="9"/>
      <c r="D409" s="9"/>
      <c r="E409" s="9"/>
      <c r="F409" s="9"/>
      <c r="G409" s="9"/>
      <c r="H409" s="9"/>
      <c r="I409" s="9" t="s">
        <v>1476</v>
      </c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</row>
    <row r="410" spans="1:27">
      <c r="A410" s="9" t="s">
        <v>1695</v>
      </c>
      <c r="B410" s="9" t="s">
        <v>2423</v>
      </c>
      <c r="C410" s="9"/>
      <c r="D410" s="9"/>
      <c r="E410" s="9"/>
      <c r="F410" s="9"/>
      <c r="G410" s="9"/>
      <c r="H410" s="9"/>
      <c r="I410" s="9" t="s">
        <v>1477</v>
      </c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</row>
    <row r="411" spans="1:27">
      <c r="A411" s="9" t="s">
        <v>1696</v>
      </c>
      <c r="B411" s="9" t="s">
        <v>2556</v>
      </c>
      <c r="C411" s="9"/>
      <c r="D411" s="9"/>
      <c r="E411" s="9"/>
      <c r="F411" s="9"/>
      <c r="G411" s="9"/>
      <c r="H411" s="9"/>
      <c r="I411" s="9" t="s">
        <v>1478</v>
      </c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</row>
    <row r="412" spans="1:27">
      <c r="A412" s="9" t="s">
        <v>1697</v>
      </c>
      <c r="B412" s="9" t="s">
        <v>2424</v>
      </c>
      <c r="C412" s="9"/>
      <c r="D412" s="9"/>
      <c r="E412" s="9"/>
      <c r="F412" s="9"/>
      <c r="G412" s="9"/>
      <c r="H412" s="9"/>
      <c r="I412" s="9" t="s">
        <v>1479</v>
      </c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</row>
    <row r="413" spans="1:27">
      <c r="A413" s="9" t="s">
        <v>1698</v>
      </c>
      <c r="B413" s="9" t="s">
        <v>2425</v>
      </c>
      <c r="C413" s="9"/>
      <c r="D413" s="9"/>
      <c r="E413" s="9"/>
      <c r="F413" s="9"/>
      <c r="G413" s="9"/>
      <c r="H413" s="9"/>
      <c r="I413" s="9" t="s">
        <v>1480</v>
      </c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</row>
    <row r="414" spans="1:27">
      <c r="A414" s="9" t="s">
        <v>1699</v>
      </c>
      <c r="B414" s="9" t="s">
        <v>2557</v>
      </c>
      <c r="C414" s="9"/>
      <c r="D414" s="9"/>
      <c r="E414" s="9"/>
      <c r="F414" s="9"/>
      <c r="G414" s="9"/>
      <c r="H414" s="9"/>
      <c r="I414" s="9" t="s">
        <v>1481</v>
      </c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</row>
    <row r="415" spans="1:27">
      <c r="A415" s="9" t="s">
        <v>1700</v>
      </c>
      <c r="B415" s="9" t="s">
        <v>2426</v>
      </c>
      <c r="C415" s="9"/>
      <c r="D415" s="9"/>
      <c r="E415" s="9"/>
      <c r="F415" s="9"/>
      <c r="G415" s="9"/>
      <c r="H415" s="9"/>
      <c r="I415" s="9" t="s">
        <v>1482</v>
      </c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</row>
    <row r="416" spans="1:27">
      <c r="A416" s="9" t="s">
        <v>1701</v>
      </c>
      <c r="B416" s="9" t="s">
        <v>2427</v>
      </c>
      <c r="C416" s="9"/>
      <c r="D416" s="9"/>
      <c r="E416" s="9"/>
      <c r="F416" s="9"/>
      <c r="G416" s="9"/>
      <c r="H416" s="9"/>
      <c r="I416" s="9" t="s">
        <v>1483</v>
      </c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</row>
    <row r="417" spans="1:27">
      <c r="A417" s="9" t="s">
        <v>1702</v>
      </c>
      <c r="B417" s="9" t="s">
        <v>2428</v>
      </c>
      <c r="C417" s="9"/>
      <c r="D417" s="9"/>
      <c r="E417" s="9"/>
      <c r="F417" s="9"/>
      <c r="G417" s="9"/>
      <c r="H417" s="9"/>
      <c r="I417" s="9" t="s">
        <v>1893</v>
      </c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</row>
    <row r="418" spans="1:27">
      <c r="A418" s="9" t="s">
        <v>1703</v>
      </c>
      <c r="B418" s="9" t="s">
        <v>2429</v>
      </c>
      <c r="C418" s="9"/>
      <c r="D418" s="9"/>
      <c r="E418" s="9"/>
      <c r="F418" s="9"/>
      <c r="G418" s="9"/>
      <c r="H418" s="9"/>
      <c r="I418" s="9" t="s">
        <v>2646</v>
      </c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</row>
    <row r="419" spans="1:27">
      <c r="A419" s="9" t="s">
        <v>1704</v>
      </c>
      <c r="B419" s="9" t="s">
        <v>2430</v>
      </c>
      <c r="C419" s="9"/>
      <c r="D419" s="9"/>
      <c r="E419" s="9"/>
      <c r="F419" s="9"/>
      <c r="G419" s="9"/>
      <c r="H419" s="9"/>
      <c r="I419" s="9" t="s">
        <v>1894</v>
      </c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</row>
    <row r="420" spans="1:27">
      <c r="A420" s="9" t="s">
        <v>2561</v>
      </c>
      <c r="B420" s="9" t="s">
        <v>2559</v>
      </c>
      <c r="C420" s="9"/>
      <c r="D420" s="9"/>
      <c r="E420" s="9"/>
      <c r="F420" s="9"/>
      <c r="G420" s="9"/>
      <c r="H420" s="9"/>
      <c r="I420" s="9" t="s">
        <v>1484</v>
      </c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</row>
    <row r="421" spans="1:27">
      <c r="A421" s="9" t="s">
        <v>1705</v>
      </c>
      <c r="B421" s="9" t="s">
        <v>2564</v>
      </c>
      <c r="C421" s="9"/>
      <c r="D421" s="9"/>
      <c r="E421" s="9"/>
      <c r="F421" s="9"/>
      <c r="G421" s="9"/>
      <c r="H421" s="9"/>
      <c r="I421" s="9" t="s">
        <v>1485</v>
      </c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</row>
    <row r="422" spans="1:27">
      <c r="A422" s="9" t="s">
        <v>1706</v>
      </c>
      <c r="B422" s="9" t="s">
        <v>2565</v>
      </c>
      <c r="C422" s="9"/>
      <c r="D422" s="9"/>
      <c r="E422" s="9"/>
      <c r="F422" s="9"/>
      <c r="G422" s="9"/>
      <c r="H422" s="9"/>
      <c r="I422" s="9" t="s">
        <v>1486</v>
      </c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</row>
    <row r="423" spans="1:27">
      <c r="A423" s="9" t="s">
        <v>1707</v>
      </c>
      <c r="B423" s="9" t="s">
        <v>2431</v>
      </c>
      <c r="C423" s="9"/>
      <c r="D423" s="9"/>
      <c r="E423" s="9"/>
      <c r="F423" s="9"/>
      <c r="G423" s="9"/>
      <c r="H423" s="9"/>
      <c r="I423" s="9" t="s">
        <v>1487</v>
      </c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</row>
    <row r="424" spans="1:27">
      <c r="A424" s="9" t="s">
        <v>1708</v>
      </c>
      <c r="B424" s="9" t="s">
        <v>2432</v>
      </c>
      <c r="C424" s="9"/>
      <c r="D424" s="9"/>
      <c r="E424" s="9"/>
      <c r="F424" s="9"/>
      <c r="G424" s="9"/>
      <c r="H424" s="9"/>
      <c r="I424" s="9" t="s">
        <v>1488</v>
      </c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</row>
    <row r="425" spans="1:27">
      <c r="A425" s="9" t="s">
        <v>1709</v>
      </c>
      <c r="B425" s="9" t="s">
        <v>2433</v>
      </c>
      <c r="C425" s="9"/>
      <c r="D425" s="9"/>
      <c r="E425" s="9"/>
      <c r="F425" s="9"/>
      <c r="G425" s="9"/>
      <c r="H425" s="9"/>
      <c r="I425" s="9" t="s">
        <v>1489</v>
      </c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</row>
    <row r="426" spans="1:27">
      <c r="A426" s="9" t="s">
        <v>1710</v>
      </c>
      <c r="B426" s="9" t="s">
        <v>2434</v>
      </c>
      <c r="C426" s="9"/>
      <c r="D426" s="9"/>
      <c r="E426" s="9"/>
      <c r="F426" s="9"/>
      <c r="G426" s="9"/>
      <c r="H426" s="9"/>
      <c r="I426" s="9" t="s">
        <v>1490</v>
      </c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</row>
    <row r="427" spans="1:27">
      <c r="A427" s="9" t="s">
        <v>1711</v>
      </c>
      <c r="B427" s="9" t="s">
        <v>2435</v>
      </c>
      <c r="C427" s="9"/>
      <c r="D427" s="9"/>
      <c r="E427" s="9"/>
      <c r="F427" s="9"/>
      <c r="G427" s="9"/>
      <c r="H427" s="9"/>
      <c r="I427" s="9" t="s">
        <v>1491</v>
      </c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</row>
    <row r="428" spans="1:27">
      <c r="A428" s="9" t="s">
        <v>1712</v>
      </c>
      <c r="B428" s="9" t="s">
        <v>2436</v>
      </c>
      <c r="C428" s="9"/>
      <c r="D428" s="9"/>
      <c r="E428" s="9"/>
      <c r="F428" s="9"/>
      <c r="G428" s="9"/>
      <c r="H428" s="9"/>
      <c r="I428" s="9" t="s">
        <v>1492</v>
      </c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</row>
    <row r="429" spans="1:27">
      <c r="A429" s="9" t="s">
        <v>1713</v>
      </c>
      <c r="B429" s="9" t="s">
        <v>2437</v>
      </c>
      <c r="C429" s="9"/>
      <c r="D429" s="9"/>
      <c r="E429" s="9"/>
      <c r="F429" s="9"/>
      <c r="G429" s="9"/>
      <c r="H429" s="9"/>
      <c r="I429" s="9" t="s">
        <v>1493</v>
      </c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</row>
    <row r="430" spans="1:27">
      <c r="A430" s="9" t="s">
        <v>1714</v>
      </c>
      <c r="B430" s="9" t="s">
        <v>2438</v>
      </c>
      <c r="C430" s="9"/>
      <c r="D430" s="9"/>
      <c r="E430" s="9"/>
      <c r="F430" s="9"/>
      <c r="G430" s="9"/>
      <c r="H430" s="9"/>
      <c r="I430" s="9" t="s">
        <v>1494</v>
      </c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</row>
    <row r="431" spans="1:27">
      <c r="A431" s="9" t="s">
        <v>1715</v>
      </c>
      <c r="B431" s="9" t="s">
        <v>2439</v>
      </c>
      <c r="C431" s="9"/>
      <c r="D431" s="9"/>
      <c r="E431" s="9"/>
      <c r="F431" s="9"/>
      <c r="G431" s="9"/>
      <c r="H431" s="9"/>
      <c r="I431" s="9" t="s">
        <v>1495</v>
      </c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</row>
    <row r="432" spans="1:27">
      <c r="A432" s="9" t="s">
        <v>1716</v>
      </c>
      <c r="B432" s="9" t="s">
        <v>2440</v>
      </c>
      <c r="C432" s="9"/>
      <c r="D432" s="9"/>
      <c r="E432" s="9"/>
      <c r="F432" s="9"/>
      <c r="G432" s="9"/>
      <c r="H432" s="9"/>
      <c r="I432" s="9" t="s">
        <v>1496</v>
      </c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</row>
    <row r="433" spans="1:27">
      <c r="A433" s="9" t="s">
        <v>1717</v>
      </c>
      <c r="B433" s="9" t="s">
        <v>2568</v>
      </c>
      <c r="C433" s="9"/>
      <c r="D433" s="9"/>
      <c r="E433" s="9"/>
      <c r="F433" s="9"/>
      <c r="G433" s="9"/>
      <c r="H433" s="9"/>
      <c r="I433" s="9" t="s">
        <v>1497</v>
      </c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</row>
    <row r="434" spans="1:27">
      <c r="A434" s="9" t="s">
        <v>2234</v>
      </c>
      <c r="B434" s="9" t="s">
        <v>2441</v>
      </c>
      <c r="C434" s="9"/>
      <c r="D434" s="9"/>
      <c r="E434" s="9"/>
      <c r="F434" s="9"/>
      <c r="G434" s="9"/>
      <c r="H434" s="9"/>
      <c r="I434" s="9" t="s">
        <v>1498</v>
      </c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</row>
    <row r="435" spans="1:27">
      <c r="A435" s="9" t="s">
        <v>2572</v>
      </c>
      <c r="B435" s="9" t="s">
        <v>2570</v>
      </c>
      <c r="C435" s="9"/>
      <c r="D435" s="9"/>
      <c r="E435" s="9"/>
      <c r="F435" s="9"/>
      <c r="G435" s="9"/>
      <c r="H435" s="9"/>
      <c r="I435" s="9" t="s">
        <v>1499</v>
      </c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</row>
    <row r="436" spans="1:27">
      <c r="A436" s="9" t="s">
        <v>2578</v>
      </c>
      <c r="B436" s="9" t="s">
        <v>2576</v>
      </c>
      <c r="C436" s="9"/>
      <c r="D436" s="9"/>
      <c r="E436" s="9"/>
      <c r="F436" s="9"/>
      <c r="G436" s="9"/>
      <c r="H436" s="9"/>
      <c r="I436" s="9" t="s">
        <v>1500</v>
      </c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</row>
    <row r="437" spans="1:27">
      <c r="A437" s="9" t="s">
        <v>2584</v>
      </c>
      <c r="B437" s="9" t="s">
        <v>2582</v>
      </c>
      <c r="C437" s="9"/>
      <c r="D437" s="9"/>
      <c r="E437" s="9"/>
      <c r="F437" s="9"/>
      <c r="G437" s="9"/>
      <c r="H437" s="9"/>
      <c r="I437" s="9" t="s">
        <v>1501</v>
      </c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</row>
    <row r="438" spans="1:27">
      <c r="A438" s="9" t="s">
        <v>1718</v>
      </c>
      <c r="B438" s="9" t="s">
        <v>2442</v>
      </c>
      <c r="C438" s="9"/>
      <c r="D438" s="9"/>
      <c r="E438" s="9"/>
      <c r="F438" s="9"/>
      <c r="G438" s="9"/>
      <c r="H438" s="9"/>
      <c r="I438" s="9" t="s">
        <v>1502</v>
      </c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</row>
    <row r="439" spans="1:27">
      <c r="A439" s="9" t="s">
        <v>1719</v>
      </c>
      <c r="B439" s="9" t="s">
        <v>2443</v>
      </c>
      <c r="C439" s="9"/>
      <c r="D439" s="9"/>
      <c r="E439" s="9"/>
      <c r="F439" s="9"/>
      <c r="G439" s="9"/>
      <c r="H439" s="9"/>
      <c r="I439" s="9" t="s">
        <v>1503</v>
      </c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</row>
    <row r="440" spans="1:27">
      <c r="A440" s="9" t="s">
        <v>1720</v>
      </c>
      <c r="B440" s="9" t="s">
        <v>2444</v>
      </c>
      <c r="C440" s="9"/>
      <c r="D440" s="9"/>
      <c r="E440" s="9"/>
      <c r="F440" s="9"/>
      <c r="G440" s="9"/>
      <c r="H440" s="9"/>
      <c r="I440" s="9" t="s">
        <v>1504</v>
      </c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</row>
    <row r="441" spans="1:27">
      <c r="A441" s="9" t="s">
        <v>1721</v>
      </c>
      <c r="B441" s="9" t="s">
        <v>2445</v>
      </c>
      <c r="C441" s="9"/>
      <c r="D441" s="9"/>
      <c r="E441" s="9"/>
      <c r="F441" s="9"/>
      <c r="G441" s="9"/>
      <c r="H441" s="9"/>
      <c r="I441" s="9" t="s">
        <v>1505</v>
      </c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</row>
    <row r="442" spans="1:27">
      <c r="A442" s="9" t="s">
        <v>1724</v>
      </c>
      <c r="B442" s="9" t="s">
        <v>2587</v>
      </c>
      <c r="C442" s="9"/>
      <c r="D442" s="9"/>
      <c r="E442" s="9"/>
      <c r="F442" s="9"/>
      <c r="G442" s="9"/>
      <c r="H442" s="9"/>
      <c r="I442" s="9" t="s">
        <v>1506</v>
      </c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</row>
    <row r="443" spans="1:27">
      <c r="A443" s="9" t="s">
        <v>2591</v>
      </c>
      <c r="B443" s="9" t="s">
        <v>2589</v>
      </c>
      <c r="C443" s="9"/>
      <c r="D443" s="9"/>
      <c r="E443" s="9"/>
      <c r="F443" s="9"/>
      <c r="G443" s="9"/>
      <c r="H443" s="9"/>
      <c r="I443" s="9" t="s">
        <v>1507</v>
      </c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</row>
    <row r="444" spans="1:27">
      <c r="A444" s="9" t="s">
        <v>1725</v>
      </c>
      <c r="B444" s="9" t="s">
        <v>2594</v>
      </c>
      <c r="C444" s="9"/>
      <c r="D444" s="9"/>
      <c r="E444" s="9"/>
      <c r="F444" s="9"/>
      <c r="G444" s="9"/>
      <c r="H444" s="9"/>
      <c r="I444" s="9" t="s">
        <v>1508</v>
      </c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</row>
    <row r="445" spans="1:27">
      <c r="A445" s="9" t="s">
        <v>1722</v>
      </c>
      <c r="B445" s="9" t="s">
        <v>2446</v>
      </c>
      <c r="C445" s="9"/>
      <c r="D445" s="9"/>
      <c r="E445" s="9"/>
      <c r="F445" s="9"/>
      <c r="G445" s="9"/>
      <c r="H445" s="9"/>
      <c r="I445" s="9" t="s">
        <v>1509</v>
      </c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</row>
    <row r="446" spans="1:27">
      <c r="A446" s="9" t="s">
        <v>1723</v>
      </c>
      <c r="B446" s="9" t="s">
        <v>2447</v>
      </c>
      <c r="C446" s="9"/>
      <c r="D446" s="9"/>
      <c r="E446" s="9"/>
      <c r="F446" s="9"/>
      <c r="G446" s="9"/>
      <c r="H446" s="9"/>
      <c r="I446" s="9" t="s">
        <v>1510</v>
      </c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</row>
    <row r="447" spans="1:27">
      <c r="A447" s="9" t="s">
        <v>1726</v>
      </c>
      <c r="B447" s="9" t="s">
        <v>2448</v>
      </c>
      <c r="C447" s="9"/>
      <c r="D447" s="9"/>
      <c r="E447" s="9"/>
      <c r="F447" s="9"/>
      <c r="G447" s="9"/>
      <c r="H447" s="9"/>
      <c r="I447" s="9" t="s">
        <v>1511</v>
      </c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</row>
    <row r="448" spans="1:27">
      <c r="A448" s="9" t="s">
        <v>1727</v>
      </c>
      <c r="B448" s="9" t="s">
        <v>2449</v>
      </c>
      <c r="C448" s="9"/>
      <c r="D448" s="9"/>
      <c r="E448" s="9"/>
      <c r="F448" s="9"/>
      <c r="G448" s="9"/>
      <c r="H448" s="9"/>
      <c r="I448" s="9" t="s">
        <v>1895</v>
      </c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</row>
    <row r="449" spans="1:27">
      <c r="A449" s="9" t="s">
        <v>1728</v>
      </c>
      <c r="B449" s="9" t="s">
        <v>2595</v>
      </c>
      <c r="C449" s="9"/>
      <c r="D449" s="9"/>
      <c r="E449" s="9"/>
      <c r="F449" s="9"/>
      <c r="G449" s="9"/>
      <c r="H449" s="9"/>
      <c r="I449" s="9" t="s">
        <v>1512</v>
      </c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</row>
    <row r="450" spans="1:27">
      <c r="A450" s="9" t="s">
        <v>1729</v>
      </c>
      <c r="B450" s="9" t="s">
        <v>2450</v>
      </c>
      <c r="C450" s="9"/>
      <c r="D450" s="9"/>
      <c r="E450" s="9"/>
      <c r="F450" s="9"/>
      <c r="G450" s="9"/>
      <c r="H450" s="9"/>
      <c r="I450" s="9" t="s">
        <v>1513</v>
      </c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</row>
    <row r="451" spans="1:27">
      <c r="A451" s="9" t="s">
        <v>1730</v>
      </c>
      <c r="B451" s="9" t="s">
        <v>2451</v>
      </c>
      <c r="C451" s="9"/>
      <c r="D451" s="9"/>
      <c r="E451" s="9"/>
      <c r="F451" s="9"/>
      <c r="G451" s="9"/>
      <c r="H451" s="9"/>
      <c r="I451" s="9" t="s">
        <v>2648</v>
      </c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</row>
    <row r="452" spans="1:27">
      <c r="A452" s="9" t="s">
        <v>1731</v>
      </c>
      <c r="B452" s="9" t="s">
        <v>2596</v>
      </c>
      <c r="C452" s="9"/>
      <c r="D452" s="9"/>
      <c r="E452" s="9"/>
      <c r="F452" s="9"/>
      <c r="G452" s="9"/>
      <c r="H452" s="9"/>
      <c r="I452" s="9" t="s">
        <v>1514</v>
      </c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</row>
    <row r="453" spans="1:27">
      <c r="A453" s="9" t="s">
        <v>2600</v>
      </c>
      <c r="B453" s="9" t="s">
        <v>2598</v>
      </c>
      <c r="C453" s="9"/>
      <c r="D453" s="9"/>
      <c r="E453" s="9"/>
      <c r="F453" s="9"/>
      <c r="G453" s="9"/>
      <c r="H453" s="9"/>
      <c r="I453" s="9" t="s">
        <v>1515</v>
      </c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</row>
    <row r="454" spans="1:27">
      <c r="A454" s="9" t="s">
        <v>1732</v>
      </c>
      <c r="B454" s="9" t="s">
        <v>2452</v>
      </c>
      <c r="C454" s="9"/>
      <c r="D454" s="9"/>
      <c r="E454" s="9"/>
      <c r="F454" s="9"/>
      <c r="G454" s="9"/>
      <c r="H454" s="9"/>
      <c r="I454" s="9" t="s">
        <v>1516</v>
      </c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</row>
    <row r="455" spans="1:27">
      <c r="A455" s="9" t="s">
        <v>1733</v>
      </c>
      <c r="B455" s="9" t="s">
        <v>2603</v>
      </c>
      <c r="C455" s="9"/>
      <c r="D455" s="9"/>
      <c r="E455" s="9"/>
      <c r="F455" s="9"/>
      <c r="G455" s="9"/>
      <c r="H455" s="9"/>
      <c r="I455" s="9" t="s">
        <v>2650</v>
      </c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</row>
    <row r="456" spans="1:27">
      <c r="A456" s="9" t="s">
        <v>1734</v>
      </c>
      <c r="B456" s="9" t="s">
        <v>2453</v>
      </c>
      <c r="C456" s="9"/>
      <c r="D456" s="9"/>
      <c r="E456" s="9"/>
      <c r="F456" s="9"/>
      <c r="G456" s="9"/>
      <c r="H456" s="9"/>
      <c r="I456" s="9" t="s">
        <v>1896</v>
      </c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</row>
    <row r="457" spans="1:27">
      <c r="A457" s="9" t="s">
        <v>2607</v>
      </c>
      <c r="B457" s="9" t="s">
        <v>2605</v>
      </c>
      <c r="C457" s="9"/>
      <c r="D457" s="9"/>
      <c r="E457" s="9"/>
      <c r="F457" s="9"/>
      <c r="G457" s="9"/>
      <c r="H457" s="9"/>
      <c r="I457" s="9" t="s">
        <v>1517</v>
      </c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</row>
    <row r="458" spans="1:27">
      <c r="A458" s="9" t="s">
        <v>2235</v>
      </c>
      <c r="B458" s="9" t="s">
        <v>2454</v>
      </c>
      <c r="C458" s="9"/>
      <c r="D458" s="9"/>
      <c r="E458" s="9"/>
      <c r="F458" s="9"/>
      <c r="G458" s="9"/>
      <c r="H458" s="9"/>
      <c r="I458" s="9" t="s">
        <v>1518</v>
      </c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</row>
    <row r="459" spans="1:27">
      <c r="A459" s="9" t="s">
        <v>1735</v>
      </c>
      <c r="B459" s="9" t="s">
        <v>2455</v>
      </c>
      <c r="C459" s="9"/>
      <c r="D459" s="9"/>
      <c r="E459" s="9"/>
      <c r="F459" s="9"/>
      <c r="G459" s="9"/>
      <c r="H459" s="9"/>
      <c r="I459" s="9" t="s">
        <v>2297</v>
      </c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</row>
    <row r="460" spans="1:27">
      <c r="A460" s="9" t="s">
        <v>1736</v>
      </c>
      <c r="B460" s="9" t="s">
        <v>2456</v>
      </c>
      <c r="C460" s="9"/>
      <c r="D460" s="9"/>
      <c r="E460" s="9"/>
      <c r="F460" s="9"/>
      <c r="G460" s="9"/>
      <c r="H460" s="9"/>
      <c r="I460" s="9" t="s">
        <v>1631</v>
      </c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</row>
    <row r="461" spans="1:27">
      <c r="A461" s="9" t="s">
        <v>2615</v>
      </c>
      <c r="B461" s="9" t="s">
        <v>2613</v>
      </c>
      <c r="C461" s="9"/>
      <c r="D461" s="9"/>
      <c r="E461" s="9"/>
      <c r="F461" s="9"/>
      <c r="G461" s="9"/>
      <c r="H461" s="9"/>
      <c r="I461" s="9" t="s">
        <v>1632</v>
      </c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</row>
    <row r="462" spans="1:27">
      <c r="A462" s="9" t="s">
        <v>2324</v>
      </c>
      <c r="B462" s="9" t="s">
        <v>2457</v>
      </c>
      <c r="C462" s="9"/>
      <c r="D462" s="9"/>
      <c r="E462" s="9"/>
      <c r="F462" s="9"/>
      <c r="G462" s="9"/>
      <c r="H462" s="9"/>
      <c r="I462" s="9" t="s">
        <v>1633</v>
      </c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</row>
    <row r="463" spans="1:27">
      <c r="A463" s="9" t="s">
        <v>1737</v>
      </c>
      <c r="B463" s="9" t="s">
        <v>2618</v>
      </c>
      <c r="C463" s="9"/>
      <c r="D463" s="9"/>
      <c r="E463" s="9"/>
      <c r="F463" s="9"/>
      <c r="G463" s="9"/>
      <c r="H463" s="9"/>
      <c r="I463" s="9" t="s">
        <v>1634</v>
      </c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</row>
    <row r="464" spans="1:27">
      <c r="A464" s="9" t="s">
        <v>1738</v>
      </c>
      <c r="B464" s="9" t="s">
        <v>2621</v>
      </c>
      <c r="C464" s="9"/>
      <c r="D464" s="9"/>
      <c r="E464" s="9"/>
      <c r="F464" s="9"/>
      <c r="G464" s="9"/>
      <c r="H464" s="9"/>
      <c r="I464" s="9" t="s">
        <v>1635</v>
      </c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</row>
    <row r="465" spans="1:27">
      <c r="A465" s="9" t="s">
        <v>2625</v>
      </c>
      <c r="B465" s="9" t="s">
        <v>2623</v>
      </c>
      <c r="C465" s="9"/>
      <c r="D465" s="9"/>
      <c r="E465" s="9"/>
      <c r="F465" s="9"/>
      <c r="G465" s="9"/>
      <c r="H465" s="9"/>
      <c r="I465" s="9" t="s">
        <v>1636</v>
      </c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</row>
    <row r="466" spans="1:27">
      <c r="A466" s="9" t="s">
        <v>2631</v>
      </c>
      <c r="B466" s="9" t="s">
        <v>2629</v>
      </c>
      <c r="C466" s="9"/>
      <c r="D466" s="9"/>
      <c r="E466" s="9"/>
      <c r="F466" s="9"/>
      <c r="G466" s="9"/>
      <c r="H466" s="9"/>
      <c r="I466" s="9" t="s">
        <v>1637</v>
      </c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</row>
    <row r="467" spans="1:27">
      <c r="A467" s="9" t="s">
        <v>1739</v>
      </c>
      <c r="B467" s="9" t="s">
        <v>2458</v>
      </c>
      <c r="C467" s="9"/>
      <c r="D467" s="9"/>
      <c r="E467" s="9"/>
      <c r="F467" s="9"/>
      <c r="G467" s="9"/>
      <c r="H467" s="9"/>
      <c r="I467" s="9" t="s">
        <v>2265</v>
      </c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</row>
    <row r="468" spans="1:27">
      <c r="A468" s="9" t="s">
        <v>1127</v>
      </c>
      <c r="B468" s="9" t="s">
        <v>181</v>
      </c>
      <c r="C468" s="9"/>
      <c r="D468" s="9"/>
      <c r="E468" s="9"/>
      <c r="F468" s="9"/>
      <c r="G468" s="9"/>
      <c r="H468" s="9"/>
      <c r="I468" s="9" t="s">
        <v>1638</v>
      </c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</row>
    <row r="469" spans="1:27">
      <c r="A469" s="9" t="s">
        <v>1128</v>
      </c>
      <c r="B469" s="9" t="s">
        <v>182</v>
      </c>
      <c r="C469" s="9"/>
      <c r="D469" s="9"/>
      <c r="E469" s="9"/>
      <c r="F469" s="9"/>
      <c r="G469" s="9"/>
      <c r="H469" s="9"/>
      <c r="I469" s="9" t="s">
        <v>1639</v>
      </c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</row>
    <row r="470" spans="1:27">
      <c r="A470" s="9" t="s">
        <v>1129</v>
      </c>
      <c r="B470" s="9" t="s">
        <v>183</v>
      </c>
      <c r="C470" s="9"/>
      <c r="D470" s="9"/>
      <c r="E470" s="9"/>
      <c r="F470" s="9"/>
      <c r="G470" s="9"/>
      <c r="H470" s="9"/>
      <c r="I470" s="9" t="s">
        <v>1640</v>
      </c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</row>
    <row r="471" spans="1:27">
      <c r="A471" s="9" t="s">
        <v>1130</v>
      </c>
      <c r="B471" s="9" t="s">
        <v>184</v>
      </c>
      <c r="C471" s="9"/>
      <c r="D471" s="9"/>
      <c r="E471" s="9"/>
      <c r="F471" s="9"/>
      <c r="G471" s="9"/>
      <c r="H471" s="9"/>
      <c r="I471" s="9" t="s">
        <v>1641</v>
      </c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</row>
    <row r="472" spans="1:27">
      <c r="A472" s="9" t="s">
        <v>1131</v>
      </c>
      <c r="B472" s="9" t="s">
        <v>185</v>
      </c>
      <c r="C472" s="9"/>
      <c r="D472" s="9"/>
      <c r="E472" s="9"/>
      <c r="F472" s="9"/>
      <c r="G472" s="9"/>
      <c r="H472" s="9"/>
      <c r="I472" s="9" t="s">
        <v>1642</v>
      </c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</row>
    <row r="473" spans="1:27">
      <c r="A473" s="9" t="s">
        <v>1132</v>
      </c>
      <c r="B473" s="9" t="s">
        <v>186</v>
      </c>
      <c r="C473" s="9"/>
      <c r="D473" s="9"/>
      <c r="E473" s="9"/>
      <c r="F473" s="9"/>
      <c r="G473" s="9"/>
      <c r="H473" s="9"/>
      <c r="I473" s="9" t="s">
        <v>1643</v>
      </c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</row>
    <row r="474" spans="1:27">
      <c r="A474" s="9" t="s">
        <v>1133</v>
      </c>
      <c r="B474" s="9" t="s">
        <v>187</v>
      </c>
      <c r="C474" s="9"/>
      <c r="D474" s="9"/>
      <c r="E474" s="9"/>
      <c r="F474" s="9"/>
      <c r="G474" s="9"/>
      <c r="H474" s="9"/>
      <c r="I474" s="9" t="s">
        <v>1644</v>
      </c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</row>
    <row r="475" spans="1:27">
      <c r="A475" s="9" t="s">
        <v>2256</v>
      </c>
      <c r="B475" s="9" t="s">
        <v>2233</v>
      </c>
      <c r="C475" s="9"/>
      <c r="D475" s="9"/>
      <c r="E475" s="9"/>
      <c r="F475" s="9"/>
      <c r="G475" s="9"/>
      <c r="H475" s="9"/>
      <c r="I475" s="9" t="s">
        <v>1645</v>
      </c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</row>
    <row r="476" spans="1:27">
      <c r="A476" s="9" t="s">
        <v>1134</v>
      </c>
      <c r="B476" s="9" t="s">
        <v>188</v>
      </c>
      <c r="C476" s="9"/>
      <c r="D476" s="9"/>
      <c r="E476" s="9"/>
      <c r="F476" s="9"/>
      <c r="G476" s="9"/>
      <c r="H476" s="9"/>
      <c r="I476" s="9" t="s">
        <v>1646</v>
      </c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</row>
    <row r="477" spans="1:27">
      <c r="A477" s="9" t="s">
        <v>1135</v>
      </c>
      <c r="B477" s="9" t="s">
        <v>189</v>
      </c>
      <c r="C477" s="9"/>
      <c r="D477" s="9"/>
      <c r="E477" s="9"/>
      <c r="F477" s="9"/>
      <c r="G477" s="9"/>
      <c r="H477" s="9"/>
      <c r="I477" s="9" t="s">
        <v>1647</v>
      </c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</row>
    <row r="478" spans="1:27">
      <c r="A478" s="9" t="s">
        <v>1136</v>
      </c>
      <c r="B478" s="9" t="s">
        <v>190</v>
      </c>
      <c r="C478" s="9"/>
      <c r="D478" s="9"/>
      <c r="E478" s="9"/>
      <c r="F478" s="9"/>
      <c r="G478" s="9"/>
      <c r="H478" s="9"/>
      <c r="I478" s="9" t="s">
        <v>1648</v>
      </c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</row>
    <row r="479" spans="1:27">
      <c r="A479" s="9" t="s">
        <v>1137</v>
      </c>
      <c r="B479" s="9" t="s">
        <v>191</v>
      </c>
      <c r="C479" s="9"/>
      <c r="D479" s="9"/>
      <c r="E479" s="9"/>
      <c r="F479" s="9"/>
      <c r="G479" s="9"/>
      <c r="H479" s="9"/>
      <c r="I479" s="9" t="s">
        <v>1649</v>
      </c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</row>
    <row r="480" spans="1:27">
      <c r="A480" s="9" t="s">
        <v>1138</v>
      </c>
      <c r="B480" s="9" t="s">
        <v>192</v>
      </c>
      <c r="C480" s="9"/>
      <c r="D480" s="9"/>
      <c r="E480" s="9"/>
      <c r="F480" s="9"/>
      <c r="G480" s="9"/>
      <c r="H480" s="9"/>
      <c r="I480" s="9" t="s">
        <v>1650</v>
      </c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</row>
    <row r="481" spans="1:27">
      <c r="A481" s="9" t="s">
        <v>1139</v>
      </c>
      <c r="B481" s="9" t="s">
        <v>193</v>
      </c>
      <c r="C481" s="9"/>
      <c r="D481" s="9"/>
      <c r="E481" s="9"/>
      <c r="F481" s="9"/>
      <c r="G481" s="9"/>
      <c r="H481" s="9"/>
      <c r="I481" s="9" t="s">
        <v>1651</v>
      </c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</row>
    <row r="482" spans="1:27">
      <c r="A482" s="9" t="s">
        <v>1140</v>
      </c>
      <c r="B482" s="9" t="s">
        <v>242</v>
      </c>
      <c r="C482" s="9"/>
      <c r="D482" s="9"/>
      <c r="E482" s="9"/>
      <c r="F482" s="9"/>
      <c r="G482" s="9"/>
      <c r="H482" s="9"/>
      <c r="I482" s="9" t="s">
        <v>1905</v>
      </c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</row>
    <row r="483" spans="1:27">
      <c r="A483" s="9" t="s">
        <v>1141</v>
      </c>
      <c r="B483" s="9" t="s">
        <v>194</v>
      </c>
      <c r="C483" s="9"/>
      <c r="D483" s="9"/>
      <c r="E483" s="9"/>
      <c r="F483" s="9"/>
      <c r="G483" s="9"/>
      <c r="H483" s="9"/>
      <c r="I483" s="9" t="s">
        <v>2652</v>
      </c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</row>
    <row r="484" spans="1:27">
      <c r="A484" s="9" t="s">
        <v>1142</v>
      </c>
      <c r="B484" s="9" t="s">
        <v>195</v>
      </c>
      <c r="C484" s="9"/>
      <c r="D484" s="9"/>
      <c r="E484" s="9"/>
      <c r="F484" s="9"/>
      <c r="G484" s="9"/>
      <c r="H484" s="9"/>
      <c r="I484" s="9" t="s">
        <v>1906</v>
      </c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</row>
    <row r="485" spans="1:27">
      <c r="A485" s="9" t="s">
        <v>1143</v>
      </c>
      <c r="B485" s="9" t="s">
        <v>196</v>
      </c>
      <c r="C485" s="9"/>
      <c r="D485" s="9"/>
      <c r="E485" s="9"/>
      <c r="F485" s="9"/>
      <c r="G485" s="9"/>
      <c r="H485" s="9"/>
      <c r="I485" s="9" t="s">
        <v>1652</v>
      </c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</row>
    <row r="486" spans="1:27">
      <c r="A486" s="9" t="s">
        <v>1144</v>
      </c>
      <c r="B486" s="9" t="s">
        <v>197</v>
      </c>
      <c r="C486" s="9"/>
      <c r="D486" s="9"/>
      <c r="E486" s="9"/>
      <c r="F486" s="9"/>
      <c r="G486" s="9"/>
      <c r="H486" s="9"/>
      <c r="I486" s="9" t="s">
        <v>1653</v>
      </c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</row>
    <row r="487" spans="1:27">
      <c r="A487" s="9" t="s">
        <v>1145</v>
      </c>
      <c r="B487" s="9" t="s">
        <v>198</v>
      </c>
      <c r="C487" s="9"/>
      <c r="D487" s="9"/>
      <c r="E487" s="9"/>
      <c r="F487" s="9"/>
      <c r="G487" s="9"/>
      <c r="H487" s="9"/>
      <c r="I487" s="9" t="s">
        <v>1654</v>
      </c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</row>
    <row r="488" spans="1:27">
      <c r="A488" s="9" t="s">
        <v>1146</v>
      </c>
      <c r="B488" s="9" t="s">
        <v>199</v>
      </c>
      <c r="C488" s="9"/>
      <c r="D488" s="9"/>
      <c r="E488" s="9"/>
      <c r="F488" s="9"/>
      <c r="G488" s="9"/>
      <c r="H488" s="9"/>
      <c r="I488" s="9" t="s">
        <v>1655</v>
      </c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</row>
    <row r="489" spans="1:27">
      <c r="A489" s="9" t="s">
        <v>1147</v>
      </c>
      <c r="B489" s="9" t="s">
        <v>200</v>
      </c>
      <c r="C489" s="9"/>
      <c r="D489" s="9"/>
      <c r="E489" s="9"/>
      <c r="F489" s="9"/>
      <c r="G489" s="9"/>
      <c r="H489" s="9"/>
      <c r="I489" s="9" t="s">
        <v>1656</v>
      </c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</row>
    <row r="490" spans="1:27">
      <c r="A490" s="9" t="s">
        <v>1869</v>
      </c>
      <c r="B490" s="9" t="s">
        <v>2166</v>
      </c>
      <c r="C490" s="9"/>
      <c r="D490" s="9"/>
      <c r="E490" s="9"/>
      <c r="F490" s="9"/>
      <c r="G490" s="9"/>
      <c r="H490" s="9"/>
      <c r="I490" s="9" t="s">
        <v>1657</v>
      </c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</row>
    <row r="491" spans="1:27">
      <c r="A491" s="9" t="s">
        <v>2567</v>
      </c>
      <c r="B491" s="9" t="s">
        <v>2553</v>
      </c>
      <c r="C491" s="9"/>
      <c r="D491" s="9"/>
      <c r="E491" s="9"/>
      <c r="F491" s="9"/>
      <c r="G491" s="9"/>
      <c r="H491" s="9"/>
      <c r="I491" s="9" t="s">
        <v>1658</v>
      </c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</row>
    <row r="492" spans="1:27">
      <c r="A492" s="9" t="s">
        <v>1870</v>
      </c>
      <c r="B492" s="9" t="s">
        <v>2167</v>
      </c>
      <c r="C492" s="9"/>
      <c r="D492" s="9"/>
      <c r="E492" s="9"/>
      <c r="F492" s="9"/>
      <c r="G492" s="9"/>
      <c r="H492" s="9"/>
      <c r="I492" s="9" t="s">
        <v>1659</v>
      </c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</row>
    <row r="493" spans="1:27">
      <c r="A493" s="9" t="s">
        <v>1148</v>
      </c>
      <c r="B493" s="9" t="s">
        <v>201</v>
      </c>
      <c r="C493" s="9"/>
      <c r="D493" s="9"/>
      <c r="E493" s="9"/>
      <c r="F493" s="9"/>
      <c r="G493" s="9"/>
      <c r="H493" s="9"/>
      <c r="I493" s="9" t="s">
        <v>1660</v>
      </c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</row>
    <row r="494" spans="1:27">
      <c r="A494" s="9" t="s">
        <v>1149</v>
      </c>
      <c r="B494" s="9" t="s">
        <v>202</v>
      </c>
      <c r="C494" s="9"/>
      <c r="D494" s="9"/>
      <c r="E494" s="9"/>
      <c r="F494" s="9"/>
      <c r="G494" s="9"/>
      <c r="H494" s="9"/>
      <c r="I494" s="9" t="s">
        <v>1661</v>
      </c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</row>
    <row r="495" spans="1:27">
      <c r="A495" s="9" t="s">
        <v>1150</v>
      </c>
      <c r="B495" s="9" t="s">
        <v>203</v>
      </c>
      <c r="C495" s="9"/>
      <c r="D495" s="9"/>
      <c r="E495" s="9"/>
      <c r="F495" s="9"/>
      <c r="G495" s="9"/>
      <c r="H495" s="9"/>
      <c r="I495" s="9" t="s">
        <v>1662</v>
      </c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</row>
    <row r="496" spans="1:27">
      <c r="A496" s="9" t="s">
        <v>1151</v>
      </c>
      <c r="B496" s="9" t="s">
        <v>204</v>
      </c>
      <c r="C496" s="9"/>
      <c r="D496" s="9"/>
      <c r="E496" s="9"/>
      <c r="F496" s="9"/>
      <c r="G496" s="9"/>
      <c r="H496" s="9"/>
      <c r="I496" s="9" t="s">
        <v>1663</v>
      </c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</row>
    <row r="497" spans="1:27">
      <c r="A497" s="9" t="s">
        <v>1152</v>
      </c>
      <c r="B497" s="9" t="s">
        <v>205</v>
      </c>
      <c r="C497" s="9"/>
      <c r="D497" s="9"/>
      <c r="E497" s="9"/>
      <c r="F497" s="9"/>
      <c r="G497" s="9"/>
      <c r="H497" s="9"/>
      <c r="I497" s="9" t="s">
        <v>1664</v>
      </c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</row>
    <row r="498" spans="1:27">
      <c r="A498" s="9" t="s">
        <v>1153</v>
      </c>
      <c r="B498" s="9" t="s">
        <v>206</v>
      </c>
      <c r="C498" s="9"/>
      <c r="D498" s="9"/>
      <c r="E498" s="9"/>
      <c r="F498" s="9"/>
      <c r="G498" s="9"/>
      <c r="H498" s="9"/>
      <c r="I498" s="9" t="s">
        <v>1665</v>
      </c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</row>
    <row r="499" spans="1:27">
      <c r="A499" s="9" t="s">
        <v>1154</v>
      </c>
      <c r="B499" s="9" t="s">
        <v>207</v>
      </c>
      <c r="C499" s="9"/>
      <c r="D499" s="9"/>
      <c r="E499" s="9"/>
      <c r="F499" s="9"/>
      <c r="G499" s="9"/>
      <c r="H499" s="9"/>
      <c r="I499" s="9" t="s">
        <v>1666</v>
      </c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</row>
    <row r="500" spans="1:27">
      <c r="A500" s="9" t="s">
        <v>1155</v>
      </c>
      <c r="B500" s="9" t="s">
        <v>208</v>
      </c>
      <c r="C500" s="9"/>
      <c r="D500" s="9"/>
      <c r="E500" s="9"/>
      <c r="F500" s="9"/>
      <c r="G500" s="9"/>
      <c r="H500" s="9"/>
      <c r="I500" s="9" t="s">
        <v>1667</v>
      </c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</row>
    <row r="501" spans="1:27">
      <c r="A501" s="9" t="s">
        <v>1156</v>
      </c>
      <c r="B501" s="9" t="s">
        <v>209</v>
      </c>
      <c r="C501" s="9"/>
      <c r="D501" s="9"/>
      <c r="E501" s="9"/>
      <c r="F501" s="9"/>
      <c r="G501" s="9"/>
      <c r="H501" s="9"/>
      <c r="I501" s="9" t="s">
        <v>1668</v>
      </c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</row>
    <row r="502" spans="1:27">
      <c r="A502" s="9" t="s">
        <v>1157</v>
      </c>
      <c r="B502" s="9" t="s">
        <v>210</v>
      </c>
      <c r="C502" s="9"/>
      <c r="D502" s="9"/>
      <c r="E502" s="9"/>
      <c r="F502" s="9"/>
      <c r="G502" s="9"/>
      <c r="H502" s="9"/>
      <c r="I502" s="9" t="s">
        <v>1669</v>
      </c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</row>
    <row r="503" spans="1:27">
      <c r="A503" s="9" t="s">
        <v>1158</v>
      </c>
      <c r="B503" s="9" t="s">
        <v>211</v>
      </c>
      <c r="C503" s="9"/>
      <c r="D503" s="9"/>
      <c r="E503" s="9"/>
      <c r="F503" s="9"/>
      <c r="G503" s="9"/>
      <c r="H503" s="9"/>
      <c r="I503" s="9" t="s">
        <v>1670</v>
      </c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</row>
    <row r="504" spans="1:27">
      <c r="A504" s="9" t="s">
        <v>1159</v>
      </c>
      <c r="B504" s="9" t="s">
        <v>212</v>
      </c>
      <c r="C504" s="9"/>
      <c r="D504" s="9"/>
      <c r="E504" s="9"/>
      <c r="F504" s="9"/>
      <c r="G504" s="9"/>
      <c r="H504" s="9"/>
      <c r="I504" s="9" t="s">
        <v>1671</v>
      </c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</row>
    <row r="505" spans="1:27">
      <c r="A505" s="9" t="s">
        <v>1160</v>
      </c>
      <c r="B505" s="9" t="s">
        <v>213</v>
      </c>
      <c r="C505" s="9"/>
      <c r="D505" s="9"/>
      <c r="E505" s="9"/>
      <c r="F505" s="9"/>
      <c r="G505" s="9"/>
      <c r="H505" s="9"/>
      <c r="I505" s="9" t="s">
        <v>1672</v>
      </c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</row>
    <row r="506" spans="1:27">
      <c r="A506" s="9" t="s">
        <v>1161</v>
      </c>
      <c r="B506" s="9" t="s">
        <v>214</v>
      </c>
      <c r="C506" s="9"/>
      <c r="D506" s="9"/>
      <c r="E506" s="9"/>
      <c r="F506" s="9"/>
      <c r="G506" s="9"/>
      <c r="H506" s="9"/>
      <c r="I506" s="9" t="s">
        <v>1673</v>
      </c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</row>
    <row r="507" spans="1:27">
      <c r="A507" s="9" t="s">
        <v>1162</v>
      </c>
      <c r="B507" s="9" t="s">
        <v>215</v>
      </c>
      <c r="C507" s="9"/>
      <c r="D507" s="9"/>
      <c r="E507" s="9"/>
      <c r="F507" s="9"/>
      <c r="G507" s="9"/>
      <c r="H507" s="9"/>
      <c r="I507" s="9" t="s">
        <v>1674</v>
      </c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</row>
    <row r="508" spans="1:27">
      <c r="A508" s="9" t="s">
        <v>1163</v>
      </c>
      <c r="B508" s="9" t="s">
        <v>216</v>
      </c>
      <c r="C508" s="9"/>
      <c r="D508" s="9"/>
      <c r="E508" s="9"/>
      <c r="F508" s="9"/>
      <c r="G508" s="9"/>
      <c r="H508" s="9"/>
      <c r="I508" s="9" t="s">
        <v>1675</v>
      </c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</row>
    <row r="509" spans="1:27">
      <c r="A509" s="9" t="s">
        <v>1164</v>
      </c>
      <c r="B509" s="9" t="s">
        <v>217</v>
      </c>
      <c r="C509" s="9"/>
      <c r="D509" s="9"/>
      <c r="E509" s="9"/>
      <c r="F509" s="9"/>
      <c r="G509" s="9"/>
      <c r="H509" s="9"/>
      <c r="I509" s="9" t="s">
        <v>1676</v>
      </c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</row>
    <row r="510" spans="1:27">
      <c r="A510" s="9" t="s">
        <v>1165</v>
      </c>
      <c r="B510" s="9" t="s">
        <v>218</v>
      </c>
      <c r="C510" s="9"/>
      <c r="D510" s="9"/>
      <c r="E510" s="9"/>
      <c r="F510" s="9"/>
      <c r="G510" s="9"/>
      <c r="H510" s="9"/>
      <c r="I510" s="9" t="s">
        <v>1677</v>
      </c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</row>
    <row r="511" spans="1:27">
      <c r="A511" s="9" t="s">
        <v>1166</v>
      </c>
      <c r="B511" s="9" t="s">
        <v>219</v>
      </c>
      <c r="C511" s="9"/>
      <c r="D511" s="9"/>
      <c r="E511" s="9"/>
      <c r="F511" s="9"/>
      <c r="G511" s="9"/>
      <c r="H511" s="9"/>
      <c r="I511" s="9" t="s">
        <v>1678</v>
      </c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</row>
    <row r="512" spans="1:27">
      <c r="A512" s="9" t="s">
        <v>1167</v>
      </c>
      <c r="B512" s="9" t="s">
        <v>220</v>
      </c>
      <c r="C512" s="9"/>
      <c r="D512" s="9"/>
      <c r="E512" s="9"/>
      <c r="F512" s="9"/>
      <c r="G512" s="9"/>
      <c r="H512" s="9"/>
      <c r="I512" s="9" t="s">
        <v>1679</v>
      </c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</row>
    <row r="513" spans="1:27">
      <c r="A513" s="9" t="s">
        <v>1168</v>
      </c>
      <c r="B513" s="9" t="s">
        <v>221</v>
      </c>
      <c r="C513" s="9"/>
      <c r="D513" s="9"/>
      <c r="E513" s="9"/>
      <c r="F513" s="9"/>
      <c r="G513" s="9"/>
      <c r="H513" s="9"/>
      <c r="I513" s="9" t="s">
        <v>1907</v>
      </c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</row>
    <row r="514" spans="1:27">
      <c r="A514" s="9" t="s">
        <v>1169</v>
      </c>
      <c r="B514" s="9" t="s">
        <v>222</v>
      </c>
      <c r="C514" s="9"/>
      <c r="D514" s="9"/>
      <c r="E514" s="9"/>
      <c r="F514" s="9"/>
      <c r="G514" s="9"/>
      <c r="H514" s="9"/>
      <c r="I514" s="9" t="s">
        <v>1680</v>
      </c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</row>
    <row r="515" spans="1:27">
      <c r="A515" s="9" t="s">
        <v>1170</v>
      </c>
      <c r="B515" s="9" t="s">
        <v>223</v>
      </c>
      <c r="C515" s="9"/>
      <c r="D515" s="9"/>
      <c r="E515" s="9"/>
      <c r="F515" s="9"/>
      <c r="G515" s="9"/>
      <c r="H515" s="9"/>
      <c r="I515" s="9" t="s">
        <v>1681</v>
      </c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</row>
    <row r="516" spans="1:27">
      <c r="A516" s="9" t="s">
        <v>1171</v>
      </c>
      <c r="B516" s="9" t="s">
        <v>224</v>
      </c>
      <c r="C516" s="9"/>
      <c r="D516" s="9"/>
      <c r="E516" s="9"/>
      <c r="F516" s="9"/>
      <c r="G516" s="9"/>
      <c r="H516" s="9"/>
      <c r="I516" s="9" t="s">
        <v>2653</v>
      </c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</row>
    <row r="517" spans="1:27">
      <c r="A517" s="9" t="s">
        <v>1172</v>
      </c>
      <c r="B517" s="9" t="s">
        <v>225</v>
      </c>
      <c r="C517" s="9"/>
      <c r="D517" s="9"/>
      <c r="E517" s="9"/>
      <c r="F517" s="9"/>
      <c r="G517" s="9"/>
      <c r="H517" s="9"/>
      <c r="I517" s="9" t="s">
        <v>1682</v>
      </c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</row>
    <row r="518" spans="1:27">
      <c r="A518" s="9" t="s">
        <v>1173</v>
      </c>
      <c r="B518" s="9" t="s">
        <v>226</v>
      </c>
      <c r="C518" s="9"/>
      <c r="D518" s="9"/>
      <c r="E518" s="9"/>
      <c r="F518" s="9"/>
      <c r="G518" s="9"/>
      <c r="H518" s="9"/>
      <c r="I518" s="9" t="s">
        <v>1683</v>
      </c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</row>
    <row r="519" spans="1:27">
      <c r="A519" s="9" t="s">
        <v>1174</v>
      </c>
      <c r="B519" s="9" t="s">
        <v>227</v>
      </c>
      <c r="C519" s="9"/>
      <c r="D519" s="9"/>
      <c r="E519" s="9"/>
      <c r="F519" s="9"/>
      <c r="G519" s="9"/>
      <c r="H519" s="9"/>
      <c r="I519" s="9" t="s">
        <v>1684</v>
      </c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</row>
    <row r="520" spans="1:27">
      <c r="A520" s="9" t="s">
        <v>1175</v>
      </c>
      <c r="B520" s="9" t="s">
        <v>228</v>
      </c>
      <c r="C520" s="9"/>
      <c r="D520" s="9"/>
      <c r="E520" s="9"/>
      <c r="F520" s="9"/>
      <c r="G520" s="9"/>
      <c r="H520" s="9"/>
      <c r="I520" s="9" t="s">
        <v>2654</v>
      </c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</row>
    <row r="521" spans="1:27">
      <c r="A521" s="9" t="s">
        <v>1871</v>
      </c>
      <c r="B521" s="9" t="s">
        <v>2168</v>
      </c>
      <c r="C521" s="9"/>
      <c r="D521" s="9"/>
      <c r="E521" s="9"/>
      <c r="F521" s="9"/>
      <c r="G521" s="9"/>
      <c r="H521" s="9"/>
      <c r="I521" s="9" t="s">
        <v>1908</v>
      </c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</row>
    <row r="522" spans="1:27">
      <c r="A522" s="9" t="s">
        <v>1176</v>
      </c>
      <c r="B522" s="9" t="s">
        <v>229</v>
      </c>
      <c r="C522" s="9"/>
      <c r="D522" s="9"/>
      <c r="E522" s="9"/>
      <c r="F522" s="9"/>
      <c r="G522" s="9"/>
      <c r="H522" s="9"/>
      <c r="I522" s="9" t="s">
        <v>1685</v>
      </c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</row>
    <row r="523" spans="1:27">
      <c r="A523" s="9" t="s">
        <v>1177</v>
      </c>
      <c r="B523" s="9" t="s">
        <v>230</v>
      </c>
      <c r="C523" s="9"/>
      <c r="D523" s="9"/>
      <c r="E523" s="9"/>
      <c r="F523" s="9"/>
      <c r="G523" s="9"/>
      <c r="H523" s="9"/>
      <c r="I523" s="9" t="s">
        <v>1686</v>
      </c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</row>
    <row r="524" spans="1:27">
      <c r="A524" s="9" t="s">
        <v>2611</v>
      </c>
      <c r="B524" s="9" t="s">
        <v>2551</v>
      </c>
      <c r="C524" s="9"/>
      <c r="D524" s="9"/>
      <c r="E524" s="9"/>
      <c r="F524" s="9"/>
      <c r="G524" s="9"/>
      <c r="H524" s="9"/>
      <c r="I524" s="9" t="s">
        <v>2298</v>
      </c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</row>
    <row r="525" spans="1:27">
      <c r="A525" s="9" t="s">
        <v>1178</v>
      </c>
      <c r="B525" s="9" t="s">
        <v>237</v>
      </c>
      <c r="C525" s="9"/>
      <c r="D525" s="9"/>
      <c r="E525" s="9"/>
      <c r="F525" s="9"/>
      <c r="G525" s="9"/>
      <c r="H525" s="9"/>
      <c r="I525" s="9" t="s">
        <v>1351</v>
      </c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</row>
    <row r="526" spans="1:27">
      <c r="A526" s="9" t="s">
        <v>1179</v>
      </c>
      <c r="B526" s="9" t="s">
        <v>238</v>
      </c>
      <c r="C526" s="9"/>
      <c r="D526" s="9"/>
      <c r="E526" s="9"/>
      <c r="F526" s="9"/>
      <c r="G526" s="9"/>
      <c r="H526" s="9"/>
      <c r="I526" s="9" t="s">
        <v>1352</v>
      </c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</row>
    <row r="527" spans="1:27">
      <c r="A527" s="9" t="s">
        <v>1180</v>
      </c>
      <c r="B527" s="9" t="s">
        <v>231</v>
      </c>
      <c r="C527" s="9"/>
      <c r="D527" s="9"/>
      <c r="E527" s="9"/>
      <c r="F527" s="9"/>
      <c r="G527" s="9"/>
      <c r="H527" s="9"/>
      <c r="I527" s="9" t="s">
        <v>1353</v>
      </c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</row>
    <row r="528" spans="1:27">
      <c r="A528" s="9" t="s">
        <v>2620</v>
      </c>
      <c r="B528" s="9" t="s">
        <v>2552</v>
      </c>
      <c r="C528" s="9"/>
      <c r="D528" s="9"/>
      <c r="E528" s="9"/>
      <c r="F528" s="9"/>
      <c r="G528" s="9"/>
      <c r="H528" s="9"/>
      <c r="I528" s="9" t="s">
        <v>1354</v>
      </c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</row>
    <row r="529" spans="1:27">
      <c r="A529" s="9" t="s">
        <v>1872</v>
      </c>
      <c r="B529" s="9" t="s">
        <v>2169</v>
      </c>
      <c r="C529" s="9"/>
      <c r="D529" s="9"/>
      <c r="E529" s="9"/>
      <c r="F529" s="9"/>
      <c r="G529" s="9"/>
      <c r="H529" s="9"/>
      <c r="I529" s="9" t="s">
        <v>1355</v>
      </c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</row>
    <row r="530" spans="1:27">
      <c r="A530" s="9" t="s">
        <v>1181</v>
      </c>
      <c r="B530" s="9" t="s">
        <v>232</v>
      </c>
      <c r="C530" s="9"/>
      <c r="D530" s="9"/>
      <c r="E530" s="9"/>
      <c r="F530" s="9"/>
      <c r="G530" s="9"/>
      <c r="H530" s="9"/>
      <c r="I530" s="9" t="s">
        <v>1356</v>
      </c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</row>
    <row r="531" spans="1:27">
      <c r="A531" s="9" t="s">
        <v>1182</v>
      </c>
      <c r="B531" s="9" t="s">
        <v>2271</v>
      </c>
      <c r="C531" s="9"/>
      <c r="D531" s="9"/>
      <c r="E531" s="9"/>
      <c r="F531" s="9"/>
      <c r="G531" s="9"/>
      <c r="H531" s="9"/>
      <c r="I531" s="9" t="s">
        <v>1357</v>
      </c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</row>
    <row r="532" spans="1:27">
      <c r="A532" s="9" t="s">
        <v>2299</v>
      </c>
      <c r="B532" s="9" t="s">
        <v>243</v>
      </c>
      <c r="C532" s="9"/>
      <c r="D532" s="9"/>
      <c r="E532" s="9"/>
      <c r="F532" s="9"/>
      <c r="G532" s="9"/>
      <c r="H532" s="9"/>
      <c r="I532" s="9" t="s">
        <v>2260</v>
      </c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</row>
    <row r="533" spans="1:27">
      <c r="A533" s="9" t="s">
        <v>1071</v>
      </c>
      <c r="B533" s="9" t="s">
        <v>181</v>
      </c>
      <c r="C533" s="9"/>
      <c r="D533" s="9"/>
      <c r="E533" s="9"/>
      <c r="F533" s="9"/>
      <c r="G533" s="9"/>
      <c r="H533" s="9"/>
      <c r="I533" s="9" t="s">
        <v>1358</v>
      </c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</row>
    <row r="534" spans="1:27">
      <c r="A534" s="9" t="s">
        <v>1072</v>
      </c>
      <c r="B534" s="9" t="s">
        <v>182</v>
      </c>
      <c r="C534" s="9"/>
      <c r="D534" s="9"/>
      <c r="E534" s="9"/>
      <c r="F534" s="9"/>
      <c r="G534" s="9"/>
      <c r="H534" s="9"/>
      <c r="I534" s="9" t="s">
        <v>1359</v>
      </c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</row>
    <row r="535" spans="1:27">
      <c r="A535" s="9" t="s">
        <v>1073</v>
      </c>
      <c r="B535" s="9" t="s">
        <v>183</v>
      </c>
      <c r="C535" s="9"/>
      <c r="D535" s="9"/>
      <c r="E535" s="9"/>
      <c r="F535" s="9"/>
      <c r="G535" s="9"/>
      <c r="H535" s="9"/>
      <c r="I535" s="9" t="s">
        <v>1360</v>
      </c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</row>
    <row r="536" spans="1:27">
      <c r="A536" s="9" t="s">
        <v>1074</v>
      </c>
      <c r="B536" s="9" t="s">
        <v>184</v>
      </c>
      <c r="C536" s="9"/>
      <c r="D536" s="9"/>
      <c r="E536" s="9"/>
      <c r="F536" s="9"/>
      <c r="G536" s="9"/>
      <c r="H536" s="9"/>
      <c r="I536" s="9" t="s">
        <v>1361</v>
      </c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</row>
    <row r="537" spans="1:27">
      <c r="A537" s="9" t="s">
        <v>1075</v>
      </c>
      <c r="B537" s="9" t="s">
        <v>185</v>
      </c>
      <c r="C537" s="9"/>
      <c r="D537" s="9"/>
      <c r="E537" s="9"/>
      <c r="F537" s="9"/>
      <c r="G537" s="9"/>
      <c r="H537" s="9"/>
      <c r="I537" s="9" t="s">
        <v>1362</v>
      </c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</row>
    <row r="538" spans="1:27">
      <c r="A538" s="9" t="s">
        <v>1076</v>
      </c>
      <c r="B538" s="9" t="s">
        <v>186</v>
      </c>
      <c r="C538" s="9"/>
      <c r="D538" s="9"/>
      <c r="E538" s="9"/>
      <c r="F538" s="9"/>
      <c r="G538" s="9"/>
      <c r="H538" s="9"/>
      <c r="I538" s="9" t="s">
        <v>1363</v>
      </c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</row>
    <row r="539" spans="1:27">
      <c r="A539" s="9" t="s">
        <v>1077</v>
      </c>
      <c r="B539" s="9" t="s">
        <v>187</v>
      </c>
      <c r="C539" s="9"/>
      <c r="D539" s="9"/>
      <c r="E539" s="9"/>
      <c r="F539" s="9"/>
      <c r="G539" s="9"/>
      <c r="H539" s="9"/>
      <c r="I539" s="9" t="s">
        <v>1364</v>
      </c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</row>
    <row r="540" spans="1:27">
      <c r="A540" s="9" t="s">
        <v>2255</v>
      </c>
      <c r="B540" s="9" t="s">
        <v>2233</v>
      </c>
      <c r="C540" s="9"/>
      <c r="D540" s="9"/>
      <c r="E540" s="9"/>
      <c r="F540" s="9"/>
      <c r="G540" s="9"/>
      <c r="H540" s="9"/>
      <c r="I540" s="9" t="s">
        <v>1365</v>
      </c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</row>
    <row r="541" spans="1:27">
      <c r="A541" s="9" t="s">
        <v>1078</v>
      </c>
      <c r="B541" s="9" t="s">
        <v>188</v>
      </c>
      <c r="C541" s="9"/>
      <c r="D541" s="9"/>
      <c r="E541" s="9"/>
      <c r="F541" s="9"/>
      <c r="G541" s="9"/>
      <c r="H541" s="9"/>
      <c r="I541" s="9" t="s">
        <v>1366</v>
      </c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</row>
    <row r="542" spans="1:27">
      <c r="A542" s="9" t="s">
        <v>1079</v>
      </c>
      <c r="B542" s="9" t="s">
        <v>189</v>
      </c>
      <c r="C542" s="9"/>
      <c r="D542" s="9"/>
      <c r="E542" s="9"/>
      <c r="F542" s="9"/>
      <c r="G542" s="9"/>
      <c r="H542" s="9"/>
      <c r="I542" s="9" t="s">
        <v>1367</v>
      </c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</row>
    <row r="543" spans="1:27">
      <c r="A543" s="9" t="s">
        <v>1080</v>
      </c>
      <c r="B543" s="9" t="s">
        <v>190</v>
      </c>
      <c r="C543" s="9"/>
      <c r="D543" s="9"/>
      <c r="E543" s="9"/>
      <c r="F543" s="9"/>
      <c r="G543" s="9"/>
      <c r="H543" s="9"/>
      <c r="I543" s="9" t="s">
        <v>1368</v>
      </c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</row>
    <row r="544" spans="1:27">
      <c r="A544" s="9" t="s">
        <v>1081</v>
      </c>
      <c r="B544" s="9" t="s">
        <v>191</v>
      </c>
      <c r="C544" s="9"/>
      <c r="D544" s="9"/>
      <c r="E544" s="9"/>
      <c r="F544" s="9"/>
      <c r="G544" s="9"/>
      <c r="H544" s="9"/>
      <c r="I544" s="9" t="s">
        <v>1369</v>
      </c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</row>
    <row r="545" spans="1:27">
      <c r="A545" s="9" t="s">
        <v>1082</v>
      </c>
      <c r="B545" s="9" t="s">
        <v>192</v>
      </c>
      <c r="C545" s="9"/>
      <c r="D545" s="9"/>
      <c r="E545" s="9"/>
      <c r="F545" s="9"/>
      <c r="G545" s="9"/>
      <c r="H545" s="9"/>
      <c r="I545" s="9" t="s">
        <v>1370</v>
      </c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</row>
    <row r="546" spans="1:27">
      <c r="A546" s="9" t="s">
        <v>1083</v>
      </c>
      <c r="B546" s="9" t="s">
        <v>193</v>
      </c>
      <c r="C546" s="9"/>
      <c r="D546" s="9"/>
      <c r="E546" s="9"/>
      <c r="F546" s="9"/>
      <c r="G546" s="9"/>
      <c r="H546" s="9"/>
      <c r="I546" s="9" t="s">
        <v>1371</v>
      </c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</row>
    <row r="547" spans="1:27">
      <c r="A547" s="9" t="s">
        <v>1084</v>
      </c>
      <c r="B547" s="9" t="s">
        <v>242</v>
      </c>
      <c r="C547" s="9"/>
      <c r="D547" s="9"/>
      <c r="E547" s="9"/>
      <c r="F547" s="9"/>
      <c r="G547" s="9"/>
      <c r="H547" s="9"/>
      <c r="I547" s="9" t="s">
        <v>1885</v>
      </c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</row>
    <row r="548" spans="1:27">
      <c r="A548" s="9" t="s">
        <v>1085</v>
      </c>
      <c r="B548" s="9" t="s">
        <v>194</v>
      </c>
      <c r="C548" s="9"/>
      <c r="D548" s="9"/>
      <c r="E548" s="9"/>
      <c r="F548" s="9"/>
      <c r="G548" s="9"/>
      <c r="H548" s="9"/>
      <c r="I548" s="9" t="s">
        <v>2655</v>
      </c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</row>
    <row r="549" spans="1:27">
      <c r="A549" s="9" t="s">
        <v>1086</v>
      </c>
      <c r="B549" s="9" t="s">
        <v>195</v>
      </c>
      <c r="C549" s="9"/>
      <c r="D549" s="9"/>
      <c r="E549" s="9"/>
      <c r="F549" s="9"/>
      <c r="G549" s="9"/>
      <c r="H549" s="9"/>
      <c r="I549" s="9" t="s">
        <v>1886</v>
      </c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</row>
    <row r="550" spans="1:27">
      <c r="A550" s="9" t="s">
        <v>1087</v>
      </c>
      <c r="B550" s="9" t="s">
        <v>196</v>
      </c>
      <c r="C550" s="9"/>
      <c r="D550" s="9"/>
      <c r="E550" s="9"/>
      <c r="F550" s="9"/>
      <c r="G550" s="9"/>
      <c r="H550" s="9"/>
      <c r="I550" s="9" t="s">
        <v>1372</v>
      </c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</row>
    <row r="551" spans="1:27">
      <c r="A551" s="9" t="s">
        <v>1088</v>
      </c>
      <c r="B551" s="9" t="s">
        <v>197</v>
      </c>
      <c r="C551" s="9"/>
      <c r="D551" s="9"/>
      <c r="E551" s="9"/>
      <c r="F551" s="9"/>
      <c r="G551" s="9"/>
      <c r="H551" s="9"/>
      <c r="I551" s="9" t="s">
        <v>1373</v>
      </c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</row>
    <row r="552" spans="1:27">
      <c r="A552" s="9" t="s">
        <v>1089</v>
      </c>
      <c r="B552" s="9" t="s">
        <v>198</v>
      </c>
      <c r="C552" s="9"/>
      <c r="D552" s="9"/>
      <c r="E552" s="9"/>
      <c r="F552" s="9"/>
      <c r="G552" s="9"/>
      <c r="H552" s="9"/>
      <c r="I552" s="9" t="s">
        <v>1374</v>
      </c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</row>
    <row r="553" spans="1:27">
      <c r="A553" s="9" t="s">
        <v>1090</v>
      </c>
      <c r="B553" s="9" t="s">
        <v>199</v>
      </c>
      <c r="C553" s="9"/>
      <c r="D553" s="9"/>
      <c r="E553" s="9"/>
      <c r="F553" s="9"/>
      <c r="G553" s="9"/>
      <c r="H553" s="9"/>
      <c r="I553" s="9" t="s">
        <v>1375</v>
      </c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</row>
    <row r="554" spans="1:27">
      <c r="A554" s="9" t="s">
        <v>1091</v>
      </c>
      <c r="B554" s="9" t="s">
        <v>200</v>
      </c>
      <c r="C554" s="9"/>
      <c r="D554" s="9"/>
      <c r="E554" s="9"/>
      <c r="F554" s="9"/>
      <c r="G554" s="9"/>
      <c r="H554" s="9"/>
      <c r="I554" s="9" t="s">
        <v>1376</v>
      </c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</row>
    <row r="555" spans="1:27">
      <c r="A555" s="9" t="s">
        <v>1865</v>
      </c>
      <c r="B555" s="9" t="s">
        <v>2166</v>
      </c>
      <c r="C555" s="9"/>
      <c r="D555" s="9"/>
      <c r="E555" s="9"/>
      <c r="F555" s="9"/>
      <c r="G555" s="9"/>
      <c r="H555" s="9"/>
      <c r="I555" s="9" t="s">
        <v>1377</v>
      </c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</row>
    <row r="556" spans="1:27">
      <c r="A556" s="9" t="s">
        <v>2635</v>
      </c>
      <c r="B556" s="9" t="s">
        <v>2553</v>
      </c>
      <c r="C556" s="9"/>
      <c r="D556" s="9"/>
      <c r="E556" s="9"/>
      <c r="F556" s="9"/>
      <c r="G556" s="9"/>
      <c r="H556" s="9"/>
      <c r="I556" s="9" t="s">
        <v>1378</v>
      </c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</row>
    <row r="557" spans="1:27">
      <c r="A557" s="9" t="s">
        <v>1866</v>
      </c>
      <c r="B557" s="9" t="s">
        <v>2167</v>
      </c>
      <c r="C557" s="9"/>
      <c r="D557" s="9"/>
      <c r="E557" s="9"/>
      <c r="F557" s="9"/>
      <c r="G557" s="9"/>
      <c r="H557" s="9"/>
      <c r="I557" s="9" t="s">
        <v>1379</v>
      </c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</row>
    <row r="558" spans="1:27">
      <c r="A558" s="9" t="s">
        <v>1092</v>
      </c>
      <c r="B558" s="9" t="s">
        <v>201</v>
      </c>
      <c r="C558" s="9"/>
      <c r="D558" s="9"/>
      <c r="E558" s="9"/>
      <c r="F558" s="9"/>
      <c r="G558" s="9"/>
      <c r="H558" s="9"/>
      <c r="I558" s="9" t="s">
        <v>1380</v>
      </c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</row>
    <row r="559" spans="1:27">
      <c r="A559" s="9" t="s">
        <v>1093</v>
      </c>
      <c r="B559" s="9" t="s">
        <v>202</v>
      </c>
      <c r="C559" s="9"/>
      <c r="D559" s="9"/>
      <c r="E559" s="9"/>
      <c r="F559" s="9"/>
      <c r="G559" s="9"/>
      <c r="H559" s="9"/>
      <c r="I559" s="9" t="s">
        <v>1381</v>
      </c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</row>
    <row r="560" spans="1:27">
      <c r="A560" s="9" t="s">
        <v>1094</v>
      </c>
      <c r="B560" s="9" t="s">
        <v>203</v>
      </c>
      <c r="C560" s="9"/>
      <c r="D560" s="9"/>
      <c r="E560" s="9"/>
      <c r="F560" s="9"/>
      <c r="G560" s="9"/>
      <c r="H560" s="9"/>
      <c r="I560" s="9" t="s">
        <v>1382</v>
      </c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</row>
    <row r="561" spans="1:27">
      <c r="A561" s="9" t="s">
        <v>1095</v>
      </c>
      <c r="B561" s="9" t="s">
        <v>204</v>
      </c>
      <c r="C561" s="9"/>
      <c r="D561" s="9"/>
      <c r="E561" s="9"/>
      <c r="F561" s="9"/>
      <c r="G561" s="9"/>
      <c r="H561" s="9"/>
      <c r="I561" s="9" t="s">
        <v>1383</v>
      </c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</row>
    <row r="562" spans="1:27">
      <c r="A562" s="9" t="s">
        <v>1096</v>
      </c>
      <c r="B562" s="9" t="s">
        <v>205</v>
      </c>
      <c r="C562" s="9"/>
      <c r="D562" s="9"/>
      <c r="E562" s="9"/>
      <c r="F562" s="9"/>
      <c r="G562" s="9"/>
      <c r="H562" s="9"/>
      <c r="I562" s="9" t="s">
        <v>1384</v>
      </c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</row>
    <row r="563" spans="1:27">
      <c r="A563" s="9" t="s">
        <v>1097</v>
      </c>
      <c r="B563" s="9" t="s">
        <v>206</v>
      </c>
      <c r="C563" s="9"/>
      <c r="D563" s="9"/>
      <c r="E563" s="9"/>
      <c r="F563" s="9"/>
      <c r="G563" s="9"/>
      <c r="H563" s="9"/>
      <c r="I563" s="9" t="s">
        <v>1385</v>
      </c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</row>
    <row r="564" spans="1:27">
      <c r="A564" s="9" t="s">
        <v>1098</v>
      </c>
      <c r="B564" s="9" t="s">
        <v>207</v>
      </c>
      <c r="C564" s="9"/>
      <c r="D564" s="9"/>
      <c r="E564" s="9"/>
      <c r="F564" s="9"/>
      <c r="G564" s="9"/>
      <c r="H564" s="9"/>
      <c r="I564" s="9" t="s">
        <v>1386</v>
      </c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</row>
    <row r="565" spans="1:27">
      <c r="A565" s="9" t="s">
        <v>1099</v>
      </c>
      <c r="B565" s="9" t="s">
        <v>208</v>
      </c>
      <c r="C565" s="9"/>
      <c r="D565" s="9"/>
      <c r="E565" s="9"/>
      <c r="F565" s="9"/>
      <c r="G565" s="9"/>
      <c r="H565" s="9"/>
      <c r="I565" s="9" t="s">
        <v>1387</v>
      </c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</row>
    <row r="566" spans="1:27">
      <c r="A566" s="9" t="s">
        <v>1100</v>
      </c>
      <c r="B566" s="9" t="s">
        <v>209</v>
      </c>
      <c r="C566" s="9"/>
      <c r="D566" s="9"/>
      <c r="E566" s="9"/>
      <c r="F566" s="9"/>
      <c r="G566" s="9"/>
      <c r="H566" s="9"/>
      <c r="I566" s="9" t="s">
        <v>1388</v>
      </c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</row>
    <row r="567" spans="1:27">
      <c r="A567" s="9" t="s">
        <v>1101</v>
      </c>
      <c r="B567" s="9" t="s">
        <v>210</v>
      </c>
      <c r="C567" s="9"/>
      <c r="D567" s="9"/>
      <c r="E567" s="9"/>
      <c r="F567" s="9"/>
      <c r="G567" s="9"/>
      <c r="H567" s="9"/>
      <c r="I567" s="9" t="s">
        <v>1389</v>
      </c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</row>
    <row r="568" spans="1:27">
      <c r="A568" s="9" t="s">
        <v>1102</v>
      </c>
      <c r="B568" s="9" t="s">
        <v>211</v>
      </c>
      <c r="C568" s="9"/>
      <c r="D568" s="9"/>
      <c r="E568" s="9"/>
      <c r="F568" s="9"/>
      <c r="G568" s="9"/>
      <c r="H568" s="9"/>
      <c r="I568" s="9" t="s">
        <v>1390</v>
      </c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</row>
    <row r="569" spans="1:27">
      <c r="A569" s="9" t="s">
        <v>1103</v>
      </c>
      <c r="B569" s="9" t="s">
        <v>212</v>
      </c>
      <c r="C569" s="9"/>
      <c r="D569" s="9"/>
      <c r="E569" s="9"/>
      <c r="F569" s="9"/>
      <c r="G569" s="9"/>
      <c r="H569" s="9"/>
      <c r="I569" s="9" t="s">
        <v>1391</v>
      </c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</row>
    <row r="570" spans="1:27">
      <c r="A570" s="9" t="s">
        <v>1104</v>
      </c>
      <c r="B570" s="9" t="s">
        <v>213</v>
      </c>
      <c r="C570" s="9"/>
      <c r="D570" s="9"/>
      <c r="E570" s="9"/>
      <c r="F570" s="9"/>
      <c r="G570" s="9"/>
      <c r="H570" s="9"/>
      <c r="I570" s="9" t="s">
        <v>1392</v>
      </c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</row>
    <row r="571" spans="1:27">
      <c r="A571" s="9" t="s">
        <v>1105</v>
      </c>
      <c r="B571" s="9" t="s">
        <v>214</v>
      </c>
      <c r="C571" s="9"/>
      <c r="D571" s="9"/>
      <c r="E571" s="9"/>
      <c r="F571" s="9"/>
      <c r="G571" s="9"/>
      <c r="H571" s="9"/>
      <c r="I571" s="9" t="s">
        <v>1393</v>
      </c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</row>
    <row r="572" spans="1:27">
      <c r="A572" s="9" t="s">
        <v>1106</v>
      </c>
      <c r="B572" s="9" t="s">
        <v>215</v>
      </c>
      <c r="C572" s="9"/>
      <c r="D572" s="9"/>
      <c r="E572" s="9"/>
      <c r="F572" s="9"/>
      <c r="G572" s="9"/>
      <c r="H572" s="9"/>
      <c r="I572" s="9" t="s">
        <v>1394</v>
      </c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</row>
    <row r="573" spans="1:27">
      <c r="A573" s="9" t="s">
        <v>1107</v>
      </c>
      <c r="B573" s="9" t="s">
        <v>216</v>
      </c>
      <c r="C573" s="9"/>
      <c r="D573" s="9"/>
      <c r="E573" s="9"/>
      <c r="F573" s="9"/>
      <c r="G573" s="9"/>
      <c r="H573" s="9"/>
      <c r="I573" s="9" t="s">
        <v>1395</v>
      </c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</row>
    <row r="574" spans="1:27">
      <c r="A574" s="9" t="s">
        <v>1108</v>
      </c>
      <c r="B574" s="9" t="s">
        <v>217</v>
      </c>
      <c r="C574" s="9"/>
      <c r="D574" s="9"/>
      <c r="E574" s="9"/>
      <c r="F574" s="9"/>
      <c r="G574" s="9"/>
      <c r="H574" s="9"/>
      <c r="I574" s="9" t="s">
        <v>1396</v>
      </c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</row>
    <row r="575" spans="1:27">
      <c r="A575" s="9" t="s">
        <v>1109</v>
      </c>
      <c r="B575" s="9" t="s">
        <v>218</v>
      </c>
      <c r="C575" s="9"/>
      <c r="D575" s="9"/>
      <c r="E575" s="9"/>
      <c r="F575" s="9"/>
      <c r="G575" s="9"/>
      <c r="H575" s="9"/>
      <c r="I575" s="9" t="s">
        <v>1397</v>
      </c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</row>
    <row r="576" spans="1:27">
      <c r="A576" s="9" t="s">
        <v>1110</v>
      </c>
      <c r="B576" s="9" t="s">
        <v>219</v>
      </c>
      <c r="C576" s="9"/>
      <c r="D576" s="9"/>
      <c r="E576" s="9"/>
      <c r="F576" s="9"/>
      <c r="G576" s="9"/>
      <c r="H576" s="9"/>
      <c r="I576" s="9" t="s">
        <v>1398</v>
      </c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</row>
    <row r="577" spans="1:27">
      <c r="A577" s="9" t="s">
        <v>1111</v>
      </c>
      <c r="B577" s="9" t="s">
        <v>220</v>
      </c>
      <c r="C577" s="9"/>
      <c r="D577" s="9"/>
      <c r="E577" s="9"/>
      <c r="F577" s="9"/>
      <c r="G577" s="9"/>
      <c r="H577" s="9"/>
      <c r="I577" s="9" t="s">
        <v>1399</v>
      </c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</row>
    <row r="578" spans="1:27">
      <c r="A578" s="9" t="s">
        <v>1112</v>
      </c>
      <c r="B578" s="9" t="s">
        <v>221</v>
      </c>
      <c r="C578" s="9"/>
      <c r="D578" s="9"/>
      <c r="E578" s="9"/>
      <c r="F578" s="9"/>
      <c r="G578" s="9"/>
      <c r="H578" s="9"/>
      <c r="I578" s="9" t="s">
        <v>1887</v>
      </c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</row>
    <row r="579" spans="1:27">
      <c r="A579" s="9" t="s">
        <v>1113</v>
      </c>
      <c r="B579" s="9" t="s">
        <v>222</v>
      </c>
      <c r="C579" s="9"/>
      <c r="D579" s="9"/>
      <c r="E579" s="9"/>
      <c r="F579" s="9"/>
      <c r="G579" s="9"/>
      <c r="H579" s="9"/>
      <c r="I579" s="9" t="s">
        <v>1400</v>
      </c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</row>
    <row r="580" spans="1:27">
      <c r="A580" s="9" t="s">
        <v>1114</v>
      </c>
      <c r="B580" s="9" t="s">
        <v>223</v>
      </c>
      <c r="C580" s="9"/>
      <c r="D580" s="9"/>
      <c r="E580" s="9"/>
      <c r="F580" s="9"/>
      <c r="G580" s="9"/>
      <c r="H580" s="9"/>
      <c r="I580" s="9" t="s">
        <v>1401</v>
      </c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</row>
    <row r="581" spans="1:27">
      <c r="A581" s="9" t="s">
        <v>1115</v>
      </c>
      <c r="B581" s="9" t="s">
        <v>224</v>
      </c>
      <c r="C581" s="9"/>
      <c r="D581" s="9"/>
      <c r="E581" s="9"/>
      <c r="F581" s="9"/>
      <c r="G581" s="9"/>
      <c r="H581" s="9"/>
      <c r="I581" s="9" t="s">
        <v>2656</v>
      </c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</row>
    <row r="582" spans="1:27">
      <c r="A582" s="9" t="s">
        <v>1116</v>
      </c>
      <c r="B582" s="9" t="s">
        <v>225</v>
      </c>
      <c r="C582" s="9"/>
      <c r="D582" s="9"/>
      <c r="E582" s="9"/>
      <c r="F582" s="9"/>
      <c r="G582" s="9"/>
      <c r="H582" s="9"/>
      <c r="I582" s="9" t="s">
        <v>1402</v>
      </c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</row>
    <row r="583" spans="1:27">
      <c r="A583" s="9" t="s">
        <v>1117</v>
      </c>
      <c r="B583" s="9" t="s">
        <v>226</v>
      </c>
      <c r="C583" s="9"/>
      <c r="D583" s="9"/>
      <c r="E583" s="9"/>
      <c r="F583" s="9"/>
      <c r="G583" s="9"/>
      <c r="H583" s="9"/>
      <c r="I583" s="9" t="s">
        <v>1403</v>
      </c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</row>
    <row r="584" spans="1:27">
      <c r="A584" s="9" t="s">
        <v>1118</v>
      </c>
      <c r="B584" s="9" t="s">
        <v>227</v>
      </c>
      <c r="C584" s="9"/>
      <c r="D584" s="9"/>
      <c r="E584" s="9"/>
      <c r="F584" s="9"/>
      <c r="G584" s="9"/>
      <c r="H584" s="9"/>
      <c r="I584" s="9" t="s">
        <v>1404</v>
      </c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</row>
    <row r="585" spans="1:27">
      <c r="A585" s="9" t="s">
        <v>1119</v>
      </c>
      <c r="B585" s="9" t="s">
        <v>228</v>
      </c>
      <c r="C585" s="9"/>
      <c r="D585" s="9"/>
      <c r="E585" s="9"/>
      <c r="F585" s="9"/>
      <c r="G585" s="9"/>
      <c r="H585" s="9"/>
      <c r="I585" s="9" t="s">
        <v>2657</v>
      </c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</row>
    <row r="586" spans="1:27">
      <c r="A586" s="9" t="s">
        <v>1867</v>
      </c>
      <c r="B586" s="9" t="s">
        <v>2168</v>
      </c>
      <c r="C586" s="9"/>
      <c r="D586" s="9"/>
      <c r="E586" s="9"/>
      <c r="F586" s="9"/>
      <c r="G586" s="9"/>
      <c r="H586" s="9"/>
      <c r="I586" s="9" t="s">
        <v>1888</v>
      </c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</row>
    <row r="587" spans="1:27">
      <c r="A587" s="9" t="s">
        <v>1120</v>
      </c>
      <c r="B587" s="9" t="s">
        <v>229</v>
      </c>
      <c r="C587" s="9"/>
      <c r="D587" s="9"/>
      <c r="E587" s="9"/>
      <c r="F587" s="9"/>
      <c r="G587" s="9"/>
      <c r="H587" s="9"/>
      <c r="I587" s="9" t="s">
        <v>1405</v>
      </c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</row>
    <row r="588" spans="1:27">
      <c r="A588" s="9" t="s">
        <v>1121</v>
      </c>
      <c r="B588" s="9" t="s">
        <v>230</v>
      </c>
      <c r="C588" s="9"/>
      <c r="D588" s="9"/>
      <c r="E588" s="9"/>
      <c r="F588" s="9"/>
      <c r="G588" s="9"/>
      <c r="H588" s="9"/>
      <c r="I588" s="9" t="s">
        <v>1406</v>
      </c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</row>
    <row r="589" spans="1:27">
      <c r="A589" s="9" t="s">
        <v>2637</v>
      </c>
      <c r="B589" s="9" t="s">
        <v>2551</v>
      </c>
      <c r="C589" s="9"/>
      <c r="D589" s="9"/>
      <c r="E589" s="9"/>
      <c r="F589" s="9"/>
      <c r="G589" s="9"/>
      <c r="H589" s="9"/>
      <c r="I589" s="9" t="s">
        <v>2307</v>
      </c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</row>
    <row r="590" spans="1:27">
      <c r="A590" s="9" t="s">
        <v>1122</v>
      </c>
      <c r="B590" s="9" t="s">
        <v>237</v>
      </c>
      <c r="C590" s="9"/>
      <c r="D590" s="9"/>
      <c r="E590" s="9"/>
      <c r="F590" s="9"/>
      <c r="G590" s="9"/>
      <c r="H590" s="9"/>
      <c r="I590" s="9" t="s">
        <v>1295</v>
      </c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</row>
    <row r="591" spans="1:27">
      <c r="A591" s="9" t="s">
        <v>1123</v>
      </c>
      <c r="B591" s="9" t="s">
        <v>238</v>
      </c>
      <c r="C591" s="9"/>
      <c r="D591" s="9"/>
      <c r="E591" s="9"/>
      <c r="F591" s="9"/>
      <c r="G591" s="9"/>
      <c r="H591" s="9"/>
      <c r="I591" s="9" t="s">
        <v>1296</v>
      </c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</row>
    <row r="592" spans="1:27">
      <c r="A592" s="9" t="s">
        <v>1124</v>
      </c>
      <c r="B592" s="9" t="s">
        <v>231</v>
      </c>
      <c r="C592" s="9"/>
      <c r="D592" s="9"/>
      <c r="E592" s="9"/>
      <c r="F592" s="9"/>
      <c r="G592" s="9"/>
      <c r="H592" s="9"/>
      <c r="I592" s="9" t="s">
        <v>1297</v>
      </c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</row>
    <row r="593" spans="1:27">
      <c r="A593" s="9" t="s">
        <v>2639</v>
      </c>
      <c r="B593" s="9" t="s">
        <v>2552</v>
      </c>
      <c r="C593" s="9"/>
      <c r="D593" s="9"/>
      <c r="E593" s="9"/>
      <c r="F593" s="9"/>
      <c r="G593" s="9"/>
      <c r="H593" s="9"/>
      <c r="I593" s="9" t="s">
        <v>1298</v>
      </c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</row>
    <row r="594" spans="1:27">
      <c r="A594" s="9" t="s">
        <v>1868</v>
      </c>
      <c r="B594" s="9" t="s">
        <v>2169</v>
      </c>
      <c r="C594" s="9"/>
      <c r="D594" s="9"/>
      <c r="E594" s="9"/>
      <c r="F594" s="9"/>
      <c r="G594" s="9"/>
      <c r="H594" s="9"/>
      <c r="I594" s="9" t="s">
        <v>1299</v>
      </c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</row>
    <row r="595" spans="1:27">
      <c r="A595" s="9" t="s">
        <v>1125</v>
      </c>
      <c r="B595" s="9" t="s">
        <v>232</v>
      </c>
      <c r="C595" s="9"/>
      <c r="D595" s="9"/>
      <c r="E595" s="9"/>
      <c r="F595" s="9"/>
      <c r="G595" s="9"/>
      <c r="H595" s="9"/>
      <c r="I595" s="9" t="s">
        <v>1300</v>
      </c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</row>
    <row r="596" spans="1:27">
      <c r="A596" s="9" t="s">
        <v>1126</v>
      </c>
      <c r="B596" s="9" t="s">
        <v>2271</v>
      </c>
      <c r="C596" s="9"/>
      <c r="D596" s="9"/>
      <c r="E596" s="9"/>
      <c r="F596" s="9"/>
      <c r="G596" s="9"/>
      <c r="H596" s="9"/>
      <c r="I596" s="9" t="s">
        <v>1301</v>
      </c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</row>
    <row r="597" spans="1:27">
      <c r="A597" s="9" t="s">
        <v>2300</v>
      </c>
      <c r="B597" s="9" t="s">
        <v>243</v>
      </c>
      <c r="C597" s="9"/>
      <c r="D597" s="9"/>
      <c r="E597" s="9"/>
      <c r="F597" s="9"/>
      <c r="G597" s="9"/>
      <c r="H597" s="9"/>
      <c r="I597" s="9" t="s">
        <v>2259</v>
      </c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</row>
    <row r="598" spans="1:27">
      <c r="A598" s="9" t="s">
        <v>1015</v>
      </c>
      <c r="B598" s="9" t="s">
        <v>181</v>
      </c>
      <c r="C598" s="9"/>
      <c r="D598" s="9"/>
      <c r="E598" s="9"/>
      <c r="F598" s="9"/>
      <c r="G598" s="9"/>
      <c r="H598" s="9"/>
      <c r="I598" s="9" t="s">
        <v>1302</v>
      </c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</row>
    <row r="599" spans="1:27">
      <c r="A599" s="9" t="s">
        <v>1016</v>
      </c>
      <c r="B599" s="9" t="s">
        <v>182</v>
      </c>
      <c r="C599" s="9"/>
      <c r="D599" s="9"/>
      <c r="E599" s="9"/>
      <c r="F599" s="9"/>
      <c r="G599" s="9"/>
      <c r="H599" s="9"/>
      <c r="I599" s="9" t="s">
        <v>1303</v>
      </c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</row>
    <row r="600" spans="1:27">
      <c r="A600" s="9" t="s">
        <v>1017</v>
      </c>
      <c r="B600" s="9" t="s">
        <v>183</v>
      </c>
      <c r="C600" s="9"/>
      <c r="D600" s="9"/>
      <c r="E600" s="9"/>
      <c r="F600" s="9"/>
      <c r="G600" s="9"/>
      <c r="H600" s="9"/>
      <c r="I600" s="9" t="s">
        <v>1304</v>
      </c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</row>
    <row r="601" spans="1:27">
      <c r="A601" s="9" t="s">
        <v>1018</v>
      </c>
      <c r="B601" s="9" t="s">
        <v>184</v>
      </c>
      <c r="C601" s="9"/>
      <c r="D601" s="9"/>
      <c r="E601" s="9"/>
      <c r="F601" s="9"/>
      <c r="G601" s="9"/>
      <c r="H601" s="9"/>
      <c r="I601" s="9" t="s">
        <v>1305</v>
      </c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</row>
    <row r="602" spans="1:27">
      <c r="A602" s="9" t="s">
        <v>1019</v>
      </c>
      <c r="B602" s="9" t="s">
        <v>185</v>
      </c>
      <c r="C602" s="9"/>
      <c r="D602" s="9"/>
      <c r="E602" s="9"/>
      <c r="F602" s="9"/>
      <c r="G602" s="9"/>
      <c r="H602" s="9"/>
      <c r="I602" s="9" t="s">
        <v>1306</v>
      </c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</row>
    <row r="603" spans="1:27">
      <c r="A603" s="9" t="s">
        <v>1020</v>
      </c>
      <c r="B603" s="9" t="s">
        <v>186</v>
      </c>
      <c r="C603" s="9"/>
      <c r="D603" s="9"/>
      <c r="E603" s="9"/>
      <c r="F603" s="9"/>
      <c r="G603" s="9"/>
      <c r="H603" s="9"/>
      <c r="I603" s="9" t="s">
        <v>1307</v>
      </c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</row>
    <row r="604" spans="1:27">
      <c r="A604" s="9" t="s">
        <v>1021</v>
      </c>
      <c r="B604" s="9" t="s">
        <v>187</v>
      </c>
      <c r="C604" s="9"/>
      <c r="D604" s="9"/>
      <c r="E604" s="9"/>
      <c r="F604" s="9"/>
      <c r="G604" s="9"/>
      <c r="H604" s="9"/>
      <c r="I604" s="9" t="s">
        <v>1308</v>
      </c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</row>
    <row r="605" spans="1:27">
      <c r="A605" s="9" t="s">
        <v>2254</v>
      </c>
      <c r="B605" s="9" t="s">
        <v>2233</v>
      </c>
      <c r="C605" s="9"/>
      <c r="D605" s="9"/>
      <c r="E605" s="9"/>
      <c r="F605" s="9"/>
      <c r="G605" s="9"/>
      <c r="H605" s="9"/>
      <c r="I605" s="9" t="s">
        <v>1309</v>
      </c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</row>
    <row r="606" spans="1:27">
      <c r="A606" s="9" t="s">
        <v>1022</v>
      </c>
      <c r="B606" s="9" t="s">
        <v>188</v>
      </c>
      <c r="C606" s="9"/>
      <c r="D606" s="9"/>
      <c r="E606" s="9"/>
      <c r="F606" s="9"/>
      <c r="G606" s="9"/>
      <c r="H606" s="9"/>
      <c r="I606" s="9" t="s">
        <v>1310</v>
      </c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</row>
    <row r="607" spans="1:27">
      <c r="A607" s="9" t="s">
        <v>1023</v>
      </c>
      <c r="B607" s="9" t="s">
        <v>189</v>
      </c>
      <c r="C607" s="9"/>
      <c r="D607" s="9"/>
      <c r="E607" s="9"/>
      <c r="F607" s="9"/>
      <c r="G607" s="9"/>
      <c r="H607" s="9"/>
      <c r="I607" s="9" t="s">
        <v>1311</v>
      </c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</row>
    <row r="608" spans="1:27">
      <c r="A608" s="9" t="s">
        <v>1024</v>
      </c>
      <c r="B608" s="9" t="s">
        <v>190</v>
      </c>
      <c r="C608" s="9"/>
      <c r="D608" s="9"/>
      <c r="E608" s="9"/>
      <c r="F608" s="9"/>
      <c r="G608" s="9"/>
      <c r="H608" s="9"/>
      <c r="I608" s="9" t="s">
        <v>1312</v>
      </c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</row>
    <row r="609" spans="1:27">
      <c r="A609" s="9" t="s">
        <v>1025</v>
      </c>
      <c r="B609" s="9" t="s">
        <v>191</v>
      </c>
      <c r="C609" s="9"/>
      <c r="D609" s="9"/>
      <c r="E609" s="9"/>
      <c r="F609" s="9"/>
      <c r="G609" s="9"/>
      <c r="H609" s="9"/>
      <c r="I609" s="9" t="s">
        <v>1313</v>
      </c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</row>
    <row r="610" spans="1:27">
      <c r="A610" s="9" t="s">
        <v>1026</v>
      </c>
      <c r="B610" s="9" t="s">
        <v>192</v>
      </c>
      <c r="C610" s="9"/>
      <c r="D610" s="9"/>
      <c r="E610" s="9"/>
      <c r="F610" s="9"/>
      <c r="G610" s="9"/>
      <c r="H610" s="9"/>
      <c r="I610" s="9" t="s">
        <v>1314</v>
      </c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</row>
    <row r="611" spans="1:27">
      <c r="A611" s="9" t="s">
        <v>1027</v>
      </c>
      <c r="B611" s="9" t="s">
        <v>193</v>
      </c>
      <c r="C611" s="9"/>
      <c r="D611" s="9"/>
      <c r="E611" s="9"/>
      <c r="F611" s="9"/>
      <c r="G611" s="9"/>
      <c r="H611" s="9"/>
      <c r="I611" s="9" t="s">
        <v>1315</v>
      </c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</row>
    <row r="612" spans="1:27">
      <c r="A612" s="9" t="s">
        <v>1028</v>
      </c>
      <c r="B612" s="9" t="s">
        <v>242</v>
      </c>
      <c r="C612" s="9"/>
      <c r="D612" s="9"/>
      <c r="E612" s="9"/>
      <c r="F612" s="9"/>
      <c r="G612" s="9"/>
      <c r="H612" s="9"/>
      <c r="I612" s="9" t="s">
        <v>1881</v>
      </c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</row>
    <row r="613" spans="1:27">
      <c r="A613" s="9" t="s">
        <v>1029</v>
      </c>
      <c r="B613" s="9" t="s">
        <v>194</v>
      </c>
      <c r="C613" s="9"/>
      <c r="D613" s="9"/>
      <c r="E613" s="9"/>
      <c r="F613" s="9"/>
      <c r="G613" s="9"/>
      <c r="H613" s="9"/>
      <c r="I613" s="9" t="s">
        <v>2658</v>
      </c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</row>
    <row r="614" spans="1:27">
      <c r="A614" s="9" t="s">
        <v>1030</v>
      </c>
      <c r="B614" s="9" t="s">
        <v>195</v>
      </c>
      <c r="C614" s="9"/>
      <c r="D614" s="9"/>
      <c r="E614" s="9"/>
      <c r="F614" s="9"/>
      <c r="G614" s="9"/>
      <c r="H614" s="9"/>
      <c r="I614" s="9" t="s">
        <v>1882</v>
      </c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</row>
    <row r="615" spans="1:27">
      <c r="A615" s="9" t="s">
        <v>1031</v>
      </c>
      <c r="B615" s="9" t="s">
        <v>196</v>
      </c>
      <c r="C615" s="9"/>
      <c r="D615" s="9"/>
      <c r="E615" s="9"/>
      <c r="F615" s="9"/>
      <c r="G615" s="9"/>
      <c r="H615" s="9"/>
      <c r="I615" s="9" t="s">
        <v>1316</v>
      </c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</row>
    <row r="616" spans="1:27">
      <c r="A616" s="9" t="s">
        <v>1032</v>
      </c>
      <c r="B616" s="9" t="s">
        <v>197</v>
      </c>
      <c r="C616" s="9"/>
      <c r="D616" s="9"/>
      <c r="E616" s="9"/>
      <c r="F616" s="9"/>
      <c r="G616" s="9"/>
      <c r="H616" s="9"/>
      <c r="I616" s="9" t="s">
        <v>1317</v>
      </c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</row>
    <row r="617" spans="1:27">
      <c r="A617" s="9" t="s">
        <v>1033</v>
      </c>
      <c r="B617" s="9" t="s">
        <v>198</v>
      </c>
      <c r="C617" s="9"/>
      <c r="D617" s="9"/>
      <c r="E617" s="9"/>
      <c r="F617" s="9"/>
      <c r="G617" s="9"/>
      <c r="H617" s="9"/>
      <c r="I617" s="9" t="s">
        <v>1318</v>
      </c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</row>
    <row r="618" spans="1:27">
      <c r="A618" s="9" t="s">
        <v>1034</v>
      </c>
      <c r="B618" s="9" t="s">
        <v>199</v>
      </c>
      <c r="C618" s="9"/>
      <c r="D618" s="9"/>
      <c r="E618" s="9"/>
      <c r="F618" s="9"/>
      <c r="G618" s="9"/>
      <c r="H618" s="9"/>
      <c r="I618" s="9" t="s">
        <v>1319</v>
      </c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</row>
    <row r="619" spans="1:27">
      <c r="A619" s="9" t="s">
        <v>1035</v>
      </c>
      <c r="B619" s="9" t="s">
        <v>200</v>
      </c>
      <c r="C619" s="9"/>
      <c r="D619" s="9"/>
      <c r="E619" s="9"/>
      <c r="F619" s="9"/>
      <c r="G619" s="9"/>
      <c r="H619" s="9"/>
      <c r="I619" s="9" t="s">
        <v>1320</v>
      </c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</row>
    <row r="620" spans="1:27">
      <c r="A620" s="9" t="s">
        <v>1861</v>
      </c>
      <c r="B620" s="9" t="s">
        <v>2166</v>
      </c>
      <c r="C620" s="9"/>
      <c r="D620" s="9"/>
      <c r="E620" s="9"/>
      <c r="F620" s="9"/>
      <c r="G620" s="9"/>
      <c r="H620" s="9"/>
      <c r="I620" s="9" t="s">
        <v>1321</v>
      </c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</row>
    <row r="621" spans="1:27">
      <c r="A621" s="9" t="s">
        <v>2641</v>
      </c>
      <c r="B621" s="9" t="s">
        <v>2553</v>
      </c>
      <c r="C621" s="9"/>
      <c r="D621" s="9"/>
      <c r="E621" s="9"/>
      <c r="F621" s="9"/>
      <c r="G621" s="9"/>
      <c r="H621" s="9"/>
      <c r="I621" s="9" t="s">
        <v>1322</v>
      </c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</row>
    <row r="622" spans="1:27">
      <c r="A622" s="9" t="s">
        <v>1862</v>
      </c>
      <c r="B622" s="9" t="s">
        <v>2167</v>
      </c>
      <c r="C622" s="9"/>
      <c r="D622" s="9"/>
      <c r="E622" s="9"/>
      <c r="F622" s="9"/>
      <c r="G622" s="9"/>
      <c r="H622" s="9"/>
      <c r="I622" s="9" t="s">
        <v>1323</v>
      </c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</row>
    <row r="623" spans="1:27">
      <c r="A623" s="9" t="s">
        <v>1036</v>
      </c>
      <c r="B623" s="9" t="s">
        <v>201</v>
      </c>
      <c r="C623" s="9"/>
      <c r="D623" s="9"/>
      <c r="E623" s="9"/>
      <c r="F623" s="9"/>
      <c r="G623" s="9"/>
      <c r="H623" s="9"/>
      <c r="I623" s="9" t="s">
        <v>1324</v>
      </c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</row>
    <row r="624" spans="1:27">
      <c r="A624" s="9" t="s">
        <v>1037</v>
      </c>
      <c r="B624" s="9" t="s">
        <v>202</v>
      </c>
      <c r="C624" s="9"/>
      <c r="D624" s="9"/>
      <c r="E624" s="9"/>
      <c r="F624" s="9"/>
      <c r="G624" s="9"/>
      <c r="H624" s="9"/>
      <c r="I624" s="9" t="s">
        <v>1325</v>
      </c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</row>
    <row r="625" spans="1:27">
      <c r="A625" s="9" t="s">
        <v>1038</v>
      </c>
      <c r="B625" s="9" t="s">
        <v>203</v>
      </c>
      <c r="C625" s="9"/>
      <c r="D625" s="9"/>
      <c r="E625" s="9"/>
      <c r="F625" s="9"/>
      <c r="G625" s="9"/>
      <c r="H625" s="9"/>
      <c r="I625" s="9" t="s">
        <v>1326</v>
      </c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</row>
    <row r="626" spans="1:27">
      <c r="A626" s="9" t="s">
        <v>1039</v>
      </c>
      <c r="B626" s="9" t="s">
        <v>204</v>
      </c>
      <c r="C626" s="9"/>
      <c r="D626" s="9"/>
      <c r="E626" s="9"/>
      <c r="F626" s="9"/>
      <c r="G626" s="9"/>
      <c r="H626" s="9"/>
      <c r="I626" s="9" t="s">
        <v>1327</v>
      </c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</row>
    <row r="627" spans="1:27">
      <c r="A627" s="9" t="s">
        <v>1040</v>
      </c>
      <c r="B627" s="9" t="s">
        <v>205</v>
      </c>
      <c r="C627" s="9"/>
      <c r="D627" s="9"/>
      <c r="E627" s="9"/>
      <c r="F627" s="9"/>
      <c r="G627" s="9"/>
      <c r="H627" s="9"/>
      <c r="I627" s="9" t="s">
        <v>1328</v>
      </c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</row>
    <row r="628" spans="1:27">
      <c r="A628" s="9" t="s">
        <v>1041</v>
      </c>
      <c r="B628" s="9" t="s">
        <v>206</v>
      </c>
      <c r="C628" s="9"/>
      <c r="D628" s="9"/>
      <c r="E628" s="9"/>
      <c r="F628" s="9"/>
      <c r="G628" s="9"/>
      <c r="H628" s="9"/>
      <c r="I628" s="9" t="s">
        <v>1329</v>
      </c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</row>
    <row r="629" spans="1:27">
      <c r="A629" s="9" t="s">
        <v>1042</v>
      </c>
      <c r="B629" s="9" t="s">
        <v>207</v>
      </c>
      <c r="C629" s="9"/>
      <c r="D629" s="9"/>
      <c r="E629" s="9"/>
      <c r="F629" s="9"/>
      <c r="G629" s="9"/>
      <c r="H629" s="9"/>
      <c r="I629" s="9" t="s">
        <v>1330</v>
      </c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</row>
    <row r="630" spans="1:27">
      <c r="A630" s="9" t="s">
        <v>1043</v>
      </c>
      <c r="B630" s="9" t="s">
        <v>208</v>
      </c>
      <c r="C630" s="9"/>
      <c r="D630" s="9"/>
      <c r="E630" s="9"/>
      <c r="F630" s="9"/>
      <c r="G630" s="9"/>
      <c r="H630" s="9"/>
      <c r="I630" s="9" t="s">
        <v>1331</v>
      </c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</row>
    <row r="631" spans="1:27">
      <c r="A631" s="9" t="s">
        <v>1044</v>
      </c>
      <c r="B631" s="9" t="s">
        <v>209</v>
      </c>
      <c r="C631" s="9"/>
      <c r="D631" s="9"/>
      <c r="E631" s="9"/>
      <c r="F631" s="9"/>
      <c r="G631" s="9"/>
      <c r="H631" s="9"/>
      <c r="I631" s="9" t="s">
        <v>1332</v>
      </c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</row>
    <row r="632" spans="1:27">
      <c r="A632" s="9" t="s">
        <v>1045</v>
      </c>
      <c r="B632" s="9" t="s">
        <v>210</v>
      </c>
      <c r="C632" s="9"/>
      <c r="D632" s="9"/>
      <c r="E632" s="9"/>
      <c r="F632" s="9"/>
      <c r="G632" s="9"/>
      <c r="H632" s="9"/>
      <c r="I632" s="9" t="s">
        <v>1333</v>
      </c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</row>
    <row r="633" spans="1:27">
      <c r="A633" s="9" t="s">
        <v>1046</v>
      </c>
      <c r="B633" s="9" t="s">
        <v>211</v>
      </c>
      <c r="C633" s="9"/>
      <c r="D633" s="9"/>
      <c r="E633" s="9"/>
      <c r="F633" s="9"/>
      <c r="G633" s="9"/>
      <c r="H633" s="9"/>
      <c r="I633" s="9" t="s">
        <v>1334</v>
      </c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</row>
    <row r="634" spans="1:27">
      <c r="A634" s="9" t="s">
        <v>1047</v>
      </c>
      <c r="B634" s="9" t="s">
        <v>212</v>
      </c>
      <c r="C634" s="9"/>
      <c r="D634" s="9"/>
      <c r="E634" s="9"/>
      <c r="F634" s="9"/>
      <c r="G634" s="9"/>
      <c r="H634" s="9"/>
      <c r="I634" s="9" t="s">
        <v>1335</v>
      </c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</row>
    <row r="635" spans="1:27">
      <c r="A635" s="9" t="s">
        <v>1048</v>
      </c>
      <c r="B635" s="9" t="s">
        <v>213</v>
      </c>
      <c r="C635" s="9"/>
      <c r="D635" s="9"/>
      <c r="E635" s="9"/>
      <c r="F635" s="9"/>
      <c r="G635" s="9"/>
      <c r="H635" s="9"/>
      <c r="I635" s="9" t="s">
        <v>1336</v>
      </c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</row>
    <row r="636" spans="1:27">
      <c r="A636" s="9" t="s">
        <v>1049</v>
      </c>
      <c r="B636" s="9" t="s">
        <v>214</v>
      </c>
      <c r="C636" s="9"/>
      <c r="D636" s="9"/>
      <c r="E636" s="9"/>
      <c r="F636" s="9"/>
      <c r="G636" s="9"/>
      <c r="H636" s="9"/>
      <c r="I636" s="9" t="s">
        <v>1337</v>
      </c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</row>
    <row r="637" spans="1:27">
      <c r="A637" s="9" t="s">
        <v>1050</v>
      </c>
      <c r="B637" s="9" t="s">
        <v>215</v>
      </c>
      <c r="C637" s="9"/>
      <c r="D637" s="9"/>
      <c r="E637" s="9"/>
      <c r="F637" s="9"/>
      <c r="G637" s="9"/>
      <c r="H637" s="9"/>
      <c r="I637" s="9" t="s">
        <v>1338</v>
      </c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</row>
    <row r="638" spans="1:27">
      <c r="A638" s="9" t="s">
        <v>1051</v>
      </c>
      <c r="B638" s="9" t="s">
        <v>216</v>
      </c>
      <c r="C638" s="9"/>
      <c r="D638" s="9"/>
      <c r="E638" s="9"/>
      <c r="F638" s="9"/>
      <c r="G638" s="9"/>
      <c r="H638" s="9"/>
      <c r="I638" s="9" t="s">
        <v>1339</v>
      </c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</row>
    <row r="639" spans="1:27">
      <c r="A639" s="9" t="s">
        <v>1052</v>
      </c>
      <c r="B639" s="9" t="s">
        <v>217</v>
      </c>
      <c r="C639" s="9"/>
      <c r="D639" s="9"/>
      <c r="E639" s="9"/>
      <c r="F639" s="9"/>
      <c r="G639" s="9"/>
      <c r="H639" s="9"/>
      <c r="I639" s="9" t="s">
        <v>1340</v>
      </c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</row>
    <row r="640" spans="1:27">
      <c r="A640" s="9" t="s">
        <v>1053</v>
      </c>
      <c r="B640" s="9" t="s">
        <v>218</v>
      </c>
      <c r="C640" s="9"/>
      <c r="D640" s="9"/>
      <c r="E640" s="9"/>
      <c r="F640" s="9"/>
      <c r="G640" s="9"/>
      <c r="H640" s="9"/>
      <c r="I640" s="9" t="s">
        <v>1341</v>
      </c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</row>
    <row r="641" spans="1:27">
      <c r="A641" s="9" t="s">
        <v>1054</v>
      </c>
      <c r="B641" s="9" t="s">
        <v>219</v>
      </c>
      <c r="C641" s="9"/>
      <c r="D641" s="9"/>
      <c r="E641" s="9"/>
      <c r="F641" s="9"/>
      <c r="G641" s="9"/>
      <c r="H641" s="9"/>
      <c r="I641" s="9" t="s">
        <v>1342</v>
      </c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</row>
    <row r="642" spans="1:27">
      <c r="A642" s="9" t="s">
        <v>1055</v>
      </c>
      <c r="B642" s="9" t="s">
        <v>220</v>
      </c>
      <c r="C642" s="9"/>
      <c r="D642" s="9"/>
      <c r="E642" s="9"/>
      <c r="F642" s="9"/>
      <c r="G642" s="9"/>
      <c r="H642" s="9"/>
      <c r="I642" s="9" t="s">
        <v>1343</v>
      </c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</row>
    <row r="643" spans="1:27">
      <c r="A643" s="9" t="s">
        <v>1056</v>
      </c>
      <c r="B643" s="9" t="s">
        <v>221</v>
      </c>
      <c r="C643" s="9"/>
      <c r="D643" s="9"/>
      <c r="E643" s="9"/>
      <c r="F643" s="9"/>
      <c r="G643" s="9"/>
      <c r="H643" s="9"/>
      <c r="I643" s="9" t="s">
        <v>1883</v>
      </c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</row>
    <row r="644" spans="1:27">
      <c r="A644" s="9" t="s">
        <v>1057</v>
      </c>
      <c r="B644" s="9" t="s">
        <v>222</v>
      </c>
      <c r="C644" s="9"/>
      <c r="D644" s="9"/>
      <c r="E644" s="9"/>
      <c r="F644" s="9"/>
      <c r="G644" s="9"/>
      <c r="H644" s="9"/>
      <c r="I644" s="9" t="s">
        <v>1344</v>
      </c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</row>
    <row r="645" spans="1:27">
      <c r="A645" s="9" t="s">
        <v>1058</v>
      </c>
      <c r="B645" s="9" t="s">
        <v>223</v>
      </c>
      <c r="C645" s="9"/>
      <c r="D645" s="9"/>
      <c r="E645" s="9"/>
      <c r="F645" s="9"/>
      <c r="G645" s="9"/>
      <c r="H645" s="9"/>
      <c r="I645" s="9" t="s">
        <v>1345</v>
      </c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</row>
    <row r="646" spans="1:27">
      <c r="A646" s="9" t="s">
        <v>1059</v>
      </c>
      <c r="B646" s="9" t="s">
        <v>224</v>
      </c>
      <c r="C646" s="9"/>
      <c r="D646" s="9"/>
      <c r="E646" s="9"/>
      <c r="F646" s="9"/>
      <c r="G646" s="9"/>
      <c r="H646" s="9"/>
      <c r="I646" s="9" t="s">
        <v>2659</v>
      </c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</row>
    <row r="647" spans="1:27">
      <c r="A647" s="9" t="s">
        <v>1060</v>
      </c>
      <c r="B647" s="9" t="s">
        <v>225</v>
      </c>
      <c r="C647" s="9"/>
      <c r="D647" s="9"/>
      <c r="E647" s="9"/>
      <c r="F647" s="9"/>
      <c r="G647" s="9"/>
      <c r="H647" s="9"/>
      <c r="I647" s="9" t="s">
        <v>1346</v>
      </c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</row>
    <row r="648" spans="1:27">
      <c r="A648" s="9" t="s">
        <v>1061</v>
      </c>
      <c r="B648" s="9" t="s">
        <v>226</v>
      </c>
      <c r="C648" s="9"/>
      <c r="D648" s="9"/>
      <c r="E648" s="9"/>
      <c r="F648" s="9"/>
      <c r="G648" s="9"/>
      <c r="H648" s="9"/>
      <c r="I648" s="9" t="s">
        <v>1347</v>
      </c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</row>
    <row r="649" spans="1:27">
      <c r="A649" s="9" t="s">
        <v>1062</v>
      </c>
      <c r="B649" s="9" t="s">
        <v>227</v>
      </c>
      <c r="C649" s="9"/>
      <c r="D649" s="9"/>
      <c r="E649" s="9"/>
      <c r="F649" s="9"/>
      <c r="G649" s="9"/>
      <c r="H649" s="9"/>
      <c r="I649" s="9" t="s">
        <v>1348</v>
      </c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</row>
    <row r="650" spans="1:27">
      <c r="A650" s="9" t="s">
        <v>1063</v>
      </c>
      <c r="B650" s="9" t="s">
        <v>228</v>
      </c>
      <c r="C650" s="9"/>
      <c r="D650" s="9"/>
      <c r="E650" s="9"/>
      <c r="F650" s="9"/>
      <c r="G650" s="9"/>
      <c r="H650" s="9"/>
      <c r="I650" s="9" t="s">
        <v>2660</v>
      </c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</row>
    <row r="651" spans="1:27">
      <c r="A651" s="9" t="s">
        <v>1863</v>
      </c>
      <c r="B651" s="9" t="s">
        <v>2168</v>
      </c>
      <c r="C651" s="9"/>
      <c r="D651" s="9"/>
      <c r="E651" s="9"/>
      <c r="F651" s="9"/>
      <c r="G651" s="9"/>
      <c r="H651" s="9"/>
      <c r="I651" s="9" t="s">
        <v>1884</v>
      </c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</row>
    <row r="652" spans="1:27">
      <c r="A652" s="9" t="s">
        <v>1064</v>
      </c>
      <c r="B652" s="9" t="s">
        <v>229</v>
      </c>
      <c r="C652" s="9"/>
      <c r="D652" s="9"/>
      <c r="E652" s="9"/>
      <c r="F652" s="9"/>
      <c r="G652" s="9"/>
      <c r="H652" s="9"/>
      <c r="I652" s="9" t="s">
        <v>1349</v>
      </c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</row>
    <row r="653" spans="1:27">
      <c r="A653" s="9" t="s">
        <v>1065</v>
      </c>
      <c r="B653" s="9" t="s">
        <v>230</v>
      </c>
      <c r="C653" s="9"/>
      <c r="D653" s="9"/>
      <c r="E653" s="9"/>
      <c r="F653" s="9"/>
      <c r="G653" s="9"/>
      <c r="H653" s="9"/>
      <c r="I653" s="9" t="s">
        <v>1350</v>
      </c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</row>
    <row r="654" spans="1:27">
      <c r="A654" s="9" t="s">
        <v>2643</v>
      </c>
      <c r="B654" s="9" t="s">
        <v>2551</v>
      </c>
      <c r="C654" s="9"/>
      <c r="D654" s="9"/>
      <c r="E654" s="9"/>
      <c r="F654" s="9"/>
      <c r="G654" s="9"/>
      <c r="H654" s="9"/>
      <c r="I654" s="9" t="s">
        <v>2308</v>
      </c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</row>
    <row r="655" spans="1:27">
      <c r="A655" s="9" t="s">
        <v>1066</v>
      </c>
      <c r="B655" s="9" t="s">
        <v>237</v>
      </c>
      <c r="C655" s="9"/>
      <c r="D655" s="9"/>
      <c r="E655" s="9"/>
      <c r="F655" s="9"/>
      <c r="G655" s="9"/>
      <c r="H655" s="9"/>
      <c r="I655" s="9" t="s">
        <v>1239</v>
      </c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</row>
    <row r="656" spans="1:27">
      <c r="A656" s="9" t="s">
        <v>1067</v>
      </c>
      <c r="B656" s="9" t="s">
        <v>238</v>
      </c>
      <c r="C656" s="9"/>
      <c r="D656" s="9"/>
      <c r="E656" s="9"/>
      <c r="F656" s="9"/>
      <c r="G656" s="9"/>
      <c r="H656" s="9"/>
      <c r="I656" s="9" t="s">
        <v>1240</v>
      </c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</row>
    <row r="657" spans="1:27">
      <c r="A657" s="9" t="s">
        <v>1068</v>
      </c>
      <c r="B657" s="9" t="s">
        <v>231</v>
      </c>
      <c r="C657" s="9"/>
      <c r="D657" s="9"/>
      <c r="E657" s="9"/>
      <c r="F657" s="9"/>
      <c r="G657" s="9"/>
      <c r="H657" s="9"/>
      <c r="I657" s="9" t="s">
        <v>1241</v>
      </c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</row>
    <row r="658" spans="1:27">
      <c r="A658" s="9" t="s">
        <v>2645</v>
      </c>
      <c r="B658" s="9" t="s">
        <v>2552</v>
      </c>
      <c r="C658" s="9"/>
      <c r="D658" s="9"/>
      <c r="E658" s="9"/>
      <c r="F658" s="9"/>
      <c r="G658" s="9"/>
      <c r="H658" s="9"/>
      <c r="I658" s="9" t="s">
        <v>1242</v>
      </c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</row>
    <row r="659" spans="1:27">
      <c r="A659" s="9" t="s">
        <v>1864</v>
      </c>
      <c r="B659" s="9" t="s">
        <v>2169</v>
      </c>
      <c r="C659" s="9"/>
      <c r="D659" s="9"/>
      <c r="E659" s="9"/>
      <c r="F659" s="9"/>
      <c r="G659" s="9"/>
      <c r="H659" s="9"/>
      <c r="I659" s="9" t="s">
        <v>1243</v>
      </c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</row>
    <row r="660" spans="1:27">
      <c r="A660" s="9" t="s">
        <v>1069</v>
      </c>
      <c r="B660" s="9" t="s">
        <v>232</v>
      </c>
      <c r="C660" s="9"/>
      <c r="D660" s="9"/>
      <c r="E660" s="9"/>
      <c r="F660" s="9"/>
      <c r="G660" s="9"/>
      <c r="H660" s="9"/>
      <c r="I660" s="9" t="s">
        <v>1244</v>
      </c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</row>
    <row r="661" spans="1:27">
      <c r="A661" s="9" t="s">
        <v>1070</v>
      </c>
      <c r="B661" s="9" t="s">
        <v>2271</v>
      </c>
      <c r="C661" s="9"/>
      <c r="D661" s="9"/>
      <c r="E661" s="9"/>
      <c r="F661" s="9"/>
      <c r="G661" s="9"/>
      <c r="H661" s="9"/>
      <c r="I661" s="9" t="s">
        <v>1245</v>
      </c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</row>
    <row r="662" spans="1:27">
      <c r="A662" s="9" t="s">
        <v>2301</v>
      </c>
      <c r="B662" s="9" t="s">
        <v>243</v>
      </c>
      <c r="C662" s="9"/>
      <c r="D662" s="9"/>
      <c r="E662" s="9"/>
      <c r="F662" s="9"/>
      <c r="G662" s="9"/>
      <c r="H662" s="9"/>
      <c r="I662" s="9" t="s">
        <v>2258</v>
      </c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</row>
    <row r="663" spans="1:27">
      <c r="A663" s="9" t="s">
        <v>1183</v>
      </c>
      <c r="B663" s="9" t="s">
        <v>181</v>
      </c>
      <c r="C663" s="9"/>
      <c r="D663" s="9"/>
      <c r="E663" s="9"/>
      <c r="F663" s="9"/>
      <c r="G663" s="9"/>
      <c r="H663" s="9"/>
      <c r="I663" s="9" t="s">
        <v>1246</v>
      </c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</row>
    <row r="664" spans="1:27">
      <c r="A664" s="9" t="s">
        <v>1184</v>
      </c>
      <c r="B664" s="9" t="s">
        <v>182</v>
      </c>
      <c r="C664" s="9"/>
      <c r="D664" s="9"/>
      <c r="E664" s="9"/>
      <c r="F664" s="9"/>
      <c r="G664" s="9"/>
      <c r="H664" s="9"/>
      <c r="I664" s="9" t="s">
        <v>1247</v>
      </c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</row>
    <row r="665" spans="1:27">
      <c r="A665" s="9" t="s">
        <v>1185</v>
      </c>
      <c r="B665" s="9" t="s">
        <v>183</v>
      </c>
      <c r="C665" s="9"/>
      <c r="D665" s="9"/>
      <c r="E665" s="9"/>
      <c r="F665" s="9"/>
      <c r="G665" s="9"/>
      <c r="H665" s="9"/>
      <c r="I665" s="9" t="s">
        <v>1248</v>
      </c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</row>
    <row r="666" spans="1:27">
      <c r="A666" s="9" t="s">
        <v>1186</v>
      </c>
      <c r="B666" s="9" t="s">
        <v>184</v>
      </c>
      <c r="C666" s="9"/>
      <c r="D666" s="9"/>
      <c r="E666" s="9"/>
      <c r="F666" s="9"/>
      <c r="G666" s="9"/>
      <c r="H666" s="9"/>
      <c r="I666" s="9" t="s">
        <v>1249</v>
      </c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</row>
    <row r="667" spans="1:27">
      <c r="A667" s="9" t="s">
        <v>1187</v>
      </c>
      <c r="B667" s="9" t="s">
        <v>185</v>
      </c>
      <c r="C667" s="9"/>
      <c r="D667" s="9"/>
      <c r="E667" s="9"/>
      <c r="F667" s="9"/>
      <c r="G667" s="9"/>
      <c r="H667" s="9"/>
      <c r="I667" s="9" t="s">
        <v>1250</v>
      </c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</row>
    <row r="668" spans="1:27">
      <c r="A668" s="9" t="s">
        <v>1188</v>
      </c>
      <c r="B668" s="9" t="s">
        <v>186</v>
      </c>
      <c r="C668" s="9"/>
      <c r="D668" s="9"/>
      <c r="E668" s="9"/>
      <c r="F668" s="9"/>
      <c r="G668" s="9"/>
      <c r="H668" s="9"/>
      <c r="I668" s="9" t="s">
        <v>1251</v>
      </c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</row>
    <row r="669" spans="1:27">
      <c r="A669" s="9" t="s">
        <v>1189</v>
      </c>
      <c r="B669" s="9" t="s">
        <v>187</v>
      </c>
      <c r="C669" s="9"/>
      <c r="D669" s="9"/>
      <c r="E669" s="9"/>
      <c r="F669" s="9"/>
      <c r="G669" s="9"/>
      <c r="H669" s="9"/>
      <c r="I669" s="9" t="s">
        <v>1252</v>
      </c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</row>
    <row r="670" spans="1:27">
      <c r="A670" s="9" t="s">
        <v>2257</v>
      </c>
      <c r="B670" s="9" t="s">
        <v>2233</v>
      </c>
      <c r="C670" s="9"/>
      <c r="D670" s="9"/>
      <c r="E670" s="9"/>
      <c r="F670" s="9"/>
      <c r="G670" s="9"/>
      <c r="H670" s="9"/>
      <c r="I670" s="9" t="s">
        <v>1253</v>
      </c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</row>
    <row r="671" spans="1:27">
      <c r="A671" s="9" t="s">
        <v>1190</v>
      </c>
      <c r="B671" s="9" t="s">
        <v>188</v>
      </c>
      <c r="C671" s="9"/>
      <c r="D671" s="9"/>
      <c r="E671" s="9"/>
      <c r="F671" s="9"/>
      <c r="G671" s="9"/>
      <c r="H671" s="9"/>
      <c r="I671" s="9" t="s">
        <v>1254</v>
      </c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</row>
    <row r="672" spans="1:27">
      <c r="A672" s="9" t="s">
        <v>1191</v>
      </c>
      <c r="B672" s="9" t="s">
        <v>189</v>
      </c>
      <c r="C672" s="9"/>
      <c r="D672" s="9"/>
      <c r="E672" s="9"/>
      <c r="F672" s="9"/>
      <c r="G672" s="9"/>
      <c r="H672" s="9"/>
      <c r="I672" s="9" t="s">
        <v>1255</v>
      </c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</row>
    <row r="673" spans="1:27">
      <c r="A673" s="9" t="s">
        <v>1192</v>
      </c>
      <c r="B673" s="9" t="s">
        <v>190</v>
      </c>
      <c r="C673" s="9"/>
      <c r="D673" s="9"/>
      <c r="E673" s="9"/>
      <c r="F673" s="9"/>
      <c r="G673" s="9"/>
      <c r="H673" s="9"/>
      <c r="I673" s="9" t="s">
        <v>1256</v>
      </c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</row>
    <row r="674" spans="1:27">
      <c r="A674" s="9" t="s">
        <v>1193</v>
      </c>
      <c r="B674" s="9" t="s">
        <v>191</v>
      </c>
      <c r="C674" s="9"/>
      <c r="D674" s="9"/>
      <c r="E674" s="9"/>
      <c r="F674" s="9"/>
      <c r="G674" s="9"/>
      <c r="H674" s="9"/>
      <c r="I674" s="9" t="s">
        <v>1257</v>
      </c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</row>
    <row r="675" spans="1:27">
      <c r="A675" s="9" t="s">
        <v>1194</v>
      </c>
      <c r="B675" s="9" t="s">
        <v>192</v>
      </c>
      <c r="C675" s="9"/>
      <c r="D675" s="9"/>
      <c r="E675" s="9"/>
      <c r="F675" s="9"/>
      <c r="G675" s="9"/>
      <c r="H675" s="9"/>
      <c r="I675" s="9" t="s">
        <v>1258</v>
      </c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</row>
    <row r="676" spans="1:27">
      <c r="A676" s="9" t="s">
        <v>1195</v>
      </c>
      <c r="B676" s="9" t="s">
        <v>193</v>
      </c>
      <c r="C676" s="9"/>
      <c r="D676" s="9"/>
      <c r="E676" s="9"/>
      <c r="F676" s="9"/>
      <c r="G676" s="9"/>
      <c r="H676" s="9"/>
      <c r="I676" s="9" t="s">
        <v>1259</v>
      </c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</row>
    <row r="677" spans="1:27">
      <c r="A677" s="9" t="s">
        <v>1196</v>
      </c>
      <c r="B677" s="9" t="s">
        <v>242</v>
      </c>
      <c r="C677" s="9"/>
      <c r="D677" s="9"/>
      <c r="E677" s="9"/>
      <c r="F677" s="9"/>
      <c r="G677" s="9"/>
      <c r="H677" s="9"/>
      <c r="I677" s="9" t="s">
        <v>1877</v>
      </c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</row>
    <row r="678" spans="1:27">
      <c r="A678" s="9" t="s">
        <v>1197</v>
      </c>
      <c r="B678" s="9" t="s">
        <v>194</v>
      </c>
      <c r="C678" s="9"/>
      <c r="D678" s="9"/>
      <c r="E678" s="9"/>
      <c r="F678" s="9"/>
      <c r="G678" s="9"/>
      <c r="H678" s="9"/>
      <c r="I678" s="9" t="s">
        <v>2661</v>
      </c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</row>
    <row r="679" spans="1:27">
      <c r="A679" s="9" t="s">
        <v>1198</v>
      </c>
      <c r="B679" s="9" t="s">
        <v>195</v>
      </c>
      <c r="C679" s="9"/>
      <c r="D679" s="9"/>
      <c r="E679" s="9"/>
      <c r="F679" s="9"/>
      <c r="G679" s="9"/>
      <c r="H679" s="9"/>
      <c r="I679" s="9" t="s">
        <v>1878</v>
      </c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</row>
    <row r="680" spans="1:27">
      <c r="A680" s="9" t="s">
        <v>1199</v>
      </c>
      <c r="B680" s="9" t="s">
        <v>196</v>
      </c>
      <c r="C680" s="9"/>
      <c r="D680" s="9"/>
      <c r="E680" s="9"/>
      <c r="F680" s="9"/>
      <c r="G680" s="9"/>
      <c r="H680" s="9"/>
      <c r="I680" s="9" t="s">
        <v>1260</v>
      </c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</row>
    <row r="681" spans="1:27">
      <c r="A681" s="9" t="s">
        <v>1200</v>
      </c>
      <c r="B681" s="9" t="s">
        <v>197</v>
      </c>
      <c r="C681" s="9"/>
      <c r="D681" s="9"/>
      <c r="E681" s="9"/>
      <c r="F681" s="9"/>
      <c r="G681" s="9"/>
      <c r="H681" s="9"/>
      <c r="I681" s="9" t="s">
        <v>1261</v>
      </c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</row>
    <row r="682" spans="1:27">
      <c r="A682" s="9" t="s">
        <v>1201</v>
      </c>
      <c r="B682" s="9" t="s">
        <v>198</v>
      </c>
      <c r="C682" s="9"/>
      <c r="D682" s="9"/>
      <c r="E682" s="9"/>
      <c r="F682" s="9"/>
      <c r="G682" s="9"/>
      <c r="H682" s="9"/>
      <c r="I682" s="9" t="s">
        <v>1262</v>
      </c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</row>
    <row r="683" spans="1:27">
      <c r="A683" s="9" t="s">
        <v>1202</v>
      </c>
      <c r="B683" s="9" t="s">
        <v>199</v>
      </c>
      <c r="C683" s="9"/>
      <c r="D683" s="9"/>
      <c r="E683" s="9"/>
      <c r="F683" s="9"/>
      <c r="G683" s="9"/>
      <c r="H683" s="9"/>
      <c r="I683" s="9" t="s">
        <v>1263</v>
      </c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</row>
    <row r="684" spans="1:27">
      <c r="A684" s="9" t="s">
        <v>1203</v>
      </c>
      <c r="B684" s="9" t="s">
        <v>200</v>
      </c>
      <c r="C684" s="9"/>
      <c r="D684" s="9"/>
      <c r="E684" s="9"/>
      <c r="F684" s="9"/>
      <c r="G684" s="9"/>
      <c r="H684" s="9"/>
      <c r="I684" s="9" t="s">
        <v>1264</v>
      </c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</row>
    <row r="685" spans="1:27">
      <c r="A685" s="9" t="s">
        <v>1873</v>
      </c>
      <c r="B685" s="9" t="s">
        <v>2166</v>
      </c>
      <c r="C685" s="9"/>
      <c r="D685" s="9"/>
      <c r="E685" s="9"/>
      <c r="F685" s="9"/>
      <c r="G685" s="9"/>
      <c r="H685" s="9"/>
      <c r="I685" s="9" t="s">
        <v>1265</v>
      </c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</row>
    <row r="686" spans="1:27">
      <c r="A686" s="9" t="s">
        <v>2647</v>
      </c>
      <c r="B686" s="9" t="s">
        <v>2553</v>
      </c>
      <c r="C686" s="9"/>
      <c r="D686" s="9"/>
      <c r="E686" s="9"/>
      <c r="F686" s="9"/>
      <c r="G686" s="9"/>
      <c r="H686" s="9"/>
      <c r="I686" s="9" t="s">
        <v>1266</v>
      </c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</row>
    <row r="687" spans="1:27">
      <c r="A687" s="9" t="s">
        <v>1874</v>
      </c>
      <c r="B687" s="9" t="s">
        <v>2167</v>
      </c>
      <c r="C687" s="9"/>
      <c r="D687" s="9"/>
      <c r="E687" s="9"/>
      <c r="F687" s="9"/>
      <c r="G687" s="9"/>
      <c r="H687" s="9"/>
      <c r="I687" s="9" t="s">
        <v>1267</v>
      </c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</row>
    <row r="688" spans="1:27">
      <c r="A688" s="9" t="s">
        <v>1204</v>
      </c>
      <c r="B688" s="9" t="s">
        <v>201</v>
      </c>
      <c r="C688" s="9"/>
      <c r="D688" s="9"/>
      <c r="E688" s="9"/>
      <c r="F688" s="9"/>
      <c r="G688" s="9"/>
      <c r="H688" s="9"/>
      <c r="I688" s="9" t="s">
        <v>1268</v>
      </c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</row>
    <row r="689" spans="1:27">
      <c r="A689" s="9" t="s">
        <v>1205</v>
      </c>
      <c r="B689" s="9" t="s">
        <v>202</v>
      </c>
      <c r="C689" s="9"/>
      <c r="D689" s="9"/>
      <c r="E689" s="9"/>
      <c r="F689" s="9"/>
      <c r="G689" s="9"/>
      <c r="H689" s="9"/>
      <c r="I689" s="9" t="s">
        <v>1269</v>
      </c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</row>
    <row r="690" spans="1:27">
      <c r="A690" s="9" t="s">
        <v>1206</v>
      </c>
      <c r="B690" s="9" t="s">
        <v>203</v>
      </c>
      <c r="C690" s="9"/>
      <c r="D690" s="9"/>
      <c r="E690" s="9"/>
      <c r="F690" s="9"/>
      <c r="G690" s="9"/>
      <c r="H690" s="9"/>
      <c r="I690" s="9" t="s">
        <v>1270</v>
      </c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</row>
    <row r="691" spans="1:27">
      <c r="A691" s="9" t="s">
        <v>1207</v>
      </c>
      <c r="B691" s="9" t="s">
        <v>204</v>
      </c>
      <c r="C691" s="9"/>
      <c r="D691" s="9"/>
      <c r="E691" s="9"/>
      <c r="F691" s="9"/>
      <c r="G691" s="9"/>
      <c r="H691" s="9"/>
      <c r="I691" s="9" t="s">
        <v>1271</v>
      </c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</row>
    <row r="692" spans="1:27">
      <c r="A692" s="9" t="s">
        <v>1208</v>
      </c>
      <c r="B692" s="9" t="s">
        <v>205</v>
      </c>
      <c r="C692" s="9"/>
      <c r="D692" s="9"/>
      <c r="E692" s="9"/>
      <c r="F692" s="9"/>
      <c r="G692" s="9"/>
      <c r="H692" s="9"/>
      <c r="I692" s="9" t="s">
        <v>1272</v>
      </c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</row>
    <row r="693" spans="1:27">
      <c r="A693" s="9" t="s">
        <v>1209</v>
      </c>
      <c r="B693" s="9" t="s">
        <v>206</v>
      </c>
      <c r="C693" s="9"/>
      <c r="D693" s="9"/>
      <c r="E693" s="9"/>
      <c r="F693" s="9"/>
      <c r="G693" s="9"/>
      <c r="H693" s="9"/>
      <c r="I693" s="9" t="s">
        <v>1273</v>
      </c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</row>
    <row r="694" spans="1:27">
      <c r="A694" s="9" t="s">
        <v>1210</v>
      </c>
      <c r="B694" s="9" t="s">
        <v>207</v>
      </c>
      <c r="C694" s="9"/>
      <c r="D694" s="9"/>
      <c r="E694" s="9"/>
      <c r="F694" s="9"/>
      <c r="G694" s="9"/>
      <c r="H694" s="9"/>
      <c r="I694" s="9" t="s">
        <v>1274</v>
      </c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</row>
    <row r="695" spans="1:27">
      <c r="A695" s="9" t="s">
        <v>1211</v>
      </c>
      <c r="B695" s="9" t="s">
        <v>208</v>
      </c>
      <c r="C695" s="9"/>
      <c r="D695" s="9"/>
      <c r="E695" s="9"/>
      <c r="F695" s="9"/>
      <c r="G695" s="9"/>
      <c r="H695" s="9"/>
      <c r="I695" s="9" t="s">
        <v>1275</v>
      </c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</row>
    <row r="696" spans="1:27">
      <c r="A696" s="9" t="s">
        <v>1212</v>
      </c>
      <c r="B696" s="9" t="s">
        <v>209</v>
      </c>
      <c r="C696" s="9"/>
      <c r="D696" s="9"/>
      <c r="E696" s="9"/>
      <c r="F696" s="9"/>
      <c r="G696" s="9"/>
      <c r="H696" s="9"/>
      <c r="I696" s="9" t="s">
        <v>1276</v>
      </c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</row>
    <row r="697" spans="1:27">
      <c r="A697" s="9" t="s">
        <v>1213</v>
      </c>
      <c r="B697" s="9" t="s">
        <v>210</v>
      </c>
      <c r="C697" s="9"/>
      <c r="D697" s="9"/>
      <c r="E697" s="9"/>
      <c r="F697" s="9"/>
      <c r="G697" s="9"/>
      <c r="H697" s="9"/>
      <c r="I697" s="9" t="s">
        <v>1277</v>
      </c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</row>
    <row r="698" spans="1:27">
      <c r="A698" s="9" t="s">
        <v>1214</v>
      </c>
      <c r="B698" s="9" t="s">
        <v>211</v>
      </c>
      <c r="C698" s="9"/>
      <c r="D698" s="9"/>
      <c r="E698" s="9"/>
      <c r="F698" s="9"/>
      <c r="G698" s="9"/>
      <c r="H698" s="9"/>
      <c r="I698" s="9" t="s">
        <v>1278</v>
      </c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</row>
    <row r="699" spans="1:27">
      <c r="A699" s="9" t="s">
        <v>1215</v>
      </c>
      <c r="B699" s="9" t="s">
        <v>212</v>
      </c>
      <c r="C699" s="9"/>
      <c r="D699" s="9"/>
      <c r="E699" s="9"/>
      <c r="F699" s="9"/>
      <c r="G699" s="9"/>
      <c r="H699" s="9"/>
      <c r="I699" s="9" t="s">
        <v>1279</v>
      </c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</row>
    <row r="700" spans="1:27">
      <c r="A700" s="9" t="s">
        <v>1216</v>
      </c>
      <c r="B700" s="9" t="s">
        <v>213</v>
      </c>
      <c r="C700" s="9"/>
      <c r="D700" s="9"/>
      <c r="E700" s="9"/>
      <c r="F700" s="9"/>
      <c r="G700" s="9"/>
      <c r="H700" s="9"/>
      <c r="I700" s="9" t="s">
        <v>1280</v>
      </c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</row>
    <row r="701" spans="1:27">
      <c r="A701" s="9" t="s">
        <v>1217</v>
      </c>
      <c r="B701" s="9" t="s">
        <v>214</v>
      </c>
      <c r="C701" s="9"/>
      <c r="D701" s="9"/>
      <c r="E701" s="9"/>
      <c r="F701" s="9"/>
      <c r="G701" s="9"/>
      <c r="H701" s="9"/>
      <c r="I701" s="9" t="s">
        <v>1281</v>
      </c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</row>
    <row r="702" spans="1:27">
      <c r="A702" s="9" t="s">
        <v>1218</v>
      </c>
      <c r="B702" s="9" t="s">
        <v>215</v>
      </c>
      <c r="C702" s="9"/>
      <c r="D702" s="9"/>
      <c r="E702" s="9"/>
      <c r="F702" s="9"/>
      <c r="G702" s="9"/>
      <c r="H702" s="9"/>
      <c r="I702" s="9" t="s">
        <v>1282</v>
      </c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</row>
    <row r="703" spans="1:27">
      <c r="A703" s="9" t="s">
        <v>1219</v>
      </c>
      <c r="B703" s="9" t="s">
        <v>216</v>
      </c>
      <c r="C703" s="9"/>
      <c r="D703" s="9"/>
      <c r="E703" s="9"/>
      <c r="F703" s="9"/>
      <c r="G703" s="9"/>
      <c r="H703" s="9"/>
      <c r="I703" s="9" t="s">
        <v>1283</v>
      </c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</row>
    <row r="704" spans="1:27">
      <c r="A704" s="9" t="s">
        <v>1220</v>
      </c>
      <c r="B704" s="9" t="s">
        <v>217</v>
      </c>
      <c r="C704" s="9"/>
      <c r="D704" s="9"/>
      <c r="E704" s="9"/>
      <c r="F704" s="9"/>
      <c r="G704" s="9"/>
      <c r="H704" s="9"/>
      <c r="I704" s="9" t="s">
        <v>1284</v>
      </c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</row>
    <row r="705" spans="1:27">
      <c r="A705" s="9" t="s">
        <v>1221</v>
      </c>
      <c r="B705" s="9" t="s">
        <v>218</v>
      </c>
      <c r="C705" s="9"/>
      <c r="D705" s="9"/>
      <c r="E705" s="9"/>
      <c r="F705" s="9"/>
      <c r="G705" s="9"/>
      <c r="H705" s="9"/>
      <c r="I705" s="9" t="s">
        <v>1285</v>
      </c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</row>
    <row r="706" spans="1:27">
      <c r="A706" s="9" t="s">
        <v>1222</v>
      </c>
      <c r="B706" s="9" t="s">
        <v>219</v>
      </c>
      <c r="C706" s="9"/>
      <c r="D706" s="9"/>
      <c r="E706" s="9"/>
      <c r="F706" s="9"/>
      <c r="G706" s="9"/>
      <c r="H706" s="9"/>
      <c r="I706" s="9" t="s">
        <v>1286</v>
      </c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</row>
    <row r="707" spans="1:27">
      <c r="A707" s="9" t="s">
        <v>1223</v>
      </c>
      <c r="B707" s="9" t="s">
        <v>220</v>
      </c>
      <c r="C707" s="9"/>
      <c r="D707" s="9"/>
      <c r="E707" s="9"/>
      <c r="F707" s="9"/>
      <c r="G707" s="9"/>
      <c r="H707" s="9"/>
      <c r="I707" s="9" t="s">
        <v>1287</v>
      </c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</row>
    <row r="708" spans="1:27">
      <c r="A708" s="9" t="s">
        <v>1224</v>
      </c>
      <c r="B708" s="9" t="s">
        <v>221</v>
      </c>
      <c r="C708" s="9"/>
      <c r="D708" s="9"/>
      <c r="E708" s="9"/>
      <c r="F708" s="9"/>
      <c r="G708" s="9"/>
      <c r="H708" s="9"/>
      <c r="I708" s="9" t="s">
        <v>1879</v>
      </c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</row>
    <row r="709" spans="1:27">
      <c r="A709" s="9" t="s">
        <v>1225</v>
      </c>
      <c r="B709" s="9" t="s">
        <v>222</v>
      </c>
      <c r="C709" s="9"/>
      <c r="D709" s="9"/>
      <c r="E709" s="9"/>
      <c r="F709" s="9"/>
      <c r="G709" s="9"/>
      <c r="H709" s="9"/>
      <c r="I709" s="9" t="s">
        <v>1288</v>
      </c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</row>
    <row r="710" spans="1:27">
      <c r="A710" s="9" t="s">
        <v>1226</v>
      </c>
      <c r="B710" s="9" t="s">
        <v>223</v>
      </c>
      <c r="C710" s="9"/>
      <c r="D710" s="9"/>
      <c r="E710" s="9"/>
      <c r="F710" s="9"/>
      <c r="G710" s="9"/>
      <c r="H710" s="9"/>
      <c r="I710" s="9" t="s">
        <v>1289</v>
      </c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</row>
    <row r="711" spans="1:27">
      <c r="A711" s="9" t="s">
        <v>1227</v>
      </c>
      <c r="B711" s="9" t="s">
        <v>224</v>
      </c>
      <c r="C711" s="9"/>
      <c r="D711" s="9"/>
      <c r="E711" s="9"/>
      <c r="F711" s="9"/>
      <c r="G711" s="9"/>
      <c r="H711" s="9"/>
      <c r="I711" s="9" t="s">
        <v>2662</v>
      </c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</row>
    <row r="712" spans="1:27">
      <c r="A712" s="9" t="s">
        <v>1228</v>
      </c>
      <c r="B712" s="9" t="s">
        <v>225</v>
      </c>
      <c r="C712" s="9"/>
      <c r="D712" s="9"/>
      <c r="E712" s="9"/>
      <c r="F712" s="9"/>
      <c r="G712" s="9"/>
      <c r="H712" s="9"/>
      <c r="I712" s="9" t="s">
        <v>1290</v>
      </c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</row>
    <row r="713" spans="1:27">
      <c r="A713" s="9" t="s">
        <v>1229</v>
      </c>
      <c r="B713" s="9" t="s">
        <v>226</v>
      </c>
      <c r="C713" s="9"/>
      <c r="D713" s="9"/>
      <c r="E713" s="9"/>
      <c r="F713" s="9"/>
      <c r="G713" s="9"/>
      <c r="H713" s="9"/>
      <c r="I713" s="9" t="s">
        <v>1291</v>
      </c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</row>
    <row r="714" spans="1:27">
      <c r="A714" s="9" t="s">
        <v>1230</v>
      </c>
      <c r="B714" s="9" t="s">
        <v>227</v>
      </c>
      <c r="C714" s="9"/>
      <c r="D714" s="9"/>
      <c r="E714" s="9"/>
      <c r="F714" s="9"/>
      <c r="G714" s="9"/>
      <c r="H714" s="9"/>
      <c r="I714" s="9" t="s">
        <v>1292</v>
      </c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</row>
    <row r="715" spans="1:27">
      <c r="A715" s="9" t="s">
        <v>1231</v>
      </c>
      <c r="B715" s="9" t="s">
        <v>228</v>
      </c>
      <c r="C715" s="9"/>
      <c r="D715" s="9"/>
      <c r="E715" s="9"/>
      <c r="F715" s="9"/>
      <c r="G715" s="9"/>
      <c r="H715" s="9"/>
      <c r="I715" s="9" t="s">
        <v>2663</v>
      </c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</row>
    <row r="716" spans="1:27">
      <c r="A716" s="9" t="s">
        <v>1875</v>
      </c>
      <c r="B716" s="9" t="s">
        <v>2168</v>
      </c>
      <c r="C716" s="9"/>
      <c r="D716" s="9"/>
      <c r="E716" s="9"/>
      <c r="F716" s="9"/>
      <c r="G716" s="9"/>
      <c r="H716" s="9"/>
      <c r="I716" s="9" t="s">
        <v>1880</v>
      </c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</row>
    <row r="717" spans="1:27">
      <c r="A717" s="9" t="s">
        <v>1232</v>
      </c>
      <c r="B717" s="9" t="s">
        <v>229</v>
      </c>
      <c r="C717" s="9"/>
      <c r="D717" s="9"/>
      <c r="E717" s="9"/>
      <c r="F717" s="9"/>
      <c r="G717" s="9"/>
      <c r="H717" s="9"/>
      <c r="I717" s="9" t="s">
        <v>1293</v>
      </c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</row>
    <row r="718" spans="1:27">
      <c r="A718" s="9" t="s">
        <v>1233</v>
      </c>
      <c r="B718" s="9" t="s">
        <v>230</v>
      </c>
      <c r="C718" s="9"/>
      <c r="D718" s="9"/>
      <c r="E718" s="9"/>
      <c r="F718" s="9"/>
      <c r="G718" s="9"/>
      <c r="H718" s="9"/>
      <c r="I718" s="9" t="s">
        <v>1294</v>
      </c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</row>
    <row r="719" spans="1:27">
      <c r="A719" s="9" t="s">
        <v>2649</v>
      </c>
      <c r="B719" s="9" t="s">
        <v>2551</v>
      </c>
      <c r="C719" s="9"/>
      <c r="D719" s="9"/>
      <c r="E719" s="9"/>
      <c r="F719" s="9"/>
      <c r="G719" s="9"/>
      <c r="H719" s="9"/>
      <c r="I719" s="9" t="s">
        <v>2309</v>
      </c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</row>
    <row r="720" spans="1:27">
      <c r="A720" s="9" t="s">
        <v>1234</v>
      </c>
      <c r="B720" s="9" t="s">
        <v>237</v>
      </c>
      <c r="C720" s="9"/>
      <c r="D720" s="9"/>
      <c r="E720" s="9"/>
      <c r="F720" s="9"/>
      <c r="G720" s="9"/>
      <c r="H720" s="9"/>
      <c r="I720" s="9" t="s">
        <v>1407</v>
      </c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</row>
    <row r="721" spans="1:27">
      <c r="A721" s="9" t="s">
        <v>1235</v>
      </c>
      <c r="B721" s="9" t="s">
        <v>238</v>
      </c>
      <c r="C721" s="9"/>
      <c r="D721" s="9"/>
      <c r="E721" s="9"/>
      <c r="F721" s="9"/>
      <c r="G721" s="9"/>
      <c r="H721" s="9"/>
      <c r="I721" s="9" t="s">
        <v>1408</v>
      </c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</row>
    <row r="722" spans="1:27">
      <c r="A722" s="9" t="s">
        <v>1236</v>
      </c>
      <c r="B722" s="9" t="s">
        <v>231</v>
      </c>
      <c r="C722" s="9"/>
      <c r="D722" s="9"/>
      <c r="E722" s="9"/>
      <c r="F722" s="9"/>
      <c r="G722" s="9"/>
      <c r="H722" s="9"/>
      <c r="I722" s="9" t="s">
        <v>1409</v>
      </c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</row>
    <row r="723" spans="1:27">
      <c r="A723" s="9" t="s">
        <v>2651</v>
      </c>
      <c r="B723" s="9" t="s">
        <v>2552</v>
      </c>
      <c r="C723" s="9"/>
      <c r="D723" s="9"/>
      <c r="E723" s="9"/>
      <c r="F723" s="9"/>
      <c r="G723" s="9"/>
      <c r="H723" s="9"/>
      <c r="I723" s="9" t="s">
        <v>1410</v>
      </c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</row>
    <row r="724" spans="1:27">
      <c r="A724" s="9" t="s">
        <v>1876</v>
      </c>
      <c r="B724" s="9" t="s">
        <v>2169</v>
      </c>
      <c r="C724" s="9"/>
      <c r="D724" s="9"/>
      <c r="E724" s="9"/>
      <c r="F724" s="9"/>
      <c r="G724" s="9"/>
      <c r="H724" s="9"/>
      <c r="I724" s="9" t="s">
        <v>1411</v>
      </c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</row>
    <row r="725" spans="1:27">
      <c r="A725" s="9" t="s">
        <v>1237</v>
      </c>
      <c r="B725" s="9" t="s">
        <v>232</v>
      </c>
      <c r="C725" s="9"/>
      <c r="D725" s="9"/>
      <c r="E725" s="9"/>
      <c r="F725" s="9"/>
      <c r="G725" s="9"/>
      <c r="H725" s="9"/>
      <c r="I725" s="9" t="s">
        <v>1412</v>
      </c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</row>
    <row r="726" spans="1:27">
      <c r="A726" s="9" t="s">
        <v>1238</v>
      </c>
      <c r="B726" s="9" t="s">
        <v>2271</v>
      </c>
      <c r="C726" s="9"/>
      <c r="D726" s="9"/>
      <c r="E726" s="9"/>
      <c r="F726" s="9"/>
      <c r="G726" s="9"/>
      <c r="H726" s="9"/>
      <c r="I726" s="9" t="s">
        <v>1413</v>
      </c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</row>
    <row r="727" spans="1:27">
      <c r="A727" s="9" t="s">
        <v>2302</v>
      </c>
      <c r="B727" s="9" t="s">
        <v>243</v>
      </c>
      <c r="C727" s="9"/>
      <c r="D727" s="9"/>
      <c r="E727" s="9"/>
      <c r="F727" s="9"/>
      <c r="G727" s="9"/>
      <c r="H727" s="9"/>
      <c r="I727" s="9" t="s">
        <v>2261</v>
      </c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</row>
    <row r="728" spans="1:27">
      <c r="A728" s="9" t="s">
        <v>583</v>
      </c>
      <c r="B728" s="9" t="s">
        <v>181</v>
      </c>
      <c r="C728" s="9"/>
      <c r="D728" s="9"/>
      <c r="E728" s="9"/>
      <c r="F728" s="9"/>
      <c r="G728" s="9"/>
      <c r="H728" s="9"/>
      <c r="I728" s="9" t="s">
        <v>1414</v>
      </c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</row>
    <row r="729" spans="1:27">
      <c r="A729" s="9" t="s">
        <v>584</v>
      </c>
      <c r="B729" s="9" t="s">
        <v>182</v>
      </c>
      <c r="C729" s="9"/>
      <c r="D729" s="9"/>
      <c r="E729" s="9"/>
      <c r="F729" s="9"/>
      <c r="G729" s="9"/>
      <c r="H729" s="9"/>
      <c r="I729" s="9" t="s">
        <v>1415</v>
      </c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</row>
    <row r="730" spans="1:27">
      <c r="A730" s="9" t="s">
        <v>585</v>
      </c>
      <c r="B730" s="9" t="s">
        <v>183</v>
      </c>
      <c r="C730" s="9"/>
      <c r="D730" s="9"/>
      <c r="E730" s="9"/>
      <c r="F730" s="9"/>
      <c r="G730" s="9"/>
      <c r="H730" s="9"/>
      <c r="I730" s="9" t="s">
        <v>1416</v>
      </c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</row>
    <row r="731" spans="1:27">
      <c r="A731" s="9" t="s">
        <v>586</v>
      </c>
      <c r="B731" s="9" t="s">
        <v>184</v>
      </c>
      <c r="C731" s="9"/>
      <c r="D731" s="9"/>
      <c r="E731" s="9"/>
      <c r="F731" s="9"/>
      <c r="G731" s="9"/>
      <c r="H731" s="9"/>
      <c r="I731" s="9" t="s">
        <v>1417</v>
      </c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</row>
    <row r="732" spans="1:27">
      <c r="A732" s="9" t="s">
        <v>587</v>
      </c>
      <c r="B732" s="9" t="s">
        <v>185</v>
      </c>
      <c r="C732" s="9"/>
      <c r="D732" s="9"/>
      <c r="E732" s="9"/>
      <c r="F732" s="9"/>
      <c r="G732" s="9"/>
      <c r="H732" s="9"/>
      <c r="I732" s="9" t="s">
        <v>1418</v>
      </c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</row>
    <row r="733" spans="1:27">
      <c r="A733" s="9" t="s">
        <v>588</v>
      </c>
      <c r="B733" s="9" t="s">
        <v>186</v>
      </c>
      <c r="C733" s="9"/>
      <c r="D733" s="9"/>
      <c r="E733" s="9"/>
      <c r="F733" s="9"/>
      <c r="G733" s="9"/>
      <c r="H733" s="9"/>
      <c r="I733" s="9" t="s">
        <v>1419</v>
      </c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</row>
    <row r="734" spans="1:27">
      <c r="A734" s="9" t="s">
        <v>589</v>
      </c>
      <c r="B734" s="9" t="s">
        <v>187</v>
      </c>
      <c r="C734" s="9"/>
      <c r="D734" s="9"/>
      <c r="E734" s="9"/>
      <c r="F734" s="9"/>
      <c r="G734" s="9"/>
      <c r="H734" s="9"/>
      <c r="I734" s="9" t="s">
        <v>1420</v>
      </c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</row>
    <row r="735" spans="1:27">
      <c r="A735" s="9" t="s">
        <v>2252</v>
      </c>
      <c r="B735" s="9" t="s">
        <v>2233</v>
      </c>
      <c r="C735" s="9"/>
      <c r="D735" s="9"/>
      <c r="E735" s="9"/>
      <c r="F735" s="9"/>
      <c r="G735" s="9"/>
      <c r="H735" s="9"/>
      <c r="I735" s="9" t="s">
        <v>1421</v>
      </c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</row>
    <row r="736" spans="1:27">
      <c r="A736" s="9" t="s">
        <v>590</v>
      </c>
      <c r="B736" s="9" t="s">
        <v>188</v>
      </c>
      <c r="C736" s="9"/>
      <c r="D736" s="9"/>
      <c r="E736" s="9"/>
      <c r="F736" s="9"/>
      <c r="G736" s="9"/>
      <c r="H736" s="9"/>
      <c r="I736" s="9" t="s">
        <v>1422</v>
      </c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</row>
    <row r="737" spans="1:27">
      <c r="A737" s="9" t="s">
        <v>591</v>
      </c>
      <c r="B737" s="9" t="s">
        <v>189</v>
      </c>
      <c r="C737" s="9"/>
      <c r="D737" s="9"/>
      <c r="E737" s="9"/>
      <c r="F737" s="9"/>
      <c r="G737" s="9"/>
      <c r="H737" s="9"/>
      <c r="I737" s="9" t="s">
        <v>1423</v>
      </c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</row>
    <row r="738" spans="1:27">
      <c r="A738" s="9" t="s">
        <v>592</v>
      </c>
      <c r="B738" s="9" t="s">
        <v>190</v>
      </c>
      <c r="C738" s="9"/>
      <c r="D738" s="9"/>
      <c r="E738" s="9"/>
      <c r="F738" s="9"/>
      <c r="G738" s="9"/>
      <c r="H738" s="9"/>
      <c r="I738" s="9" t="s">
        <v>1424</v>
      </c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</row>
    <row r="739" spans="1:27">
      <c r="A739" s="9" t="s">
        <v>593</v>
      </c>
      <c r="B739" s="9" t="s">
        <v>191</v>
      </c>
      <c r="C739" s="9"/>
      <c r="D739" s="9"/>
      <c r="E739" s="9"/>
      <c r="F739" s="9"/>
      <c r="G739" s="9"/>
      <c r="H739" s="9"/>
      <c r="I739" s="9" t="s">
        <v>1425</v>
      </c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</row>
    <row r="740" spans="1:27">
      <c r="A740" s="9" t="s">
        <v>594</v>
      </c>
      <c r="B740" s="9" t="s">
        <v>192</v>
      </c>
      <c r="C740" s="9"/>
      <c r="D740" s="9"/>
      <c r="E740" s="9"/>
      <c r="F740" s="9"/>
      <c r="G740" s="9"/>
      <c r="H740" s="9"/>
      <c r="I740" s="9" t="s">
        <v>1426</v>
      </c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</row>
    <row r="741" spans="1:27">
      <c r="A741" s="9" t="s">
        <v>595</v>
      </c>
      <c r="B741" s="9" t="s">
        <v>193</v>
      </c>
      <c r="C741" s="9"/>
      <c r="D741" s="9"/>
      <c r="E741" s="9"/>
      <c r="F741" s="9"/>
      <c r="G741" s="9"/>
      <c r="H741" s="9"/>
      <c r="I741" s="9" t="s">
        <v>1427</v>
      </c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</row>
    <row r="742" spans="1:27">
      <c r="A742" s="9" t="s">
        <v>596</v>
      </c>
      <c r="B742" s="9" t="s">
        <v>242</v>
      </c>
      <c r="C742" s="9"/>
      <c r="D742" s="9"/>
      <c r="E742" s="9"/>
      <c r="F742" s="9"/>
      <c r="G742" s="9"/>
      <c r="H742" s="9"/>
      <c r="I742" s="9" t="s">
        <v>1889</v>
      </c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</row>
    <row r="743" spans="1:27">
      <c r="A743" s="9" t="s">
        <v>597</v>
      </c>
      <c r="B743" s="9" t="s">
        <v>194</v>
      </c>
      <c r="C743" s="9"/>
      <c r="D743" s="9"/>
      <c r="E743" s="9"/>
      <c r="F743" s="9"/>
      <c r="G743" s="9"/>
      <c r="H743" s="9"/>
      <c r="I743" s="9" t="s">
        <v>2664</v>
      </c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</row>
    <row r="744" spans="1:27">
      <c r="A744" s="9" t="s">
        <v>598</v>
      </c>
      <c r="B744" s="9" t="s">
        <v>195</v>
      </c>
      <c r="C744" s="9"/>
      <c r="D744" s="9"/>
      <c r="E744" s="9"/>
      <c r="F744" s="9"/>
      <c r="G744" s="9"/>
      <c r="H744" s="9"/>
      <c r="I744" s="9" t="s">
        <v>1890</v>
      </c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</row>
    <row r="745" spans="1:27">
      <c r="A745" s="9" t="s">
        <v>599</v>
      </c>
      <c r="B745" s="9" t="s">
        <v>196</v>
      </c>
      <c r="C745" s="9"/>
      <c r="D745" s="9"/>
      <c r="E745" s="9"/>
      <c r="F745" s="9"/>
      <c r="G745" s="9"/>
      <c r="H745" s="9"/>
      <c r="I745" s="9" t="s">
        <v>1428</v>
      </c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</row>
    <row r="746" spans="1:27">
      <c r="A746" s="9" t="s">
        <v>600</v>
      </c>
      <c r="B746" s="9" t="s">
        <v>197</v>
      </c>
      <c r="C746" s="9"/>
      <c r="D746" s="9"/>
      <c r="E746" s="9"/>
      <c r="F746" s="9"/>
      <c r="G746" s="9"/>
      <c r="H746" s="9"/>
      <c r="I746" s="9" t="s">
        <v>1429</v>
      </c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</row>
    <row r="747" spans="1:27">
      <c r="A747" s="9" t="s">
        <v>601</v>
      </c>
      <c r="B747" s="9" t="s">
        <v>198</v>
      </c>
      <c r="C747" s="9"/>
      <c r="D747" s="9"/>
      <c r="E747" s="9"/>
      <c r="F747" s="9"/>
      <c r="G747" s="9"/>
      <c r="H747" s="9"/>
      <c r="I747" s="9" t="s">
        <v>1430</v>
      </c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</row>
    <row r="748" spans="1:27">
      <c r="A748" s="9" t="s">
        <v>602</v>
      </c>
      <c r="B748" s="9" t="s">
        <v>199</v>
      </c>
      <c r="C748" s="9"/>
      <c r="D748" s="9"/>
      <c r="E748" s="9"/>
      <c r="F748" s="9"/>
      <c r="G748" s="9"/>
      <c r="H748" s="9"/>
      <c r="I748" s="9" t="s">
        <v>1431</v>
      </c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</row>
    <row r="749" spans="1:27">
      <c r="A749" s="9" t="s">
        <v>603</v>
      </c>
      <c r="B749" s="9" t="s">
        <v>200</v>
      </c>
      <c r="C749" s="9"/>
      <c r="D749" s="9"/>
      <c r="E749" s="9"/>
      <c r="F749" s="9"/>
      <c r="G749" s="9"/>
      <c r="H749" s="9"/>
      <c r="I749" s="9" t="s">
        <v>1432</v>
      </c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</row>
    <row r="750" spans="1:27">
      <c r="A750" s="9" t="s">
        <v>1853</v>
      </c>
      <c r="B750" s="9" t="s">
        <v>2166</v>
      </c>
      <c r="C750" s="9"/>
      <c r="D750" s="9"/>
      <c r="E750" s="9"/>
      <c r="F750" s="9"/>
      <c r="G750" s="9"/>
      <c r="H750" s="9"/>
      <c r="I750" s="9" t="s">
        <v>1433</v>
      </c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</row>
    <row r="751" spans="1:27">
      <c r="A751" s="9" t="s">
        <v>2665</v>
      </c>
      <c r="B751" s="9" t="s">
        <v>2553</v>
      </c>
      <c r="C751" s="9"/>
      <c r="D751" s="9"/>
      <c r="E751" s="9"/>
      <c r="F751" s="9"/>
      <c r="G751" s="9"/>
      <c r="H751" s="9"/>
      <c r="I751" s="9" t="s">
        <v>1434</v>
      </c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</row>
    <row r="752" spans="1:27">
      <c r="A752" s="9" t="s">
        <v>1854</v>
      </c>
      <c r="B752" s="9" t="s">
        <v>2167</v>
      </c>
      <c r="C752" s="9"/>
      <c r="D752" s="9"/>
      <c r="E752" s="9"/>
      <c r="F752" s="9"/>
      <c r="G752" s="9"/>
      <c r="H752" s="9"/>
      <c r="I752" s="9" t="s">
        <v>1435</v>
      </c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</row>
    <row r="753" spans="1:27">
      <c r="A753" s="9" t="s">
        <v>604</v>
      </c>
      <c r="B753" s="9" t="s">
        <v>201</v>
      </c>
      <c r="C753" s="9"/>
      <c r="D753" s="9"/>
      <c r="E753" s="9"/>
      <c r="F753" s="9"/>
      <c r="G753" s="9"/>
      <c r="H753" s="9"/>
      <c r="I753" s="9" t="s">
        <v>1436</v>
      </c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</row>
    <row r="754" spans="1:27">
      <c r="A754" s="9" t="s">
        <v>605</v>
      </c>
      <c r="B754" s="9" t="s">
        <v>202</v>
      </c>
      <c r="C754" s="9"/>
      <c r="D754" s="9"/>
      <c r="E754" s="9"/>
      <c r="F754" s="9"/>
      <c r="G754" s="9"/>
      <c r="H754" s="9"/>
      <c r="I754" s="9" t="s">
        <v>1437</v>
      </c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</row>
    <row r="755" spans="1:27">
      <c r="A755" s="9" t="s">
        <v>606</v>
      </c>
      <c r="B755" s="9" t="s">
        <v>203</v>
      </c>
      <c r="C755" s="9"/>
      <c r="D755" s="9"/>
      <c r="E755" s="9"/>
      <c r="F755" s="9"/>
      <c r="G755" s="9"/>
      <c r="H755" s="9"/>
      <c r="I755" s="9" t="s">
        <v>1438</v>
      </c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</row>
    <row r="756" spans="1:27">
      <c r="A756" s="9" t="s">
        <v>607</v>
      </c>
      <c r="B756" s="9" t="s">
        <v>204</v>
      </c>
      <c r="C756" s="9"/>
      <c r="D756" s="9"/>
      <c r="E756" s="9"/>
      <c r="F756" s="9"/>
      <c r="G756" s="9"/>
      <c r="H756" s="9"/>
      <c r="I756" s="9" t="s">
        <v>1439</v>
      </c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</row>
    <row r="757" spans="1:27">
      <c r="A757" s="9" t="s">
        <v>608</v>
      </c>
      <c r="B757" s="9" t="s">
        <v>205</v>
      </c>
      <c r="C757" s="9"/>
      <c r="D757" s="9"/>
      <c r="E757" s="9"/>
      <c r="F757" s="9"/>
      <c r="G757" s="9"/>
      <c r="H757" s="9"/>
      <c r="I757" s="9" t="s">
        <v>1440</v>
      </c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</row>
    <row r="758" spans="1:27">
      <c r="A758" s="9" t="s">
        <v>609</v>
      </c>
      <c r="B758" s="9" t="s">
        <v>206</v>
      </c>
      <c r="C758" s="9"/>
      <c r="D758" s="9"/>
      <c r="E758" s="9"/>
      <c r="F758" s="9"/>
      <c r="G758" s="9"/>
      <c r="H758" s="9"/>
      <c r="I758" s="9" t="s">
        <v>1441</v>
      </c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</row>
    <row r="759" spans="1:27">
      <c r="A759" s="9" t="s">
        <v>610</v>
      </c>
      <c r="B759" s="9" t="s">
        <v>207</v>
      </c>
      <c r="C759" s="9"/>
      <c r="D759" s="9"/>
      <c r="E759" s="9"/>
      <c r="F759" s="9"/>
      <c r="G759" s="9"/>
      <c r="H759" s="9"/>
      <c r="I759" s="9" t="s">
        <v>1442</v>
      </c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</row>
    <row r="760" spans="1:27">
      <c r="A760" s="9" t="s">
        <v>611</v>
      </c>
      <c r="B760" s="9" t="s">
        <v>208</v>
      </c>
      <c r="C760" s="9"/>
      <c r="D760" s="9"/>
      <c r="E760" s="9"/>
      <c r="F760" s="9"/>
      <c r="G760" s="9"/>
      <c r="H760" s="9"/>
      <c r="I760" s="9" t="s">
        <v>1443</v>
      </c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</row>
    <row r="761" spans="1:27">
      <c r="A761" s="9" t="s">
        <v>612</v>
      </c>
      <c r="B761" s="9" t="s">
        <v>209</v>
      </c>
      <c r="C761" s="9"/>
      <c r="D761" s="9"/>
      <c r="E761" s="9"/>
      <c r="F761" s="9"/>
      <c r="G761" s="9"/>
      <c r="H761" s="9"/>
      <c r="I761" s="9" t="s">
        <v>1444</v>
      </c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</row>
    <row r="762" spans="1:27">
      <c r="A762" s="9" t="s">
        <v>613</v>
      </c>
      <c r="B762" s="9" t="s">
        <v>210</v>
      </c>
      <c r="C762" s="9"/>
      <c r="D762" s="9"/>
      <c r="E762" s="9"/>
      <c r="F762" s="9"/>
      <c r="G762" s="9"/>
      <c r="H762" s="9"/>
      <c r="I762" s="9" t="s">
        <v>1445</v>
      </c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</row>
    <row r="763" spans="1:27">
      <c r="A763" s="9" t="s">
        <v>614</v>
      </c>
      <c r="B763" s="9" t="s">
        <v>211</v>
      </c>
      <c r="C763" s="9"/>
      <c r="D763" s="9"/>
      <c r="E763" s="9"/>
      <c r="F763" s="9"/>
      <c r="G763" s="9"/>
      <c r="H763" s="9"/>
      <c r="I763" s="9" t="s">
        <v>1446</v>
      </c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</row>
    <row r="764" spans="1:27">
      <c r="A764" s="9" t="s">
        <v>615</v>
      </c>
      <c r="B764" s="9" t="s">
        <v>212</v>
      </c>
      <c r="C764" s="9"/>
      <c r="D764" s="9"/>
      <c r="E764" s="9"/>
      <c r="F764" s="9"/>
      <c r="G764" s="9"/>
      <c r="H764" s="9"/>
      <c r="I764" s="9" t="s">
        <v>1447</v>
      </c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</row>
    <row r="765" spans="1:27">
      <c r="A765" s="9" t="s">
        <v>616</v>
      </c>
      <c r="B765" s="9" t="s">
        <v>213</v>
      </c>
      <c r="C765" s="9"/>
      <c r="D765" s="9"/>
      <c r="E765" s="9"/>
      <c r="F765" s="9"/>
      <c r="G765" s="9"/>
      <c r="H765" s="9"/>
      <c r="I765" s="9" t="s">
        <v>1448</v>
      </c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</row>
    <row r="766" spans="1:27">
      <c r="A766" s="9" t="s">
        <v>617</v>
      </c>
      <c r="B766" s="9" t="s">
        <v>214</v>
      </c>
      <c r="C766" s="9"/>
      <c r="D766" s="9"/>
      <c r="E766" s="9"/>
      <c r="F766" s="9"/>
      <c r="G766" s="9"/>
      <c r="H766" s="9"/>
      <c r="I766" s="9" t="s">
        <v>1449</v>
      </c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</row>
    <row r="767" spans="1:27">
      <c r="A767" s="9" t="s">
        <v>618</v>
      </c>
      <c r="B767" s="9" t="s">
        <v>215</v>
      </c>
      <c r="C767" s="9"/>
      <c r="D767" s="9"/>
      <c r="E767" s="9"/>
      <c r="F767" s="9"/>
      <c r="G767" s="9"/>
      <c r="H767" s="9"/>
      <c r="I767" s="9" t="s">
        <v>1450</v>
      </c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</row>
    <row r="768" spans="1:27">
      <c r="A768" s="9" t="s">
        <v>619</v>
      </c>
      <c r="B768" s="9" t="s">
        <v>216</v>
      </c>
      <c r="C768" s="9"/>
      <c r="D768" s="9"/>
      <c r="E768" s="9"/>
      <c r="F768" s="9"/>
      <c r="G768" s="9"/>
      <c r="H768" s="9"/>
      <c r="I768" s="9" t="s">
        <v>1451</v>
      </c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</row>
    <row r="769" spans="1:27">
      <c r="A769" s="9" t="s">
        <v>620</v>
      </c>
      <c r="B769" s="9" t="s">
        <v>217</v>
      </c>
      <c r="C769" s="9"/>
      <c r="D769" s="9"/>
      <c r="E769" s="9"/>
      <c r="F769" s="9"/>
      <c r="G769" s="9"/>
      <c r="H769" s="9"/>
      <c r="I769" s="9" t="s">
        <v>1452</v>
      </c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</row>
    <row r="770" spans="1:27">
      <c r="A770" s="9" t="s">
        <v>621</v>
      </c>
      <c r="B770" s="9" t="s">
        <v>218</v>
      </c>
      <c r="C770" s="9"/>
      <c r="D770" s="9"/>
      <c r="E770" s="9"/>
      <c r="F770" s="9"/>
      <c r="G770" s="9"/>
      <c r="H770" s="9"/>
      <c r="I770" s="9" t="s">
        <v>1453</v>
      </c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</row>
    <row r="771" spans="1:27">
      <c r="A771" s="9" t="s">
        <v>622</v>
      </c>
      <c r="B771" s="9" t="s">
        <v>219</v>
      </c>
      <c r="C771" s="9"/>
      <c r="D771" s="9"/>
      <c r="E771" s="9"/>
      <c r="F771" s="9"/>
      <c r="G771" s="9"/>
      <c r="H771" s="9"/>
      <c r="I771" s="9" t="s">
        <v>1454</v>
      </c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</row>
    <row r="772" spans="1:27">
      <c r="A772" s="9" t="s">
        <v>623</v>
      </c>
      <c r="B772" s="9" t="s">
        <v>220</v>
      </c>
      <c r="C772" s="9"/>
      <c r="D772" s="9"/>
      <c r="E772" s="9"/>
      <c r="F772" s="9"/>
      <c r="G772" s="9"/>
      <c r="H772" s="9"/>
      <c r="I772" s="9" t="s">
        <v>1455</v>
      </c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</row>
    <row r="773" spans="1:27">
      <c r="A773" s="9" t="s">
        <v>624</v>
      </c>
      <c r="B773" s="9" t="s">
        <v>221</v>
      </c>
      <c r="C773" s="9"/>
      <c r="D773" s="9"/>
      <c r="E773" s="9"/>
      <c r="F773" s="9"/>
      <c r="G773" s="9"/>
      <c r="H773" s="9"/>
      <c r="I773" s="9" t="s">
        <v>1891</v>
      </c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</row>
    <row r="774" spans="1:27">
      <c r="A774" s="9" t="s">
        <v>625</v>
      </c>
      <c r="B774" s="9" t="s">
        <v>222</v>
      </c>
      <c r="C774" s="9"/>
      <c r="D774" s="9"/>
      <c r="E774" s="9"/>
      <c r="F774" s="9"/>
      <c r="G774" s="9"/>
      <c r="H774" s="9"/>
      <c r="I774" s="9" t="s">
        <v>1456</v>
      </c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</row>
    <row r="775" spans="1:27">
      <c r="A775" s="9" t="s">
        <v>626</v>
      </c>
      <c r="B775" s="9" t="s">
        <v>223</v>
      </c>
      <c r="C775" s="9"/>
      <c r="D775" s="9"/>
      <c r="E775" s="9"/>
      <c r="F775" s="9"/>
      <c r="G775" s="9"/>
      <c r="H775" s="9"/>
      <c r="I775" s="9" t="s">
        <v>1457</v>
      </c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</row>
    <row r="776" spans="1:27">
      <c r="A776" s="9" t="s">
        <v>627</v>
      </c>
      <c r="B776" s="9" t="s">
        <v>224</v>
      </c>
      <c r="C776" s="9"/>
      <c r="D776" s="9"/>
      <c r="E776" s="9"/>
      <c r="F776" s="9"/>
      <c r="G776" s="9"/>
      <c r="H776" s="9"/>
      <c r="I776" s="9" t="s">
        <v>2666</v>
      </c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</row>
    <row r="777" spans="1:27">
      <c r="A777" s="9" t="s">
        <v>628</v>
      </c>
      <c r="B777" s="9" t="s">
        <v>225</v>
      </c>
      <c r="C777" s="9"/>
      <c r="D777" s="9"/>
      <c r="E777" s="9"/>
      <c r="F777" s="9"/>
      <c r="G777" s="9"/>
      <c r="H777" s="9"/>
      <c r="I777" s="9" t="s">
        <v>1458</v>
      </c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</row>
    <row r="778" spans="1:27">
      <c r="A778" s="9" t="s">
        <v>629</v>
      </c>
      <c r="B778" s="9" t="s">
        <v>226</v>
      </c>
      <c r="C778" s="9"/>
      <c r="D778" s="9"/>
      <c r="E778" s="9"/>
      <c r="F778" s="9"/>
      <c r="G778" s="9"/>
      <c r="H778" s="9"/>
      <c r="I778" s="9" t="s">
        <v>1459</v>
      </c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</row>
    <row r="779" spans="1:27">
      <c r="A779" s="9" t="s">
        <v>630</v>
      </c>
      <c r="B779" s="9" t="s">
        <v>227</v>
      </c>
      <c r="C779" s="9"/>
      <c r="D779" s="9"/>
      <c r="E779" s="9"/>
      <c r="F779" s="9"/>
      <c r="G779" s="9"/>
      <c r="H779" s="9"/>
      <c r="I779" s="9" t="s">
        <v>1460</v>
      </c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</row>
    <row r="780" spans="1:27">
      <c r="A780" s="9" t="s">
        <v>631</v>
      </c>
      <c r="B780" s="9" t="s">
        <v>228</v>
      </c>
      <c r="C780" s="9"/>
      <c r="D780" s="9"/>
      <c r="E780" s="9"/>
      <c r="F780" s="9"/>
      <c r="G780" s="9"/>
      <c r="H780" s="9"/>
      <c r="I780" s="9" t="s">
        <v>2667</v>
      </c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</row>
    <row r="781" spans="1:27">
      <c r="A781" s="9" t="s">
        <v>1855</v>
      </c>
      <c r="B781" s="9" t="s">
        <v>2168</v>
      </c>
      <c r="C781" s="9"/>
      <c r="D781" s="9"/>
      <c r="E781" s="9"/>
      <c r="F781" s="9"/>
      <c r="G781" s="9"/>
      <c r="H781" s="9"/>
      <c r="I781" s="9" t="s">
        <v>1892</v>
      </c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</row>
    <row r="782" spans="1:27">
      <c r="A782" s="9" t="s">
        <v>632</v>
      </c>
      <c r="B782" s="9" t="s">
        <v>229</v>
      </c>
      <c r="C782" s="9"/>
      <c r="D782" s="9"/>
      <c r="E782" s="9"/>
      <c r="F782" s="9"/>
      <c r="G782" s="9"/>
      <c r="H782" s="9"/>
      <c r="I782" s="9" t="s">
        <v>1461</v>
      </c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</row>
    <row r="783" spans="1:27">
      <c r="A783" s="9" t="s">
        <v>633</v>
      </c>
      <c r="B783" s="9" t="s">
        <v>230</v>
      </c>
      <c r="C783" s="9"/>
      <c r="D783" s="9"/>
      <c r="E783" s="9"/>
      <c r="F783" s="9"/>
      <c r="G783" s="9"/>
      <c r="H783" s="9"/>
      <c r="I783" s="9" t="s">
        <v>1462</v>
      </c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</row>
    <row r="784" spans="1:27">
      <c r="A784" s="9" t="s">
        <v>2668</v>
      </c>
      <c r="B784" s="9" t="s">
        <v>2551</v>
      </c>
      <c r="C784" s="9"/>
      <c r="D784" s="9"/>
      <c r="E784" s="9"/>
      <c r="F784" s="9"/>
      <c r="G784" s="9"/>
      <c r="H784" s="9"/>
      <c r="I784" s="9" t="s">
        <v>2310</v>
      </c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</row>
    <row r="785" spans="1:27">
      <c r="A785" s="9" t="s">
        <v>634</v>
      </c>
      <c r="B785" s="9" t="s">
        <v>237</v>
      </c>
      <c r="C785" s="9"/>
      <c r="D785" s="9"/>
      <c r="E785" s="9"/>
      <c r="F785" s="9"/>
      <c r="G785" s="9"/>
      <c r="H785" s="9"/>
      <c r="I785" s="9" t="s">
        <v>807</v>
      </c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</row>
    <row r="786" spans="1:27">
      <c r="A786" s="9" t="s">
        <v>635</v>
      </c>
      <c r="B786" s="9" t="s">
        <v>238</v>
      </c>
      <c r="C786" s="9"/>
      <c r="D786" s="9"/>
      <c r="E786" s="9"/>
      <c r="F786" s="9"/>
      <c r="G786" s="9"/>
      <c r="H786" s="9"/>
      <c r="I786" s="9" t="s">
        <v>808</v>
      </c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</row>
    <row r="787" spans="1:27">
      <c r="A787" s="9" t="s">
        <v>636</v>
      </c>
      <c r="B787" s="9" t="s">
        <v>231</v>
      </c>
      <c r="C787" s="9"/>
      <c r="D787" s="9"/>
      <c r="E787" s="9"/>
      <c r="F787" s="9"/>
      <c r="G787" s="9"/>
      <c r="H787" s="9"/>
      <c r="I787" s="9" t="s">
        <v>809</v>
      </c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</row>
    <row r="788" spans="1:27">
      <c r="A788" s="9" t="s">
        <v>2669</v>
      </c>
      <c r="B788" s="9" t="s">
        <v>2552</v>
      </c>
      <c r="C788" s="9"/>
      <c r="D788" s="9"/>
      <c r="E788" s="9"/>
      <c r="F788" s="9"/>
      <c r="G788" s="9"/>
      <c r="H788" s="9"/>
      <c r="I788" s="9" t="s">
        <v>810</v>
      </c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</row>
    <row r="789" spans="1:27">
      <c r="A789" s="9" t="s">
        <v>1856</v>
      </c>
      <c r="B789" s="9" t="s">
        <v>2169</v>
      </c>
      <c r="C789" s="9"/>
      <c r="D789" s="9"/>
      <c r="E789" s="9"/>
      <c r="F789" s="9"/>
      <c r="G789" s="9"/>
      <c r="H789" s="9"/>
      <c r="I789" s="9" t="s">
        <v>811</v>
      </c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</row>
    <row r="790" spans="1:27">
      <c r="A790" s="9" t="s">
        <v>637</v>
      </c>
      <c r="B790" s="9" t="s">
        <v>232</v>
      </c>
      <c r="C790" s="9"/>
      <c r="D790" s="9"/>
      <c r="E790" s="9"/>
      <c r="F790" s="9"/>
      <c r="G790" s="9"/>
      <c r="H790" s="9"/>
      <c r="I790" s="9" t="s">
        <v>812</v>
      </c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</row>
    <row r="791" spans="1:27">
      <c r="A791" s="9" t="s">
        <v>638</v>
      </c>
      <c r="B791" s="9" t="s">
        <v>2271</v>
      </c>
      <c r="C791" s="9"/>
      <c r="D791" s="9"/>
      <c r="E791" s="9"/>
      <c r="F791" s="9"/>
      <c r="G791" s="9"/>
      <c r="H791" s="9"/>
      <c r="I791" s="9" t="s">
        <v>813</v>
      </c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</row>
    <row r="792" spans="1:27">
      <c r="A792" s="9" t="s">
        <v>2303</v>
      </c>
      <c r="B792" s="9" t="s">
        <v>243</v>
      </c>
      <c r="C792" s="9"/>
      <c r="D792" s="9"/>
      <c r="E792" s="9"/>
      <c r="F792" s="9"/>
      <c r="G792" s="9"/>
      <c r="H792" s="9"/>
      <c r="I792" s="9" t="s">
        <v>2268</v>
      </c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</row>
    <row r="793" spans="1:27">
      <c r="A793" s="9" t="s">
        <v>527</v>
      </c>
      <c r="B793" s="9" t="s">
        <v>181</v>
      </c>
      <c r="C793" s="9"/>
      <c r="D793" s="9"/>
      <c r="E793" s="9"/>
      <c r="F793" s="9"/>
      <c r="G793" s="9"/>
      <c r="H793" s="9"/>
      <c r="I793" s="9" t="s">
        <v>814</v>
      </c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</row>
    <row r="794" spans="1:27">
      <c r="A794" s="9" t="s">
        <v>528</v>
      </c>
      <c r="B794" s="9" t="s">
        <v>182</v>
      </c>
      <c r="C794" s="9"/>
      <c r="D794" s="9"/>
      <c r="E794" s="9"/>
      <c r="F794" s="9"/>
      <c r="G794" s="9"/>
      <c r="H794" s="9"/>
      <c r="I794" s="9" t="s">
        <v>815</v>
      </c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</row>
    <row r="795" spans="1:27">
      <c r="A795" s="9" t="s">
        <v>529</v>
      </c>
      <c r="B795" s="9" t="s">
        <v>183</v>
      </c>
      <c r="C795" s="9"/>
      <c r="D795" s="9"/>
      <c r="E795" s="9"/>
      <c r="F795" s="9"/>
      <c r="G795" s="9"/>
      <c r="H795" s="9"/>
      <c r="I795" s="9" t="s">
        <v>816</v>
      </c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</row>
    <row r="796" spans="1:27">
      <c r="A796" s="9" t="s">
        <v>530</v>
      </c>
      <c r="B796" s="9" t="s">
        <v>184</v>
      </c>
      <c r="C796" s="9"/>
      <c r="D796" s="9"/>
      <c r="E796" s="9"/>
      <c r="F796" s="9"/>
      <c r="G796" s="9"/>
      <c r="H796" s="9"/>
      <c r="I796" s="9" t="s">
        <v>817</v>
      </c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</row>
    <row r="797" spans="1:27">
      <c r="A797" s="9" t="s">
        <v>531</v>
      </c>
      <c r="B797" s="9" t="s">
        <v>185</v>
      </c>
      <c r="C797" s="9"/>
      <c r="D797" s="9"/>
      <c r="E797" s="9"/>
      <c r="F797" s="9"/>
      <c r="G797" s="9"/>
      <c r="H797" s="9"/>
      <c r="I797" s="9" t="s">
        <v>818</v>
      </c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</row>
    <row r="798" spans="1:27">
      <c r="A798" s="9" t="s">
        <v>532</v>
      </c>
      <c r="B798" s="9" t="s">
        <v>186</v>
      </c>
      <c r="C798" s="9"/>
      <c r="D798" s="9"/>
      <c r="E798" s="9"/>
      <c r="F798" s="9"/>
      <c r="G798" s="9"/>
      <c r="H798" s="9"/>
      <c r="I798" s="9" t="s">
        <v>819</v>
      </c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</row>
    <row r="799" spans="1:27">
      <c r="A799" s="9" t="s">
        <v>533</v>
      </c>
      <c r="B799" s="9" t="s">
        <v>187</v>
      </c>
      <c r="C799" s="9"/>
      <c r="D799" s="9"/>
      <c r="E799" s="9"/>
      <c r="F799" s="9"/>
      <c r="G799" s="9"/>
      <c r="H799" s="9"/>
      <c r="I799" s="9" t="s">
        <v>820</v>
      </c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</row>
    <row r="800" spans="1:27">
      <c r="A800" s="9" t="s">
        <v>2251</v>
      </c>
      <c r="B800" s="9" t="s">
        <v>2233</v>
      </c>
      <c r="C800" s="9"/>
      <c r="D800" s="9"/>
      <c r="E800" s="9"/>
      <c r="F800" s="9"/>
      <c r="G800" s="9"/>
      <c r="H800" s="9"/>
      <c r="I800" s="9" t="s">
        <v>821</v>
      </c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</row>
    <row r="801" spans="1:27">
      <c r="A801" s="9" t="s">
        <v>534</v>
      </c>
      <c r="B801" s="9" t="s">
        <v>188</v>
      </c>
      <c r="C801" s="9"/>
      <c r="D801" s="9"/>
      <c r="E801" s="9"/>
      <c r="F801" s="9"/>
      <c r="G801" s="9"/>
      <c r="H801" s="9"/>
      <c r="I801" s="9" t="s">
        <v>822</v>
      </c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</row>
    <row r="802" spans="1:27">
      <c r="A802" s="9" t="s">
        <v>535</v>
      </c>
      <c r="B802" s="9" t="s">
        <v>189</v>
      </c>
      <c r="C802" s="9"/>
      <c r="D802" s="9"/>
      <c r="E802" s="9"/>
      <c r="F802" s="9"/>
      <c r="G802" s="9"/>
      <c r="H802" s="9"/>
      <c r="I802" s="9" t="s">
        <v>823</v>
      </c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</row>
    <row r="803" spans="1:27">
      <c r="A803" s="9" t="s">
        <v>536</v>
      </c>
      <c r="B803" s="9" t="s">
        <v>190</v>
      </c>
      <c r="C803" s="9"/>
      <c r="D803" s="9"/>
      <c r="E803" s="9"/>
      <c r="F803" s="9"/>
      <c r="G803" s="9"/>
      <c r="H803" s="9"/>
      <c r="I803" s="9" t="s">
        <v>824</v>
      </c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</row>
    <row r="804" spans="1:27">
      <c r="A804" s="9" t="s">
        <v>537</v>
      </c>
      <c r="B804" s="9" t="s">
        <v>191</v>
      </c>
      <c r="C804" s="9"/>
      <c r="D804" s="9"/>
      <c r="E804" s="9"/>
      <c r="F804" s="9"/>
      <c r="G804" s="9"/>
      <c r="H804" s="9"/>
      <c r="I804" s="9" t="s">
        <v>825</v>
      </c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</row>
    <row r="805" spans="1:27">
      <c r="A805" s="9" t="s">
        <v>538</v>
      </c>
      <c r="B805" s="9" t="s">
        <v>192</v>
      </c>
      <c r="C805" s="9"/>
      <c r="D805" s="9"/>
      <c r="E805" s="9"/>
      <c r="F805" s="9"/>
      <c r="G805" s="9"/>
      <c r="H805" s="9"/>
      <c r="I805" s="9" t="s">
        <v>826</v>
      </c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</row>
    <row r="806" spans="1:27">
      <c r="A806" s="9" t="s">
        <v>539</v>
      </c>
      <c r="B806" s="9" t="s">
        <v>193</v>
      </c>
      <c r="C806" s="9"/>
      <c r="D806" s="9"/>
      <c r="E806" s="9"/>
      <c r="F806" s="9"/>
      <c r="G806" s="9"/>
      <c r="H806" s="9"/>
      <c r="I806" s="9" t="s">
        <v>827</v>
      </c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</row>
    <row r="807" spans="1:27">
      <c r="A807" s="9" t="s">
        <v>540</v>
      </c>
      <c r="B807" s="9" t="s">
        <v>242</v>
      </c>
      <c r="C807" s="9"/>
      <c r="D807" s="9"/>
      <c r="E807" s="9"/>
      <c r="F807" s="9"/>
      <c r="G807" s="9"/>
      <c r="H807" s="9"/>
      <c r="I807" s="9" t="s">
        <v>1917</v>
      </c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</row>
    <row r="808" spans="1:27">
      <c r="A808" s="9" t="s">
        <v>541</v>
      </c>
      <c r="B808" s="9" t="s">
        <v>194</v>
      </c>
      <c r="C808" s="9"/>
      <c r="D808" s="9"/>
      <c r="E808" s="9"/>
      <c r="F808" s="9"/>
      <c r="G808" s="9"/>
      <c r="H808" s="9"/>
      <c r="I808" s="9" t="s">
        <v>2670</v>
      </c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</row>
    <row r="809" spans="1:27">
      <c r="A809" s="9" t="s">
        <v>542</v>
      </c>
      <c r="B809" s="9" t="s">
        <v>195</v>
      </c>
      <c r="C809" s="9"/>
      <c r="D809" s="9"/>
      <c r="E809" s="9"/>
      <c r="F809" s="9"/>
      <c r="G809" s="9"/>
      <c r="H809" s="9"/>
      <c r="I809" s="9" t="s">
        <v>1918</v>
      </c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</row>
    <row r="810" spans="1:27">
      <c r="A810" s="9" t="s">
        <v>543</v>
      </c>
      <c r="B810" s="9" t="s">
        <v>196</v>
      </c>
      <c r="C810" s="9"/>
      <c r="D810" s="9"/>
      <c r="E810" s="9"/>
      <c r="F810" s="9"/>
      <c r="G810" s="9"/>
      <c r="H810" s="9"/>
      <c r="I810" s="9" t="s">
        <v>828</v>
      </c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</row>
    <row r="811" spans="1:27">
      <c r="A811" s="9" t="s">
        <v>544</v>
      </c>
      <c r="B811" s="9" t="s">
        <v>197</v>
      </c>
      <c r="C811" s="9"/>
      <c r="D811" s="9"/>
      <c r="E811" s="9"/>
      <c r="F811" s="9"/>
      <c r="G811" s="9"/>
      <c r="H811" s="9"/>
      <c r="I811" s="9" t="s">
        <v>829</v>
      </c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</row>
    <row r="812" spans="1:27">
      <c r="A812" s="9" t="s">
        <v>545</v>
      </c>
      <c r="B812" s="9" t="s">
        <v>198</v>
      </c>
      <c r="C812" s="9"/>
      <c r="D812" s="9"/>
      <c r="E812" s="9"/>
      <c r="F812" s="9"/>
      <c r="G812" s="9"/>
      <c r="H812" s="9"/>
      <c r="I812" s="9" t="s">
        <v>830</v>
      </c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</row>
    <row r="813" spans="1:27">
      <c r="A813" s="9" t="s">
        <v>546</v>
      </c>
      <c r="B813" s="9" t="s">
        <v>199</v>
      </c>
      <c r="C813" s="9"/>
      <c r="D813" s="9"/>
      <c r="E813" s="9"/>
      <c r="F813" s="9"/>
      <c r="G813" s="9"/>
      <c r="H813" s="9"/>
      <c r="I813" s="9" t="s">
        <v>831</v>
      </c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</row>
    <row r="814" spans="1:27">
      <c r="A814" s="9" t="s">
        <v>547</v>
      </c>
      <c r="B814" s="9" t="s">
        <v>200</v>
      </c>
      <c r="C814" s="9"/>
      <c r="D814" s="9"/>
      <c r="E814" s="9"/>
      <c r="F814" s="9"/>
      <c r="G814" s="9"/>
      <c r="H814" s="9"/>
      <c r="I814" s="9" t="s">
        <v>832</v>
      </c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</row>
    <row r="815" spans="1:27">
      <c r="A815" s="9" t="s">
        <v>1849</v>
      </c>
      <c r="B815" s="9" t="s">
        <v>2166</v>
      </c>
      <c r="C815" s="9"/>
      <c r="D815" s="9"/>
      <c r="E815" s="9"/>
      <c r="F815" s="9"/>
      <c r="G815" s="9"/>
      <c r="H815" s="9"/>
      <c r="I815" s="9" t="s">
        <v>833</v>
      </c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</row>
    <row r="816" spans="1:27">
      <c r="A816" s="9" t="s">
        <v>2671</v>
      </c>
      <c r="B816" s="9" t="s">
        <v>2553</v>
      </c>
      <c r="C816" s="9"/>
      <c r="D816" s="9"/>
      <c r="E816" s="9"/>
      <c r="F816" s="9"/>
      <c r="G816" s="9"/>
      <c r="H816" s="9"/>
      <c r="I816" s="9" t="s">
        <v>834</v>
      </c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</row>
    <row r="817" spans="1:27">
      <c r="A817" s="9" t="s">
        <v>1850</v>
      </c>
      <c r="B817" s="9" t="s">
        <v>2167</v>
      </c>
      <c r="C817" s="9"/>
      <c r="D817" s="9"/>
      <c r="E817" s="9"/>
      <c r="F817" s="9"/>
      <c r="G817" s="9"/>
      <c r="H817" s="9"/>
      <c r="I817" s="9" t="s">
        <v>835</v>
      </c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</row>
    <row r="818" spans="1:27">
      <c r="A818" s="9" t="s">
        <v>548</v>
      </c>
      <c r="B818" s="9" t="s">
        <v>201</v>
      </c>
      <c r="C818" s="9"/>
      <c r="D818" s="9"/>
      <c r="E818" s="9"/>
      <c r="F818" s="9"/>
      <c r="G818" s="9"/>
      <c r="H818" s="9"/>
      <c r="I818" s="9" t="s">
        <v>836</v>
      </c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</row>
    <row r="819" spans="1:27">
      <c r="A819" s="9" t="s">
        <v>549</v>
      </c>
      <c r="B819" s="9" t="s">
        <v>202</v>
      </c>
      <c r="C819" s="9"/>
      <c r="D819" s="9"/>
      <c r="E819" s="9"/>
      <c r="F819" s="9"/>
      <c r="G819" s="9"/>
      <c r="H819" s="9"/>
      <c r="I819" s="9" t="s">
        <v>837</v>
      </c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</row>
    <row r="820" spans="1:27">
      <c r="A820" s="9" t="s">
        <v>550</v>
      </c>
      <c r="B820" s="9" t="s">
        <v>203</v>
      </c>
      <c r="C820" s="9"/>
      <c r="D820" s="9"/>
      <c r="E820" s="9"/>
      <c r="F820" s="9"/>
      <c r="G820" s="9"/>
      <c r="H820" s="9"/>
      <c r="I820" s="9" t="s">
        <v>838</v>
      </c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</row>
    <row r="821" spans="1:27">
      <c r="A821" s="9" t="s">
        <v>551</v>
      </c>
      <c r="B821" s="9" t="s">
        <v>204</v>
      </c>
      <c r="C821" s="9"/>
      <c r="D821" s="9"/>
      <c r="E821" s="9"/>
      <c r="F821" s="9"/>
      <c r="G821" s="9"/>
      <c r="H821" s="9"/>
      <c r="I821" s="9" t="s">
        <v>839</v>
      </c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</row>
    <row r="822" spans="1:27">
      <c r="A822" s="9" t="s">
        <v>552</v>
      </c>
      <c r="B822" s="9" t="s">
        <v>205</v>
      </c>
      <c r="C822" s="9"/>
      <c r="D822" s="9"/>
      <c r="E822" s="9"/>
      <c r="F822" s="9"/>
      <c r="G822" s="9"/>
      <c r="H822" s="9"/>
      <c r="I822" s="9" t="s">
        <v>840</v>
      </c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</row>
    <row r="823" spans="1:27">
      <c r="A823" s="9" t="s">
        <v>553</v>
      </c>
      <c r="B823" s="9" t="s">
        <v>206</v>
      </c>
      <c r="C823" s="9"/>
      <c r="D823" s="9"/>
      <c r="E823" s="9"/>
      <c r="F823" s="9"/>
      <c r="G823" s="9"/>
      <c r="H823" s="9"/>
      <c r="I823" s="9" t="s">
        <v>841</v>
      </c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</row>
    <row r="824" spans="1:27">
      <c r="A824" s="9" t="s">
        <v>554</v>
      </c>
      <c r="B824" s="9" t="s">
        <v>207</v>
      </c>
      <c r="C824" s="9"/>
      <c r="D824" s="9"/>
      <c r="E824" s="9"/>
      <c r="F824" s="9"/>
      <c r="G824" s="9"/>
      <c r="H824" s="9"/>
      <c r="I824" s="9" t="s">
        <v>842</v>
      </c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</row>
    <row r="825" spans="1:27">
      <c r="A825" s="9" t="s">
        <v>555</v>
      </c>
      <c r="B825" s="9" t="s">
        <v>208</v>
      </c>
      <c r="C825" s="9"/>
      <c r="D825" s="9"/>
      <c r="E825" s="9"/>
      <c r="F825" s="9"/>
      <c r="G825" s="9"/>
      <c r="H825" s="9"/>
      <c r="I825" s="9" t="s">
        <v>843</v>
      </c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</row>
    <row r="826" spans="1:27">
      <c r="A826" s="9" t="s">
        <v>556</v>
      </c>
      <c r="B826" s="9" t="s">
        <v>209</v>
      </c>
      <c r="C826" s="9"/>
      <c r="D826" s="9"/>
      <c r="E826" s="9"/>
      <c r="F826" s="9"/>
      <c r="G826" s="9"/>
      <c r="H826" s="9"/>
      <c r="I826" s="9" t="s">
        <v>844</v>
      </c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</row>
    <row r="827" spans="1:27">
      <c r="A827" s="9" t="s">
        <v>557</v>
      </c>
      <c r="B827" s="9" t="s">
        <v>210</v>
      </c>
      <c r="C827" s="9"/>
      <c r="D827" s="9"/>
      <c r="E827" s="9"/>
      <c r="F827" s="9"/>
      <c r="G827" s="9"/>
      <c r="H827" s="9"/>
      <c r="I827" s="9" t="s">
        <v>845</v>
      </c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</row>
    <row r="828" spans="1:27">
      <c r="A828" s="9" t="s">
        <v>558</v>
      </c>
      <c r="B828" s="9" t="s">
        <v>211</v>
      </c>
      <c r="C828" s="9"/>
      <c r="D828" s="9"/>
      <c r="E828" s="9"/>
      <c r="F828" s="9"/>
      <c r="G828" s="9"/>
      <c r="H828" s="9"/>
      <c r="I828" s="9" t="s">
        <v>846</v>
      </c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</row>
    <row r="829" spans="1:27">
      <c r="A829" s="9" t="s">
        <v>559</v>
      </c>
      <c r="B829" s="9" t="s">
        <v>212</v>
      </c>
      <c r="C829" s="9"/>
      <c r="D829" s="9"/>
      <c r="E829" s="9"/>
      <c r="F829" s="9"/>
      <c r="G829" s="9"/>
      <c r="H829" s="9"/>
      <c r="I829" s="9" t="s">
        <v>847</v>
      </c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</row>
    <row r="830" spans="1:27">
      <c r="A830" s="9" t="s">
        <v>560</v>
      </c>
      <c r="B830" s="9" t="s">
        <v>213</v>
      </c>
      <c r="C830" s="9"/>
      <c r="D830" s="9"/>
      <c r="E830" s="9"/>
      <c r="F830" s="9"/>
      <c r="G830" s="9"/>
      <c r="H830" s="9"/>
      <c r="I830" s="9" t="s">
        <v>848</v>
      </c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</row>
    <row r="831" spans="1:27">
      <c r="A831" s="9" t="s">
        <v>561</v>
      </c>
      <c r="B831" s="9" t="s">
        <v>214</v>
      </c>
      <c r="C831" s="9"/>
      <c r="D831" s="9"/>
      <c r="E831" s="9"/>
      <c r="F831" s="9"/>
      <c r="G831" s="9"/>
      <c r="H831" s="9"/>
      <c r="I831" s="9" t="s">
        <v>849</v>
      </c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</row>
    <row r="832" spans="1:27">
      <c r="A832" s="9" t="s">
        <v>562</v>
      </c>
      <c r="B832" s="9" t="s">
        <v>215</v>
      </c>
      <c r="C832" s="9"/>
      <c r="D832" s="9"/>
      <c r="E832" s="9"/>
      <c r="F832" s="9"/>
      <c r="G832" s="9"/>
      <c r="H832" s="9"/>
      <c r="I832" s="9" t="s">
        <v>850</v>
      </c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</row>
    <row r="833" spans="1:27">
      <c r="A833" s="9" t="s">
        <v>563</v>
      </c>
      <c r="B833" s="9" t="s">
        <v>216</v>
      </c>
      <c r="C833" s="9"/>
      <c r="D833" s="9"/>
      <c r="E833" s="9"/>
      <c r="F833" s="9"/>
      <c r="G833" s="9"/>
      <c r="H833" s="9"/>
      <c r="I833" s="9" t="s">
        <v>851</v>
      </c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</row>
    <row r="834" spans="1:27">
      <c r="A834" s="9" t="s">
        <v>564</v>
      </c>
      <c r="B834" s="9" t="s">
        <v>217</v>
      </c>
      <c r="C834" s="9"/>
      <c r="D834" s="9"/>
      <c r="E834" s="9"/>
      <c r="F834" s="9"/>
      <c r="G834" s="9"/>
      <c r="H834" s="9"/>
      <c r="I834" s="9" t="s">
        <v>852</v>
      </c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</row>
    <row r="835" spans="1:27">
      <c r="A835" s="9" t="s">
        <v>565</v>
      </c>
      <c r="B835" s="9" t="s">
        <v>218</v>
      </c>
      <c r="C835" s="9"/>
      <c r="D835" s="9"/>
      <c r="E835" s="9"/>
      <c r="F835" s="9"/>
      <c r="G835" s="9"/>
      <c r="H835" s="9"/>
      <c r="I835" s="9" t="s">
        <v>853</v>
      </c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</row>
    <row r="836" spans="1:27">
      <c r="A836" s="9" t="s">
        <v>566</v>
      </c>
      <c r="B836" s="9" t="s">
        <v>219</v>
      </c>
      <c r="C836" s="9"/>
      <c r="D836" s="9"/>
      <c r="E836" s="9"/>
      <c r="F836" s="9"/>
      <c r="G836" s="9"/>
      <c r="H836" s="9"/>
      <c r="I836" s="9" t="s">
        <v>854</v>
      </c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</row>
    <row r="837" spans="1:27">
      <c r="A837" s="9" t="s">
        <v>567</v>
      </c>
      <c r="B837" s="9" t="s">
        <v>220</v>
      </c>
      <c r="C837" s="9"/>
      <c r="D837" s="9"/>
      <c r="E837" s="9"/>
      <c r="F837" s="9"/>
      <c r="G837" s="9"/>
      <c r="H837" s="9"/>
      <c r="I837" s="9" t="s">
        <v>855</v>
      </c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</row>
    <row r="838" spans="1:27">
      <c r="A838" s="9" t="s">
        <v>568</v>
      </c>
      <c r="B838" s="9" t="s">
        <v>221</v>
      </c>
      <c r="C838" s="9"/>
      <c r="D838" s="9"/>
      <c r="E838" s="9"/>
      <c r="F838" s="9"/>
      <c r="G838" s="9"/>
      <c r="H838" s="9"/>
      <c r="I838" s="9" t="s">
        <v>1919</v>
      </c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</row>
    <row r="839" spans="1:27">
      <c r="A839" s="9" t="s">
        <v>569</v>
      </c>
      <c r="B839" s="9" t="s">
        <v>222</v>
      </c>
      <c r="C839" s="9"/>
      <c r="D839" s="9"/>
      <c r="E839" s="9"/>
      <c r="F839" s="9"/>
      <c r="G839" s="9"/>
      <c r="H839" s="9"/>
      <c r="I839" s="9" t="s">
        <v>856</v>
      </c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</row>
    <row r="840" spans="1:27">
      <c r="A840" s="9" t="s">
        <v>570</v>
      </c>
      <c r="B840" s="9" t="s">
        <v>223</v>
      </c>
      <c r="C840" s="9"/>
      <c r="D840" s="9"/>
      <c r="E840" s="9"/>
      <c r="F840" s="9"/>
      <c r="G840" s="9"/>
      <c r="H840" s="9"/>
      <c r="I840" s="9" t="s">
        <v>857</v>
      </c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</row>
    <row r="841" spans="1:27">
      <c r="A841" s="9" t="s">
        <v>571</v>
      </c>
      <c r="B841" s="9" t="s">
        <v>224</v>
      </c>
      <c r="C841" s="9"/>
      <c r="D841" s="9"/>
      <c r="E841" s="9"/>
      <c r="F841" s="9"/>
      <c r="G841" s="9"/>
      <c r="H841" s="9"/>
      <c r="I841" s="9" t="s">
        <v>2672</v>
      </c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</row>
    <row r="842" spans="1:27">
      <c r="A842" s="9" t="s">
        <v>572</v>
      </c>
      <c r="B842" s="9" t="s">
        <v>225</v>
      </c>
      <c r="C842" s="9"/>
      <c r="D842" s="9"/>
      <c r="E842" s="9"/>
      <c r="F842" s="9"/>
      <c r="G842" s="9"/>
      <c r="H842" s="9"/>
      <c r="I842" s="9" t="s">
        <v>858</v>
      </c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</row>
    <row r="843" spans="1:27">
      <c r="A843" s="9" t="s">
        <v>573</v>
      </c>
      <c r="B843" s="9" t="s">
        <v>226</v>
      </c>
      <c r="C843" s="9"/>
      <c r="D843" s="9"/>
      <c r="E843" s="9"/>
      <c r="F843" s="9"/>
      <c r="G843" s="9"/>
      <c r="H843" s="9"/>
      <c r="I843" s="9" t="s">
        <v>859</v>
      </c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</row>
    <row r="844" spans="1:27">
      <c r="A844" s="9" t="s">
        <v>574</v>
      </c>
      <c r="B844" s="9" t="s">
        <v>227</v>
      </c>
      <c r="C844" s="9"/>
      <c r="D844" s="9"/>
      <c r="E844" s="9"/>
      <c r="F844" s="9"/>
      <c r="G844" s="9"/>
      <c r="H844" s="9"/>
      <c r="I844" s="9" t="s">
        <v>860</v>
      </c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</row>
    <row r="845" spans="1:27">
      <c r="A845" s="9" t="s">
        <v>575</v>
      </c>
      <c r="B845" s="9" t="s">
        <v>228</v>
      </c>
      <c r="C845" s="9"/>
      <c r="D845" s="9"/>
      <c r="E845" s="9"/>
      <c r="F845" s="9"/>
      <c r="G845" s="9"/>
      <c r="H845" s="9"/>
      <c r="I845" s="9" t="s">
        <v>2673</v>
      </c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</row>
    <row r="846" spans="1:27">
      <c r="A846" s="9" t="s">
        <v>1851</v>
      </c>
      <c r="B846" s="9" t="s">
        <v>2168</v>
      </c>
      <c r="C846" s="9"/>
      <c r="D846" s="9"/>
      <c r="E846" s="9"/>
      <c r="F846" s="9"/>
      <c r="G846" s="9"/>
      <c r="H846" s="9"/>
      <c r="I846" s="9" t="s">
        <v>1920</v>
      </c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</row>
    <row r="847" spans="1:27">
      <c r="A847" s="9" t="s">
        <v>576</v>
      </c>
      <c r="B847" s="9" t="s">
        <v>229</v>
      </c>
      <c r="C847" s="9"/>
      <c r="D847" s="9"/>
      <c r="E847" s="9"/>
      <c r="F847" s="9"/>
      <c r="G847" s="9"/>
      <c r="H847" s="9"/>
      <c r="I847" s="9" t="s">
        <v>861</v>
      </c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</row>
    <row r="848" spans="1:27">
      <c r="A848" s="9" t="s">
        <v>577</v>
      </c>
      <c r="B848" s="9" t="s">
        <v>230</v>
      </c>
      <c r="C848" s="9"/>
      <c r="D848" s="9"/>
      <c r="E848" s="9"/>
      <c r="F848" s="9"/>
      <c r="G848" s="9"/>
      <c r="H848" s="9"/>
      <c r="I848" s="9" t="s">
        <v>862</v>
      </c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</row>
    <row r="849" spans="1:27">
      <c r="A849" s="9" t="s">
        <v>2674</v>
      </c>
      <c r="B849" s="9" t="s">
        <v>2551</v>
      </c>
      <c r="C849" s="9"/>
      <c r="D849" s="9"/>
      <c r="E849" s="9"/>
      <c r="F849" s="9"/>
      <c r="G849" s="9"/>
      <c r="H849" s="9"/>
      <c r="I849" s="9" t="s">
        <v>2311</v>
      </c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</row>
    <row r="850" spans="1:27">
      <c r="A850" s="9" t="s">
        <v>578</v>
      </c>
      <c r="B850" s="9" t="s">
        <v>237</v>
      </c>
      <c r="C850" s="9"/>
      <c r="D850" s="9"/>
      <c r="E850" s="9"/>
      <c r="F850" s="9"/>
      <c r="G850" s="9"/>
      <c r="H850" s="9"/>
      <c r="I850" s="9" t="s">
        <v>751</v>
      </c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</row>
    <row r="851" spans="1:27">
      <c r="A851" s="9" t="s">
        <v>579</v>
      </c>
      <c r="B851" s="9" t="s">
        <v>238</v>
      </c>
      <c r="C851" s="9"/>
      <c r="D851" s="9"/>
      <c r="E851" s="9"/>
      <c r="F851" s="9"/>
      <c r="G851" s="9"/>
      <c r="H851" s="9"/>
      <c r="I851" s="9" t="s">
        <v>752</v>
      </c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</row>
    <row r="852" spans="1:27">
      <c r="A852" s="9" t="s">
        <v>580</v>
      </c>
      <c r="B852" s="9" t="s">
        <v>231</v>
      </c>
      <c r="C852" s="9"/>
      <c r="D852" s="9"/>
      <c r="E852" s="9"/>
      <c r="F852" s="9"/>
      <c r="G852" s="9"/>
      <c r="H852" s="9"/>
      <c r="I852" s="9" t="s">
        <v>753</v>
      </c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</row>
    <row r="853" spans="1:27">
      <c r="A853" s="9" t="s">
        <v>2675</v>
      </c>
      <c r="B853" s="9" t="s">
        <v>2552</v>
      </c>
      <c r="C853" s="9"/>
      <c r="D853" s="9"/>
      <c r="E853" s="9"/>
      <c r="F853" s="9"/>
      <c r="G853" s="9"/>
      <c r="H853" s="9"/>
      <c r="I853" s="9" t="s">
        <v>754</v>
      </c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</row>
    <row r="854" spans="1:27">
      <c r="A854" s="9" t="s">
        <v>1852</v>
      </c>
      <c r="B854" s="9" t="s">
        <v>2169</v>
      </c>
      <c r="C854" s="9"/>
      <c r="D854" s="9"/>
      <c r="E854" s="9"/>
      <c r="F854" s="9"/>
      <c r="G854" s="9"/>
      <c r="H854" s="9"/>
      <c r="I854" s="9" t="s">
        <v>755</v>
      </c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</row>
    <row r="855" spans="1:27">
      <c r="A855" s="9" t="s">
        <v>581</v>
      </c>
      <c r="B855" s="9" t="s">
        <v>232</v>
      </c>
      <c r="C855" s="9"/>
      <c r="D855" s="9"/>
      <c r="E855" s="9"/>
      <c r="F855" s="9"/>
      <c r="G855" s="9"/>
      <c r="H855" s="9"/>
      <c r="I855" s="9" t="s">
        <v>756</v>
      </c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</row>
    <row r="856" spans="1:27">
      <c r="A856" s="9" t="s">
        <v>582</v>
      </c>
      <c r="B856" s="9" t="s">
        <v>2271</v>
      </c>
      <c r="C856" s="9"/>
      <c r="D856" s="9"/>
      <c r="E856" s="9"/>
      <c r="F856" s="9"/>
      <c r="G856" s="9"/>
      <c r="H856" s="9"/>
      <c r="I856" s="9" t="s">
        <v>757</v>
      </c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</row>
    <row r="857" spans="1:27">
      <c r="A857" s="9" t="s">
        <v>2304</v>
      </c>
      <c r="B857" s="9" t="s">
        <v>243</v>
      </c>
      <c r="C857" s="9"/>
      <c r="D857" s="9"/>
      <c r="E857" s="9"/>
      <c r="F857" s="9"/>
      <c r="G857" s="9"/>
      <c r="H857" s="9"/>
      <c r="I857" s="9" t="s">
        <v>2267</v>
      </c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</row>
    <row r="858" spans="1:27">
      <c r="A858" s="9" t="s">
        <v>471</v>
      </c>
      <c r="B858" s="9" t="s">
        <v>181</v>
      </c>
      <c r="C858" s="9"/>
      <c r="D858" s="9"/>
      <c r="E858" s="9"/>
      <c r="F858" s="9"/>
      <c r="G858" s="9"/>
      <c r="H858" s="9"/>
      <c r="I858" s="9" t="s">
        <v>758</v>
      </c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</row>
    <row r="859" spans="1:27">
      <c r="A859" s="9" t="s">
        <v>472</v>
      </c>
      <c r="B859" s="9" t="s">
        <v>182</v>
      </c>
      <c r="C859" s="9"/>
      <c r="D859" s="9"/>
      <c r="E859" s="9"/>
      <c r="F859" s="9"/>
      <c r="G859" s="9"/>
      <c r="H859" s="9"/>
      <c r="I859" s="9" t="s">
        <v>759</v>
      </c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</row>
    <row r="860" spans="1:27">
      <c r="A860" s="9" t="s">
        <v>473</v>
      </c>
      <c r="B860" s="9" t="s">
        <v>183</v>
      </c>
      <c r="C860" s="9"/>
      <c r="D860" s="9"/>
      <c r="E860" s="9"/>
      <c r="F860" s="9"/>
      <c r="G860" s="9"/>
      <c r="H860" s="9"/>
      <c r="I860" s="9" t="s">
        <v>760</v>
      </c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</row>
    <row r="861" spans="1:27">
      <c r="A861" s="9" t="s">
        <v>474</v>
      </c>
      <c r="B861" s="9" t="s">
        <v>184</v>
      </c>
      <c r="C861" s="9"/>
      <c r="D861" s="9"/>
      <c r="E861" s="9"/>
      <c r="F861" s="9"/>
      <c r="G861" s="9"/>
      <c r="H861" s="9"/>
      <c r="I861" s="9" t="s">
        <v>761</v>
      </c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</row>
    <row r="862" spans="1:27">
      <c r="A862" s="9" t="s">
        <v>475</v>
      </c>
      <c r="B862" s="9" t="s">
        <v>185</v>
      </c>
      <c r="C862" s="9"/>
      <c r="D862" s="9"/>
      <c r="E862" s="9"/>
      <c r="F862" s="9"/>
      <c r="G862" s="9"/>
      <c r="H862" s="9"/>
      <c r="I862" s="9" t="s">
        <v>762</v>
      </c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</row>
    <row r="863" spans="1:27">
      <c r="A863" s="9" t="s">
        <v>476</v>
      </c>
      <c r="B863" s="9" t="s">
        <v>186</v>
      </c>
      <c r="C863" s="9"/>
      <c r="D863" s="9"/>
      <c r="E863" s="9"/>
      <c r="F863" s="9"/>
      <c r="G863" s="9"/>
      <c r="H863" s="9"/>
      <c r="I863" s="9" t="s">
        <v>763</v>
      </c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</row>
    <row r="864" spans="1:27">
      <c r="A864" s="9" t="s">
        <v>477</v>
      </c>
      <c r="B864" s="9" t="s">
        <v>187</v>
      </c>
      <c r="C864" s="9"/>
      <c r="D864" s="9"/>
      <c r="E864" s="9"/>
      <c r="F864" s="9"/>
      <c r="G864" s="9"/>
      <c r="H864" s="9"/>
      <c r="I864" s="9" t="s">
        <v>764</v>
      </c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</row>
    <row r="865" spans="1:27">
      <c r="A865" s="9" t="s">
        <v>2250</v>
      </c>
      <c r="B865" s="9" t="s">
        <v>2233</v>
      </c>
      <c r="C865" s="9"/>
      <c r="D865" s="9"/>
      <c r="E865" s="9"/>
      <c r="F865" s="9"/>
      <c r="G865" s="9"/>
      <c r="H865" s="9"/>
      <c r="I865" s="9" t="s">
        <v>765</v>
      </c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</row>
    <row r="866" spans="1:27">
      <c r="A866" s="9" t="s">
        <v>478</v>
      </c>
      <c r="B866" s="9" t="s">
        <v>188</v>
      </c>
      <c r="C866" s="9"/>
      <c r="D866" s="9"/>
      <c r="E866" s="9"/>
      <c r="F866" s="9"/>
      <c r="G866" s="9"/>
      <c r="H866" s="9"/>
      <c r="I866" s="9" t="s">
        <v>766</v>
      </c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</row>
    <row r="867" spans="1:27">
      <c r="A867" s="9" t="s">
        <v>479</v>
      </c>
      <c r="B867" s="9" t="s">
        <v>189</v>
      </c>
      <c r="C867" s="9"/>
      <c r="D867" s="9"/>
      <c r="E867" s="9"/>
      <c r="F867" s="9"/>
      <c r="G867" s="9"/>
      <c r="H867" s="9"/>
      <c r="I867" s="9" t="s">
        <v>767</v>
      </c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</row>
    <row r="868" spans="1:27">
      <c r="A868" s="9" t="s">
        <v>480</v>
      </c>
      <c r="B868" s="9" t="s">
        <v>190</v>
      </c>
      <c r="C868" s="9"/>
      <c r="D868" s="9"/>
      <c r="E868" s="9"/>
      <c r="F868" s="9"/>
      <c r="G868" s="9"/>
      <c r="H868" s="9"/>
      <c r="I868" s="9" t="s">
        <v>768</v>
      </c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</row>
    <row r="869" spans="1:27">
      <c r="A869" s="9" t="s">
        <v>481</v>
      </c>
      <c r="B869" s="9" t="s">
        <v>191</v>
      </c>
      <c r="C869" s="9"/>
      <c r="D869" s="9"/>
      <c r="E869" s="9"/>
      <c r="F869" s="9"/>
      <c r="G869" s="9"/>
      <c r="H869" s="9"/>
      <c r="I869" s="9" t="s">
        <v>769</v>
      </c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</row>
    <row r="870" spans="1:27">
      <c r="A870" s="9" t="s">
        <v>482</v>
      </c>
      <c r="B870" s="9" t="s">
        <v>192</v>
      </c>
      <c r="C870" s="9"/>
      <c r="D870" s="9"/>
      <c r="E870" s="9"/>
      <c r="F870" s="9"/>
      <c r="G870" s="9"/>
      <c r="H870" s="9"/>
      <c r="I870" s="9" t="s">
        <v>770</v>
      </c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</row>
    <row r="871" spans="1:27">
      <c r="A871" s="9" t="s">
        <v>483</v>
      </c>
      <c r="B871" s="9" t="s">
        <v>193</v>
      </c>
      <c r="C871" s="9"/>
      <c r="D871" s="9"/>
      <c r="E871" s="9"/>
      <c r="F871" s="9"/>
      <c r="G871" s="9"/>
      <c r="H871" s="9"/>
      <c r="I871" s="9" t="s">
        <v>771</v>
      </c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</row>
    <row r="872" spans="1:27">
      <c r="A872" s="9" t="s">
        <v>484</v>
      </c>
      <c r="B872" s="9" t="s">
        <v>242</v>
      </c>
      <c r="C872" s="9"/>
      <c r="D872" s="9"/>
      <c r="E872" s="9"/>
      <c r="F872" s="9"/>
      <c r="G872" s="9"/>
      <c r="H872" s="9"/>
      <c r="I872" s="9" t="s">
        <v>1913</v>
      </c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</row>
    <row r="873" spans="1:27">
      <c r="A873" s="9" t="s">
        <v>485</v>
      </c>
      <c r="B873" s="9" t="s">
        <v>194</v>
      </c>
      <c r="C873" s="9"/>
      <c r="D873" s="9"/>
      <c r="E873" s="9"/>
      <c r="F873" s="9"/>
      <c r="G873" s="9"/>
      <c r="H873" s="9"/>
      <c r="I873" s="9" t="s">
        <v>2676</v>
      </c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</row>
    <row r="874" spans="1:27">
      <c r="A874" s="9" t="s">
        <v>486</v>
      </c>
      <c r="B874" s="9" t="s">
        <v>195</v>
      </c>
      <c r="C874" s="9"/>
      <c r="D874" s="9"/>
      <c r="E874" s="9"/>
      <c r="F874" s="9"/>
      <c r="G874" s="9"/>
      <c r="H874" s="9"/>
      <c r="I874" s="9" t="s">
        <v>1914</v>
      </c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</row>
    <row r="875" spans="1:27">
      <c r="A875" s="9" t="s">
        <v>487</v>
      </c>
      <c r="B875" s="9" t="s">
        <v>196</v>
      </c>
      <c r="C875" s="9"/>
      <c r="D875" s="9"/>
      <c r="E875" s="9"/>
      <c r="F875" s="9"/>
      <c r="G875" s="9"/>
      <c r="H875" s="9"/>
      <c r="I875" s="9" t="s">
        <v>772</v>
      </c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</row>
    <row r="876" spans="1:27">
      <c r="A876" s="9" t="s">
        <v>488</v>
      </c>
      <c r="B876" s="9" t="s">
        <v>197</v>
      </c>
      <c r="C876" s="9"/>
      <c r="D876" s="9"/>
      <c r="E876" s="9"/>
      <c r="F876" s="9"/>
      <c r="G876" s="9"/>
      <c r="H876" s="9"/>
      <c r="I876" s="9" t="s">
        <v>773</v>
      </c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</row>
    <row r="877" spans="1:27">
      <c r="A877" s="9" t="s">
        <v>489</v>
      </c>
      <c r="B877" s="9" t="s">
        <v>198</v>
      </c>
      <c r="C877" s="9"/>
      <c r="D877" s="9"/>
      <c r="E877" s="9"/>
      <c r="F877" s="9"/>
      <c r="G877" s="9"/>
      <c r="H877" s="9"/>
      <c r="I877" s="9" t="s">
        <v>774</v>
      </c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</row>
    <row r="878" spans="1:27">
      <c r="A878" s="9" t="s">
        <v>490</v>
      </c>
      <c r="B878" s="9" t="s">
        <v>199</v>
      </c>
      <c r="C878" s="9"/>
      <c r="D878" s="9"/>
      <c r="E878" s="9"/>
      <c r="F878" s="9"/>
      <c r="G878" s="9"/>
      <c r="H878" s="9"/>
      <c r="I878" s="9" t="s">
        <v>775</v>
      </c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</row>
    <row r="879" spans="1:27">
      <c r="A879" s="9" t="s">
        <v>491</v>
      </c>
      <c r="B879" s="9" t="s">
        <v>200</v>
      </c>
      <c r="C879" s="9"/>
      <c r="D879" s="9"/>
      <c r="E879" s="9"/>
      <c r="F879" s="9"/>
      <c r="G879" s="9"/>
      <c r="H879" s="9"/>
      <c r="I879" s="9" t="s">
        <v>776</v>
      </c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</row>
    <row r="880" spans="1:27">
      <c r="A880" s="9" t="s">
        <v>1845</v>
      </c>
      <c r="B880" s="9" t="s">
        <v>2166</v>
      </c>
      <c r="C880" s="9"/>
      <c r="D880" s="9"/>
      <c r="E880" s="9"/>
      <c r="F880" s="9"/>
      <c r="G880" s="9"/>
      <c r="H880" s="9"/>
      <c r="I880" s="9" t="s">
        <v>777</v>
      </c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</row>
    <row r="881" spans="1:27">
      <c r="A881" s="9" t="s">
        <v>2677</v>
      </c>
      <c r="B881" s="9" t="s">
        <v>2553</v>
      </c>
      <c r="C881" s="9"/>
      <c r="D881" s="9"/>
      <c r="E881" s="9"/>
      <c r="F881" s="9"/>
      <c r="G881" s="9"/>
      <c r="H881" s="9"/>
      <c r="I881" s="9" t="s">
        <v>778</v>
      </c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</row>
    <row r="882" spans="1:27">
      <c r="A882" s="9" t="s">
        <v>1846</v>
      </c>
      <c r="B882" s="9" t="s">
        <v>2167</v>
      </c>
      <c r="C882" s="9"/>
      <c r="D882" s="9"/>
      <c r="E882" s="9"/>
      <c r="F882" s="9"/>
      <c r="G882" s="9"/>
      <c r="H882" s="9"/>
      <c r="I882" s="9" t="s">
        <v>779</v>
      </c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</row>
    <row r="883" spans="1:27">
      <c r="A883" s="9" t="s">
        <v>492</v>
      </c>
      <c r="B883" s="9" t="s">
        <v>201</v>
      </c>
      <c r="C883" s="9"/>
      <c r="D883" s="9"/>
      <c r="E883" s="9"/>
      <c r="F883" s="9"/>
      <c r="G883" s="9"/>
      <c r="H883" s="9"/>
      <c r="I883" s="9" t="s">
        <v>780</v>
      </c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</row>
    <row r="884" spans="1:27">
      <c r="A884" s="9" t="s">
        <v>493</v>
      </c>
      <c r="B884" s="9" t="s">
        <v>202</v>
      </c>
      <c r="C884" s="9"/>
      <c r="D884" s="9"/>
      <c r="E884" s="9"/>
      <c r="F884" s="9"/>
      <c r="G884" s="9"/>
      <c r="H884" s="9"/>
      <c r="I884" s="9" t="s">
        <v>781</v>
      </c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</row>
    <row r="885" spans="1:27">
      <c r="A885" s="9" t="s">
        <v>494</v>
      </c>
      <c r="B885" s="9" t="s">
        <v>203</v>
      </c>
      <c r="C885" s="9"/>
      <c r="D885" s="9"/>
      <c r="E885" s="9"/>
      <c r="F885" s="9"/>
      <c r="G885" s="9"/>
      <c r="H885" s="9"/>
      <c r="I885" s="9" t="s">
        <v>782</v>
      </c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</row>
    <row r="886" spans="1:27">
      <c r="A886" s="9" t="s">
        <v>495</v>
      </c>
      <c r="B886" s="9" t="s">
        <v>204</v>
      </c>
      <c r="C886" s="9"/>
      <c r="D886" s="9"/>
      <c r="E886" s="9"/>
      <c r="F886" s="9"/>
      <c r="G886" s="9"/>
      <c r="H886" s="9"/>
      <c r="I886" s="9" t="s">
        <v>783</v>
      </c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</row>
    <row r="887" spans="1:27">
      <c r="A887" s="9" t="s">
        <v>496</v>
      </c>
      <c r="B887" s="9" t="s">
        <v>205</v>
      </c>
      <c r="C887" s="9"/>
      <c r="D887" s="9"/>
      <c r="E887" s="9"/>
      <c r="F887" s="9"/>
      <c r="G887" s="9"/>
      <c r="H887" s="9"/>
      <c r="I887" s="9" t="s">
        <v>784</v>
      </c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</row>
    <row r="888" spans="1:27">
      <c r="A888" s="9" t="s">
        <v>497</v>
      </c>
      <c r="B888" s="9" t="s">
        <v>206</v>
      </c>
      <c r="C888" s="9"/>
      <c r="D888" s="9"/>
      <c r="E888" s="9"/>
      <c r="F888" s="9"/>
      <c r="G888" s="9"/>
      <c r="H888" s="9"/>
      <c r="I888" s="9" t="s">
        <v>785</v>
      </c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</row>
    <row r="889" spans="1:27">
      <c r="A889" s="9" t="s">
        <v>498</v>
      </c>
      <c r="B889" s="9" t="s">
        <v>207</v>
      </c>
      <c r="C889" s="9"/>
      <c r="D889" s="9"/>
      <c r="E889" s="9"/>
      <c r="F889" s="9"/>
      <c r="G889" s="9"/>
      <c r="H889" s="9"/>
      <c r="I889" s="9" t="s">
        <v>786</v>
      </c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</row>
    <row r="890" spans="1:27">
      <c r="A890" s="9" t="s">
        <v>499</v>
      </c>
      <c r="B890" s="9" t="s">
        <v>208</v>
      </c>
      <c r="C890" s="9"/>
      <c r="D890" s="9"/>
      <c r="E890" s="9"/>
      <c r="F890" s="9"/>
      <c r="G890" s="9"/>
      <c r="H890" s="9"/>
      <c r="I890" s="9" t="s">
        <v>787</v>
      </c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</row>
    <row r="891" spans="1:27">
      <c r="A891" s="9" t="s">
        <v>500</v>
      </c>
      <c r="B891" s="9" t="s">
        <v>209</v>
      </c>
      <c r="C891" s="9"/>
      <c r="D891" s="9"/>
      <c r="E891" s="9"/>
      <c r="F891" s="9"/>
      <c r="G891" s="9"/>
      <c r="H891" s="9"/>
      <c r="I891" s="9" t="s">
        <v>788</v>
      </c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</row>
    <row r="892" spans="1:27">
      <c r="A892" s="9" t="s">
        <v>501</v>
      </c>
      <c r="B892" s="9" t="s">
        <v>210</v>
      </c>
      <c r="C892" s="9"/>
      <c r="D892" s="9"/>
      <c r="E892" s="9"/>
      <c r="F892" s="9"/>
      <c r="G892" s="9"/>
      <c r="H892" s="9"/>
      <c r="I892" s="9" t="s">
        <v>789</v>
      </c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</row>
    <row r="893" spans="1:27">
      <c r="A893" s="9" t="s">
        <v>502</v>
      </c>
      <c r="B893" s="9" t="s">
        <v>211</v>
      </c>
      <c r="C893" s="9"/>
      <c r="D893" s="9"/>
      <c r="E893" s="9"/>
      <c r="F893" s="9"/>
      <c r="G893" s="9"/>
      <c r="H893" s="9"/>
      <c r="I893" s="9" t="s">
        <v>790</v>
      </c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</row>
    <row r="894" spans="1:27">
      <c r="A894" s="9" t="s">
        <v>503</v>
      </c>
      <c r="B894" s="9" t="s">
        <v>212</v>
      </c>
      <c r="C894" s="9"/>
      <c r="D894" s="9"/>
      <c r="E894" s="9"/>
      <c r="F894" s="9"/>
      <c r="G894" s="9"/>
      <c r="H894" s="9"/>
      <c r="I894" s="9" t="s">
        <v>791</v>
      </c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</row>
    <row r="895" spans="1:27">
      <c r="A895" s="9" t="s">
        <v>504</v>
      </c>
      <c r="B895" s="9" t="s">
        <v>213</v>
      </c>
      <c r="C895" s="9"/>
      <c r="D895" s="9"/>
      <c r="E895" s="9"/>
      <c r="F895" s="9"/>
      <c r="G895" s="9"/>
      <c r="H895" s="9"/>
      <c r="I895" s="9" t="s">
        <v>792</v>
      </c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</row>
    <row r="896" spans="1:27">
      <c r="A896" s="9" t="s">
        <v>505</v>
      </c>
      <c r="B896" s="9" t="s">
        <v>214</v>
      </c>
      <c r="C896" s="9"/>
      <c r="D896" s="9"/>
      <c r="E896" s="9"/>
      <c r="F896" s="9"/>
      <c r="G896" s="9"/>
      <c r="H896" s="9"/>
      <c r="I896" s="9" t="s">
        <v>793</v>
      </c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</row>
    <row r="897" spans="1:27">
      <c r="A897" s="9" t="s">
        <v>506</v>
      </c>
      <c r="B897" s="9" t="s">
        <v>215</v>
      </c>
      <c r="C897" s="9"/>
      <c r="D897" s="9"/>
      <c r="E897" s="9"/>
      <c r="F897" s="9"/>
      <c r="G897" s="9"/>
      <c r="H897" s="9"/>
      <c r="I897" s="9" t="s">
        <v>794</v>
      </c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</row>
    <row r="898" spans="1:27">
      <c r="A898" s="9" t="s">
        <v>507</v>
      </c>
      <c r="B898" s="9" t="s">
        <v>216</v>
      </c>
      <c r="C898" s="9"/>
      <c r="D898" s="9"/>
      <c r="E898" s="9"/>
      <c r="F898" s="9"/>
      <c r="G898" s="9"/>
      <c r="H898" s="9"/>
      <c r="I898" s="9" t="s">
        <v>795</v>
      </c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</row>
    <row r="899" spans="1:27">
      <c r="A899" s="9" t="s">
        <v>508</v>
      </c>
      <c r="B899" s="9" t="s">
        <v>217</v>
      </c>
      <c r="C899" s="9"/>
      <c r="D899" s="9"/>
      <c r="E899" s="9"/>
      <c r="F899" s="9"/>
      <c r="G899" s="9"/>
      <c r="H899" s="9"/>
      <c r="I899" s="9" t="s">
        <v>796</v>
      </c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</row>
    <row r="900" spans="1:27">
      <c r="A900" s="9" t="s">
        <v>509</v>
      </c>
      <c r="B900" s="9" t="s">
        <v>218</v>
      </c>
      <c r="C900" s="9"/>
      <c r="D900" s="9"/>
      <c r="E900" s="9"/>
      <c r="F900" s="9"/>
      <c r="G900" s="9"/>
      <c r="H900" s="9"/>
      <c r="I900" s="9" t="s">
        <v>797</v>
      </c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</row>
    <row r="901" spans="1:27">
      <c r="A901" s="9" t="s">
        <v>510</v>
      </c>
      <c r="B901" s="9" t="s">
        <v>219</v>
      </c>
      <c r="C901" s="9"/>
      <c r="D901" s="9"/>
      <c r="E901" s="9"/>
      <c r="F901" s="9"/>
      <c r="G901" s="9"/>
      <c r="H901" s="9"/>
      <c r="I901" s="9" t="s">
        <v>798</v>
      </c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</row>
    <row r="902" spans="1:27">
      <c r="A902" s="9" t="s">
        <v>511</v>
      </c>
      <c r="B902" s="9" t="s">
        <v>220</v>
      </c>
      <c r="C902" s="9"/>
      <c r="D902" s="9"/>
      <c r="E902" s="9"/>
      <c r="F902" s="9"/>
      <c r="G902" s="9"/>
      <c r="H902" s="9"/>
      <c r="I902" s="9" t="s">
        <v>799</v>
      </c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</row>
    <row r="903" spans="1:27">
      <c r="A903" s="9" t="s">
        <v>512</v>
      </c>
      <c r="B903" s="9" t="s">
        <v>221</v>
      </c>
      <c r="C903" s="9"/>
      <c r="D903" s="9"/>
      <c r="E903" s="9"/>
      <c r="F903" s="9"/>
      <c r="G903" s="9"/>
      <c r="H903" s="9"/>
      <c r="I903" s="9" t="s">
        <v>1915</v>
      </c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</row>
    <row r="904" spans="1:27">
      <c r="A904" s="9" t="s">
        <v>513</v>
      </c>
      <c r="B904" s="9" t="s">
        <v>222</v>
      </c>
      <c r="C904" s="9"/>
      <c r="D904" s="9"/>
      <c r="E904" s="9"/>
      <c r="F904" s="9"/>
      <c r="G904" s="9"/>
      <c r="H904" s="9"/>
      <c r="I904" s="9" t="s">
        <v>800</v>
      </c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</row>
    <row r="905" spans="1:27">
      <c r="A905" s="9" t="s">
        <v>514</v>
      </c>
      <c r="B905" s="9" t="s">
        <v>223</v>
      </c>
      <c r="C905" s="9"/>
      <c r="D905" s="9"/>
      <c r="E905" s="9"/>
      <c r="F905" s="9"/>
      <c r="G905" s="9"/>
      <c r="H905" s="9"/>
      <c r="I905" s="9" t="s">
        <v>801</v>
      </c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</row>
    <row r="906" spans="1:27">
      <c r="A906" s="9" t="s">
        <v>515</v>
      </c>
      <c r="B906" s="9" t="s">
        <v>224</v>
      </c>
      <c r="C906" s="9"/>
      <c r="D906" s="9"/>
      <c r="E906" s="9"/>
      <c r="F906" s="9"/>
      <c r="G906" s="9"/>
      <c r="H906" s="9"/>
      <c r="I906" s="9" t="s">
        <v>2678</v>
      </c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</row>
    <row r="907" spans="1:27">
      <c r="A907" s="9" t="s">
        <v>516</v>
      </c>
      <c r="B907" s="9" t="s">
        <v>225</v>
      </c>
      <c r="C907" s="9"/>
      <c r="D907" s="9"/>
      <c r="E907" s="9"/>
      <c r="F907" s="9"/>
      <c r="G907" s="9"/>
      <c r="H907" s="9"/>
      <c r="I907" s="9" t="s">
        <v>802</v>
      </c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</row>
    <row r="908" spans="1:27">
      <c r="A908" s="9" t="s">
        <v>517</v>
      </c>
      <c r="B908" s="9" t="s">
        <v>226</v>
      </c>
      <c r="C908" s="9"/>
      <c r="D908" s="9"/>
      <c r="E908" s="9"/>
      <c r="F908" s="9"/>
      <c r="G908" s="9"/>
      <c r="H908" s="9"/>
      <c r="I908" s="9" t="s">
        <v>803</v>
      </c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</row>
    <row r="909" spans="1:27">
      <c r="A909" s="9" t="s">
        <v>518</v>
      </c>
      <c r="B909" s="9" t="s">
        <v>227</v>
      </c>
      <c r="C909" s="9"/>
      <c r="D909" s="9"/>
      <c r="E909" s="9"/>
      <c r="F909" s="9"/>
      <c r="G909" s="9"/>
      <c r="H909" s="9"/>
      <c r="I909" s="9" t="s">
        <v>804</v>
      </c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</row>
    <row r="910" spans="1:27">
      <c r="A910" s="9" t="s">
        <v>519</v>
      </c>
      <c r="B910" s="9" t="s">
        <v>228</v>
      </c>
      <c r="C910" s="9"/>
      <c r="D910" s="9"/>
      <c r="E910" s="9"/>
      <c r="F910" s="9"/>
      <c r="G910" s="9"/>
      <c r="H910" s="9"/>
      <c r="I910" s="9" t="s">
        <v>2679</v>
      </c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</row>
    <row r="911" spans="1:27">
      <c r="A911" s="9" t="s">
        <v>1847</v>
      </c>
      <c r="B911" s="9" t="s">
        <v>2168</v>
      </c>
      <c r="C911" s="9"/>
      <c r="D911" s="9"/>
      <c r="E911" s="9"/>
      <c r="F911" s="9"/>
      <c r="G911" s="9"/>
      <c r="H911" s="9"/>
      <c r="I911" s="9" t="s">
        <v>1916</v>
      </c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</row>
    <row r="912" spans="1:27">
      <c r="A912" s="9" t="s">
        <v>520</v>
      </c>
      <c r="B912" s="9" t="s">
        <v>229</v>
      </c>
      <c r="C912" s="9"/>
      <c r="D912" s="9"/>
      <c r="E912" s="9"/>
      <c r="F912" s="9"/>
      <c r="G912" s="9"/>
      <c r="H912" s="9"/>
      <c r="I912" s="9" t="s">
        <v>805</v>
      </c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</row>
    <row r="913" spans="1:27">
      <c r="A913" s="9" t="s">
        <v>521</v>
      </c>
      <c r="B913" s="9" t="s">
        <v>230</v>
      </c>
      <c r="C913" s="9"/>
      <c r="D913" s="9"/>
      <c r="E913" s="9"/>
      <c r="F913" s="9"/>
      <c r="G913" s="9"/>
      <c r="H913" s="9"/>
      <c r="I913" s="9" t="s">
        <v>806</v>
      </c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</row>
    <row r="914" spans="1:27">
      <c r="A914" s="9" t="s">
        <v>2680</v>
      </c>
      <c r="B914" s="9" t="s">
        <v>2551</v>
      </c>
      <c r="C914" s="9"/>
      <c r="D914" s="9"/>
      <c r="E914" s="9"/>
      <c r="F914" s="9"/>
      <c r="G914" s="9"/>
      <c r="H914" s="9"/>
      <c r="I914" s="9" t="s">
        <v>2312</v>
      </c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</row>
    <row r="915" spans="1:27">
      <c r="A915" s="9" t="s">
        <v>522</v>
      </c>
      <c r="B915" s="9" t="s">
        <v>237</v>
      </c>
      <c r="C915" s="9"/>
      <c r="D915" s="9"/>
      <c r="E915" s="9"/>
      <c r="F915" s="9"/>
      <c r="G915" s="9"/>
      <c r="H915" s="9"/>
      <c r="I915" s="9" t="s">
        <v>695</v>
      </c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</row>
    <row r="916" spans="1:27">
      <c r="A916" s="9" t="s">
        <v>523</v>
      </c>
      <c r="B916" s="9" t="s">
        <v>238</v>
      </c>
      <c r="C916" s="9"/>
      <c r="D916" s="9"/>
      <c r="E916" s="9"/>
      <c r="F916" s="9"/>
      <c r="G916" s="9"/>
      <c r="H916" s="9"/>
      <c r="I916" s="9" t="s">
        <v>696</v>
      </c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</row>
    <row r="917" spans="1:27">
      <c r="A917" s="9" t="s">
        <v>524</v>
      </c>
      <c r="B917" s="9" t="s">
        <v>231</v>
      </c>
      <c r="C917" s="9"/>
      <c r="D917" s="9"/>
      <c r="E917" s="9"/>
      <c r="F917" s="9"/>
      <c r="G917" s="9"/>
      <c r="H917" s="9"/>
      <c r="I917" s="9" t="s">
        <v>697</v>
      </c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</row>
    <row r="918" spans="1:27">
      <c r="A918" s="9" t="s">
        <v>2681</v>
      </c>
      <c r="B918" s="9" t="s">
        <v>2552</v>
      </c>
      <c r="C918" s="9"/>
      <c r="D918" s="9"/>
      <c r="E918" s="9"/>
      <c r="F918" s="9"/>
      <c r="G918" s="9"/>
      <c r="H918" s="9"/>
      <c r="I918" s="9" t="s">
        <v>698</v>
      </c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</row>
    <row r="919" spans="1:27">
      <c r="A919" s="9" t="s">
        <v>1848</v>
      </c>
      <c r="B919" s="9" t="s">
        <v>2169</v>
      </c>
      <c r="C919" s="9"/>
      <c r="D919" s="9"/>
      <c r="E919" s="9"/>
      <c r="F919" s="9"/>
      <c r="G919" s="9"/>
      <c r="H919" s="9"/>
      <c r="I919" s="9" t="s">
        <v>699</v>
      </c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</row>
    <row r="920" spans="1:27">
      <c r="A920" s="9" t="s">
        <v>525</v>
      </c>
      <c r="B920" s="9" t="s">
        <v>232</v>
      </c>
      <c r="C920" s="9"/>
      <c r="D920" s="9"/>
      <c r="E920" s="9"/>
      <c r="F920" s="9"/>
      <c r="G920" s="9"/>
      <c r="H920" s="9"/>
      <c r="I920" s="9" t="s">
        <v>700</v>
      </c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</row>
    <row r="921" spans="1:27">
      <c r="A921" s="9" t="s">
        <v>526</v>
      </c>
      <c r="B921" s="9" t="s">
        <v>2271</v>
      </c>
      <c r="C921" s="9"/>
      <c r="D921" s="9"/>
      <c r="E921" s="9"/>
      <c r="F921" s="9"/>
      <c r="G921" s="9"/>
      <c r="H921" s="9"/>
      <c r="I921" s="9" t="s">
        <v>701</v>
      </c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</row>
    <row r="922" spans="1:27">
      <c r="A922" s="9" t="s">
        <v>2305</v>
      </c>
      <c r="B922" s="9" t="s">
        <v>243</v>
      </c>
      <c r="C922" s="9"/>
      <c r="D922" s="9"/>
      <c r="E922" s="9"/>
      <c r="F922" s="9"/>
      <c r="G922" s="9"/>
      <c r="H922" s="9"/>
      <c r="I922" s="9" t="s">
        <v>2266</v>
      </c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</row>
    <row r="923" spans="1:27">
      <c r="A923" s="9" t="s">
        <v>639</v>
      </c>
      <c r="B923" s="9" t="s">
        <v>181</v>
      </c>
      <c r="C923" s="9"/>
      <c r="D923" s="9"/>
      <c r="E923" s="9"/>
      <c r="F923" s="9"/>
      <c r="G923" s="9"/>
      <c r="H923" s="9"/>
      <c r="I923" s="9" t="s">
        <v>702</v>
      </c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</row>
    <row r="924" spans="1:27">
      <c r="A924" s="9" t="s">
        <v>640</v>
      </c>
      <c r="B924" s="9" t="s">
        <v>182</v>
      </c>
      <c r="C924" s="9"/>
      <c r="D924" s="9"/>
      <c r="E924" s="9"/>
      <c r="F924" s="9"/>
      <c r="G924" s="9"/>
      <c r="H924" s="9"/>
      <c r="I924" s="9" t="s">
        <v>703</v>
      </c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</row>
    <row r="925" spans="1:27">
      <c r="A925" s="9" t="s">
        <v>641</v>
      </c>
      <c r="B925" s="9" t="s">
        <v>183</v>
      </c>
      <c r="C925" s="9"/>
      <c r="D925" s="9"/>
      <c r="E925" s="9"/>
      <c r="F925" s="9"/>
      <c r="G925" s="9"/>
      <c r="H925" s="9"/>
      <c r="I925" s="9" t="s">
        <v>704</v>
      </c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</row>
    <row r="926" spans="1:27">
      <c r="A926" s="9" t="s">
        <v>642</v>
      </c>
      <c r="B926" s="9" t="s">
        <v>184</v>
      </c>
      <c r="C926" s="9"/>
      <c r="D926" s="9"/>
      <c r="E926" s="9"/>
      <c r="F926" s="9"/>
      <c r="G926" s="9"/>
      <c r="H926" s="9"/>
      <c r="I926" s="9" t="s">
        <v>705</v>
      </c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</row>
    <row r="927" spans="1:27">
      <c r="A927" s="9" t="s">
        <v>643</v>
      </c>
      <c r="B927" s="9" t="s">
        <v>185</v>
      </c>
      <c r="C927" s="9"/>
      <c r="D927" s="9"/>
      <c r="E927" s="9"/>
      <c r="F927" s="9"/>
      <c r="G927" s="9"/>
      <c r="H927" s="9"/>
      <c r="I927" s="9" t="s">
        <v>706</v>
      </c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</row>
    <row r="928" spans="1:27">
      <c r="A928" s="9" t="s">
        <v>644</v>
      </c>
      <c r="B928" s="9" t="s">
        <v>186</v>
      </c>
      <c r="C928" s="9"/>
      <c r="D928" s="9"/>
      <c r="E928" s="9"/>
      <c r="F928" s="9"/>
      <c r="G928" s="9"/>
      <c r="H928" s="9"/>
      <c r="I928" s="9" t="s">
        <v>707</v>
      </c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</row>
    <row r="929" spans="1:27">
      <c r="A929" s="9" t="s">
        <v>645</v>
      </c>
      <c r="B929" s="9" t="s">
        <v>187</v>
      </c>
      <c r="C929" s="9"/>
      <c r="D929" s="9"/>
      <c r="E929" s="9"/>
      <c r="F929" s="9"/>
      <c r="G929" s="9"/>
      <c r="H929" s="9"/>
      <c r="I929" s="9" t="s">
        <v>708</v>
      </c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</row>
    <row r="930" spans="1:27">
      <c r="A930" s="9" t="s">
        <v>2253</v>
      </c>
      <c r="B930" s="9" t="s">
        <v>2233</v>
      </c>
      <c r="C930" s="9"/>
      <c r="D930" s="9"/>
      <c r="E930" s="9"/>
      <c r="F930" s="9"/>
      <c r="G930" s="9"/>
      <c r="H930" s="9"/>
      <c r="I930" s="9" t="s">
        <v>709</v>
      </c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</row>
    <row r="931" spans="1:27">
      <c r="A931" s="9" t="s">
        <v>646</v>
      </c>
      <c r="B931" s="9" t="s">
        <v>188</v>
      </c>
      <c r="C931" s="9"/>
      <c r="D931" s="9"/>
      <c r="E931" s="9"/>
      <c r="F931" s="9"/>
      <c r="G931" s="9"/>
      <c r="H931" s="9"/>
      <c r="I931" s="9" t="s">
        <v>710</v>
      </c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</row>
    <row r="932" spans="1:27">
      <c r="A932" s="9" t="s">
        <v>647</v>
      </c>
      <c r="B932" s="9" t="s">
        <v>189</v>
      </c>
      <c r="C932" s="9"/>
      <c r="D932" s="9"/>
      <c r="E932" s="9"/>
      <c r="F932" s="9"/>
      <c r="G932" s="9"/>
      <c r="H932" s="9"/>
      <c r="I932" s="9" t="s">
        <v>711</v>
      </c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</row>
    <row r="933" spans="1:27">
      <c r="A933" s="9" t="s">
        <v>648</v>
      </c>
      <c r="B933" s="9" t="s">
        <v>190</v>
      </c>
      <c r="C933" s="9"/>
      <c r="D933" s="9"/>
      <c r="E933" s="9"/>
      <c r="F933" s="9"/>
      <c r="G933" s="9"/>
      <c r="H933" s="9"/>
      <c r="I933" s="9" t="s">
        <v>712</v>
      </c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</row>
    <row r="934" spans="1:27">
      <c r="A934" s="9" t="s">
        <v>649</v>
      </c>
      <c r="B934" s="9" t="s">
        <v>191</v>
      </c>
      <c r="C934" s="9"/>
      <c r="D934" s="9"/>
      <c r="E934" s="9"/>
      <c r="F934" s="9"/>
      <c r="G934" s="9"/>
      <c r="H934" s="9"/>
      <c r="I934" s="9" t="s">
        <v>713</v>
      </c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</row>
    <row r="935" spans="1:27">
      <c r="A935" s="9" t="s">
        <v>650</v>
      </c>
      <c r="B935" s="9" t="s">
        <v>192</v>
      </c>
      <c r="C935" s="9"/>
      <c r="D935" s="9"/>
      <c r="E935" s="9"/>
      <c r="F935" s="9"/>
      <c r="G935" s="9"/>
      <c r="H935" s="9"/>
      <c r="I935" s="9" t="s">
        <v>714</v>
      </c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</row>
    <row r="936" spans="1:27">
      <c r="A936" s="9" t="s">
        <v>651</v>
      </c>
      <c r="B936" s="9" t="s">
        <v>193</v>
      </c>
      <c r="C936" s="9"/>
      <c r="D936" s="9"/>
      <c r="E936" s="9"/>
      <c r="F936" s="9"/>
      <c r="G936" s="9"/>
      <c r="H936" s="9"/>
      <c r="I936" s="9" t="s">
        <v>715</v>
      </c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</row>
    <row r="937" spans="1:27">
      <c r="A937" s="9" t="s">
        <v>652</v>
      </c>
      <c r="B937" s="9" t="s">
        <v>242</v>
      </c>
      <c r="C937" s="9"/>
      <c r="D937" s="9"/>
      <c r="E937" s="9"/>
      <c r="F937" s="9"/>
      <c r="G937" s="9"/>
      <c r="H937" s="9"/>
      <c r="I937" s="9" t="s">
        <v>1909</v>
      </c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</row>
    <row r="938" spans="1:27">
      <c r="A938" s="9" t="s">
        <v>653</v>
      </c>
      <c r="B938" s="9" t="s">
        <v>194</v>
      </c>
      <c r="C938" s="9"/>
      <c r="D938" s="9"/>
      <c r="E938" s="9"/>
      <c r="F938" s="9"/>
      <c r="G938" s="9"/>
      <c r="H938" s="9"/>
      <c r="I938" s="9" t="s">
        <v>2682</v>
      </c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</row>
    <row r="939" spans="1:27">
      <c r="A939" s="9" t="s">
        <v>654</v>
      </c>
      <c r="B939" s="9" t="s">
        <v>195</v>
      </c>
      <c r="C939" s="9"/>
      <c r="D939" s="9"/>
      <c r="E939" s="9"/>
      <c r="F939" s="9"/>
      <c r="G939" s="9"/>
      <c r="H939" s="9"/>
      <c r="I939" s="9" t="s">
        <v>1910</v>
      </c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</row>
    <row r="940" spans="1:27">
      <c r="A940" s="9" t="s">
        <v>655</v>
      </c>
      <c r="B940" s="9" t="s">
        <v>196</v>
      </c>
      <c r="C940" s="9"/>
      <c r="D940" s="9"/>
      <c r="E940" s="9"/>
      <c r="F940" s="9"/>
      <c r="G940" s="9"/>
      <c r="H940" s="9"/>
      <c r="I940" s="9" t="s">
        <v>716</v>
      </c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</row>
    <row r="941" spans="1:27">
      <c r="A941" s="9" t="s">
        <v>656</v>
      </c>
      <c r="B941" s="9" t="s">
        <v>197</v>
      </c>
      <c r="C941" s="9"/>
      <c r="D941" s="9"/>
      <c r="E941" s="9"/>
      <c r="F941" s="9"/>
      <c r="G941" s="9"/>
      <c r="H941" s="9"/>
      <c r="I941" s="9" t="s">
        <v>717</v>
      </c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</row>
    <row r="942" spans="1:27">
      <c r="A942" s="9" t="s">
        <v>657</v>
      </c>
      <c r="B942" s="9" t="s">
        <v>198</v>
      </c>
      <c r="C942" s="9"/>
      <c r="D942" s="9"/>
      <c r="E942" s="9"/>
      <c r="F942" s="9"/>
      <c r="G942" s="9"/>
      <c r="H942" s="9"/>
      <c r="I942" s="9" t="s">
        <v>718</v>
      </c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</row>
    <row r="943" spans="1:27">
      <c r="A943" s="9" t="s">
        <v>658</v>
      </c>
      <c r="B943" s="9" t="s">
        <v>199</v>
      </c>
      <c r="C943" s="9"/>
      <c r="D943" s="9"/>
      <c r="E943" s="9"/>
      <c r="F943" s="9"/>
      <c r="G943" s="9"/>
      <c r="H943" s="9"/>
      <c r="I943" s="9" t="s">
        <v>719</v>
      </c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</row>
    <row r="944" spans="1:27">
      <c r="A944" s="9" t="s">
        <v>659</v>
      </c>
      <c r="B944" s="9" t="s">
        <v>200</v>
      </c>
      <c r="C944" s="9"/>
      <c r="D944" s="9"/>
      <c r="E944" s="9"/>
      <c r="F944" s="9"/>
      <c r="G944" s="9"/>
      <c r="H944" s="9"/>
      <c r="I944" s="9" t="s">
        <v>720</v>
      </c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</row>
    <row r="945" spans="1:27">
      <c r="A945" s="9" t="s">
        <v>1857</v>
      </c>
      <c r="B945" s="9" t="s">
        <v>2166</v>
      </c>
      <c r="C945" s="9"/>
      <c r="D945" s="9"/>
      <c r="E945" s="9"/>
      <c r="F945" s="9"/>
      <c r="G945" s="9"/>
      <c r="H945" s="9"/>
      <c r="I945" s="9" t="s">
        <v>721</v>
      </c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</row>
    <row r="946" spans="1:27">
      <c r="A946" s="9" t="s">
        <v>2683</v>
      </c>
      <c r="B946" s="9" t="s">
        <v>2553</v>
      </c>
      <c r="C946" s="9"/>
      <c r="D946" s="9"/>
      <c r="E946" s="9"/>
      <c r="F946" s="9"/>
      <c r="G946" s="9"/>
      <c r="H946" s="9"/>
      <c r="I946" s="9" t="s">
        <v>722</v>
      </c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</row>
    <row r="947" spans="1:27">
      <c r="A947" s="9" t="s">
        <v>1858</v>
      </c>
      <c r="B947" s="9" t="s">
        <v>2167</v>
      </c>
      <c r="C947" s="9"/>
      <c r="D947" s="9"/>
      <c r="E947" s="9"/>
      <c r="F947" s="9"/>
      <c r="G947" s="9"/>
      <c r="H947" s="9"/>
      <c r="I947" s="9" t="s">
        <v>723</v>
      </c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</row>
    <row r="948" spans="1:27">
      <c r="A948" s="9" t="s">
        <v>660</v>
      </c>
      <c r="B948" s="9" t="s">
        <v>201</v>
      </c>
      <c r="C948" s="9"/>
      <c r="D948" s="9"/>
      <c r="E948" s="9"/>
      <c r="F948" s="9"/>
      <c r="G948" s="9"/>
      <c r="H948" s="9"/>
      <c r="I948" s="9" t="s">
        <v>724</v>
      </c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</row>
    <row r="949" spans="1:27">
      <c r="A949" s="9" t="s">
        <v>661</v>
      </c>
      <c r="B949" s="9" t="s">
        <v>202</v>
      </c>
      <c r="C949" s="9"/>
      <c r="D949" s="9"/>
      <c r="E949" s="9"/>
      <c r="F949" s="9"/>
      <c r="G949" s="9"/>
      <c r="H949" s="9"/>
      <c r="I949" s="9" t="s">
        <v>725</v>
      </c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</row>
    <row r="950" spans="1:27">
      <c r="A950" s="9" t="s">
        <v>662</v>
      </c>
      <c r="B950" s="9" t="s">
        <v>203</v>
      </c>
      <c r="C950" s="9"/>
      <c r="D950" s="9"/>
      <c r="E950" s="9"/>
      <c r="F950" s="9"/>
      <c r="G950" s="9"/>
      <c r="H950" s="9"/>
      <c r="I950" s="9" t="s">
        <v>726</v>
      </c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</row>
    <row r="951" spans="1:27">
      <c r="A951" s="9" t="s">
        <v>663</v>
      </c>
      <c r="B951" s="9" t="s">
        <v>204</v>
      </c>
      <c r="C951" s="9"/>
      <c r="D951" s="9"/>
      <c r="E951" s="9"/>
      <c r="F951" s="9"/>
      <c r="G951" s="9"/>
      <c r="H951" s="9"/>
      <c r="I951" s="9" t="s">
        <v>727</v>
      </c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</row>
    <row r="952" spans="1:27">
      <c r="A952" s="9" t="s">
        <v>664</v>
      </c>
      <c r="B952" s="9" t="s">
        <v>205</v>
      </c>
      <c r="C952" s="9"/>
      <c r="D952" s="9"/>
      <c r="E952" s="9"/>
      <c r="F952" s="9"/>
      <c r="G952" s="9"/>
      <c r="H952" s="9"/>
      <c r="I952" s="9" t="s">
        <v>728</v>
      </c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</row>
    <row r="953" spans="1:27">
      <c r="A953" s="9" t="s">
        <v>665</v>
      </c>
      <c r="B953" s="9" t="s">
        <v>206</v>
      </c>
      <c r="C953" s="9"/>
      <c r="D953" s="9"/>
      <c r="E953" s="9"/>
      <c r="F953" s="9"/>
      <c r="G953" s="9"/>
      <c r="H953" s="9"/>
      <c r="I953" s="9" t="s">
        <v>729</v>
      </c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</row>
    <row r="954" spans="1:27">
      <c r="A954" s="9" t="s">
        <v>666</v>
      </c>
      <c r="B954" s="9" t="s">
        <v>207</v>
      </c>
      <c r="C954" s="9"/>
      <c r="D954" s="9"/>
      <c r="E954" s="9"/>
      <c r="F954" s="9"/>
      <c r="G954" s="9"/>
      <c r="H954" s="9"/>
      <c r="I954" s="9" t="s">
        <v>730</v>
      </c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</row>
    <row r="955" spans="1:27">
      <c r="A955" s="9" t="s">
        <v>667</v>
      </c>
      <c r="B955" s="9" t="s">
        <v>208</v>
      </c>
      <c r="C955" s="9"/>
      <c r="D955" s="9"/>
      <c r="E955" s="9"/>
      <c r="F955" s="9"/>
      <c r="G955" s="9"/>
      <c r="H955" s="9"/>
      <c r="I955" s="9" t="s">
        <v>731</v>
      </c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</row>
    <row r="956" spans="1:27">
      <c r="A956" s="9" t="s">
        <v>668</v>
      </c>
      <c r="B956" s="9" t="s">
        <v>209</v>
      </c>
      <c r="C956" s="9"/>
      <c r="D956" s="9"/>
      <c r="E956" s="9"/>
      <c r="F956" s="9"/>
      <c r="G956" s="9"/>
      <c r="H956" s="9"/>
      <c r="I956" s="9" t="s">
        <v>732</v>
      </c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</row>
    <row r="957" spans="1:27">
      <c r="A957" s="9" t="s">
        <v>669</v>
      </c>
      <c r="B957" s="9" t="s">
        <v>210</v>
      </c>
      <c r="C957" s="9"/>
      <c r="D957" s="9"/>
      <c r="E957" s="9"/>
      <c r="F957" s="9"/>
      <c r="G957" s="9"/>
      <c r="H957" s="9"/>
      <c r="I957" s="9" t="s">
        <v>733</v>
      </c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</row>
    <row r="958" spans="1:27">
      <c r="A958" s="9" t="s">
        <v>670</v>
      </c>
      <c r="B958" s="9" t="s">
        <v>211</v>
      </c>
      <c r="C958" s="9"/>
      <c r="D958" s="9"/>
      <c r="E958" s="9"/>
      <c r="F958" s="9"/>
      <c r="G958" s="9"/>
      <c r="H958" s="9"/>
      <c r="I958" s="9" t="s">
        <v>734</v>
      </c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</row>
    <row r="959" spans="1:27">
      <c r="A959" s="9" t="s">
        <v>671</v>
      </c>
      <c r="B959" s="9" t="s">
        <v>212</v>
      </c>
      <c r="C959" s="9"/>
      <c r="D959" s="9"/>
      <c r="E959" s="9"/>
      <c r="F959" s="9"/>
      <c r="G959" s="9"/>
      <c r="H959" s="9"/>
      <c r="I959" s="9" t="s">
        <v>735</v>
      </c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</row>
    <row r="960" spans="1:27">
      <c r="A960" s="9" t="s">
        <v>672</v>
      </c>
      <c r="B960" s="9" t="s">
        <v>213</v>
      </c>
      <c r="C960" s="9"/>
      <c r="D960" s="9"/>
      <c r="E960" s="9"/>
      <c r="F960" s="9"/>
      <c r="G960" s="9"/>
      <c r="H960" s="9"/>
      <c r="I960" s="9" t="s">
        <v>736</v>
      </c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</row>
    <row r="961" spans="1:27">
      <c r="A961" s="9" t="s">
        <v>673</v>
      </c>
      <c r="B961" s="9" t="s">
        <v>214</v>
      </c>
      <c r="C961" s="9"/>
      <c r="D961" s="9"/>
      <c r="E961" s="9"/>
      <c r="F961" s="9"/>
      <c r="G961" s="9"/>
      <c r="H961" s="9"/>
      <c r="I961" s="9" t="s">
        <v>737</v>
      </c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</row>
    <row r="962" spans="1:27">
      <c r="A962" s="9" t="s">
        <v>674</v>
      </c>
      <c r="B962" s="9" t="s">
        <v>215</v>
      </c>
      <c r="C962" s="9"/>
      <c r="D962" s="9"/>
      <c r="E962" s="9"/>
      <c r="F962" s="9"/>
      <c r="G962" s="9"/>
      <c r="H962" s="9"/>
      <c r="I962" s="9" t="s">
        <v>738</v>
      </c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</row>
    <row r="963" spans="1:27">
      <c r="A963" s="9" t="s">
        <v>675</v>
      </c>
      <c r="B963" s="9" t="s">
        <v>216</v>
      </c>
      <c r="C963" s="9"/>
      <c r="D963" s="9"/>
      <c r="E963" s="9"/>
      <c r="F963" s="9"/>
      <c r="G963" s="9"/>
      <c r="H963" s="9"/>
      <c r="I963" s="9" t="s">
        <v>739</v>
      </c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</row>
    <row r="964" spans="1:27">
      <c r="A964" s="9" t="s">
        <v>676</v>
      </c>
      <c r="B964" s="9" t="s">
        <v>217</v>
      </c>
      <c r="C964" s="9"/>
      <c r="D964" s="9"/>
      <c r="E964" s="9"/>
      <c r="F964" s="9"/>
      <c r="G964" s="9"/>
      <c r="H964" s="9"/>
      <c r="I964" s="9" t="s">
        <v>740</v>
      </c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</row>
    <row r="965" spans="1:27">
      <c r="A965" s="9" t="s">
        <v>677</v>
      </c>
      <c r="B965" s="9" t="s">
        <v>218</v>
      </c>
      <c r="C965" s="9"/>
      <c r="D965" s="9"/>
      <c r="E965" s="9"/>
      <c r="F965" s="9"/>
      <c r="G965" s="9"/>
      <c r="H965" s="9"/>
      <c r="I965" s="9" t="s">
        <v>741</v>
      </c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</row>
    <row r="966" spans="1:27">
      <c r="A966" s="9" t="s">
        <v>678</v>
      </c>
      <c r="B966" s="9" t="s">
        <v>219</v>
      </c>
      <c r="C966" s="9"/>
      <c r="D966" s="9"/>
      <c r="E966" s="9"/>
      <c r="F966" s="9"/>
      <c r="G966" s="9"/>
      <c r="H966" s="9"/>
      <c r="I966" s="9" t="s">
        <v>742</v>
      </c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</row>
    <row r="967" spans="1:27">
      <c r="A967" s="9" t="s">
        <v>679</v>
      </c>
      <c r="B967" s="9" t="s">
        <v>220</v>
      </c>
      <c r="C967" s="9"/>
      <c r="D967" s="9"/>
      <c r="E967" s="9"/>
      <c r="F967" s="9"/>
      <c r="G967" s="9"/>
      <c r="H967" s="9"/>
      <c r="I967" s="9" t="s">
        <v>743</v>
      </c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</row>
    <row r="968" spans="1:27">
      <c r="A968" s="9" t="s">
        <v>680</v>
      </c>
      <c r="B968" s="9" t="s">
        <v>221</v>
      </c>
      <c r="C968" s="9"/>
      <c r="D968" s="9"/>
      <c r="E968" s="9"/>
      <c r="F968" s="9"/>
      <c r="G968" s="9"/>
      <c r="H968" s="9"/>
      <c r="I968" s="9" t="s">
        <v>1911</v>
      </c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</row>
    <row r="969" spans="1:27">
      <c r="A969" s="9" t="s">
        <v>681</v>
      </c>
      <c r="B969" s="9" t="s">
        <v>222</v>
      </c>
      <c r="C969" s="9"/>
      <c r="D969" s="9"/>
      <c r="E969" s="9"/>
      <c r="F969" s="9"/>
      <c r="G969" s="9"/>
      <c r="H969" s="9"/>
      <c r="I969" s="9" t="s">
        <v>744</v>
      </c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</row>
    <row r="970" spans="1:27">
      <c r="A970" s="9" t="s">
        <v>682</v>
      </c>
      <c r="B970" s="9" t="s">
        <v>223</v>
      </c>
      <c r="C970" s="9"/>
      <c r="D970" s="9"/>
      <c r="E970" s="9"/>
      <c r="F970" s="9"/>
      <c r="G970" s="9"/>
      <c r="H970" s="9"/>
      <c r="I970" s="9" t="s">
        <v>745</v>
      </c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</row>
    <row r="971" spans="1:27">
      <c r="A971" s="9" t="s">
        <v>683</v>
      </c>
      <c r="B971" s="9" t="s">
        <v>224</v>
      </c>
      <c r="C971" s="9"/>
      <c r="D971" s="9"/>
      <c r="E971" s="9"/>
      <c r="F971" s="9"/>
      <c r="G971" s="9"/>
      <c r="H971" s="9"/>
      <c r="I971" s="9" t="s">
        <v>2684</v>
      </c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</row>
    <row r="972" spans="1:27">
      <c r="A972" s="9" t="s">
        <v>684</v>
      </c>
      <c r="B972" s="9" t="s">
        <v>225</v>
      </c>
      <c r="C972" s="9"/>
      <c r="D972" s="9"/>
      <c r="E972" s="9"/>
      <c r="F972" s="9"/>
      <c r="G972" s="9"/>
      <c r="H972" s="9"/>
      <c r="I972" s="9" t="s">
        <v>746</v>
      </c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</row>
    <row r="973" spans="1:27">
      <c r="A973" s="9" t="s">
        <v>685</v>
      </c>
      <c r="B973" s="9" t="s">
        <v>226</v>
      </c>
      <c r="C973" s="9"/>
      <c r="D973" s="9"/>
      <c r="E973" s="9"/>
      <c r="F973" s="9"/>
      <c r="G973" s="9"/>
      <c r="H973" s="9"/>
      <c r="I973" s="9" t="s">
        <v>747</v>
      </c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</row>
    <row r="974" spans="1:27">
      <c r="A974" s="9" t="s">
        <v>686</v>
      </c>
      <c r="B974" s="9" t="s">
        <v>227</v>
      </c>
      <c r="C974" s="9"/>
      <c r="D974" s="9"/>
      <c r="E974" s="9"/>
      <c r="F974" s="9"/>
      <c r="G974" s="9"/>
      <c r="H974" s="9"/>
      <c r="I974" s="9" t="s">
        <v>748</v>
      </c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</row>
    <row r="975" spans="1:27">
      <c r="A975" s="9" t="s">
        <v>687</v>
      </c>
      <c r="B975" s="9" t="s">
        <v>228</v>
      </c>
      <c r="C975" s="9"/>
      <c r="D975" s="9"/>
      <c r="E975" s="9"/>
      <c r="F975" s="9"/>
      <c r="G975" s="9"/>
      <c r="H975" s="9"/>
      <c r="I975" s="9" t="s">
        <v>2685</v>
      </c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</row>
    <row r="976" spans="1:27">
      <c r="A976" s="9" t="s">
        <v>1859</v>
      </c>
      <c r="B976" s="9" t="s">
        <v>2168</v>
      </c>
      <c r="C976" s="9"/>
      <c r="D976" s="9"/>
      <c r="E976" s="9"/>
      <c r="F976" s="9"/>
      <c r="G976" s="9"/>
      <c r="H976" s="9"/>
      <c r="I976" s="9" t="s">
        <v>1912</v>
      </c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</row>
    <row r="977" spans="1:27">
      <c r="A977" s="9" t="s">
        <v>688</v>
      </c>
      <c r="B977" s="9" t="s">
        <v>229</v>
      </c>
      <c r="C977" s="9"/>
      <c r="D977" s="9"/>
      <c r="E977" s="9"/>
      <c r="F977" s="9"/>
      <c r="G977" s="9"/>
      <c r="H977" s="9"/>
      <c r="I977" s="9" t="s">
        <v>749</v>
      </c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</row>
    <row r="978" spans="1:27">
      <c r="A978" s="9" t="s">
        <v>689</v>
      </c>
      <c r="B978" s="9" t="s">
        <v>230</v>
      </c>
      <c r="C978" s="9"/>
      <c r="D978" s="9"/>
      <c r="E978" s="9"/>
      <c r="F978" s="9"/>
      <c r="G978" s="9"/>
      <c r="H978" s="9"/>
      <c r="I978" s="9" t="s">
        <v>750</v>
      </c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</row>
    <row r="979" spans="1:27">
      <c r="A979" s="9" t="s">
        <v>2686</v>
      </c>
      <c r="B979" s="9" t="s">
        <v>2551</v>
      </c>
      <c r="C979" s="9"/>
      <c r="D979" s="9"/>
      <c r="E979" s="9"/>
      <c r="F979" s="9"/>
      <c r="G979" s="9"/>
      <c r="H979" s="9"/>
      <c r="I979" s="9" t="s">
        <v>2313</v>
      </c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</row>
    <row r="980" spans="1:27">
      <c r="A980" s="9" t="s">
        <v>690</v>
      </c>
      <c r="B980" s="9" t="s">
        <v>237</v>
      </c>
      <c r="C980" s="9"/>
      <c r="D980" s="9"/>
      <c r="E980" s="9"/>
      <c r="F980" s="9"/>
      <c r="G980" s="9"/>
      <c r="H980" s="9"/>
      <c r="I980" s="9" t="s">
        <v>863</v>
      </c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</row>
    <row r="981" spans="1:27">
      <c r="A981" s="9" t="s">
        <v>691</v>
      </c>
      <c r="B981" s="9" t="s">
        <v>238</v>
      </c>
      <c r="C981" s="9"/>
      <c r="D981" s="9"/>
      <c r="E981" s="9"/>
      <c r="F981" s="9"/>
      <c r="G981" s="9"/>
      <c r="H981" s="9"/>
      <c r="I981" s="9" t="s">
        <v>864</v>
      </c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</row>
    <row r="982" spans="1:27">
      <c r="A982" s="9" t="s">
        <v>692</v>
      </c>
      <c r="B982" s="9" t="s">
        <v>231</v>
      </c>
      <c r="C982" s="9"/>
      <c r="D982" s="9"/>
      <c r="E982" s="9"/>
      <c r="F982" s="9"/>
      <c r="G982" s="9"/>
      <c r="H982" s="9"/>
      <c r="I982" s="9" t="s">
        <v>865</v>
      </c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</row>
    <row r="983" spans="1:27">
      <c r="A983" s="9" t="s">
        <v>2687</v>
      </c>
      <c r="B983" s="9" t="s">
        <v>2552</v>
      </c>
      <c r="C983" s="9"/>
      <c r="D983" s="9"/>
      <c r="E983" s="9"/>
      <c r="F983" s="9"/>
      <c r="G983" s="9"/>
      <c r="H983" s="9"/>
      <c r="I983" s="9" t="s">
        <v>866</v>
      </c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</row>
    <row r="984" spans="1:27">
      <c r="A984" s="9" t="s">
        <v>1860</v>
      </c>
      <c r="B984" s="9" t="s">
        <v>2169</v>
      </c>
      <c r="C984" s="9"/>
      <c r="D984" s="9"/>
      <c r="E984" s="9"/>
      <c r="F984" s="9"/>
      <c r="G984" s="9"/>
      <c r="H984" s="9"/>
      <c r="I984" s="9" t="s">
        <v>867</v>
      </c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</row>
    <row r="985" spans="1:27">
      <c r="A985" s="9" t="s">
        <v>693</v>
      </c>
      <c r="B985" s="9" t="s">
        <v>232</v>
      </c>
      <c r="C985" s="9"/>
      <c r="D985" s="9"/>
      <c r="E985" s="9"/>
      <c r="F985" s="9"/>
      <c r="G985" s="9"/>
      <c r="H985" s="9"/>
      <c r="I985" s="9" t="s">
        <v>868</v>
      </c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</row>
    <row r="986" spans="1:27">
      <c r="A986" s="9" t="s">
        <v>694</v>
      </c>
      <c r="B986" s="9" t="s">
        <v>2271</v>
      </c>
      <c r="C986" s="9"/>
      <c r="D986" s="9"/>
      <c r="E986" s="9"/>
      <c r="F986" s="9"/>
      <c r="G986" s="9"/>
      <c r="H986" s="9"/>
      <c r="I986" s="9" t="s">
        <v>869</v>
      </c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</row>
    <row r="987" spans="1:27">
      <c r="A987" s="9" t="s">
        <v>2306</v>
      </c>
      <c r="B987" s="9" t="s">
        <v>243</v>
      </c>
      <c r="C987" s="9"/>
      <c r="D987" s="9"/>
      <c r="E987" s="9"/>
      <c r="F987" s="9"/>
      <c r="G987" s="9"/>
      <c r="H987" s="9"/>
      <c r="I987" s="9" t="s">
        <v>2269</v>
      </c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</row>
    <row r="988" spans="1:27">
      <c r="A988" s="9" t="s">
        <v>78</v>
      </c>
      <c r="B988" s="9" t="s">
        <v>27</v>
      </c>
      <c r="C988" s="9"/>
      <c r="D988" s="9"/>
      <c r="E988" s="9"/>
      <c r="F988" s="9"/>
      <c r="G988" s="9"/>
      <c r="H988" s="9"/>
      <c r="I988" s="9" t="s">
        <v>870</v>
      </c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</row>
    <row r="989" spans="1:27">
      <c r="A989" s="9" t="s">
        <v>932</v>
      </c>
      <c r="B989" s="9" t="s">
        <v>2326</v>
      </c>
      <c r="C989" s="9"/>
      <c r="D989" s="9"/>
      <c r="E989" s="9"/>
      <c r="F989" s="9"/>
      <c r="G989" s="9"/>
      <c r="H989" s="9"/>
      <c r="I989" s="9" t="s">
        <v>871</v>
      </c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</row>
    <row r="990" spans="1:27">
      <c r="A990" s="9" t="s">
        <v>933</v>
      </c>
      <c r="B990" s="9" t="s">
        <v>2327</v>
      </c>
      <c r="C990" s="9"/>
      <c r="D990" s="9"/>
      <c r="E990" s="9"/>
      <c r="F990" s="9"/>
      <c r="G990" s="9"/>
      <c r="H990" s="9"/>
      <c r="I990" s="9" t="s">
        <v>872</v>
      </c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</row>
    <row r="991" spans="1:27">
      <c r="A991" s="9" t="s">
        <v>934</v>
      </c>
      <c r="B991" s="9" t="s">
        <v>2328</v>
      </c>
      <c r="C991" s="9"/>
      <c r="D991" s="9"/>
      <c r="E991" s="9"/>
      <c r="F991" s="9"/>
      <c r="G991" s="9"/>
      <c r="H991" s="9"/>
      <c r="I991" s="9" t="s">
        <v>873</v>
      </c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</row>
    <row r="992" spans="1:27">
      <c r="A992" s="9" t="s">
        <v>935</v>
      </c>
      <c r="B992" s="9" t="s">
        <v>2329</v>
      </c>
      <c r="C992" s="9"/>
      <c r="D992" s="9"/>
      <c r="E992" s="9"/>
      <c r="F992" s="9"/>
      <c r="G992" s="9"/>
      <c r="H992" s="9"/>
      <c r="I992" s="9" t="s">
        <v>874</v>
      </c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</row>
    <row r="993" spans="1:27">
      <c r="A993" s="9" t="s">
        <v>936</v>
      </c>
      <c r="B993" s="9" t="s">
        <v>2330</v>
      </c>
      <c r="C993" s="9"/>
      <c r="D993" s="9"/>
      <c r="E993" s="9"/>
      <c r="F993" s="9"/>
      <c r="G993" s="9"/>
      <c r="H993" s="9"/>
      <c r="I993" s="9" t="s">
        <v>875</v>
      </c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</row>
    <row r="994" spans="1:27">
      <c r="A994" s="9" t="s">
        <v>79</v>
      </c>
      <c r="B994" s="9" t="s">
        <v>2331</v>
      </c>
      <c r="C994" s="9"/>
      <c r="D994" s="9"/>
      <c r="E994" s="9"/>
      <c r="F994" s="9"/>
      <c r="G994" s="9"/>
      <c r="H994" s="9"/>
      <c r="I994" s="9" t="s">
        <v>876</v>
      </c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</row>
    <row r="995" spans="1:27">
      <c r="A995" s="9" t="s">
        <v>239</v>
      </c>
      <c r="B995" s="9" t="s">
        <v>2332</v>
      </c>
      <c r="C995" s="9"/>
      <c r="D995" s="9"/>
      <c r="E995" s="9"/>
      <c r="F995" s="9"/>
      <c r="G995" s="9"/>
      <c r="H995" s="9"/>
      <c r="I995" s="9" t="s">
        <v>877</v>
      </c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</row>
    <row r="996" spans="1:27">
      <c r="A996" s="9" t="s">
        <v>2045</v>
      </c>
      <c r="B996" s="9" t="s">
        <v>181</v>
      </c>
      <c r="C996" s="9"/>
      <c r="D996" s="9"/>
      <c r="E996" s="9"/>
      <c r="F996" s="9"/>
      <c r="G996" s="9"/>
      <c r="H996" s="9"/>
      <c r="I996" s="9" t="s">
        <v>878</v>
      </c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</row>
    <row r="997" spans="1:27">
      <c r="A997" s="9" t="s">
        <v>2046</v>
      </c>
      <c r="B997" s="9" t="s">
        <v>182</v>
      </c>
      <c r="C997" s="9"/>
      <c r="D997" s="9"/>
      <c r="E997" s="9"/>
      <c r="F997" s="9"/>
      <c r="G997" s="9"/>
      <c r="H997" s="9"/>
      <c r="I997" s="9" t="s">
        <v>879</v>
      </c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</row>
    <row r="998" spans="1:27">
      <c r="A998" s="9" t="s">
        <v>2047</v>
      </c>
      <c r="B998" s="9" t="s">
        <v>183</v>
      </c>
      <c r="C998" s="9"/>
      <c r="D998" s="9"/>
      <c r="E998" s="9"/>
      <c r="F998" s="9"/>
      <c r="G998" s="9"/>
      <c r="H998" s="9"/>
      <c r="I998" s="9" t="s">
        <v>880</v>
      </c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</row>
    <row r="999" spans="1:27">
      <c r="A999" s="9" t="s">
        <v>2048</v>
      </c>
      <c r="B999" s="9" t="s">
        <v>184</v>
      </c>
      <c r="C999" s="9"/>
      <c r="D999" s="9"/>
      <c r="E999" s="9"/>
      <c r="F999" s="9"/>
      <c r="G999" s="9"/>
      <c r="H999" s="9"/>
      <c r="I999" s="9" t="s">
        <v>881</v>
      </c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</row>
    <row r="1000" spans="1:27">
      <c r="A1000" s="9" t="s">
        <v>2049</v>
      </c>
      <c r="B1000" s="9" t="s">
        <v>185</v>
      </c>
      <c r="C1000" s="9"/>
      <c r="D1000" s="9"/>
      <c r="E1000" s="9"/>
      <c r="F1000" s="9"/>
      <c r="G1000" s="9"/>
      <c r="H1000" s="9"/>
      <c r="I1000" s="9" t="s">
        <v>882</v>
      </c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</row>
    <row r="1001" spans="1:27">
      <c r="A1001" s="9" t="s">
        <v>2050</v>
      </c>
      <c r="B1001" s="9" t="s">
        <v>186</v>
      </c>
      <c r="C1001" s="9"/>
      <c r="D1001" s="9"/>
      <c r="E1001" s="9"/>
      <c r="F1001" s="9"/>
      <c r="G1001" s="9"/>
      <c r="H1001" s="9"/>
      <c r="I1001" s="9" t="s">
        <v>883</v>
      </c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9"/>
      <c r="U1001" s="9"/>
      <c r="V1001" s="9"/>
      <c r="W1001" s="9"/>
      <c r="X1001" s="9"/>
      <c r="Y1001" s="9"/>
      <c r="Z1001" s="9"/>
      <c r="AA1001" s="9"/>
    </row>
    <row r="1002" spans="1:27">
      <c r="A1002" s="9" t="s">
        <v>2051</v>
      </c>
      <c r="B1002" s="9" t="s">
        <v>187</v>
      </c>
      <c r="C1002" s="9"/>
      <c r="D1002" s="9"/>
      <c r="E1002" s="9"/>
      <c r="F1002" s="9"/>
      <c r="G1002" s="9"/>
      <c r="H1002" s="9"/>
      <c r="I1002" s="9" t="s">
        <v>1921</v>
      </c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  <c r="AA1002" s="9"/>
    </row>
    <row r="1003" spans="1:27">
      <c r="A1003" s="9" t="s">
        <v>2248</v>
      </c>
      <c r="B1003" s="9" t="s">
        <v>2233</v>
      </c>
      <c r="C1003" s="9"/>
      <c r="D1003" s="9"/>
      <c r="E1003" s="9"/>
      <c r="F1003" s="9"/>
      <c r="G1003" s="9"/>
      <c r="H1003" s="9"/>
      <c r="I1003" s="9" t="s">
        <v>2688</v>
      </c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9"/>
      <c r="U1003" s="9"/>
      <c r="V1003" s="9"/>
      <c r="W1003" s="9"/>
      <c r="X1003" s="9"/>
      <c r="Y1003" s="9"/>
      <c r="Z1003" s="9"/>
      <c r="AA1003" s="9"/>
    </row>
    <row r="1004" spans="1:27">
      <c r="A1004" s="9" t="s">
        <v>2052</v>
      </c>
      <c r="B1004" s="9" t="s">
        <v>188</v>
      </c>
      <c r="C1004" s="9"/>
      <c r="D1004" s="9"/>
      <c r="E1004" s="9"/>
      <c r="F1004" s="9"/>
      <c r="G1004" s="9"/>
      <c r="H1004" s="9"/>
      <c r="I1004" s="9" t="s">
        <v>1922</v>
      </c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  <c r="AA1004" s="9"/>
    </row>
    <row r="1005" spans="1:27">
      <c r="A1005" s="9" t="s">
        <v>2053</v>
      </c>
      <c r="B1005" s="9" t="s">
        <v>189</v>
      </c>
      <c r="C1005" s="9"/>
      <c r="D1005" s="9"/>
      <c r="E1005" s="9"/>
      <c r="F1005" s="9"/>
      <c r="G1005" s="9"/>
      <c r="H1005" s="9"/>
      <c r="I1005" s="9" t="s">
        <v>884</v>
      </c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9"/>
      <c r="U1005" s="9"/>
      <c r="V1005" s="9"/>
      <c r="W1005" s="9"/>
      <c r="X1005" s="9"/>
      <c r="Y1005" s="9"/>
      <c r="Z1005" s="9"/>
      <c r="AA1005" s="9"/>
    </row>
    <row r="1006" spans="1:27">
      <c r="A1006" s="9" t="s">
        <v>2054</v>
      </c>
      <c r="B1006" s="9" t="s">
        <v>190</v>
      </c>
      <c r="C1006" s="9"/>
      <c r="D1006" s="9"/>
      <c r="E1006" s="9"/>
      <c r="F1006" s="9"/>
      <c r="G1006" s="9"/>
      <c r="H1006" s="9"/>
      <c r="I1006" s="9" t="s">
        <v>885</v>
      </c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9"/>
      <c r="U1006" s="9"/>
      <c r="V1006" s="9"/>
      <c r="W1006" s="9"/>
      <c r="X1006" s="9"/>
      <c r="Y1006" s="9"/>
      <c r="Z1006" s="9"/>
      <c r="AA1006" s="9"/>
    </row>
    <row r="1007" spans="1:27">
      <c r="A1007" s="9" t="s">
        <v>2055</v>
      </c>
      <c r="B1007" s="9" t="s">
        <v>191</v>
      </c>
      <c r="C1007" s="9"/>
      <c r="D1007" s="9"/>
      <c r="E1007" s="9"/>
      <c r="F1007" s="9"/>
      <c r="G1007" s="9"/>
      <c r="H1007" s="9"/>
      <c r="I1007" s="9" t="s">
        <v>886</v>
      </c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</row>
    <row r="1008" spans="1:27">
      <c r="A1008" s="9" t="s">
        <v>2056</v>
      </c>
      <c r="B1008" s="9" t="s">
        <v>192</v>
      </c>
      <c r="C1008" s="9"/>
      <c r="D1008" s="9"/>
      <c r="E1008" s="9"/>
      <c r="F1008" s="9"/>
      <c r="G1008" s="9"/>
      <c r="H1008" s="9"/>
      <c r="I1008" s="9" t="s">
        <v>887</v>
      </c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  <c r="AA1008" s="9"/>
    </row>
    <row r="1009" spans="1:27">
      <c r="A1009" s="9" t="s">
        <v>2057</v>
      </c>
      <c r="B1009" s="9" t="s">
        <v>193</v>
      </c>
      <c r="C1009" s="9"/>
      <c r="D1009" s="9"/>
      <c r="E1009" s="9"/>
      <c r="F1009" s="9"/>
      <c r="G1009" s="9"/>
      <c r="H1009" s="9"/>
      <c r="I1009" s="9" t="s">
        <v>888</v>
      </c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9"/>
      <c r="U1009" s="9"/>
      <c r="V1009" s="9"/>
      <c r="W1009" s="9"/>
      <c r="X1009" s="9"/>
      <c r="Y1009" s="9"/>
      <c r="Z1009" s="9"/>
      <c r="AA1009" s="9"/>
    </row>
    <row r="1010" spans="1:27">
      <c r="A1010" s="9" t="s">
        <v>2058</v>
      </c>
      <c r="B1010" s="9" t="s">
        <v>242</v>
      </c>
      <c r="C1010" s="9"/>
      <c r="D1010" s="9"/>
      <c r="E1010" s="9"/>
      <c r="F1010" s="9"/>
      <c r="G1010" s="9"/>
      <c r="H1010" s="9"/>
      <c r="I1010" s="9" t="s">
        <v>889</v>
      </c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9"/>
      <c r="U1010" s="9"/>
      <c r="V1010" s="9"/>
      <c r="W1010" s="9"/>
      <c r="X1010" s="9"/>
      <c r="Y1010" s="9"/>
      <c r="Z1010" s="9"/>
      <c r="AA1010" s="9"/>
    </row>
    <row r="1011" spans="1:27">
      <c r="A1011" s="9" t="s">
        <v>2059</v>
      </c>
      <c r="B1011" s="9" t="s">
        <v>194</v>
      </c>
      <c r="C1011" s="9"/>
      <c r="D1011" s="9"/>
      <c r="E1011" s="9"/>
      <c r="F1011" s="9"/>
      <c r="G1011" s="9"/>
      <c r="H1011" s="9"/>
      <c r="I1011" s="9" t="s">
        <v>890</v>
      </c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9"/>
      <c r="U1011" s="9"/>
      <c r="V1011" s="9"/>
      <c r="W1011" s="9"/>
      <c r="X1011" s="9"/>
      <c r="Y1011" s="9"/>
      <c r="Z1011" s="9"/>
      <c r="AA1011" s="9"/>
    </row>
    <row r="1012" spans="1:27">
      <c r="A1012" s="9" t="s">
        <v>2060</v>
      </c>
      <c r="B1012" s="9" t="s">
        <v>195</v>
      </c>
      <c r="C1012" s="9"/>
      <c r="D1012" s="9"/>
      <c r="E1012" s="9"/>
      <c r="F1012" s="9"/>
      <c r="G1012" s="9"/>
      <c r="H1012" s="9"/>
      <c r="I1012" s="9" t="s">
        <v>891</v>
      </c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9"/>
      <c r="U1012" s="9"/>
      <c r="V1012" s="9"/>
      <c r="W1012" s="9"/>
      <c r="X1012" s="9"/>
      <c r="Y1012" s="9"/>
      <c r="Z1012" s="9"/>
      <c r="AA1012" s="9"/>
    </row>
    <row r="1013" spans="1:27">
      <c r="A1013" s="9" t="s">
        <v>2061</v>
      </c>
      <c r="B1013" s="9" t="s">
        <v>196</v>
      </c>
      <c r="C1013" s="9"/>
      <c r="D1013" s="9"/>
      <c r="E1013" s="9"/>
      <c r="F1013" s="9"/>
      <c r="G1013" s="9"/>
      <c r="H1013" s="9"/>
      <c r="I1013" s="9" t="s">
        <v>892</v>
      </c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9"/>
      <c r="U1013" s="9"/>
      <c r="V1013" s="9"/>
      <c r="W1013" s="9"/>
      <c r="X1013" s="9"/>
      <c r="Y1013" s="9"/>
      <c r="Z1013" s="9"/>
      <c r="AA1013" s="9"/>
    </row>
    <row r="1014" spans="1:27">
      <c r="A1014" s="9" t="s">
        <v>2062</v>
      </c>
      <c r="B1014" s="9" t="s">
        <v>197</v>
      </c>
      <c r="C1014" s="9"/>
      <c r="D1014" s="9"/>
      <c r="E1014" s="9"/>
      <c r="F1014" s="9"/>
      <c r="G1014" s="9"/>
      <c r="H1014" s="9"/>
      <c r="I1014" s="9" t="s">
        <v>893</v>
      </c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9"/>
      <c r="U1014" s="9"/>
      <c r="V1014" s="9"/>
      <c r="W1014" s="9"/>
      <c r="X1014" s="9"/>
      <c r="Y1014" s="9"/>
      <c r="Z1014" s="9"/>
      <c r="AA1014" s="9"/>
    </row>
    <row r="1015" spans="1:27">
      <c r="A1015" s="9" t="s">
        <v>2063</v>
      </c>
      <c r="B1015" s="9" t="s">
        <v>198</v>
      </c>
      <c r="C1015" s="9"/>
      <c r="D1015" s="9"/>
      <c r="E1015" s="9"/>
      <c r="F1015" s="9"/>
      <c r="G1015" s="9"/>
      <c r="H1015" s="9"/>
      <c r="I1015" s="9" t="s">
        <v>894</v>
      </c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9"/>
      <c r="U1015" s="9"/>
      <c r="V1015" s="9"/>
      <c r="W1015" s="9"/>
      <c r="X1015" s="9"/>
      <c r="Y1015" s="9"/>
      <c r="Z1015" s="9"/>
      <c r="AA1015" s="9"/>
    </row>
    <row r="1016" spans="1:27">
      <c r="A1016" s="9" t="s">
        <v>2064</v>
      </c>
      <c r="B1016" s="9" t="s">
        <v>199</v>
      </c>
      <c r="C1016" s="9"/>
      <c r="D1016" s="9"/>
      <c r="E1016" s="9"/>
      <c r="F1016" s="9"/>
      <c r="G1016" s="9"/>
      <c r="H1016" s="9"/>
      <c r="I1016" s="9" t="s">
        <v>895</v>
      </c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9"/>
      <c r="U1016" s="9"/>
      <c r="V1016" s="9"/>
      <c r="W1016" s="9"/>
      <c r="X1016" s="9"/>
      <c r="Y1016" s="9"/>
      <c r="Z1016" s="9"/>
      <c r="AA1016" s="9"/>
    </row>
    <row r="1017" spans="1:27">
      <c r="A1017" s="9" t="s">
        <v>2065</v>
      </c>
      <c r="B1017" s="9" t="s">
        <v>200</v>
      </c>
      <c r="C1017" s="9"/>
      <c r="D1017" s="9"/>
      <c r="E1017" s="9"/>
      <c r="F1017" s="9"/>
      <c r="G1017" s="9"/>
      <c r="H1017" s="9"/>
      <c r="I1017" s="9" t="s">
        <v>896</v>
      </c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9"/>
      <c r="U1017" s="9"/>
      <c r="V1017" s="9"/>
      <c r="W1017" s="9"/>
      <c r="X1017" s="9"/>
      <c r="Y1017" s="9"/>
      <c r="Z1017" s="9"/>
      <c r="AA1017" s="9"/>
    </row>
    <row r="1018" spans="1:27">
      <c r="A1018" s="9" t="s">
        <v>2066</v>
      </c>
      <c r="B1018" s="9" t="s">
        <v>2166</v>
      </c>
      <c r="C1018" s="9"/>
      <c r="D1018" s="9"/>
      <c r="E1018" s="9"/>
      <c r="F1018" s="9"/>
      <c r="G1018" s="9"/>
      <c r="H1018" s="9"/>
      <c r="I1018" s="9" t="s">
        <v>897</v>
      </c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9"/>
      <c r="U1018" s="9"/>
      <c r="V1018" s="9"/>
      <c r="W1018" s="9"/>
      <c r="X1018" s="9"/>
      <c r="Y1018" s="9"/>
      <c r="Z1018" s="9"/>
      <c r="AA1018" s="9"/>
    </row>
    <row r="1019" spans="1:27">
      <c r="A1019" s="9" t="s">
        <v>2689</v>
      </c>
      <c r="B1019" s="9" t="s">
        <v>2553</v>
      </c>
      <c r="C1019" s="9"/>
      <c r="D1019" s="9"/>
      <c r="E1019" s="9"/>
      <c r="F1019" s="9"/>
      <c r="G1019" s="9"/>
      <c r="H1019" s="9"/>
      <c r="I1019" s="9" t="s">
        <v>898</v>
      </c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9"/>
      <c r="U1019" s="9"/>
      <c r="V1019" s="9"/>
      <c r="W1019" s="9"/>
      <c r="X1019" s="9"/>
      <c r="Y1019" s="9"/>
      <c r="Z1019" s="9"/>
      <c r="AA1019" s="9"/>
    </row>
    <row r="1020" spans="1:27">
      <c r="A1020" s="9" t="s">
        <v>2067</v>
      </c>
      <c r="B1020" s="9" t="s">
        <v>2167</v>
      </c>
      <c r="C1020" s="9"/>
      <c r="D1020" s="9"/>
      <c r="E1020" s="9"/>
      <c r="F1020" s="9"/>
      <c r="G1020" s="9"/>
      <c r="H1020" s="9"/>
      <c r="I1020" s="9" t="s">
        <v>899</v>
      </c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9"/>
      <c r="U1020" s="9"/>
      <c r="V1020" s="9"/>
      <c r="W1020" s="9"/>
      <c r="X1020" s="9"/>
      <c r="Y1020" s="9"/>
      <c r="Z1020" s="9"/>
      <c r="AA1020" s="9"/>
    </row>
    <row r="1021" spans="1:27">
      <c r="A1021" s="9" t="s">
        <v>2068</v>
      </c>
      <c r="B1021" s="9" t="s">
        <v>201</v>
      </c>
      <c r="C1021" s="9"/>
      <c r="D1021" s="9"/>
      <c r="E1021" s="9"/>
      <c r="F1021" s="9"/>
      <c r="G1021" s="9"/>
      <c r="H1021" s="9"/>
      <c r="I1021" s="9" t="s">
        <v>900</v>
      </c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9"/>
      <c r="U1021" s="9"/>
      <c r="V1021" s="9"/>
      <c r="W1021" s="9"/>
      <c r="X1021" s="9"/>
      <c r="Y1021" s="9"/>
      <c r="Z1021" s="9"/>
      <c r="AA1021" s="9"/>
    </row>
    <row r="1022" spans="1:27">
      <c r="A1022" s="9" t="s">
        <v>2069</v>
      </c>
      <c r="B1022" s="9" t="s">
        <v>202</v>
      </c>
      <c r="C1022" s="9"/>
      <c r="D1022" s="9"/>
      <c r="E1022" s="9"/>
      <c r="F1022" s="9"/>
      <c r="G1022" s="9"/>
      <c r="H1022" s="9"/>
      <c r="I1022" s="9" t="s">
        <v>901</v>
      </c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9"/>
      <c r="U1022" s="9"/>
      <c r="V1022" s="9"/>
      <c r="W1022" s="9"/>
      <c r="X1022" s="9"/>
      <c r="Y1022" s="9"/>
      <c r="Z1022" s="9"/>
      <c r="AA1022" s="9"/>
    </row>
    <row r="1023" spans="1:27">
      <c r="A1023" s="9" t="s">
        <v>2070</v>
      </c>
      <c r="B1023" s="9" t="s">
        <v>203</v>
      </c>
      <c r="C1023" s="9"/>
      <c r="D1023" s="9"/>
      <c r="E1023" s="9"/>
      <c r="F1023" s="9"/>
      <c r="G1023" s="9"/>
      <c r="H1023" s="9"/>
      <c r="I1023" s="9" t="s">
        <v>902</v>
      </c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9"/>
      <c r="U1023" s="9"/>
      <c r="V1023" s="9"/>
      <c r="W1023" s="9"/>
      <c r="X1023" s="9"/>
      <c r="Y1023" s="9"/>
      <c r="Z1023" s="9"/>
      <c r="AA1023" s="9"/>
    </row>
    <row r="1024" spans="1:27">
      <c r="A1024" s="9" t="s">
        <v>2071</v>
      </c>
      <c r="B1024" s="9" t="s">
        <v>204</v>
      </c>
      <c r="C1024" s="9"/>
      <c r="D1024" s="9"/>
      <c r="E1024" s="9"/>
      <c r="F1024" s="9"/>
      <c r="G1024" s="9"/>
      <c r="H1024" s="9"/>
      <c r="I1024" s="9" t="s">
        <v>903</v>
      </c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9"/>
      <c r="U1024" s="9"/>
      <c r="V1024" s="9"/>
      <c r="W1024" s="9"/>
      <c r="X1024" s="9"/>
      <c r="Y1024" s="9"/>
      <c r="Z1024" s="9"/>
      <c r="AA1024" s="9"/>
    </row>
    <row r="1025" spans="1:27">
      <c r="A1025" s="9" t="s">
        <v>2072</v>
      </c>
      <c r="B1025" s="9" t="s">
        <v>205</v>
      </c>
      <c r="C1025" s="9"/>
      <c r="D1025" s="9"/>
      <c r="E1025" s="9"/>
      <c r="F1025" s="9"/>
      <c r="G1025" s="9"/>
      <c r="H1025" s="9"/>
      <c r="I1025" s="9" t="s">
        <v>904</v>
      </c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9"/>
      <c r="U1025" s="9"/>
      <c r="V1025" s="9"/>
      <c r="W1025" s="9"/>
      <c r="X1025" s="9"/>
      <c r="Y1025" s="9"/>
      <c r="Z1025" s="9"/>
      <c r="AA1025" s="9"/>
    </row>
    <row r="1026" spans="1:27">
      <c r="A1026" s="9" t="s">
        <v>2073</v>
      </c>
      <c r="B1026" s="9" t="s">
        <v>206</v>
      </c>
      <c r="C1026" s="9"/>
      <c r="D1026" s="9"/>
      <c r="E1026" s="9"/>
      <c r="F1026" s="9"/>
      <c r="G1026" s="9"/>
      <c r="H1026" s="9"/>
      <c r="I1026" s="9" t="s">
        <v>905</v>
      </c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9"/>
      <c r="U1026" s="9"/>
      <c r="V1026" s="9"/>
      <c r="W1026" s="9"/>
      <c r="X1026" s="9"/>
      <c r="Y1026" s="9"/>
      <c r="Z1026" s="9"/>
      <c r="AA1026" s="9"/>
    </row>
    <row r="1027" spans="1:27">
      <c r="A1027" s="9" t="s">
        <v>2074</v>
      </c>
      <c r="B1027" s="9" t="s">
        <v>207</v>
      </c>
      <c r="C1027" s="9"/>
      <c r="D1027" s="9"/>
      <c r="E1027" s="9"/>
      <c r="F1027" s="9"/>
      <c r="G1027" s="9"/>
      <c r="H1027" s="9"/>
      <c r="I1027" s="9" t="s">
        <v>906</v>
      </c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9"/>
      <c r="U1027" s="9"/>
      <c r="V1027" s="9"/>
      <c r="W1027" s="9"/>
      <c r="X1027" s="9"/>
      <c r="Y1027" s="9"/>
      <c r="Z1027" s="9"/>
      <c r="AA1027" s="9"/>
    </row>
    <row r="1028" spans="1:27">
      <c r="A1028" s="9" t="s">
        <v>2075</v>
      </c>
      <c r="B1028" s="9" t="s">
        <v>208</v>
      </c>
      <c r="C1028" s="9"/>
      <c r="D1028" s="9"/>
      <c r="E1028" s="9"/>
      <c r="F1028" s="9"/>
      <c r="G1028" s="9"/>
      <c r="H1028" s="9"/>
      <c r="I1028" s="9" t="s">
        <v>907</v>
      </c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9"/>
      <c r="U1028" s="9"/>
      <c r="V1028" s="9"/>
      <c r="W1028" s="9"/>
      <c r="X1028" s="9"/>
      <c r="Y1028" s="9"/>
      <c r="Z1028" s="9"/>
      <c r="AA1028" s="9"/>
    </row>
    <row r="1029" spans="1:27">
      <c r="A1029" s="9" t="s">
        <v>2076</v>
      </c>
      <c r="B1029" s="9" t="s">
        <v>209</v>
      </c>
      <c r="C1029" s="9"/>
      <c r="D1029" s="9"/>
      <c r="E1029" s="9"/>
      <c r="F1029" s="9"/>
      <c r="G1029" s="9"/>
      <c r="H1029" s="9"/>
      <c r="I1029" s="9" t="s">
        <v>908</v>
      </c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9"/>
      <c r="U1029" s="9"/>
      <c r="V1029" s="9"/>
      <c r="W1029" s="9"/>
      <c r="X1029" s="9"/>
      <c r="Y1029" s="9"/>
      <c r="Z1029" s="9"/>
      <c r="AA1029" s="9"/>
    </row>
    <row r="1030" spans="1:27">
      <c r="A1030" s="9" t="s">
        <v>2077</v>
      </c>
      <c r="B1030" s="9" t="s">
        <v>210</v>
      </c>
      <c r="C1030" s="9"/>
      <c r="D1030" s="9"/>
      <c r="E1030" s="9"/>
      <c r="F1030" s="9"/>
      <c r="G1030" s="9"/>
      <c r="H1030" s="9"/>
      <c r="I1030" s="9" t="s">
        <v>909</v>
      </c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9"/>
      <c r="U1030" s="9"/>
      <c r="V1030" s="9"/>
      <c r="W1030" s="9"/>
      <c r="X1030" s="9"/>
      <c r="Y1030" s="9"/>
      <c r="Z1030" s="9"/>
      <c r="AA1030" s="9"/>
    </row>
    <row r="1031" spans="1:27">
      <c r="A1031" s="9" t="s">
        <v>2078</v>
      </c>
      <c r="B1031" s="9" t="s">
        <v>211</v>
      </c>
      <c r="C1031" s="9"/>
      <c r="D1031" s="9"/>
      <c r="E1031" s="9"/>
      <c r="F1031" s="9"/>
      <c r="G1031" s="9"/>
      <c r="H1031" s="9"/>
      <c r="I1031" s="9" t="s">
        <v>910</v>
      </c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9"/>
      <c r="U1031" s="9"/>
      <c r="V1031" s="9"/>
      <c r="W1031" s="9"/>
      <c r="X1031" s="9"/>
      <c r="Y1031" s="9"/>
      <c r="Z1031" s="9"/>
      <c r="AA1031" s="9"/>
    </row>
    <row r="1032" spans="1:27">
      <c r="A1032" s="9" t="s">
        <v>2079</v>
      </c>
      <c r="B1032" s="9" t="s">
        <v>212</v>
      </c>
      <c r="C1032" s="9"/>
      <c r="D1032" s="9"/>
      <c r="E1032" s="9"/>
      <c r="F1032" s="9"/>
      <c r="G1032" s="9"/>
      <c r="H1032" s="9"/>
      <c r="I1032" s="9" t="s">
        <v>911</v>
      </c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9"/>
      <c r="U1032" s="9"/>
      <c r="V1032" s="9"/>
      <c r="W1032" s="9"/>
      <c r="X1032" s="9"/>
      <c r="Y1032" s="9"/>
      <c r="Z1032" s="9"/>
      <c r="AA1032" s="9"/>
    </row>
    <row r="1033" spans="1:27">
      <c r="A1033" s="9" t="s">
        <v>2080</v>
      </c>
      <c r="B1033" s="9" t="s">
        <v>213</v>
      </c>
      <c r="C1033" s="9"/>
      <c r="D1033" s="9"/>
      <c r="E1033" s="9"/>
      <c r="F1033" s="9"/>
      <c r="G1033" s="9"/>
      <c r="H1033" s="9"/>
      <c r="I1033" s="9" t="s">
        <v>1923</v>
      </c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9"/>
      <c r="U1033" s="9"/>
      <c r="V1033" s="9"/>
      <c r="W1033" s="9"/>
      <c r="X1033" s="9"/>
      <c r="Y1033" s="9"/>
      <c r="Z1033" s="9"/>
      <c r="AA1033" s="9"/>
    </row>
    <row r="1034" spans="1:27">
      <c r="A1034" s="9" t="s">
        <v>2081</v>
      </c>
      <c r="B1034" s="9" t="s">
        <v>214</v>
      </c>
      <c r="C1034" s="9"/>
      <c r="D1034" s="9"/>
      <c r="E1034" s="9"/>
      <c r="F1034" s="9"/>
      <c r="G1034" s="9"/>
      <c r="H1034" s="9"/>
      <c r="I1034" s="9" t="s">
        <v>912</v>
      </c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9"/>
      <c r="U1034" s="9"/>
      <c r="V1034" s="9"/>
      <c r="W1034" s="9"/>
      <c r="X1034" s="9"/>
      <c r="Y1034" s="9"/>
      <c r="Z1034" s="9"/>
      <c r="AA1034" s="9"/>
    </row>
    <row r="1035" spans="1:27">
      <c r="A1035" s="9" t="s">
        <v>2082</v>
      </c>
      <c r="B1035" s="9" t="s">
        <v>215</v>
      </c>
      <c r="C1035" s="9"/>
      <c r="D1035" s="9"/>
      <c r="E1035" s="9"/>
      <c r="F1035" s="9"/>
      <c r="G1035" s="9"/>
      <c r="H1035" s="9"/>
      <c r="I1035" s="9" t="s">
        <v>913</v>
      </c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9"/>
      <c r="U1035" s="9"/>
      <c r="V1035" s="9"/>
      <c r="W1035" s="9"/>
      <c r="X1035" s="9"/>
      <c r="Y1035" s="9"/>
      <c r="Z1035" s="9"/>
      <c r="AA1035" s="9"/>
    </row>
    <row r="1036" spans="1:27">
      <c r="A1036" s="9" t="s">
        <v>2083</v>
      </c>
      <c r="B1036" s="9" t="s">
        <v>216</v>
      </c>
      <c r="C1036" s="9"/>
      <c r="D1036" s="9"/>
      <c r="E1036" s="9"/>
      <c r="F1036" s="9"/>
      <c r="G1036" s="9"/>
      <c r="H1036" s="9"/>
      <c r="I1036" s="9" t="s">
        <v>2690</v>
      </c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9"/>
      <c r="U1036" s="9"/>
      <c r="V1036" s="9"/>
      <c r="W1036" s="9"/>
      <c r="X1036" s="9"/>
      <c r="Y1036" s="9"/>
      <c r="Z1036" s="9"/>
      <c r="AA1036" s="9"/>
    </row>
    <row r="1037" spans="1:27">
      <c r="A1037" s="9" t="s">
        <v>2084</v>
      </c>
      <c r="B1037" s="9" t="s">
        <v>217</v>
      </c>
      <c r="C1037" s="9"/>
      <c r="D1037" s="9"/>
      <c r="E1037" s="9"/>
      <c r="F1037" s="9"/>
      <c r="G1037" s="9"/>
      <c r="H1037" s="9"/>
      <c r="I1037" s="9" t="s">
        <v>914</v>
      </c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9"/>
      <c r="U1037" s="9"/>
      <c r="V1037" s="9"/>
      <c r="W1037" s="9"/>
      <c r="X1037" s="9"/>
      <c r="Y1037" s="9"/>
      <c r="Z1037" s="9"/>
      <c r="AA1037" s="9"/>
    </row>
    <row r="1038" spans="1:27">
      <c r="A1038" s="9" t="s">
        <v>2085</v>
      </c>
      <c r="B1038" s="9" t="s">
        <v>218</v>
      </c>
      <c r="C1038" s="9"/>
      <c r="D1038" s="9"/>
      <c r="E1038" s="9"/>
      <c r="F1038" s="9"/>
      <c r="G1038" s="9"/>
      <c r="H1038" s="9"/>
      <c r="I1038" s="9" t="s">
        <v>915</v>
      </c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9"/>
      <c r="U1038" s="9"/>
      <c r="V1038" s="9"/>
      <c r="W1038" s="9"/>
      <c r="X1038" s="9"/>
      <c r="Y1038" s="9"/>
      <c r="Z1038" s="9"/>
      <c r="AA1038" s="9"/>
    </row>
    <row r="1039" spans="1:27">
      <c r="A1039" s="9" t="s">
        <v>2086</v>
      </c>
      <c r="B1039" s="9" t="s">
        <v>219</v>
      </c>
      <c r="C1039" s="9"/>
      <c r="D1039" s="9"/>
      <c r="E1039" s="9"/>
      <c r="F1039" s="9"/>
      <c r="G1039" s="9"/>
      <c r="H1039" s="9"/>
      <c r="I1039" s="9" t="s">
        <v>916</v>
      </c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9"/>
      <c r="U1039" s="9"/>
      <c r="V1039" s="9"/>
      <c r="W1039" s="9"/>
      <c r="X1039" s="9"/>
      <c r="Y1039" s="9"/>
      <c r="Z1039" s="9"/>
      <c r="AA1039" s="9"/>
    </row>
    <row r="1040" spans="1:27">
      <c r="A1040" s="9" t="s">
        <v>2087</v>
      </c>
      <c r="B1040" s="9" t="s">
        <v>220</v>
      </c>
      <c r="C1040" s="9"/>
      <c r="D1040" s="9"/>
      <c r="E1040" s="9"/>
      <c r="F1040" s="9"/>
      <c r="G1040" s="9"/>
      <c r="H1040" s="9"/>
      <c r="I1040" s="9" t="s">
        <v>2691</v>
      </c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9"/>
      <c r="U1040" s="9"/>
      <c r="V1040" s="9"/>
      <c r="W1040" s="9"/>
      <c r="X1040" s="9"/>
      <c r="Y1040" s="9"/>
      <c r="Z1040" s="9"/>
      <c r="AA1040" s="9"/>
    </row>
    <row r="1041" spans="1:27">
      <c r="A1041" s="9" t="s">
        <v>2088</v>
      </c>
      <c r="B1041" s="9" t="s">
        <v>221</v>
      </c>
      <c r="C1041" s="9"/>
      <c r="D1041" s="9"/>
      <c r="E1041" s="9"/>
      <c r="F1041" s="9"/>
      <c r="G1041" s="9"/>
      <c r="H1041" s="9"/>
      <c r="I1041" s="9" t="s">
        <v>1924</v>
      </c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9"/>
      <c r="U1041" s="9"/>
      <c r="V1041" s="9"/>
      <c r="W1041" s="9"/>
      <c r="X1041" s="9"/>
      <c r="Y1041" s="9"/>
      <c r="Z1041" s="9"/>
      <c r="AA1041" s="9"/>
    </row>
    <row r="1042" spans="1:27">
      <c r="A1042" s="9" t="s">
        <v>2089</v>
      </c>
      <c r="B1042" s="9" t="s">
        <v>222</v>
      </c>
      <c r="C1042" s="9"/>
      <c r="D1042" s="9"/>
      <c r="E1042" s="9"/>
      <c r="F1042" s="9"/>
      <c r="G1042" s="9"/>
      <c r="H1042" s="9"/>
      <c r="I1042" s="9" t="s">
        <v>917</v>
      </c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9"/>
      <c r="U1042" s="9"/>
      <c r="V1042" s="9"/>
      <c r="W1042" s="9"/>
      <c r="X1042" s="9"/>
      <c r="Y1042" s="9"/>
      <c r="Z1042" s="9"/>
      <c r="AA1042" s="9"/>
    </row>
    <row r="1043" spans="1:27">
      <c r="A1043" s="9" t="s">
        <v>2090</v>
      </c>
      <c r="B1043" s="9" t="s">
        <v>223</v>
      </c>
      <c r="C1043" s="9"/>
      <c r="D1043" s="9"/>
      <c r="E1043" s="9"/>
      <c r="F1043" s="9"/>
      <c r="G1043" s="9"/>
      <c r="H1043" s="9"/>
      <c r="I1043" s="9" t="s">
        <v>918</v>
      </c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9"/>
      <c r="U1043" s="9"/>
      <c r="V1043" s="9"/>
      <c r="W1043" s="9"/>
      <c r="X1043" s="9"/>
      <c r="Y1043" s="9"/>
      <c r="Z1043" s="9"/>
      <c r="AA1043" s="9"/>
    </row>
    <row r="1044" spans="1:27">
      <c r="A1044" s="9" t="s">
        <v>2091</v>
      </c>
      <c r="B1044" s="9" t="s">
        <v>224</v>
      </c>
      <c r="C1044" s="9"/>
      <c r="D1044" s="9"/>
      <c r="E1044" s="9"/>
      <c r="F1044" s="9"/>
      <c r="G1044" s="9"/>
      <c r="H1044" s="9"/>
      <c r="I1044" s="9" t="s">
        <v>2314</v>
      </c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9"/>
    </row>
    <row r="1045" spans="1:27">
      <c r="A1045" s="9" t="s">
        <v>2092</v>
      </c>
      <c r="B1045" s="9" t="s">
        <v>225</v>
      </c>
      <c r="C1045" s="9"/>
      <c r="D1045" s="9"/>
      <c r="E1045" s="9"/>
      <c r="F1045" s="9"/>
      <c r="G1045" s="9"/>
      <c r="H1045" s="9"/>
      <c r="I1045" s="9" t="s">
        <v>2170</v>
      </c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9"/>
      <c r="U1045" s="9"/>
      <c r="V1045" s="9"/>
      <c r="W1045" s="9"/>
      <c r="X1045" s="9"/>
      <c r="Y1045" s="9"/>
      <c r="Z1045" s="9"/>
      <c r="AA1045" s="9"/>
    </row>
    <row r="1046" spans="1:27">
      <c r="A1046" s="9" t="s">
        <v>2093</v>
      </c>
      <c r="B1046" s="9" t="s">
        <v>226</v>
      </c>
      <c r="C1046" s="9"/>
      <c r="D1046" s="9"/>
      <c r="E1046" s="9"/>
      <c r="F1046" s="9"/>
      <c r="G1046" s="9"/>
      <c r="H1046" s="9"/>
      <c r="I1046" s="9" t="s">
        <v>2171</v>
      </c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9"/>
      <c r="U1046" s="9"/>
      <c r="V1046" s="9"/>
      <c r="W1046" s="9"/>
      <c r="X1046" s="9"/>
      <c r="Y1046" s="9"/>
      <c r="Z1046" s="9"/>
      <c r="AA1046" s="9"/>
    </row>
    <row r="1047" spans="1:27">
      <c r="A1047" s="9" t="s">
        <v>2094</v>
      </c>
      <c r="B1047" s="9" t="s">
        <v>227</v>
      </c>
      <c r="C1047" s="9"/>
      <c r="D1047" s="9"/>
      <c r="E1047" s="9"/>
      <c r="F1047" s="9"/>
      <c r="G1047" s="9"/>
      <c r="H1047" s="9"/>
      <c r="I1047" s="9" t="s">
        <v>2172</v>
      </c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9"/>
      <c r="U1047" s="9"/>
      <c r="V1047" s="9"/>
      <c r="W1047" s="9"/>
      <c r="X1047" s="9"/>
      <c r="Y1047" s="9"/>
      <c r="Z1047" s="9"/>
      <c r="AA1047" s="9"/>
    </row>
    <row r="1048" spans="1:27">
      <c r="A1048" s="9" t="s">
        <v>2095</v>
      </c>
      <c r="B1048" s="9" t="s">
        <v>228</v>
      </c>
      <c r="C1048" s="9"/>
      <c r="D1048" s="9"/>
      <c r="E1048" s="9"/>
      <c r="F1048" s="9"/>
      <c r="G1048" s="9"/>
      <c r="H1048" s="9"/>
      <c r="I1048" s="9" t="s">
        <v>2173</v>
      </c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9"/>
    </row>
    <row r="1049" spans="1:27">
      <c r="A1049" s="9" t="s">
        <v>2096</v>
      </c>
      <c r="B1049" s="9" t="s">
        <v>2168</v>
      </c>
      <c r="C1049" s="9"/>
      <c r="D1049" s="9"/>
      <c r="E1049" s="9"/>
      <c r="F1049" s="9"/>
      <c r="G1049" s="9"/>
      <c r="H1049" s="9"/>
      <c r="I1049" s="9" t="s">
        <v>2174</v>
      </c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9"/>
      <c r="U1049" s="9"/>
      <c r="V1049" s="9"/>
      <c r="W1049" s="9"/>
      <c r="X1049" s="9"/>
      <c r="Y1049" s="9"/>
      <c r="Z1049" s="9"/>
      <c r="AA1049" s="9"/>
    </row>
    <row r="1050" spans="1:27">
      <c r="A1050" s="9" t="s">
        <v>2097</v>
      </c>
      <c r="B1050" s="9" t="s">
        <v>229</v>
      </c>
      <c r="C1050" s="9"/>
      <c r="D1050" s="9"/>
      <c r="E1050" s="9"/>
      <c r="F1050" s="9"/>
      <c r="G1050" s="9"/>
      <c r="H1050" s="9"/>
      <c r="I1050" s="9" t="s">
        <v>2175</v>
      </c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9"/>
      <c r="U1050" s="9"/>
      <c r="V1050" s="9"/>
      <c r="W1050" s="9"/>
      <c r="X1050" s="9"/>
      <c r="Y1050" s="9"/>
      <c r="Z1050" s="9"/>
      <c r="AA1050" s="9"/>
    </row>
    <row r="1051" spans="1:27">
      <c r="A1051" s="9" t="s">
        <v>2098</v>
      </c>
      <c r="B1051" s="9" t="s">
        <v>230</v>
      </c>
      <c r="C1051" s="9"/>
      <c r="D1051" s="9"/>
      <c r="E1051" s="9"/>
      <c r="F1051" s="9"/>
      <c r="G1051" s="9"/>
      <c r="H1051" s="9"/>
      <c r="I1051" s="9" t="s">
        <v>2176</v>
      </c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9"/>
      <c r="U1051" s="9"/>
      <c r="V1051" s="9"/>
      <c r="W1051" s="9"/>
      <c r="X1051" s="9"/>
      <c r="Y1051" s="9"/>
      <c r="Z1051" s="9"/>
      <c r="AA1051" s="9"/>
    </row>
    <row r="1052" spans="1:27">
      <c r="A1052" s="9" t="s">
        <v>2692</v>
      </c>
      <c r="B1052" s="9" t="s">
        <v>2551</v>
      </c>
      <c r="C1052" s="9"/>
      <c r="D1052" s="9"/>
      <c r="E1052" s="9"/>
      <c r="F1052" s="9"/>
      <c r="G1052" s="9"/>
      <c r="H1052" s="9"/>
      <c r="I1052" s="9" t="s">
        <v>2270</v>
      </c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9"/>
    </row>
    <row r="1053" spans="1:27">
      <c r="A1053" s="9" t="s">
        <v>2099</v>
      </c>
      <c r="B1053" s="9" t="s">
        <v>237</v>
      </c>
      <c r="C1053" s="9"/>
      <c r="D1053" s="9"/>
      <c r="E1053" s="9"/>
      <c r="F1053" s="9"/>
      <c r="G1053" s="9"/>
      <c r="H1053" s="9"/>
      <c r="I1053" s="9" t="s">
        <v>2177</v>
      </c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9"/>
      <c r="U1053" s="9"/>
      <c r="V1053" s="9"/>
      <c r="W1053" s="9"/>
      <c r="X1053" s="9"/>
      <c r="Y1053" s="9"/>
      <c r="Z1053" s="9"/>
      <c r="AA1053" s="9"/>
    </row>
    <row r="1054" spans="1:27">
      <c r="A1054" s="9" t="s">
        <v>2100</v>
      </c>
      <c r="B1054" s="9" t="s">
        <v>238</v>
      </c>
      <c r="C1054" s="9"/>
      <c r="D1054" s="9"/>
      <c r="E1054" s="9"/>
      <c r="F1054" s="9"/>
      <c r="G1054" s="9"/>
      <c r="H1054" s="9"/>
      <c r="I1054" s="9" t="s">
        <v>2178</v>
      </c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9"/>
      <c r="U1054" s="9"/>
      <c r="V1054" s="9"/>
      <c r="W1054" s="9"/>
      <c r="X1054" s="9"/>
      <c r="Y1054" s="9"/>
      <c r="Z1054" s="9"/>
      <c r="AA1054" s="9"/>
    </row>
    <row r="1055" spans="1:27">
      <c r="A1055" s="9" t="s">
        <v>2101</v>
      </c>
      <c r="B1055" s="9" t="s">
        <v>231</v>
      </c>
      <c r="C1055" s="9"/>
      <c r="D1055" s="9"/>
      <c r="E1055" s="9"/>
      <c r="F1055" s="9"/>
      <c r="G1055" s="9"/>
      <c r="H1055" s="9"/>
      <c r="I1055" s="9" t="s">
        <v>2179</v>
      </c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9"/>
      <c r="U1055" s="9"/>
      <c r="V1055" s="9"/>
      <c r="W1055" s="9"/>
      <c r="X1055" s="9"/>
      <c r="Y1055" s="9"/>
      <c r="Z1055" s="9"/>
      <c r="AA1055" s="9"/>
    </row>
    <row r="1056" spans="1:27">
      <c r="A1056" s="9" t="s">
        <v>2693</v>
      </c>
      <c r="B1056" s="9" t="s">
        <v>2552</v>
      </c>
      <c r="C1056" s="9"/>
      <c r="D1056" s="9"/>
      <c r="E1056" s="9"/>
      <c r="F1056" s="9"/>
      <c r="G1056" s="9"/>
      <c r="H1056" s="9"/>
      <c r="I1056" s="9" t="s">
        <v>2180</v>
      </c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9"/>
    </row>
    <row r="1057" spans="1:27">
      <c r="A1057" s="9" t="s">
        <v>2102</v>
      </c>
      <c r="B1057" s="9" t="s">
        <v>2169</v>
      </c>
      <c r="C1057" s="9"/>
      <c r="D1057" s="9"/>
      <c r="E1057" s="9"/>
      <c r="F1057" s="9"/>
      <c r="G1057" s="9"/>
      <c r="H1057" s="9"/>
      <c r="I1057" s="9" t="s">
        <v>2181</v>
      </c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9"/>
      <c r="U1057" s="9"/>
      <c r="V1057" s="9"/>
      <c r="W1057" s="9"/>
      <c r="X1057" s="9"/>
      <c r="Y1057" s="9"/>
      <c r="Z1057" s="9"/>
      <c r="AA1057" s="9"/>
    </row>
    <row r="1058" spans="1:27">
      <c r="A1058" s="9" t="s">
        <v>2103</v>
      </c>
      <c r="B1058" s="9" t="s">
        <v>232</v>
      </c>
      <c r="C1058" s="9"/>
      <c r="D1058" s="9"/>
      <c r="E1058" s="9"/>
      <c r="F1058" s="9"/>
      <c r="G1058" s="9"/>
      <c r="H1058" s="9"/>
      <c r="I1058" s="9" t="s">
        <v>2182</v>
      </c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9"/>
      <c r="U1058" s="9"/>
      <c r="V1058" s="9"/>
      <c r="W1058" s="9"/>
      <c r="X1058" s="9"/>
      <c r="Y1058" s="9"/>
      <c r="Z1058" s="9"/>
      <c r="AA1058" s="9"/>
    </row>
    <row r="1059" spans="1:27">
      <c r="A1059" s="9" t="s">
        <v>2104</v>
      </c>
      <c r="B1059" s="9" t="s">
        <v>2271</v>
      </c>
      <c r="C1059" s="9"/>
      <c r="D1059" s="9"/>
      <c r="E1059" s="9"/>
      <c r="F1059" s="9"/>
      <c r="G1059" s="9"/>
      <c r="H1059" s="9"/>
      <c r="I1059" s="9" t="s">
        <v>2183</v>
      </c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9"/>
      <c r="U1059" s="9"/>
      <c r="V1059" s="9"/>
      <c r="W1059" s="9"/>
      <c r="X1059" s="9"/>
      <c r="Y1059" s="9"/>
      <c r="Z1059" s="9"/>
      <c r="AA1059" s="9"/>
    </row>
    <row r="1060" spans="1:27">
      <c r="A1060" s="9" t="s">
        <v>2319</v>
      </c>
      <c r="B1060" s="9" t="s">
        <v>243</v>
      </c>
      <c r="C1060" s="9"/>
      <c r="D1060" s="9"/>
      <c r="E1060" s="9"/>
      <c r="F1060" s="9"/>
      <c r="G1060" s="9"/>
      <c r="H1060" s="9"/>
      <c r="I1060" s="9" t="s">
        <v>2184</v>
      </c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9"/>
    </row>
    <row r="1061" spans="1:27">
      <c r="A1061" s="9" t="s">
        <v>1985</v>
      </c>
      <c r="B1061" s="9" t="s">
        <v>181</v>
      </c>
      <c r="C1061" s="9"/>
      <c r="D1061" s="9"/>
      <c r="E1061" s="9"/>
      <c r="F1061" s="9"/>
      <c r="G1061" s="9"/>
      <c r="H1061" s="9"/>
      <c r="I1061" s="9" t="s">
        <v>2185</v>
      </c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9"/>
      <c r="U1061" s="9"/>
      <c r="V1061" s="9"/>
      <c r="W1061" s="9"/>
      <c r="X1061" s="9"/>
      <c r="Y1061" s="9"/>
      <c r="Z1061" s="9"/>
      <c r="AA1061" s="9"/>
    </row>
    <row r="1062" spans="1:27">
      <c r="A1062" s="9" t="s">
        <v>1986</v>
      </c>
      <c r="B1062" s="9" t="s">
        <v>182</v>
      </c>
      <c r="C1062" s="9"/>
      <c r="D1062" s="9"/>
      <c r="E1062" s="9"/>
      <c r="F1062" s="9"/>
      <c r="G1062" s="9"/>
      <c r="H1062" s="9"/>
      <c r="I1062" s="9" t="s">
        <v>2186</v>
      </c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9"/>
      <c r="U1062" s="9"/>
      <c r="V1062" s="9"/>
      <c r="W1062" s="9"/>
      <c r="X1062" s="9"/>
      <c r="Y1062" s="9"/>
      <c r="Z1062" s="9"/>
      <c r="AA1062" s="9"/>
    </row>
    <row r="1063" spans="1:27">
      <c r="A1063" s="9" t="s">
        <v>1987</v>
      </c>
      <c r="B1063" s="9" t="s">
        <v>183</v>
      </c>
      <c r="C1063" s="9"/>
      <c r="D1063" s="9"/>
      <c r="E1063" s="9"/>
      <c r="F1063" s="9"/>
      <c r="G1063" s="9"/>
      <c r="H1063" s="9"/>
      <c r="I1063" s="9" t="s">
        <v>2187</v>
      </c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9"/>
      <c r="U1063" s="9"/>
      <c r="V1063" s="9"/>
      <c r="W1063" s="9"/>
      <c r="X1063" s="9"/>
      <c r="Y1063" s="9"/>
      <c r="Z1063" s="9"/>
      <c r="AA1063" s="9"/>
    </row>
    <row r="1064" spans="1:27">
      <c r="A1064" s="9" t="s">
        <v>1988</v>
      </c>
      <c r="B1064" s="9" t="s">
        <v>184</v>
      </c>
      <c r="C1064" s="9"/>
      <c r="D1064" s="9"/>
      <c r="E1064" s="9"/>
      <c r="F1064" s="9"/>
      <c r="G1064" s="9"/>
      <c r="H1064" s="9"/>
      <c r="I1064" s="9" t="s">
        <v>2188</v>
      </c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9"/>
    </row>
    <row r="1065" spans="1:27">
      <c r="A1065" s="9" t="s">
        <v>1989</v>
      </c>
      <c r="B1065" s="9" t="s">
        <v>185</v>
      </c>
      <c r="C1065" s="9"/>
      <c r="D1065" s="9"/>
      <c r="E1065" s="9"/>
      <c r="F1065" s="9"/>
      <c r="G1065" s="9"/>
      <c r="H1065" s="9"/>
      <c r="I1065" s="9" t="s">
        <v>2189</v>
      </c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9"/>
      <c r="U1065" s="9"/>
      <c r="V1065" s="9"/>
      <c r="W1065" s="9"/>
      <c r="X1065" s="9"/>
      <c r="Y1065" s="9"/>
      <c r="Z1065" s="9"/>
      <c r="AA1065" s="9"/>
    </row>
    <row r="1066" spans="1:27">
      <c r="A1066" s="9" t="s">
        <v>1990</v>
      </c>
      <c r="B1066" s="9" t="s">
        <v>186</v>
      </c>
      <c r="C1066" s="9"/>
      <c r="D1066" s="9"/>
      <c r="E1066" s="9"/>
      <c r="F1066" s="9"/>
      <c r="G1066" s="9"/>
      <c r="H1066" s="9"/>
      <c r="I1066" s="9" t="s">
        <v>2190</v>
      </c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9"/>
      <c r="U1066" s="9"/>
      <c r="V1066" s="9"/>
      <c r="W1066" s="9"/>
      <c r="X1066" s="9"/>
      <c r="Y1066" s="9"/>
      <c r="Z1066" s="9"/>
      <c r="AA1066" s="9"/>
    </row>
    <row r="1067" spans="1:27">
      <c r="A1067" s="9" t="s">
        <v>1991</v>
      </c>
      <c r="B1067" s="9" t="s">
        <v>187</v>
      </c>
      <c r="C1067" s="9"/>
      <c r="D1067" s="9"/>
      <c r="E1067" s="9"/>
      <c r="F1067" s="9"/>
      <c r="G1067" s="9"/>
      <c r="H1067" s="9"/>
      <c r="I1067" s="9" t="s">
        <v>2191</v>
      </c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9"/>
      <c r="U1067" s="9"/>
      <c r="V1067" s="9"/>
      <c r="W1067" s="9"/>
      <c r="X1067" s="9"/>
      <c r="Y1067" s="9"/>
      <c r="Z1067" s="9"/>
      <c r="AA1067" s="9"/>
    </row>
    <row r="1068" spans="1:27">
      <c r="A1068" s="9" t="s">
        <v>2247</v>
      </c>
      <c r="B1068" s="9" t="s">
        <v>2233</v>
      </c>
      <c r="C1068" s="9"/>
      <c r="D1068" s="9"/>
      <c r="E1068" s="9"/>
      <c r="F1068" s="9"/>
      <c r="G1068" s="9"/>
      <c r="H1068" s="9"/>
      <c r="I1068" s="9" t="s">
        <v>2694</v>
      </c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9"/>
    </row>
    <row r="1069" spans="1:27">
      <c r="A1069" s="9" t="s">
        <v>1992</v>
      </c>
      <c r="B1069" s="9" t="s">
        <v>188</v>
      </c>
      <c r="C1069" s="9"/>
      <c r="D1069" s="9"/>
      <c r="E1069" s="9"/>
      <c r="F1069" s="9"/>
      <c r="G1069" s="9"/>
      <c r="H1069" s="9"/>
      <c r="I1069" s="9" t="s">
        <v>2192</v>
      </c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9"/>
      <c r="U1069" s="9"/>
      <c r="V1069" s="9"/>
      <c r="W1069" s="9"/>
      <c r="X1069" s="9"/>
      <c r="Y1069" s="9"/>
      <c r="Z1069" s="9"/>
      <c r="AA1069" s="9"/>
    </row>
    <row r="1070" spans="1:27">
      <c r="A1070" s="9" t="s">
        <v>1993</v>
      </c>
      <c r="B1070" s="9" t="s">
        <v>189</v>
      </c>
      <c r="C1070" s="9"/>
      <c r="D1070" s="9"/>
      <c r="E1070" s="9"/>
      <c r="F1070" s="9"/>
      <c r="G1070" s="9"/>
      <c r="H1070" s="9"/>
      <c r="I1070" s="9" t="s">
        <v>2193</v>
      </c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9"/>
      <c r="U1070" s="9"/>
      <c r="V1070" s="9"/>
      <c r="W1070" s="9"/>
      <c r="X1070" s="9"/>
      <c r="Y1070" s="9"/>
      <c r="Z1070" s="9"/>
      <c r="AA1070" s="9"/>
    </row>
    <row r="1071" spans="1:27">
      <c r="A1071" s="9" t="s">
        <v>1994</v>
      </c>
      <c r="B1071" s="9" t="s">
        <v>190</v>
      </c>
      <c r="C1071" s="9"/>
      <c r="D1071" s="9"/>
      <c r="E1071" s="9"/>
      <c r="F1071" s="9"/>
      <c r="G1071" s="9"/>
      <c r="H1071" s="9"/>
      <c r="I1071" s="9" t="s">
        <v>2194</v>
      </c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9"/>
      <c r="U1071" s="9"/>
      <c r="V1071" s="9"/>
      <c r="W1071" s="9"/>
      <c r="X1071" s="9"/>
      <c r="Y1071" s="9"/>
      <c r="Z1071" s="9"/>
      <c r="AA1071" s="9"/>
    </row>
    <row r="1072" spans="1:27">
      <c r="A1072" s="9" t="s">
        <v>1995</v>
      </c>
      <c r="B1072" s="9" t="s">
        <v>191</v>
      </c>
      <c r="C1072" s="9"/>
      <c r="D1072" s="9"/>
      <c r="E1072" s="9"/>
      <c r="F1072" s="9"/>
      <c r="G1072" s="9"/>
      <c r="H1072" s="9"/>
      <c r="I1072" s="9" t="s">
        <v>2195</v>
      </c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9"/>
    </row>
    <row r="1073" spans="1:27">
      <c r="A1073" s="9" t="s">
        <v>1996</v>
      </c>
      <c r="B1073" s="9" t="s">
        <v>192</v>
      </c>
      <c r="C1073" s="9"/>
      <c r="D1073" s="9"/>
      <c r="E1073" s="9"/>
      <c r="F1073" s="9"/>
      <c r="G1073" s="9"/>
      <c r="H1073" s="9"/>
      <c r="I1073" s="9" t="s">
        <v>2196</v>
      </c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9"/>
      <c r="U1073" s="9"/>
      <c r="V1073" s="9"/>
      <c r="W1073" s="9"/>
      <c r="X1073" s="9"/>
      <c r="Y1073" s="9"/>
      <c r="Z1073" s="9"/>
      <c r="AA1073" s="9"/>
    </row>
    <row r="1074" spans="1:27">
      <c r="A1074" s="9" t="s">
        <v>1997</v>
      </c>
      <c r="B1074" s="9" t="s">
        <v>193</v>
      </c>
      <c r="C1074" s="9"/>
      <c r="D1074" s="9"/>
      <c r="E1074" s="9"/>
      <c r="F1074" s="9"/>
      <c r="G1074" s="9"/>
      <c r="H1074" s="9"/>
      <c r="I1074" s="9" t="s">
        <v>2197</v>
      </c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9"/>
      <c r="U1074" s="9"/>
      <c r="V1074" s="9"/>
      <c r="W1074" s="9"/>
      <c r="X1074" s="9"/>
      <c r="Y1074" s="9"/>
      <c r="Z1074" s="9"/>
      <c r="AA1074" s="9"/>
    </row>
    <row r="1075" spans="1:27">
      <c r="A1075" s="9" t="s">
        <v>1998</v>
      </c>
      <c r="B1075" s="9" t="s">
        <v>242</v>
      </c>
      <c r="C1075" s="9"/>
      <c r="D1075" s="9"/>
      <c r="E1075" s="9"/>
      <c r="F1075" s="9"/>
      <c r="G1075" s="9"/>
      <c r="H1075" s="9"/>
      <c r="I1075" s="9" t="s">
        <v>2198</v>
      </c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9"/>
    </row>
    <row r="1076" spans="1:27">
      <c r="A1076" s="9" t="s">
        <v>1999</v>
      </c>
      <c r="B1076" s="9" t="s">
        <v>194</v>
      </c>
      <c r="C1076" s="9"/>
      <c r="D1076" s="9"/>
      <c r="E1076" s="9"/>
      <c r="F1076" s="9"/>
      <c r="G1076" s="9"/>
      <c r="H1076" s="9"/>
      <c r="I1076" s="9" t="s">
        <v>2199</v>
      </c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9"/>
    </row>
    <row r="1077" spans="1:27">
      <c r="A1077" s="9" t="s">
        <v>2000</v>
      </c>
      <c r="B1077" s="9" t="s">
        <v>195</v>
      </c>
      <c r="C1077" s="9"/>
      <c r="D1077" s="9"/>
      <c r="E1077" s="9"/>
      <c r="F1077" s="9"/>
      <c r="G1077" s="9"/>
      <c r="H1077" s="9"/>
      <c r="I1077" s="9" t="s">
        <v>2200</v>
      </c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9"/>
      <c r="U1077" s="9"/>
      <c r="V1077" s="9"/>
      <c r="W1077" s="9"/>
      <c r="X1077" s="9"/>
      <c r="Y1077" s="9"/>
      <c r="Z1077" s="9"/>
      <c r="AA1077" s="9"/>
    </row>
    <row r="1078" spans="1:27">
      <c r="A1078" s="9" t="s">
        <v>2001</v>
      </c>
      <c r="B1078" s="9" t="s">
        <v>196</v>
      </c>
      <c r="C1078" s="9"/>
      <c r="D1078" s="9"/>
      <c r="E1078" s="9"/>
      <c r="F1078" s="9"/>
      <c r="G1078" s="9"/>
      <c r="H1078" s="9"/>
      <c r="I1078" s="9" t="s">
        <v>2201</v>
      </c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9"/>
      <c r="U1078" s="9"/>
      <c r="V1078" s="9"/>
      <c r="W1078" s="9"/>
      <c r="X1078" s="9"/>
      <c r="Y1078" s="9"/>
      <c r="Z1078" s="9"/>
      <c r="AA1078" s="9"/>
    </row>
    <row r="1079" spans="1:27">
      <c r="A1079" s="9" t="s">
        <v>2002</v>
      </c>
      <c r="B1079" s="9" t="s">
        <v>197</v>
      </c>
      <c r="C1079" s="9"/>
      <c r="D1079" s="9"/>
      <c r="E1079" s="9"/>
      <c r="F1079" s="9"/>
      <c r="G1079" s="9"/>
      <c r="H1079" s="9"/>
      <c r="I1079" s="9" t="s">
        <v>2202</v>
      </c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9"/>
      <c r="U1079" s="9"/>
      <c r="V1079" s="9"/>
      <c r="W1079" s="9"/>
      <c r="X1079" s="9"/>
      <c r="Y1079" s="9"/>
      <c r="Z1079" s="9"/>
      <c r="AA1079" s="9"/>
    </row>
    <row r="1080" spans="1:27">
      <c r="A1080" s="9" t="s">
        <v>2003</v>
      </c>
      <c r="B1080" s="9" t="s">
        <v>198</v>
      </c>
      <c r="C1080" s="9"/>
      <c r="D1080" s="9"/>
      <c r="E1080" s="9"/>
      <c r="F1080" s="9"/>
      <c r="G1080" s="9"/>
      <c r="H1080" s="9"/>
      <c r="I1080" s="9" t="s">
        <v>2203</v>
      </c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9"/>
    </row>
    <row r="1081" spans="1:27">
      <c r="A1081" s="9" t="s">
        <v>2004</v>
      </c>
      <c r="B1081" s="9" t="s">
        <v>199</v>
      </c>
      <c r="C1081" s="9"/>
      <c r="D1081" s="9"/>
      <c r="E1081" s="9"/>
      <c r="F1081" s="9"/>
      <c r="G1081" s="9"/>
      <c r="H1081" s="9"/>
      <c r="I1081" s="9" t="s">
        <v>2204</v>
      </c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9"/>
      <c r="U1081" s="9"/>
      <c r="V1081" s="9"/>
      <c r="W1081" s="9"/>
      <c r="X1081" s="9"/>
      <c r="Y1081" s="9"/>
      <c r="Z1081" s="9"/>
      <c r="AA1081" s="9"/>
    </row>
    <row r="1082" spans="1:27">
      <c r="A1082" s="9" t="s">
        <v>2005</v>
      </c>
      <c r="B1082" s="9" t="s">
        <v>200</v>
      </c>
      <c r="C1082" s="9"/>
      <c r="D1082" s="9"/>
      <c r="E1082" s="9"/>
      <c r="F1082" s="9"/>
      <c r="G1082" s="9"/>
      <c r="H1082" s="9"/>
      <c r="I1082" s="9" t="s">
        <v>2205</v>
      </c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9"/>
      <c r="U1082" s="9"/>
      <c r="V1082" s="9"/>
      <c r="W1082" s="9"/>
      <c r="X1082" s="9"/>
      <c r="Y1082" s="9"/>
      <c r="Z1082" s="9"/>
      <c r="AA1082" s="9"/>
    </row>
    <row r="1083" spans="1:27">
      <c r="A1083" s="9" t="s">
        <v>2006</v>
      </c>
      <c r="B1083" s="9" t="s">
        <v>2166</v>
      </c>
      <c r="C1083" s="9"/>
      <c r="D1083" s="9"/>
      <c r="E1083" s="9"/>
      <c r="F1083" s="9"/>
      <c r="G1083" s="9"/>
      <c r="H1083" s="9"/>
      <c r="I1083" s="9" t="s">
        <v>2206</v>
      </c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9"/>
      <c r="U1083" s="9"/>
      <c r="V1083" s="9"/>
      <c r="W1083" s="9"/>
      <c r="X1083" s="9"/>
      <c r="Y1083" s="9"/>
      <c r="Z1083" s="9"/>
      <c r="AA1083" s="9"/>
    </row>
    <row r="1084" spans="1:27">
      <c r="A1084" s="9" t="s">
        <v>2695</v>
      </c>
      <c r="B1084" s="9" t="s">
        <v>2553</v>
      </c>
      <c r="C1084" s="9"/>
      <c r="D1084" s="9"/>
      <c r="E1084" s="9"/>
      <c r="F1084" s="9"/>
      <c r="G1084" s="9"/>
      <c r="H1084" s="9"/>
      <c r="I1084" s="9" t="s">
        <v>2207</v>
      </c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9"/>
    </row>
    <row r="1085" spans="1:27">
      <c r="A1085" s="9" t="s">
        <v>2007</v>
      </c>
      <c r="B1085" s="9" t="s">
        <v>2167</v>
      </c>
      <c r="C1085" s="9"/>
      <c r="D1085" s="9"/>
      <c r="E1085" s="9"/>
      <c r="F1085" s="9"/>
      <c r="G1085" s="9"/>
      <c r="H1085" s="9"/>
      <c r="I1085" s="9" t="s">
        <v>2208</v>
      </c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9"/>
      <c r="U1085" s="9"/>
      <c r="V1085" s="9"/>
      <c r="W1085" s="9"/>
      <c r="X1085" s="9"/>
      <c r="Y1085" s="9"/>
      <c r="Z1085" s="9"/>
      <c r="AA1085" s="9"/>
    </row>
    <row r="1086" spans="1:27">
      <c r="A1086" s="9" t="s">
        <v>2008</v>
      </c>
      <c r="B1086" s="9" t="s">
        <v>201</v>
      </c>
      <c r="C1086" s="9"/>
      <c r="D1086" s="9"/>
      <c r="E1086" s="9"/>
      <c r="F1086" s="9"/>
      <c r="G1086" s="9"/>
      <c r="H1086" s="9"/>
      <c r="I1086" s="9" t="s">
        <v>2209</v>
      </c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9"/>
      <c r="U1086" s="9"/>
      <c r="V1086" s="9"/>
      <c r="W1086" s="9"/>
      <c r="X1086" s="9"/>
      <c r="Y1086" s="9"/>
      <c r="Z1086" s="9"/>
      <c r="AA1086" s="9"/>
    </row>
    <row r="1087" spans="1:27">
      <c r="A1087" s="9" t="s">
        <v>2009</v>
      </c>
      <c r="B1087" s="9" t="s">
        <v>202</v>
      </c>
      <c r="C1087" s="9"/>
      <c r="D1087" s="9"/>
      <c r="E1087" s="9"/>
      <c r="F1087" s="9"/>
      <c r="G1087" s="9"/>
      <c r="H1087" s="9"/>
      <c r="I1087" s="9" t="s">
        <v>2210</v>
      </c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9"/>
      <c r="U1087" s="9"/>
      <c r="V1087" s="9"/>
      <c r="W1087" s="9"/>
      <c r="X1087" s="9"/>
      <c r="Y1087" s="9"/>
      <c r="Z1087" s="9"/>
      <c r="AA1087" s="9"/>
    </row>
    <row r="1088" spans="1:27">
      <c r="A1088" s="9" t="s">
        <v>2010</v>
      </c>
      <c r="B1088" s="9" t="s">
        <v>203</v>
      </c>
      <c r="C1088" s="9"/>
      <c r="D1088" s="9"/>
      <c r="E1088" s="9"/>
      <c r="F1088" s="9"/>
      <c r="G1088" s="9"/>
      <c r="H1088" s="9"/>
      <c r="I1088" s="9" t="s">
        <v>2211</v>
      </c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9"/>
    </row>
    <row r="1089" spans="1:27">
      <c r="A1089" s="9" t="s">
        <v>2011</v>
      </c>
      <c r="B1089" s="9" t="s">
        <v>204</v>
      </c>
      <c r="C1089" s="9"/>
      <c r="D1089" s="9"/>
      <c r="E1089" s="9"/>
      <c r="F1089" s="9"/>
      <c r="G1089" s="9"/>
      <c r="H1089" s="9"/>
      <c r="I1089" s="9" t="s">
        <v>2212</v>
      </c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9"/>
      <c r="U1089" s="9"/>
      <c r="V1089" s="9"/>
      <c r="W1089" s="9"/>
      <c r="X1089" s="9"/>
      <c r="Y1089" s="9"/>
      <c r="Z1089" s="9"/>
      <c r="AA1089" s="9"/>
    </row>
    <row r="1090" spans="1:27">
      <c r="A1090" s="9" t="s">
        <v>2012</v>
      </c>
      <c r="B1090" s="9" t="s">
        <v>205</v>
      </c>
      <c r="C1090" s="9"/>
      <c r="D1090" s="9"/>
      <c r="E1090" s="9"/>
      <c r="F1090" s="9"/>
      <c r="G1090" s="9"/>
      <c r="H1090" s="9"/>
      <c r="I1090" s="9" t="s">
        <v>2213</v>
      </c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9"/>
      <c r="U1090" s="9"/>
      <c r="V1090" s="9"/>
      <c r="W1090" s="9"/>
      <c r="X1090" s="9"/>
      <c r="Y1090" s="9"/>
      <c r="Z1090" s="9"/>
      <c r="AA1090" s="9"/>
    </row>
    <row r="1091" spans="1:27">
      <c r="A1091" s="9" t="s">
        <v>2013</v>
      </c>
      <c r="B1091" s="9" t="s">
        <v>206</v>
      </c>
      <c r="C1091" s="9"/>
      <c r="D1091" s="9"/>
      <c r="E1091" s="9"/>
      <c r="F1091" s="9"/>
      <c r="G1091" s="9"/>
      <c r="H1091" s="9"/>
      <c r="I1091" s="9" t="s">
        <v>2214</v>
      </c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9"/>
      <c r="U1091" s="9"/>
      <c r="V1091" s="9"/>
      <c r="W1091" s="9"/>
      <c r="X1091" s="9"/>
      <c r="Y1091" s="9"/>
      <c r="Z1091" s="9"/>
      <c r="AA1091" s="9"/>
    </row>
    <row r="1092" spans="1:27">
      <c r="A1092" s="9" t="s">
        <v>2014</v>
      </c>
      <c r="B1092" s="9" t="s">
        <v>207</v>
      </c>
      <c r="C1092" s="9"/>
      <c r="D1092" s="9"/>
      <c r="E1092" s="9"/>
      <c r="F1092" s="9"/>
      <c r="G1092" s="9"/>
      <c r="H1092" s="9"/>
      <c r="I1092" s="9" t="s">
        <v>2215</v>
      </c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9"/>
    </row>
    <row r="1093" spans="1:27">
      <c r="A1093" s="9" t="s">
        <v>2015</v>
      </c>
      <c r="B1093" s="9" t="s">
        <v>208</v>
      </c>
      <c r="C1093" s="9"/>
      <c r="D1093" s="9"/>
      <c r="E1093" s="9"/>
      <c r="F1093" s="9"/>
      <c r="G1093" s="9"/>
      <c r="H1093" s="9"/>
      <c r="I1093" s="9" t="s">
        <v>2216</v>
      </c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9"/>
      <c r="U1093" s="9"/>
      <c r="V1093" s="9"/>
      <c r="W1093" s="9"/>
      <c r="X1093" s="9"/>
      <c r="Y1093" s="9"/>
      <c r="Z1093" s="9"/>
      <c r="AA1093" s="9"/>
    </row>
    <row r="1094" spans="1:27">
      <c r="A1094" s="9" t="s">
        <v>2016</v>
      </c>
      <c r="B1094" s="9" t="s">
        <v>209</v>
      </c>
      <c r="C1094" s="9"/>
      <c r="D1094" s="9"/>
      <c r="E1094" s="9"/>
      <c r="F1094" s="9"/>
      <c r="G1094" s="9"/>
      <c r="H1094" s="9"/>
      <c r="I1094" s="9" t="s">
        <v>2217</v>
      </c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9"/>
      <c r="U1094" s="9"/>
      <c r="V1094" s="9"/>
      <c r="W1094" s="9"/>
      <c r="X1094" s="9"/>
      <c r="Y1094" s="9"/>
      <c r="Z1094" s="9"/>
      <c r="AA1094" s="9"/>
    </row>
    <row r="1095" spans="1:27">
      <c r="A1095" s="9" t="s">
        <v>2017</v>
      </c>
      <c r="B1095" s="9" t="s">
        <v>210</v>
      </c>
      <c r="C1095" s="9"/>
      <c r="D1095" s="9"/>
      <c r="E1095" s="9"/>
      <c r="F1095" s="9"/>
      <c r="G1095" s="9"/>
      <c r="H1095" s="9"/>
      <c r="I1095" s="9" t="s">
        <v>2218</v>
      </c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9"/>
      <c r="U1095" s="9"/>
      <c r="V1095" s="9"/>
      <c r="W1095" s="9"/>
      <c r="X1095" s="9"/>
      <c r="Y1095" s="9"/>
      <c r="Z1095" s="9"/>
      <c r="AA1095" s="9"/>
    </row>
    <row r="1096" spans="1:27">
      <c r="A1096" s="9" t="s">
        <v>2018</v>
      </c>
      <c r="B1096" s="9" t="s">
        <v>211</v>
      </c>
      <c r="C1096" s="9"/>
      <c r="D1096" s="9"/>
      <c r="E1096" s="9"/>
      <c r="F1096" s="9"/>
      <c r="G1096" s="9"/>
      <c r="H1096" s="9"/>
      <c r="I1096" s="9" t="s">
        <v>2219</v>
      </c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9"/>
    </row>
    <row r="1097" spans="1:27">
      <c r="A1097" s="9" t="s">
        <v>2019</v>
      </c>
      <c r="B1097" s="9" t="s">
        <v>212</v>
      </c>
      <c r="C1097" s="9"/>
      <c r="D1097" s="9"/>
      <c r="E1097" s="9"/>
      <c r="F1097" s="9"/>
      <c r="G1097" s="9"/>
      <c r="H1097" s="9"/>
      <c r="I1097" s="9" t="s">
        <v>2220</v>
      </c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9"/>
      <c r="U1097" s="9"/>
      <c r="V1097" s="9"/>
      <c r="W1097" s="9"/>
      <c r="X1097" s="9"/>
      <c r="Y1097" s="9"/>
      <c r="Z1097" s="9"/>
      <c r="AA1097" s="9"/>
    </row>
    <row r="1098" spans="1:27">
      <c r="A1098" s="9" t="s">
        <v>2020</v>
      </c>
      <c r="B1098" s="9" t="s">
        <v>213</v>
      </c>
      <c r="C1098" s="9"/>
      <c r="D1098" s="9"/>
      <c r="E1098" s="9"/>
      <c r="F1098" s="9"/>
      <c r="G1098" s="9"/>
      <c r="H1098" s="9"/>
      <c r="I1098" s="9" t="s">
        <v>2221</v>
      </c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9"/>
      <c r="U1098" s="9"/>
      <c r="V1098" s="9"/>
      <c r="W1098" s="9"/>
      <c r="X1098" s="9"/>
      <c r="Y1098" s="9"/>
      <c r="Z1098" s="9"/>
      <c r="AA1098" s="9"/>
    </row>
    <row r="1099" spans="1:27">
      <c r="A1099" s="9" t="s">
        <v>2021</v>
      </c>
      <c r="B1099" s="9" t="s">
        <v>214</v>
      </c>
      <c r="C1099" s="9"/>
      <c r="D1099" s="9"/>
      <c r="E1099" s="9"/>
      <c r="F1099" s="9"/>
      <c r="G1099" s="9"/>
      <c r="H1099" s="9"/>
      <c r="I1099" s="9" t="s">
        <v>2222</v>
      </c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9"/>
      <c r="U1099" s="9"/>
      <c r="V1099" s="9"/>
      <c r="W1099" s="9"/>
      <c r="X1099" s="9"/>
      <c r="Y1099" s="9"/>
      <c r="Z1099" s="9"/>
      <c r="AA1099" s="9"/>
    </row>
    <row r="1100" spans="1:27">
      <c r="A1100" s="9" t="s">
        <v>2022</v>
      </c>
      <c r="B1100" s="9" t="s">
        <v>215</v>
      </c>
      <c r="C1100" s="9"/>
      <c r="D1100" s="9"/>
      <c r="E1100" s="9"/>
      <c r="F1100" s="9"/>
      <c r="G1100" s="9"/>
      <c r="H1100" s="9"/>
      <c r="I1100" s="9" t="s">
        <v>2223</v>
      </c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9"/>
    </row>
    <row r="1101" spans="1:27">
      <c r="A1101" s="9" t="s">
        <v>2023</v>
      </c>
      <c r="B1101" s="9" t="s">
        <v>216</v>
      </c>
      <c r="C1101" s="9"/>
      <c r="D1101" s="9"/>
      <c r="E1101" s="9"/>
      <c r="F1101" s="9"/>
      <c r="G1101" s="9"/>
      <c r="H1101" s="9"/>
      <c r="I1101" s="9" t="s">
        <v>2696</v>
      </c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9"/>
      <c r="U1101" s="9"/>
      <c r="V1101" s="9"/>
      <c r="W1101" s="9"/>
      <c r="X1101" s="9"/>
      <c r="Y1101" s="9"/>
      <c r="Z1101" s="9"/>
      <c r="AA1101" s="9"/>
    </row>
    <row r="1102" spans="1:27">
      <c r="A1102" s="9" t="s">
        <v>2024</v>
      </c>
      <c r="B1102" s="9" t="s">
        <v>217</v>
      </c>
      <c r="C1102" s="9"/>
      <c r="D1102" s="9"/>
      <c r="E1102" s="9"/>
      <c r="F1102" s="9"/>
      <c r="G1102" s="9"/>
      <c r="H1102" s="9"/>
      <c r="I1102" s="9" t="s">
        <v>2224</v>
      </c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9"/>
      <c r="U1102" s="9"/>
      <c r="V1102" s="9"/>
      <c r="W1102" s="9"/>
      <c r="X1102" s="9"/>
      <c r="Y1102" s="9"/>
      <c r="Z1102" s="9"/>
      <c r="AA1102" s="9"/>
    </row>
    <row r="1103" spans="1:27">
      <c r="A1103" s="9" t="s">
        <v>2025</v>
      </c>
      <c r="B1103" s="9" t="s">
        <v>218</v>
      </c>
      <c r="C1103" s="9"/>
      <c r="D1103" s="9"/>
      <c r="E1103" s="9"/>
      <c r="F1103" s="9"/>
      <c r="G1103" s="9"/>
      <c r="H1103" s="9"/>
      <c r="I1103" s="9" t="s">
        <v>2225</v>
      </c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9"/>
      <c r="U1103" s="9"/>
      <c r="V1103" s="9"/>
      <c r="W1103" s="9"/>
      <c r="X1103" s="9"/>
      <c r="Y1103" s="9"/>
      <c r="Z1103" s="9"/>
      <c r="AA1103" s="9"/>
    </row>
    <row r="1104" spans="1:27">
      <c r="A1104" s="9" t="s">
        <v>2026</v>
      </c>
      <c r="B1104" s="9" t="s">
        <v>219</v>
      </c>
      <c r="C1104" s="9"/>
      <c r="D1104" s="9"/>
      <c r="E1104" s="9"/>
      <c r="F1104" s="9"/>
      <c r="G1104" s="9"/>
      <c r="H1104" s="9"/>
      <c r="I1104" s="9" t="s">
        <v>2226</v>
      </c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9"/>
    </row>
    <row r="1105" spans="1:27">
      <c r="A1105" s="9" t="s">
        <v>2027</v>
      </c>
      <c r="B1105" s="9" t="s">
        <v>220</v>
      </c>
      <c r="C1105" s="9"/>
      <c r="D1105" s="9"/>
      <c r="E1105" s="9"/>
      <c r="F1105" s="9"/>
      <c r="G1105" s="9"/>
      <c r="H1105" s="9"/>
      <c r="I1105" s="9" t="s">
        <v>2697</v>
      </c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9"/>
      <c r="U1105" s="9"/>
      <c r="V1105" s="9"/>
      <c r="W1105" s="9"/>
      <c r="X1105" s="9"/>
      <c r="Y1105" s="9"/>
      <c r="Z1105" s="9"/>
      <c r="AA1105" s="9"/>
    </row>
    <row r="1106" spans="1:27">
      <c r="A1106" s="9" t="s">
        <v>2028</v>
      </c>
      <c r="B1106" s="9" t="s">
        <v>221</v>
      </c>
      <c r="C1106" s="9"/>
      <c r="D1106" s="9"/>
      <c r="E1106" s="9"/>
      <c r="F1106" s="9"/>
      <c r="G1106" s="9"/>
      <c r="H1106" s="9"/>
      <c r="I1106" s="9" t="s">
        <v>2227</v>
      </c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9"/>
      <c r="U1106" s="9"/>
      <c r="V1106" s="9"/>
      <c r="W1106" s="9"/>
      <c r="X1106" s="9"/>
      <c r="Y1106" s="9"/>
      <c r="Z1106" s="9"/>
      <c r="AA1106" s="9"/>
    </row>
    <row r="1107" spans="1:27">
      <c r="A1107" s="9" t="s">
        <v>2029</v>
      </c>
      <c r="B1107" s="9" t="s">
        <v>222</v>
      </c>
      <c r="C1107" s="9"/>
      <c r="D1107" s="9"/>
      <c r="E1107" s="9"/>
      <c r="F1107" s="9"/>
      <c r="G1107" s="9"/>
      <c r="H1107" s="9"/>
      <c r="I1107" s="9" t="s">
        <v>2228</v>
      </c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9"/>
      <c r="U1107" s="9"/>
      <c r="V1107" s="9"/>
      <c r="W1107" s="9"/>
      <c r="X1107" s="9"/>
      <c r="Y1107" s="9"/>
      <c r="Z1107" s="9"/>
      <c r="AA1107" s="9"/>
    </row>
    <row r="1108" spans="1:27">
      <c r="A1108" s="9" t="s">
        <v>2030</v>
      </c>
      <c r="B1108" s="9" t="s">
        <v>223</v>
      </c>
      <c r="C1108" s="9"/>
      <c r="D1108" s="9"/>
      <c r="E1108" s="9"/>
      <c r="F1108" s="9"/>
      <c r="G1108" s="9"/>
      <c r="H1108" s="9"/>
      <c r="I1108" s="9" t="s">
        <v>2229</v>
      </c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9"/>
    </row>
    <row r="1109" spans="1:27">
      <c r="A1109" s="9" t="s">
        <v>2031</v>
      </c>
      <c r="B1109" s="9" t="s">
        <v>224</v>
      </c>
      <c r="C1109" s="9"/>
      <c r="D1109" s="9"/>
      <c r="E1109" s="9"/>
      <c r="F1109" s="9"/>
      <c r="G1109" s="9"/>
      <c r="H1109" s="9"/>
      <c r="I1109" s="9" t="s">
        <v>2315</v>
      </c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9"/>
    </row>
    <row r="1110" spans="1:27">
      <c r="A1110" s="9" t="s">
        <v>2032</v>
      </c>
      <c r="B1110" s="9" t="s">
        <v>225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9"/>
    </row>
    <row r="1111" spans="1:27">
      <c r="A1111" s="9" t="s">
        <v>2033</v>
      </c>
      <c r="B1111" s="9" t="s">
        <v>226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9"/>
    </row>
    <row r="1112" spans="1:27">
      <c r="A1112" s="9" t="s">
        <v>2034</v>
      </c>
      <c r="B1112" s="9" t="s">
        <v>227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9"/>
    </row>
    <row r="1113" spans="1:27">
      <c r="A1113" s="9" t="s">
        <v>2035</v>
      </c>
      <c r="B1113" s="9" t="s">
        <v>228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9"/>
    </row>
    <row r="1114" spans="1:27">
      <c r="A1114" s="9" t="s">
        <v>2036</v>
      </c>
      <c r="B1114" s="9" t="s">
        <v>2168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9"/>
    </row>
    <row r="1115" spans="1:27">
      <c r="A1115" s="9" t="s">
        <v>2037</v>
      </c>
      <c r="B1115" s="9" t="s">
        <v>229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9"/>
    </row>
    <row r="1116" spans="1:27">
      <c r="A1116" s="9" t="s">
        <v>2038</v>
      </c>
      <c r="B1116" s="9" t="s">
        <v>230</v>
      </c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9"/>
    </row>
    <row r="1117" spans="1:27">
      <c r="A1117" s="9" t="s">
        <v>2698</v>
      </c>
      <c r="B1117" s="9" t="s">
        <v>2551</v>
      </c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9"/>
    </row>
    <row r="1118" spans="1:27">
      <c r="A1118" s="9" t="s">
        <v>2039</v>
      </c>
      <c r="B1118" s="9" t="s">
        <v>237</v>
      </c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</row>
    <row r="1119" spans="1:27">
      <c r="A1119" s="9" t="s">
        <v>2040</v>
      </c>
      <c r="B1119" s="9" t="s">
        <v>238</v>
      </c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9"/>
    </row>
    <row r="1120" spans="1:27">
      <c r="A1120" s="9" t="s">
        <v>2041</v>
      </c>
      <c r="B1120" s="9" t="s">
        <v>231</v>
      </c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9"/>
    </row>
    <row r="1121" spans="1:27">
      <c r="A1121" s="9" t="s">
        <v>2699</v>
      </c>
      <c r="B1121" s="9" t="s">
        <v>2552</v>
      </c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9"/>
    </row>
    <row r="1122" spans="1:27">
      <c r="A1122" s="9" t="s">
        <v>2042</v>
      </c>
      <c r="B1122" s="9" t="s">
        <v>2169</v>
      </c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9"/>
    </row>
    <row r="1123" spans="1:27">
      <c r="A1123" s="9" t="s">
        <v>2043</v>
      </c>
      <c r="B1123" s="9" t="s">
        <v>232</v>
      </c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9"/>
    </row>
    <row r="1124" spans="1:27">
      <c r="A1124" s="9" t="s">
        <v>2044</v>
      </c>
      <c r="B1124" s="9" t="s">
        <v>2271</v>
      </c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9"/>
    </row>
    <row r="1125" spans="1:27">
      <c r="A1125" s="9" t="s">
        <v>2318</v>
      </c>
      <c r="B1125" s="9" t="s">
        <v>243</v>
      </c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9"/>
    </row>
    <row r="1126" spans="1:27">
      <c r="A1126" s="9" t="s">
        <v>1925</v>
      </c>
      <c r="B1126" s="9" t="s">
        <v>181</v>
      </c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9"/>
    </row>
    <row r="1127" spans="1:27">
      <c r="A1127" s="9" t="s">
        <v>1926</v>
      </c>
      <c r="B1127" s="9" t="s">
        <v>182</v>
      </c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9"/>
    </row>
    <row r="1128" spans="1:27">
      <c r="A1128" s="9" t="s">
        <v>1927</v>
      </c>
      <c r="B1128" s="9" t="s">
        <v>183</v>
      </c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9"/>
    </row>
    <row r="1129" spans="1:27">
      <c r="A1129" s="9" t="s">
        <v>1928</v>
      </c>
      <c r="B1129" s="9" t="s">
        <v>184</v>
      </c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9"/>
    </row>
    <row r="1130" spans="1:27">
      <c r="A1130" s="9" t="s">
        <v>1929</v>
      </c>
      <c r="B1130" s="9" t="s">
        <v>185</v>
      </c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9"/>
    </row>
    <row r="1131" spans="1:27">
      <c r="A1131" s="9" t="s">
        <v>1930</v>
      </c>
      <c r="B1131" s="9" t="s">
        <v>186</v>
      </c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9"/>
    </row>
    <row r="1132" spans="1:27">
      <c r="A1132" s="9" t="s">
        <v>1931</v>
      </c>
      <c r="B1132" s="9" t="s">
        <v>187</v>
      </c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9"/>
    </row>
    <row r="1133" spans="1:27">
      <c r="A1133" s="9" t="s">
        <v>2246</v>
      </c>
      <c r="B1133" s="9" t="s">
        <v>2233</v>
      </c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9"/>
    </row>
    <row r="1134" spans="1:27">
      <c r="A1134" s="9" t="s">
        <v>1932</v>
      </c>
      <c r="B1134" s="9" t="s">
        <v>188</v>
      </c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9"/>
    </row>
    <row r="1135" spans="1:27">
      <c r="A1135" s="9" t="s">
        <v>1933</v>
      </c>
      <c r="B1135" s="9" t="s">
        <v>189</v>
      </c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9"/>
    </row>
    <row r="1136" spans="1:27">
      <c r="A1136" s="9" t="s">
        <v>1934</v>
      </c>
      <c r="B1136" s="9" t="s">
        <v>190</v>
      </c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9"/>
    </row>
    <row r="1137" spans="1:27">
      <c r="A1137" s="9" t="s">
        <v>1935</v>
      </c>
      <c r="B1137" s="9" t="s">
        <v>191</v>
      </c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9"/>
    </row>
    <row r="1138" spans="1:27">
      <c r="A1138" s="9" t="s">
        <v>1936</v>
      </c>
      <c r="B1138" s="9" t="s">
        <v>192</v>
      </c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9"/>
    </row>
    <row r="1139" spans="1:27">
      <c r="A1139" s="9" t="s">
        <v>1937</v>
      </c>
      <c r="B1139" s="9" t="s">
        <v>193</v>
      </c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9"/>
    </row>
    <row r="1140" spans="1:27">
      <c r="A1140" s="9" t="s">
        <v>1938</v>
      </c>
      <c r="B1140" s="9" t="s">
        <v>242</v>
      </c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9"/>
    </row>
    <row r="1141" spans="1:27">
      <c r="A1141" s="9" t="s">
        <v>1939</v>
      </c>
      <c r="B1141" s="9" t="s">
        <v>194</v>
      </c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9"/>
    </row>
    <row r="1142" spans="1:27">
      <c r="A1142" s="9" t="s">
        <v>1940</v>
      </c>
      <c r="B1142" s="9" t="s">
        <v>195</v>
      </c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9"/>
    </row>
    <row r="1143" spans="1:27">
      <c r="A1143" s="9" t="s">
        <v>1941</v>
      </c>
      <c r="B1143" s="9" t="s">
        <v>196</v>
      </c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9"/>
      <c r="T1143" s="9"/>
      <c r="U1143" s="9"/>
      <c r="V1143" s="9"/>
      <c r="W1143" s="9"/>
      <c r="X1143" s="9"/>
      <c r="Y1143" s="9"/>
      <c r="Z1143" s="9"/>
      <c r="AA1143" s="9"/>
    </row>
    <row r="1144" spans="1:27">
      <c r="A1144" s="9" t="s">
        <v>1942</v>
      </c>
      <c r="B1144" s="9" t="s">
        <v>197</v>
      </c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9"/>
    </row>
    <row r="1145" spans="1:27">
      <c r="A1145" s="9" t="s">
        <v>1943</v>
      </c>
      <c r="B1145" s="9" t="s">
        <v>198</v>
      </c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9"/>
    </row>
    <row r="1146" spans="1:27">
      <c r="A1146" s="9" t="s">
        <v>1944</v>
      </c>
      <c r="B1146" s="9" t="s">
        <v>199</v>
      </c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9"/>
    </row>
    <row r="1147" spans="1:27">
      <c r="A1147" s="9" t="s">
        <v>1945</v>
      </c>
      <c r="B1147" s="9" t="s">
        <v>200</v>
      </c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9"/>
    </row>
    <row r="1148" spans="1:27">
      <c r="A1148" s="9" t="s">
        <v>1946</v>
      </c>
      <c r="B1148" s="9" t="s">
        <v>2166</v>
      </c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9"/>
    </row>
    <row r="1149" spans="1:27">
      <c r="A1149" s="9" t="s">
        <v>2700</v>
      </c>
      <c r="B1149" s="9" t="s">
        <v>2553</v>
      </c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9"/>
    </row>
    <row r="1150" spans="1:27">
      <c r="A1150" s="9" t="s">
        <v>1947</v>
      </c>
      <c r="B1150" s="9" t="s">
        <v>2167</v>
      </c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9"/>
    </row>
    <row r="1151" spans="1:27">
      <c r="A1151" s="9" t="s">
        <v>1948</v>
      </c>
      <c r="B1151" s="9" t="s">
        <v>201</v>
      </c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</row>
    <row r="1152" spans="1:27">
      <c r="A1152" s="9" t="s">
        <v>1949</v>
      </c>
      <c r="B1152" s="9" t="s">
        <v>202</v>
      </c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</row>
    <row r="1153" spans="1:27">
      <c r="A1153" s="9" t="s">
        <v>1950</v>
      </c>
      <c r="B1153" s="9" t="s">
        <v>203</v>
      </c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</row>
    <row r="1154" spans="1:27">
      <c r="A1154" s="9" t="s">
        <v>1951</v>
      </c>
      <c r="B1154" s="9" t="s">
        <v>204</v>
      </c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9"/>
    </row>
    <row r="1155" spans="1:27">
      <c r="A1155" s="9" t="s">
        <v>1952</v>
      </c>
      <c r="B1155" s="9" t="s">
        <v>205</v>
      </c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9"/>
    </row>
    <row r="1156" spans="1:27">
      <c r="A1156" s="9" t="s">
        <v>1953</v>
      </c>
      <c r="B1156" s="9" t="s">
        <v>206</v>
      </c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9"/>
    </row>
    <row r="1157" spans="1:27">
      <c r="A1157" s="9" t="s">
        <v>1954</v>
      </c>
      <c r="B1157" s="9" t="s">
        <v>207</v>
      </c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9"/>
    </row>
    <row r="1158" spans="1:27">
      <c r="A1158" s="9" t="s">
        <v>1955</v>
      </c>
      <c r="B1158" s="9" t="s">
        <v>208</v>
      </c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9"/>
    </row>
    <row r="1159" spans="1:27">
      <c r="A1159" s="9" t="s">
        <v>1956</v>
      </c>
      <c r="B1159" s="9" t="s">
        <v>209</v>
      </c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9"/>
      <c r="T1159" s="9"/>
      <c r="U1159" s="9"/>
      <c r="V1159" s="9"/>
      <c r="W1159" s="9"/>
      <c r="X1159" s="9"/>
      <c r="Y1159" s="9"/>
      <c r="Z1159" s="9"/>
      <c r="AA1159" s="9"/>
    </row>
    <row r="1160" spans="1:27">
      <c r="A1160" s="9" t="s">
        <v>1957</v>
      </c>
      <c r="B1160" s="9" t="s">
        <v>210</v>
      </c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9"/>
      <c r="U1160" s="9"/>
      <c r="V1160" s="9"/>
      <c r="W1160" s="9"/>
      <c r="X1160" s="9"/>
      <c r="Y1160" s="9"/>
      <c r="Z1160" s="9"/>
      <c r="AA1160" s="9"/>
    </row>
    <row r="1161" spans="1:27">
      <c r="A1161" s="9" t="s">
        <v>1958</v>
      </c>
      <c r="B1161" s="9" t="s">
        <v>211</v>
      </c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9"/>
      <c r="U1161" s="9"/>
      <c r="V1161" s="9"/>
      <c r="W1161" s="9"/>
      <c r="X1161" s="9"/>
      <c r="Y1161" s="9"/>
      <c r="Z1161" s="9"/>
      <c r="AA1161" s="9"/>
    </row>
    <row r="1162" spans="1:27">
      <c r="A1162" s="9" t="s">
        <v>1959</v>
      </c>
      <c r="B1162" s="9" t="s">
        <v>212</v>
      </c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9"/>
      <c r="T1162" s="9"/>
      <c r="U1162" s="9"/>
      <c r="V1162" s="9"/>
      <c r="W1162" s="9"/>
      <c r="X1162" s="9"/>
      <c r="Y1162" s="9"/>
      <c r="Z1162" s="9"/>
      <c r="AA1162" s="9"/>
    </row>
    <row r="1163" spans="1:27">
      <c r="A1163" s="9" t="s">
        <v>1960</v>
      </c>
      <c r="B1163" s="9" t="s">
        <v>213</v>
      </c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9"/>
      <c r="T1163" s="9"/>
      <c r="U1163" s="9"/>
      <c r="V1163" s="9"/>
      <c r="W1163" s="9"/>
      <c r="X1163" s="9"/>
      <c r="Y1163" s="9"/>
      <c r="Z1163" s="9"/>
      <c r="AA1163" s="9"/>
    </row>
    <row r="1164" spans="1:27">
      <c r="A1164" s="9" t="s">
        <v>1961</v>
      </c>
      <c r="B1164" s="9" t="s">
        <v>214</v>
      </c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9"/>
      <c r="U1164" s="9"/>
      <c r="V1164" s="9"/>
      <c r="W1164" s="9"/>
      <c r="X1164" s="9"/>
      <c r="Y1164" s="9"/>
      <c r="Z1164" s="9"/>
      <c r="AA1164" s="9"/>
    </row>
    <row r="1165" spans="1:27">
      <c r="A1165" s="9" t="s">
        <v>1962</v>
      </c>
      <c r="B1165" s="9" t="s">
        <v>215</v>
      </c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9"/>
      <c r="T1165" s="9"/>
      <c r="U1165" s="9"/>
      <c r="V1165" s="9"/>
      <c r="W1165" s="9"/>
      <c r="X1165" s="9"/>
      <c r="Y1165" s="9"/>
      <c r="Z1165" s="9"/>
      <c r="AA1165" s="9"/>
    </row>
    <row r="1166" spans="1:27">
      <c r="A1166" s="9" t="s">
        <v>1963</v>
      </c>
      <c r="B1166" s="9" t="s">
        <v>216</v>
      </c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9"/>
      <c r="T1166" s="9"/>
      <c r="U1166" s="9"/>
      <c r="V1166" s="9"/>
      <c r="W1166" s="9"/>
      <c r="X1166" s="9"/>
      <c r="Y1166" s="9"/>
      <c r="Z1166" s="9"/>
      <c r="AA1166" s="9"/>
    </row>
    <row r="1167" spans="1:27">
      <c r="A1167" s="9" t="s">
        <v>1964</v>
      </c>
      <c r="B1167" s="9" t="s">
        <v>217</v>
      </c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9"/>
      <c r="T1167" s="9"/>
      <c r="U1167" s="9"/>
      <c r="V1167" s="9"/>
      <c r="W1167" s="9"/>
      <c r="X1167" s="9"/>
      <c r="Y1167" s="9"/>
      <c r="Z1167" s="9"/>
      <c r="AA1167" s="9"/>
    </row>
    <row r="1168" spans="1:27">
      <c r="A1168" s="9" t="s">
        <v>1965</v>
      </c>
      <c r="B1168" s="9" t="s">
        <v>218</v>
      </c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9"/>
      <c r="U1168" s="9"/>
      <c r="V1168" s="9"/>
      <c r="W1168" s="9"/>
      <c r="X1168" s="9"/>
      <c r="Y1168" s="9"/>
      <c r="Z1168" s="9"/>
      <c r="AA1168" s="9"/>
    </row>
    <row r="1169" spans="1:27">
      <c r="A1169" s="9" t="s">
        <v>1966</v>
      </c>
      <c r="B1169" s="9" t="s">
        <v>219</v>
      </c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9"/>
      <c r="T1169" s="9"/>
      <c r="U1169" s="9"/>
      <c r="V1169" s="9"/>
      <c r="W1169" s="9"/>
      <c r="X1169" s="9"/>
      <c r="Y1169" s="9"/>
      <c r="Z1169" s="9"/>
      <c r="AA1169" s="9"/>
    </row>
    <row r="1170" spans="1:27">
      <c r="A1170" s="9" t="s">
        <v>1967</v>
      </c>
      <c r="B1170" s="9" t="s">
        <v>220</v>
      </c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9"/>
      <c r="T1170" s="9"/>
      <c r="U1170" s="9"/>
      <c r="V1170" s="9"/>
      <c r="W1170" s="9"/>
      <c r="X1170" s="9"/>
      <c r="Y1170" s="9"/>
      <c r="Z1170" s="9"/>
      <c r="AA1170" s="9"/>
    </row>
    <row r="1171" spans="1:27">
      <c r="A1171" s="9" t="s">
        <v>1968</v>
      </c>
      <c r="B1171" s="9" t="s">
        <v>221</v>
      </c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9"/>
      <c r="T1171" s="9"/>
      <c r="U1171" s="9"/>
      <c r="V1171" s="9"/>
      <c r="W1171" s="9"/>
      <c r="X1171" s="9"/>
      <c r="Y1171" s="9"/>
      <c r="Z1171" s="9"/>
      <c r="AA1171" s="9"/>
    </row>
    <row r="1172" spans="1:27">
      <c r="A1172" s="9" t="s">
        <v>1969</v>
      </c>
      <c r="B1172" s="9" t="s">
        <v>222</v>
      </c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9"/>
      <c r="U1172" s="9"/>
      <c r="V1172" s="9"/>
      <c r="W1172" s="9"/>
      <c r="X1172" s="9"/>
      <c r="Y1172" s="9"/>
      <c r="Z1172" s="9"/>
      <c r="AA1172" s="9"/>
    </row>
    <row r="1173" spans="1:27">
      <c r="A1173" s="9" t="s">
        <v>1970</v>
      </c>
      <c r="B1173" s="9" t="s">
        <v>223</v>
      </c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9"/>
      <c r="T1173" s="9"/>
      <c r="U1173" s="9"/>
      <c r="V1173" s="9"/>
      <c r="W1173" s="9"/>
      <c r="X1173" s="9"/>
      <c r="Y1173" s="9"/>
      <c r="Z1173" s="9"/>
      <c r="AA1173" s="9"/>
    </row>
    <row r="1174" spans="1:27">
      <c r="A1174" s="9" t="s">
        <v>1971</v>
      </c>
      <c r="B1174" s="9" t="s">
        <v>224</v>
      </c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9"/>
      <c r="T1174" s="9"/>
      <c r="U1174" s="9"/>
      <c r="V1174" s="9"/>
      <c r="W1174" s="9"/>
      <c r="X1174" s="9"/>
      <c r="Y1174" s="9"/>
      <c r="Z1174" s="9"/>
      <c r="AA1174" s="9"/>
    </row>
    <row r="1175" spans="1:27">
      <c r="A1175" s="9" t="s">
        <v>1972</v>
      </c>
      <c r="B1175" s="9" t="s">
        <v>225</v>
      </c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9"/>
      <c r="T1175" s="9"/>
      <c r="U1175" s="9"/>
      <c r="V1175" s="9"/>
      <c r="W1175" s="9"/>
      <c r="X1175" s="9"/>
      <c r="Y1175" s="9"/>
      <c r="Z1175" s="9"/>
      <c r="AA1175" s="9"/>
    </row>
    <row r="1176" spans="1:27">
      <c r="A1176" s="9" t="s">
        <v>1973</v>
      </c>
      <c r="B1176" s="9" t="s">
        <v>226</v>
      </c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9"/>
      <c r="U1176" s="9"/>
      <c r="V1176" s="9"/>
      <c r="W1176" s="9"/>
      <c r="X1176" s="9"/>
      <c r="Y1176" s="9"/>
      <c r="Z1176" s="9"/>
      <c r="AA1176" s="9"/>
    </row>
    <row r="1177" spans="1:27">
      <c r="A1177" s="9" t="s">
        <v>1974</v>
      </c>
      <c r="B1177" s="9" t="s">
        <v>227</v>
      </c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9"/>
      <c r="U1177" s="9"/>
      <c r="V1177" s="9"/>
      <c r="W1177" s="9"/>
      <c r="X1177" s="9"/>
      <c r="Y1177" s="9"/>
      <c r="Z1177" s="9"/>
      <c r="AA1177" s="9"/>
    </row>
    <row r="1178" spans="1:27">
      <c r="A1178" s="9" t="s">
        <v>1975</v>
      </c>
      <c r="B1178" s="9" t="s">
        <v>228</v>
      </c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9"/>
      <c r="U1178" s="9"/>
      <c r="V1178" s="9"/>
      <c r="W1178" s="9"/>
      <c r="X1178" s="9"/>
      <c r="Y1178" s="9"/>
      <c r="Z1178" s="9"/>
      <c r="AA1178" s="9"/>
    </row>
    <row r="1179" spans="1:27">
      <c r="A1179" s="9" t="s">
        <v>1976</v>
      </c>
      <c r="B1179" s="9" t="s">
        <v>2168</v>
      </c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9"/>
      <c r="T1179" s="9"/>
      <c r="U1179" s="9"/>
      <c r="V1179" s="9"/>
      <c r="W1179" s="9"/>
      <c r="X1179" s="9"/>
      <c r="Y1179" s="9"/>
      <c r="Z1179" s="9"/>
      <c r="AA1179" s="9"/>
    </row>
    <row r="1180" spans="1:27">
      <c r="A1180" s="9" t="s">
        <v>1977</v>
      </c>
      <c r="B1180" s="9" t="s">
        <v>229</v>
      </c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9"/>
      <c r="U1180" s="9"/>
      <c r="V1180" s="9"/>
      <c r="W1180" s="9"/>
      <c r="X1180" s="9"/>
      <c r="Y1180" s="9"/>
      <c r="Z1180" s="9"/>
      <c r="AA1180" s="9"/>
    </row>
    <row r="1181" spans="1:27">
      <c r="A1181" s="9" t="s">
        <v>1978</v>
      </c>
      <c r="B1181" s="9" t="s">
        <v>230</v>
      </c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9"/>
      <c r="T1181" s="9"/>
      <c r="U1181" s="9"/>
      <c r="V1181" s="9"/>
      <c r="W1181" s="9"/>
      <c r="X1181" s="9"/>
      <c r="Y1181" s="9"/>
      <c r="Z1181" s="9"/>
      <c r="AA1181" s="9"/>
    </row>
    <row r="1182" spans="1:27">
      <c r="A1182" s="9" t="s">
        <v>2701</v>
      </c>
      <c r="B1182" s="9" t="s">
        <v>2551</v>
      </c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9"/>
      <c r="T1182" s="9"/>
      <c r="U1182" s="9"/>
      <c r="V1182" s="9"/>
      <c r="W1182" s="9"/>
      <c r="X1182" s="9"/>
      <c r="Y1182" s="9"/>
      <c r="Z1182" s="9"/>
      <c r="AA1182" s="9"/>
    </row>
    <row r="1183" spans="1:27">
      <c r="A1183" s="9" t="s">
        <v>1979</v>
      </c>
      <c r="B1183" s="9" t="s">
        <v>237</v>
      </c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9"/>
      <c r="S1183" s="9"/>
      <c r="T1183" s="9"/>
      <c r="U1183" s="9"/>
      <c r="V1183" s="9"/>
      <c r="W1183" s="9"/>
      <c r="X1183" s="9"/>
      <c r="Y1183" s="9"/>
      <c r="Z1183" s="9"/>
      <c r="AA1183" s="9"/>
    </row>
    <row r="1184" spans="1:27">
      <c r="A1184" s="9" t="s">
        <v>1980</v>
      </c>
      <c r="B1184" s="9" t="s">
        <v>238</v>
      </c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9"/>
      <c r="S1184" s="9"/>
      <c r="T1184" s="9"/>
      <c r="U1184" s="9"/>
      <c r="V1184" s="9"/>
      <c r="W1184" s="9"/>
      <c r="X1184" s="9"/>
      <c r="Y1184" s="9"/>
      <c r="Z1184" s="9"/>
      <c r="AA1184" s="9"/>
    </row>
    <row r="1185" spans="1:27">
      <c r="A1185" s="9" t="s">
        <v>1981</v>
      </c>
      <c r="B1185" s="9" t="s">
        <v>231</v>
      </c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9"/>
      <c r="S1185" s="9"/>
      <c r="T1185" s="9"/>
      <c r="U1185" s="9"/>
      <c r="V1185" s="9"/>
      <c r="W1185" s="9"/>
      <c r="X1185" s="9"/>
      <c r="Y1185" s="9"/>
      <c r="Z1185" s="9"/>
      <c r="AA1185" s="9"/>
    </row>
    <row r="1186" spans="1:27">
      <c r="A1186" s="9" t="s">
        <v>2702</v>
      </c>
      <c r="B1186" s="9" t="s">
        <v>2552</v>
      </c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9"/>
      <c r="S1186" s="9"/>
      <c r="T1186" s="9"/>
      <c r="U1186" s="9"/>
      <c r="V1186" s="9"/>
      <c r="W1186" s="9"/>
      <c r="X1186" s="9"/>
      <c r="Y1186" s="9"/>
      <c r="Z1186" s="9"/>
      <c r="AA1186" s="9"/>
    </row>
    <row r="1187" spans="1:27">
      <c r="A1187" s="9" t="s">
        <v>1982</v>
      </c>
      <c r="B1187" s="9" t="s">
        <v>2169</v>
      </c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9"/>
      <c r="T1187" s="9"/>
      <c r="U1187" s="9"/>
      <c r="V1187" s="9"/>
      <c r="W1187" s="9"/>
      <c r="X1187" s="9"/>
      <c r="Y1187" s="9"/>
      <c r="Z1187" s="9"/>
      <c r="AA1187" s="9"/>
    </row>
    <row r="1188" spans="1:27">
      <c r="A1188" s="9" t="s">
        <v>1983</v>
      </c>
      <c r="B1188" s="9" t="s">
        <v>232</v>
      </c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9"/>
      <c r="U1188" s="9"/>
      <c r="V1188" s="9"/>
      <c r="W1188" s="9"/>
      <c r="X1188" s="9"/>
      <c r="Y1188" s="9"/>
      <c r="Z1188" s="9"/>
      <c r="AA1188" s="9"/>
    </row>
    <row r="1189" spans="1:27">
      <c r="A1189" s="9" t="s">
        <v>1984</v>
      </c>
      <c r="B1189" s="9" t="s">
        <v>2271</v>
      </c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9"/>
      <c r="T1189" s="9"/>
      <c r="U1189" s="9"/>
      <c r="V1189" s="9"/>
      <c r="W1189" s="9"/>
      <c r="X1189" s="9"/>
      <c r="Y1189" s="9"/>
      <c r="Z1189" s="9"/>
      <c r="AA1189" s="9"/>
    </row>
    <row r="1190" spans="1:27">
      <c r="A1190" s="9" t="s">
        <v>2317</v>
      </c>
      <c r="B1190" s="9" t="s">
        <v>243</v>
      </c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9"/>
      <c r="T1190" s="9"/>
      <c r="U1190" s="9"/>
      <c r="V1190" s="9"/>
      <c r="W1190" s="9"/>
      <c r="X1190" s="9"/>
      <c r="Y1190" s="9"/>
      <c r="Z1190" s="9"/>
      <c r="AA1190" s="9"/>
    </row>
    <row r="1191" spans="1:27">
      <c r="A1191" s="9" t="s">
        <v>2105</v>
      </c>
      <c r="B1191" s="9" t="s">
        <v>181</v>
      </c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9"/>
      <c r="T1191" s="9"/>
      <c r="U1191" s="9"/>
      <c r="V1191" s="9"/>
      <c r="W1191" s="9"/>
      <c r="X1191" s="9"/>
      <c r="Y1191" s="9"/>
      <c r="Z1191" s="9"/>
      <c r="AA1191" s="9"/>
    </row>
    <row r="1192" spans="1:27">
      <c r="A1192" s="9" t="s">
        <v>2106</v>
      </c>
      <c r="B1192" s="9" t="s">
        <v>182</v>
      </c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9"/>
      <c r="U1192" s="9"/>
      <c r="V1192" s="9"/>
      <c r="W1192" s="9"/>
      <c r="X1192" s="9"/>
      <c r="Y1192" s="9"/>
      <c r="Z1192" s="9"/>
      <c r="AA1192" s="9"/>
    </row>
    <row r="1193" spans="1:27">
      <c r="A1193" s="9" t="s">
        <v>2107</v>
      </c>
      <c r="B1193" s="9" t="s">
        <v>183</v>
      </c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9"/>
      <c r="T1193" s="9"/>
      <c r="U1193" s="9"/>
      <c r="V1193" s="9"/>
      <c r="W1193" s="9"/>
      <c r="X1193" s="9"/>
      <c r="Y1193" s="9"/>
      <c r="Z1193" s="9"/>
      <c r="AA1193" s="9"/>
    </row>
    <row r="1194" spans="1:27">
      <c r="A1194" s="9" t="s">
        <v>2108</v>
      </c>
      <c r="B1194" s="9" t="s">
        <v>184</v>
      </c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9"/>
      <c r="T1194" s="9"/>
      <c r="U1194" s="9"/>
      <c r="V1194" s="9"/>
      <c r="W1194" s="9"/>
      <c r="X1194" s="9"/>
      <c r="Y1194" s="9"/>
      <c r="Z1194" s="9"/>
      <c r="AA1194" s="9"/>
    </row>
    <row r="1195" spans="1:27">
      <c r="A1195" s="9" t="s">
        <v>2109</v>
      </c>
      <c r="B1195" s="9" t="s">
        <v>185</v>
      </c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9"/>
      <c r="T1195" s="9"/>
      <c r="U1195" s="9"/>
      <c r="V1195" s="9"/>
      <c r="W1195" s="9"/>
      <c r="X1195" s="9"/>
      <c r="Y1195" s="9"/>
      <c r="Z1195" s="9"/>
      <c r="AA1195" s="9"/>
    </row>
    <row r="1196" spans="1:27">
      <c r="A1196" s="9" t="s">
        <v>2110</v>
      </c>
      <c r="B1196" s="9" t="s">
        <v>186</v>
      </c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9"/>
      <c r="U1196" s="9"/>
      <c r="V1196" s="9"/>
      <c r="W1196" s="9"/>
      <c r="X1196" s="9"/>
      <c r="Y1196" s="9"/>
      <c r="Z1196" s="9"/>
      <c r="AA1196" s="9"/>
    </row>
    <row r="1197" spans="1:27">
      <c r="A1197" s="9" t="s">
        <v>2111</v>
      </c>
      <c r="B1197" s="9" t="s">
        <v>187</v>
      </c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9"/>
      <c r="T1197" s="9"/>
      <c r="U1197" s="9"/>
      <c r="V1197" s="9"/>
      <c r="W1197" s="9"/>
      <c r="X1197" s="9"/>
      <c r="Y1197" s="9"/>
      <c r="Z1197" s="9"/>
      <c r="AA1197" s="9"/>
    </row>
    <row r="1198" spans="1:27">
      <c r="A1198" s="9" t="s">
        <v>2249</v>
      </c>
      <c r="B1198" s="9" t="s">
        <v>2233</v>
      </c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9"/>
      <c r="U1198" s="9"/>
      <c r="V1198" s="9"/>
      <c r="W1198" s="9"/>
      <c r="X1198" s="9"/>
      <c r="Y1198" s="9"/>
      <c r="Z1198" s="9"/>
      <c r="AA1198" s="9"/>
    </row>
    <row r="1199" spans="1:27">
      <c r="A1199" s="9" t="s">
        <v>2112</v>
      </c>
      <c r="B1199" s="9" t="s">
        <v>188</v>
      </c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9"/>
      <c r="T1199" s="9"/>
      <c r="U1199" s="9"/>
      <c r="V1199" s="9"/>
      <c r="W1199" s="9"/>
      <c r="X1199" s="9"/>
      <c r="Y1199" s="9"/>
      <c r="Z1199" s="9"/>
      <c r="AA1199" s="9"/>
    </row>
    <row r="1200" spans="1:27">
      <c r="A1200" s="9" t="s">
        <v>2113</v>
      </c>
      <c r="B1200" s="9" t="s">
        <v>189</v>
      </c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9"/>
      <c r="U1200" s="9"/>
      <c r="V1200" s="9"/>
      <c r="W1200" s="9"/>
      <c r="X1200" s="9"/>
      <c r="Y1200" s="9"/>
      <c r="Z1200" s="9"/>
      <c r="AA1200" s="9"/>
    </row>
    <row r="1201" spans="1:27">
      <c r="A1201" s="9" t="s">
        <v>2114</v>
      </c>
      <c r="B1201" s="9" t="s">
        <v>190</v>
      </c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9"/>
      <c r="T1201" s="9"/>
      <c r="U1201" s="9"/>
      <c r="V1201" s="9"/>
      <c r="W1201" s="9"/>
      <c r="X1201" s="9"/>
      <c r="Y1201" s="9"/>
      <c r="Z1201" s="9"/>
      <c r="AA1201" s="9"/>
    </row>
    <row r="1202" spans="1:27">
      <c r="A1202" s="9" t="s">
        <v>2115</v>
      </c>
      <c r="B1202" s="9" t="s">
        <v>191</v>
      </c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9"/>
      <c r="T1202" s="9"/>
      <c r="U1202" s="9"/>
      <c r="V1202" s="9"/>
      <c r="W1202" s="9"/>
      <c r="X1202" s="9"/>
      <c r="Y1202" s="9"/>
      <c r="Z1202" s="9"/>
      <c r="AA1202" s="9"/>
    </row>
    <row r="1203" spans="1:27">
      <c r="A1203" s="9" t="s">
        <v>2116</v>
      </c>
      <c r="B1203" s="9" t="s">
        <v>192</v>
      </c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9"/>
      <c r="T1203" s="9"/>
      <c r="U1203" s="9"/>
      <c r="V1203" s="9"/>
      <c r="W1203" s="9"/>
      <c r="X1203" s="9"/>
      <c r="Y1203" s="9"/>
      <c r="Z1203" s="9"/>
      <c r="AA1203" s="9"/>
    </row>
    <row r="1204" spans="1:27">
      <c r="A1204" s="9" t="s">
        <v>2117</v>
      </c>
      <c r="B1204" s="9" t="s">
        <v>193</v>
      </c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9"/>
    </row>
    <row r="1205" spans="1:27">
      <c r="A1205" s="9" t="s">
        <v>2118</v>
      </c>
      <c r="B1205" s="9" t="s">
        <v>242</v>
      </c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9"/>
      <c r="T1205" s="9"/>
      <c r="U1205" s="9"/>
      <c r="V1205" s="9"/>
      <c r="W1205" s="9"/>
      <c r="X1205" s="9"/>
      <c r="Y1205" s="9"/>
      <c r="Z1205" s="9"/>
      <c r="AA1205" s="9"/>
    </row>
    <row r="1206" spans="1:27">
      <c r="A1206" s="9" t="s">
        <v>2119</v>
      </c>
      <c r="B1206" s="9" t="s">
        <v>194</v>
      </c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9"/>
      <c r="T1206" s="9"/>
      <c r="U1206" s="9"/>
      <c r="V1206" s="9"/>
      <c r="W1206" s="9"/>
      <c r="X1206" s="9"/>
      <c r="Y1206" s="9"/>
      <c r="Z1206" s="9"/>
      <c r="AA1206" s="9"/>
    </row>
    <row r="1207" spans="1:27">
      <c r="A1207" s="9" t="s">
        <v>2120</v>
      </c>
      <c r="B1207" s="9" t="s">
        <v>195</v>
      </c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9"/>
      <c r="T1207" s="9"/>
      <c r="U1207" s="9"/>
      <c r="V1207" s="9"/>
      <c r="W1207" s="9"/>
      <c r="X1207" s="9"/>
      <c r="Y1207" s="9"/>
      <c r="Z1207" s="9"/>
      <c r="AA1207" s="9"/>
    </row>
    <row r="1208" spans="1:27">
      <c r="A1208" s="9" t="s">
        <v>2121</v>
      </c>
      <c r="B1208" s="9" t="s">
        <v>196</v>
      </c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9"/>
      <c r="U1208" s="9"/>
      <c r="V1208" s="9"/>
      <c r="W1208" s="9"/>
      <c r="X1208" s="9"/>
      <c r="Y1208" s="9"/>
      <c r="Z1208" s="9"/>
      <c r="AA1208" s="9"/>
    </row>
    <row r="1209" spans="1:27">
      <c r="A1209" s="9" t="s">
        <v>2122</v>
      </c>
      <c r="B1209" s="9" t="s">
        <v>197</v>
      </c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9"/>
      <c r="T1209" s="9"/>
      <c r="U1209" s="9"/>
      <c r="V1209" s="9"/>
      <c r="W1209" s="9"/>
      <c r="X1209" s="9"/>
      <c r="Y1209" s="9"/>
      <c r="Z1209" s="9"/>
      <c r="AA1209" s="9"/>
    </row>
    <row r="1210" spans="1:27">
      <c r="A1210" s="9" t="s">
        <v>2123</v>
      </c>
      <c r="B1210" s="9" t="s">
        <v>198</v>
      </c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9"/>
      <c r="T1210" s="9"/>
      <c r="U1210" s="9"/>
      <c r="V1210" s="9"/>
      <c r="W1210" s="9"/>
      <c r="X1210" s="9"/>
      <c r="Y1210" s="9"/>
      <c r="Z1210" s="9"/>
      <c r="AA1210" s="9"/>
    </row>
    <row r="1211" spans="1:27">
      <c r="A1211" s="9" t="s">
        <v>2124</v>
      </c>
      <c r="B1211" s="9" t="s">
        <v>199</v>
      </c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9"/>
      <c r="T1211" s="9"/>
      <c r="U1211" s="9"/>
      <c r="V1211" s="9"/>
      <c r="W1211" s="9"/>
      <c r="X1211" s="9"/>
      <c r="Y1211" s="9"/>
      <c r="Z1211" s="9"/>
      <c r="AA1211" s="9"/>
    </row>
    <row r="1212" spans="1:27">
      <c r="A1212" s="9" t="s">
        <v>2125</v>
      </c>
      <c r="B1212" s="9" t="s">
        <v>200</v>
      </c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9"/>
      <c r="U1212" s="9"/>
      <c r="V1212" s="9"/>
      <c r="W1212" s="9"/>
      <c r="X1212" s="9"/>
      <c r="Y1212" s="9"/>
      <c r="Z1212" s="9"/>
      <c r="AA1212" s="9"/>
    </row>
    <row r="1213" spans="1:27">
      <c r="A1213" s="9" t="s">
        <v>2126</v>
      </c>
      <c r="B1213" s="9" t="s">
        <v>2166</v>
      </c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9"/>
      <c r="T1213" s="9"/>
      <c r="U1213" s="9"/>
      <c r="V1213" s="9"/>
      <c r="W1213" s="9"/>
      <c r="X1213" s="9"/>
      <c r="Y1213" s="9"/>
      <c r="Z1213" s="9"/>
      <c r="AA1213" s="9"/>
    </row>
    <row r="1214" spans="1:27">
      <c r="A1214" s="9" t="s">
        <v>2703</v>
      </c>
      <c r="B1214" s="9" t="s">
        <v>2553</v>
      </c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9"/>
      <c r="T1214" s="9"/>
      <c r="U1214" s="9"/>
      <c r="V1214" s="9"/>
      <c r="W1214" s="9"/>
      <c r="X1214" s="9"/>
      <c r="Y1214" s="9"/>
      <c r="Z1214" s="9"/>
      <c r="AA1214" s="9"/>
    </row>
    <row r="1215" spans="1:27">
      <c r="A1215" s="9" t="s">
        <v>2127</v>
      </c>
      <c r="B1215" s="9" t="s">
        <v>2167</v>
      </c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9"/>
      <c r="T1215" s="9"/>
      <c r="U1215" s="9"/>
      <c r="V1215" s="9"/>
      <c r="W1215" s="9"/>
      <c r="X1215" s="9"/>
      <c r="Y1215" s="9"/>
      <c r="Z1215" s="9"/>
      <c r="AA1215" s="9"/>
    </row>
    <row r="1216" spans="1:27">
      <c r="A1216" s="9" t="s">
        <v>2128</v>
      </c>
      <c r="B1216" s="9" t="s">
        <v>201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9"/>
      <c r="U1216" s="9"/>
      <c r="V1216" s="9"/>
      <c r="W1216" s="9"/>
      <c r="X1216" s="9"/>
      <c r="Y1216" s="9"/>
      <c r="Z1216" s="9"/>
      <c r="AA1216" s="9"/>
    </row>
    <row r="1217" spans="1:27">
      <c r="A1217" s="9" t="s">
        <v>2129</v>
      </c>
      <c r="B1217" s="9" t="s">
        <v>202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9"/>
      <c r="T1217" s="9"/>
      <c r="U1217" s="9"/>
      <c r="V1217" s="9"/>
      <c r="W1217" s="9"/>
      <c r="X1217" s="9"/>
      <c r="Y1217" s="9"/>
      <c r="Z1217" s="9"/>
      <c r="AA1217" s="9"/>
    </row>
    <row r="1218" spans="1:27">
      <c r="A1218" s="9" t="s">
        <v>2130</v>
      </c>
      <c r="B1218" s="9" t="s">
        <v>203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9"/>
      <c r="T1218" s="9"/>
      <c r="U1218" s="9"/>
      <c r="V1218" s="9"/>
      <c r="W1218" s="9"/>
      <c r="X1218" s="9"/>
      <c r="Y1218" s="9"/>
      <c r="Z1218" s="9"/>
      <c r="AA1218" s="9"/>
    </row>
    <row r="1219" spans="1:27">
      <c r="A1219" s="9" t="s">
        <v>2131</v>
      </c>
      <c r="B1219" s="9" t="s">
        <v>204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9"/>
      <c r="U1219" s="9"/>
      <c r="V1219" s="9"/>
      <c r="W1219" s="9"/>
      <c r="X1219" s="9"/>
      <c r="Y1219" s="9"/>
      <c r="Z1219" s="9"/>
      <c r="AA1219" s="9"/>
    </row>
    <row r="1220" spans="1:27">
      <c r="A1220" s="9" t="s">
        <v>2132</v>
      </c>
      <c r="B1220" s="9" t="s">
        <v>205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9"/>
      <c r="U1220" s="9"/>
      <c r="V1220" s="9"/>
      <c r="W1220" s="9"/>
      <c r="X1220" s="9"/>
      <c r="Y1220" s="9"/>
      <c r="Z1220" s="9"/>
      <c r="AA1220" s="9"/>
    </row>
    <row r="1221" spans="1:27">
      <c r="A1221" s="9" t="s">
        <v>2133</v>
      </c>
      <c r="B1221" s="9" t="s">
        <v>206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9"/>
      <c r="T1221" s="9"/>
      <c r="U1221" s="9"/>
      <c r="V1221" s="9"/>
      <c r="W1221" s="9"/>
      <c r="X1221" s="9"/>
      <c r="Y1221" s="9"/>
      <c r="Z1221" s="9"/>
      <c r="AA1221" s="9"/>
    </row>
    <row r="1222" spans="1:27">
      <c r="A1222" s="9" t="s">
        <v>2134</v>
      </c>
      <c r="B1222" s="9" t="s">
        <v>207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9"/>
      <c r="T1222" s="9"/>
      <c r="U1222" s="9"/>
      <c r="V1222" s="9"/>
      <c r="W1222" s="9"/>
      <c r="X1222" s="9"/>
      <c r="Y1222" s="9"/>
      <c r="Z1222" s="9"/>
      <c r="AA1222" s="9"/>
    </row>
    <row r="1223" spans="1:27">
      <c r="A1223" s="9" t="s">
        <v>2135</v>
      </c>
      <c r="B1223" s="9" t="s">
        <v>208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9"/>
      <c r="T1223" s="9"/>
      <c r="U1223" s="9"/>
      <c r="V1223" s="9"/>
      <c r="W1223" s="9"/>
      <c r="X1223" s="9"/>
      <c r="Y1223" s="9"/>
      <c r="Z1223" s="9"/>
      <c r="AA1223" s="9"/>
    </row>
    <row r="1224" spans="1:27">
      <c r="A1224" s="9" t="s">
        <v>2136</v>
      </c>
      <c r="B1224" s="9" t="s">
        <v>209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9"/>
      <c r="U1224" s="9"/>
      <c r="V1224" s="9"/>
      <c r="W1224" s="9"/>
      <c r="X1224" s="9"/>
      <c r="Y1224" s="9"/>
      <c r="Z1224" s="9"/>
      <c r="AA1224" s="9"/>
    </row>
    <row r="1225" spans="1:27">
      <c r="A1225" s="9" t="s">
        <v>2137</v>
      </c>
      <c r="B1225" s="9" t="s">
        <v>210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9"/>
      <c r="T1225" s="9"/>
      <c r="U1225" s="9"/>
      <c r="V1225" s="9"/>
      <c r="W1225" s="9"/>
      <c r="X1225" s="9"/>
      <c r="Y1225" s="9"/>
      <c r="Z1225" s="9"/>
      <c r="AA1225" s="9"/>
    </row>
    <row r="1226" spans="1:27">
      <c r="A1226" s="9" t="s">
        <v>2138</v>
      </c>
      <c r="B1226" s="9" t="s">
        <v>211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9"/>
      <c r="T1226" s="9"/>
      <c r="U1226" s="9"/>
      <c r="V1226" s="9"/>
      <c r="W1226" s="9"/>
      <c r="X1226" s="9"/>
      <c r="Y1226" s="9"/>
      <c r="Z1226" s="9"/>
      <c r="AA1226" s="9"/>
    </row>
    <row r="1227" spans="1:27">
      <c r="A1227" s="9" t="s">
        <v>2139</v>
      </c>
      <c r="B1227" s="9" t="s">
        <v>212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9"/>
      <c r="T1227" s="9"/>
      <c r="U1227" s="9"/>
      <c r="V1227" s="9"/>
      <c r="W1227" s="9"/>
      <c r="X1227" s="9"/>
      <c r="Y1227" s="9"/>
      <c r="Z1227" s="9"/>
      <c r="AA1227" s="9"/>
    </row>
    <row r="1228" spans="1:27">
      <c r="A1228" s="9" t="s">
        <v>2140</v>
      </c>
      <c r="B1228" s="9" t="s">
        <v>213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9"/>
      <c r="U1228" s="9"/>
      <c r="V1228" s="9"/>
      <c r="W1228" s="9"/>
      <c r="X1228" s="9"/>
      <c r="Y1228" s="9"/>
      <c r="Z1228" s="9"/>
      <c r="AA1228" s="9"/>
    </row>
    <row r="1229" spans="1:27">
      <c r="A1229" s="9" t="s">
        <v>2141</v>
      </c>
      <c r="B1229" s="9" t="s">
        <v>214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9"/>
      <c r="T1229" s="9"/>
      <c r="U1229" s="9"/>
      <c r="V1229" s="9"/>
      <c r="W1229" s="9"/>
      <c r="X1229" s="9"/>
      <c r="Y1229" s="9"/>
      <c r="Z1229" s="9"/>
      <c r="AA1229" s="9"/>
    </row>
    <row r="1230" spans="1:27">
      <c r="A1230" s="9" t="s">
        <v>2142</v>
      </c>
      <c r="B1230" s="9" t="s">
        <v>215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9"/>
      <c r="T1230" s="9"/>
      <c r="U1230" s="9"/>
      <c r="V1230" s="9"/>
      <c r="W1230" s="9"/>
      <c r="X1230" s="9"/>
      <c r="Y1230" s="9"/>
      <c r="Z1230" s="9"/>
      <c r="AA1230" s="9"/>
    </row>
    <row r="1231" spans="1:27">
      <c r="A1231" s="9" t="s">
        <v>2143</v>
      </c>
      <c r="B1231" s="9" t="s">
        <v>216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9"/>
      <c r="T1231" s="9"/>
      <c r="U1231" s="9"/>
      <c r="V1231" s="9"/>
      <c r="W1231" s="9"/>
      <c r="X1231" s="9"/>
      <c r="Y1231" s="9"/>
      <c r="Z1231" s="9"/>
      <c r="AA1231" s="9"/>
    </row>
    <row r="1232" spans="1:27">
      <c r="A1232" s="9" t="s">
        <v>2144</v>
      </c>
      <c r="B1232" s="9" t="s">
        <v>217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9"/>
      <c r="U1232" s="9"/>
      <c r="V1232" s="9"/>
      <c r="W1232" s="9"/>
      <c r="X1232" s="9"/>
      <c r="Y1232" s="9"/>
      <c r="Z1232" s="9"/>
      <c r="AA1232" s="9"/>
    </row>
    <row r="1233" spans="1:27">
      <c r="A1233" s="9" t="s">
        <v>2145</v>
      </c>
      <c r="B1233" s="9" t="s">
        <v>218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9"/>
      <c r="T1233" s="9"/>
      <c r="U1233" s="9"/>
      <c r="V1233" s="9"/>
      <c r="W1233" s="9"/>
      <c r="X1233" s="9"/>
      <c r="Y1233" s="9"/>
      <c r="Z1233" s="9"/>
      <c r="AA1233" s="9"/>
    </row>
    <row r="1234" spans="1:27">
      <c r="A1234" s="9" t="s">
        <v>2146</v>
      </c>
      <c r="B1234" s="9" t="s">
        <v>219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9"/>
      <c r="T1234" s="9"/>
      <c r="U1234" s="9"/>
      <c r="V1234" s="9"/>
      <c r="W1234" s="9"/>
      <c r="X1234" s="9"/>
      <c r="Y1234" s="9"/>
      <c r="Z1234" s="9"/>
      <c r="AA1234" s="9"/>
    </row>
    <row r="1235" spans="1:27">
      <c r="A1235" s="9" t="s">
        <v>2147</v>
      </c>
      <c r="B1235" s="9" t="s">
        <v>220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9"/>
      <c r="T1235" s="9"/>
      <c r="U1235" s="9"/>
      <c r="V1235" s="9"/>
      <c r="W1235" s="9"/>
      <c r="X1235" s="9"/>
      <c r="Y1235" s="9"/>
      <c r="Z1235" s="9"/>
      <c r="AA1235" s="9"/>
    </row>
    <row r="1236" spans="1:27">
      <c r="A1236" s="9" t="s">
        <v>2148</v>
      </c>
      <c r="B1236" s="9" t="s">
        <v>221</v>
      </c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9"/>
      <c r="U1236" s="9"/>
      <c r="V1236" s="9"/>
      <c r="W1236" s="9"/>
      <c r="X1236" s="9"/>
      <c r="Y1236" s="9"/>
      <c r="Z1236" s="9"/>
      <c r="AA1236" s="9"/>
    </row>
    <row r="1237" spans="1:27">
      <c r="A1237" s="9" t="s">
        <v>2149</v>
      </c>
      <c r="B1237" s="9" t="s">
        <v>222</v>
      </c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9"/>
      <c r="T1237" s="9"/>
      <c r="U1237" s="9"/>
      <c r="V1237" s="9"/>
      <c r="W1237" s="9"/>
      <c r="X1237" s="9"/>
      <c r="Y1237" s="9"/>
      <c r="Z1237" s="9"/>
      <c r="AA1237" s="9"/>
    </row>
    <row r="1238" spans="1:27">
      <c r="A1238" s="9" t="s">
        <v>2150</v>
      </c>
      <c r="B1238" s="9" t="s">
        <v>223</v>
      </c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9"/>
      <c r="T1238" s="9"/>
      <c r="U1238" s="9"/>
      <c r="V1238" s="9"/>
      <c r="W1238" s="9"/>
      <c r="X1238" s="9"/>
      <c r="Y1238" s="9"/>
      <c r="Z1238" s="9"/>
      <c r="AA1238" s="9"/>
    </row>
    <row r="1239" spans="1:27">
      <c r="A1239" s="9" t="s">
        <v>2151</v>
      </c>
      <c r="B1239" s="9" t="s">
        <v>224</v>
      </c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9"/>
      <c r="T1239" s="9"/>
      <c r="U1239" s="9"/>
      <c r="V1239" s="9"/>
      <c r="W1239" s="9"/>
      <c r="X1239" s="9"/>
      <c r="Y1239" s="9"/>
      <c r="Z1239" s="9"/>
      <c r="AA1239" s="9"/>
    </row>
    <row r="1240" spans="1:27">
      <c r="A1240" s="9" t="s">
        <v>2152</v>
      </c>
      <c r="B1240" s="9" t="s">
        <v>225</v>
      </c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9"/>
      <c r="U1240" s="9"/>
      <c r="V1240" s="9"/>
      <c r="W1240" s="9"/>
      <c r="X1240" s="9"/>
      <c r="Y1240" s="9"/>
      <c r="Z1240" s="9"/>
      <c r="AA1240" s="9"/>
    </row>
    <row r="1241" spans="1:27">
      <c r="A1241" s="9" t="s">
        <v>2153</v>
      </c>
      <c r="B1241" s="9" t="s">
        <v>226</v>
      </c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9"/>
      <c r="T1241" s="9"/>
      <c r="U1241" s="9"/>
      <c r="V1241" s="9"/>
      <c r="W1241" s="9"/>
      <c r="X1241" s="9"/>
      <c r="Y1241" s="9"/>
      <c r="Z1241" s="9"/>
      <c r="AA1241" s="9"/>
    </row>
    <row r="1242" spans="1:27">
      <c r="A1242" s="9" t="s">
        <v>2154</v>
      </c>
      <c r="B1242" s="9" t="s">
        <v>227</v>
      </c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9"/>
      <c r="T1242" s="9"/>
      <c r="U1242" s="9"/>
      <c r="V1242" s="9"/>
      <c r="W1242" s="9"/>
      <c r="X1242" s="9"/>
      <c r="Y1242" s="9"/>
      <c r="Z1242" s="9"/>
      <c r="AA1242" s="9"/>
    </row>
    <row r="1243" spans="1:27">
      <c r="A1243" s="9" t="s">
        <v>2155</v>
      </c>
      <c r="B1243" s="9" t="s">
        <v>228</v>
      </c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9"/>
      <c r="T1243" s="9"/>
      <c r="U1243" s="9"/>
      <c r="V1243" s="9"/>
      <c r="W1243" s="9"/>
      <c r="X1243" s="9"/>
      <c r="Y1243" s="9"/>
      <c r="Z1243" s="9"/>
      <c r="AA1243" s="9"/>
    </row>
    <row r="1244" spans="1:27">
      <c r="A1244" s="9" t="s">
        <v>2156</v>
      </c>
      <c r="B1244" s="9" t="s">
        <v>2168</v>
      </c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9"/>
      <c r="U1244" s="9"/>
      <c r="V1244" s="9"/>
      <c r="W1244" s="9"/>
      <c r="X1244" s="9"/>
      <c r="Y1244" s="9"/>
      <c r="Z1244" s="9"/>
      <c r="AA1244" s="9"/>
    </row>
    <row r="1245" spans="1:27">
      <c r="A1245" s="9" t="s">
        <v>2157</v>
      </c>
      <c r="B1245" s="9" t="s">
        <v>229</v>
      </c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9"/>
      <c r="T1245" s="9"/>
      <c r="U1245" s="9"/>
      <c r="V1245" s="9"/>
      <c r="W1245" s="9"/>
      <c r="X1245" s="9"/>
      <c r="Y1245" s="9"/>
      <c r="Z1245" s="9"/>
      <c r="AA1245" s="9"/>
    </row>
    <row r="1246" spans="1:27">
      <c r="A1246" s="9" t="s">
        <v>2158</v>
      </c>
      <c r="B1246" s="9" t="s">
        <v>230</v>
      </c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9"/>
      <c r="T1246" s="9"/>
      <c r="U1246" s="9"/>
      <c r="V1246" s="9"/>
      <c r="W1246" s="9"/>
      <c r="X1246" s="9"/>
      <c r="Y1246" s="9"/>
      <c r="Z1246" s="9"/>
      <c r="AA1246" s="9"/>
    </row>
    <row r="1247" spans="1:27">
      <c r="A1247" s="9" t="s">
        <v>2704</v>
      </c>
      <c r="B1247" s="9" t="s">
        <v>2551</v>
      </c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9"/>
      <c r="U1247" s="9"/>
      <c r="V1247" s="9"/>
      <c r="W1247" s="9"/>
      <c r="X1247" s="9"/>
      <c r="Y1247" s="9"/>
      <c r="Z1247" s="9"/>
      <c r="AA1247" s="9"/>
    </row>
    <row r="1248" spans="1:27">
      <c r="A1248" s="9" t="s">
        <v>2159</v>
      </c>
      <c r="B1248" s="9" t="s">
        <v>237</v>
      </c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9"/>
      <c r="U1248" s="9"/>
      <c r="V1248" s="9"/>
      <c r="W1248" s="9"/>
      <c r="X1248" s="9"/>
      <c r="Y1248" s="9"/>
      <c r="Z1248" s="9"/>
      <c r="AA1248" s="9"/>
    </row>
    <row r="1249" spans="1:27">
      <c r="A1249" s="9" t="s">
        <v>2160</v>
      </c>
      <c r="B1249" s="9" t="s">
        <v>238</v>
      </c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9"/>
      <c r="T1249" s="9"/>
      <c r="U1249" s="9"/>
      <c r="V1249" s="9"/>
      <c r="W1249" s="9"/>
      <c r="X1249" s="9"/>
      <c r="Y1249" s="9"/>
      <c r="Z1249" s="9"/>
      <c r="AA1249" s="9"/>
    </row>
    <row r="1250" spans="1:27">
      <c r="A1250" s="9" t="s">
        <v>2161</v>
      </c>
      <c r="B1250" s="9" t="s">
        <v>231</v>
      </c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9"/>
      <c r="T1250" s="9"/>
      <c r="U1250" s="9"/>
      <c r="V1250" s="9"/>
      <c r="W1250" s="9"/>
      <c r="X1250" s="9"/>
      <c r="Y1250" s="9"/>
      <c r="Z1250" s="9"/>
      <c r="AA1250" s="9"/>
    </row>
    <row r="1251" spans="1:27">
      <c r="A1251" s="9" t="s">
        <v>2705</v>
      </c>
      <c r="B1251" s="9" t="s">
        <v>2552</v>
      </c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9"/>
      <c r="U1251" s="9"/>
      <c r="V1251" s="9"/>
      <c r="W1251" s="9"/>
      <c r="X1251" s="9"/>
      <c r="Y1251" s="9"/>
      <c r="Z1251" s="9"/>
      <c r="AA1251" s="9"/>
    </row>
    <row r="1252" spans="1:27">
      <c r="A1252" s="9" t="s">
        <v>2162</v>
      </c>
      <c r="B1252" s="9" t="s">
        <v>2169</v>
      </c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9"/>
      <c r="U1252" s="9"/>
      <c r="V1252" s="9"/>
      <c r="W1252" s="9"/>
      <c r="X1252" s="9"/>
      <c r="Y1252" s="9"/>
      <c r="Z1252" s="9"/>
      <c r="AA1252" s="9"/>
    </row>
    <row r="1253" spans="1:27">
      <c r="A1253" s="9" t="s">
        <v>2163</v>
      </c>
      <c r="B1253" s="9" t="s">
        <v>232</v>
      </c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9"/>
      <c r="T1253" s="9"/>
      <c r="U1253" s="9"/>
      <c r="V1253" s="9"/>
      <c r="W1253" s="9"/>
      <c r="X1253" s="9"/>
      <c r="Y1253" s="9"/>
      <c r="Z1253" s="9"/>
      <c r="AA1253" s="9"/>
    </row>
    <row r="1254" spans="1:27">
      <c r="A1254" s="9" t="s">
        <v>2164</v>
      </c>
      <c r="B1254" s="9" t="s">
        <v>2271</v>
      </c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9"/>
      <c r="T1254" s="9"/>
      <c r="U1254" s="9"/>
      <c r="V1254" s="9"/>
      <c r="W1254" s="9"/>
      <c r="X1254" s="9"/>
      <c r="Y1254" s="9"/>
      <c r="Z1254" s="9"/>
      <c r="AA1254" s="9"/>
    </row>
    <row r="1255" spans="1:27">
      <c r="A1255" s="9" t="s">
        <v>2320</v>
      </c>
      <c r="B1255" s="9" t="s">
        <v>243</v>
      </c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9"/>
      <c r="T1255" s="9"/>
      <c r="U1255" s="9"/>
      <c r="V1255" s="9"/>
      <c r="W1255" s="9"/>
      <c r="X1255" s="9"/>
      <c r="Y1255" s="9"/>
      <c r="Z1255" s="9"/>
      <c r="AA1255" s="9"/>
    </row>
    <row r="1256" spans="1:27">
      <c r="A1256" s="9" t="s">
        <v>359</v>
      </c>
      <c r="B1256" s="9" t="s">
        <v>181</v>
      </c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9"/>
      <c r="U1256" s="9"/>
      <c r="V1256" s="9"/>
      <c r="W1256" s="9"/>
      <c r="X1256" s="9"/>
      <c r="Y1256" s="9"/>
      <c r="Z1256" s="9"/>
      <c r="AA1256" s="9"/>
    </row>
    <row r="1257" spans="1:27">
      <c r="A1257" s="9" t="s">
        <v>360</v>
      </c>
      <c r="B1257" s="9" t="s">
        <v>182</v>
      </c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9"/>
      <c r="T1257" s="9"/>
      <c r="U1257" s="9"/>
      <c r="V1257" s="9"/>
      <c r="W1257" s="9"/>
      <c r="X1257" s="9"/>
      <c r="Y1257" s="9"/>
      <c r="Z1257" s="9"/>
      <c r="AA1257" s="9"/>
    </row>
    <row r="1258" spans="1:27">
      <c r="A1258" s="9" t="s">
        <v>361</v>
      </c>
      <c r="B1258" s="9" t="s">
        <v>183</v>
      </c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9"/>
      <c r="T1258" s="9"/>
      <c r="U1258" s="9"/>
      <c r="V1258" s="9"/>
      <c r="W1258" s="9"/>
      <c r="X1258" s="9"/>
      <c r="Y1258" s="9"/>
      <c r="Z1258" s="9"/>
      <c r="AA1258" s="9"/>
    </row>
    <row r="1259" spans="1:27">
      <c r="A1259" s="9" t="s">
        <v>362</v>
      </c>
      <c r="B1259" s="9" t="s">
        <v>184</v>
      </c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9"/>
      <c r="T1259" s="9"/>
      <c r="U1259" s="9"/>
      <c r="V1259" s="9"/>
      <c r="W1259" s="9"/>
      <c r="X1259" s="9"/>
      <c r="Y1259" s="9"/>
      <c r="Z1259" s="9"/>
      <c r="AA1259" s="9"/>
    </row>
    <row r="1260" spans="1:27">
      <c r="A1260" s="9" t="s">
        <v>363</v>
      </c>
      <c r="B1260" s="9" t="s">
        <v>185</v>
      </c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9"/>
      <c r="U1260" s="9"/>
      <c r="V1260" s="9"/>
      <c r="W1260" s="9"/>
      <c r="X1260" s="9"/>
      <c r="Y1260" s="9"/>
      <c r="Z1260" s="9"/>
      <c r="AA1260" s="9"/>
    </row>
    <row r="1261" spans="1:27">
      <c r="A1261" s="9" t="s">
        <v>364</v>
      </c>
      <c r="B1261" s="9" t="s">
        <v>186</v>
      </c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9"/>
      <c r="U1261" s="9"/>
      <c r="V1261" s="9"/>
      <c r="W1261" s="9"/>
      <c r="X1261" s="9"/>
      <c r="Y1261" s="9"/>
      <c r="Z1261" s="9"/>
      <c r="AA1261" s="9"/>
    </row>
    <row r="1262" spans="1:27">
      <c r="A1262" s="9" t="s">
        <v>365</v>
      </c>
      <c r="B1262" s="9" t="s">
        <v>187</v>
      </c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9"/>
      <c r="T1262" s="9"/>
      <c r="U1262" s="9"/>
      <c r="V1262" s="9"/>
      <c r="W1262" s="9"/>
      <c r="X1262" s="9"/>
      <c r="Y1262" s="9"/>
      <c r="Z1262" s="9"/>
      <c r="AA1262" s="9"/>
    </row>
    <row r="1263" spans="1:27">
      <c r="A1263" s="9" t="s">
        <v>2244</v>
      </c>
      <c r="B1263" s="9" t="s">
        <v>2233</v>
      </c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9"/>
      <c r="T1263" s="9"/>
      <c r="U1263" s="9"/>
      <c r="V1263" s="9"/>
      <c r="W1263" s="9"/>
      <c r="X1263" s="9"/>
      <c r="Y1263" s="9"/>
      <c r="Z1263" s="9"/>
      <c r="AA1263" s="9"/>
    </row>
    <row r="1264" spans="1:27">
      <c r="A1264" s="9" t="s">
        <v>366</v>
      </c>
      <c r="B1264" s="9" t="s">
        <v>188</v>
      </c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9"/>
      <c r="U1264" s="9"/>
      <c r="V1264" s="9"/>
      <c r="W1264" s="9"/>
      <c r="X1264" s="9"/>
      <c r="Y1264" s="9"/>
      <c r="Z1264" s="9"/>
      <c r="AA1264" s="9"/>
    </row>
    <row r="1265" spans="1:27">
      <c r="A1265" s="9" t="s">
        <v>367</v>
      </c>
      <c r="B1265" s="9" t="s">
        <v>189</v>
      </c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9"/>
      <c r="T1265" s="9"/>
      <c r="U1265" s="9"/>
      <c r="V1265" s="9"/>
      <c r="W1265" s="9"/>
      <c r="X1265" s="9"/>
      <c r="Y1265" s="9"/>
      <c r="Z1265" s="9"/>
      <c r="AA1265" s="9"/>
    </row>
    <row r="1266" spans="1:27">
      <c r="A1266" s="9" t="s">
        <v>368</v>
      </c>
      <c r="B1266" s="9" t="s">
        <v>190</v>
      </c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9"/>
      <c r="T1266" s="9"/>
      <c r="U1266" s="9"/>
      <c r="V1266" s="9"/>
      <c r="W1266" s="9"/>
      <c r="X1266" s="9"/>
      <c r="Y1266" s="9"/>
      <c r="Z1266" s="9"/>
      <c r="AA1266" s="9"/>
    </row>
    <row r="1267" spans="1:27">
      <c r="A1267" s="9" t="s">
        <v>369</v>
      </c>
      <c r="B1267" s="9" t="s">
        <v>191</v>
      </c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9"/>
      <c r="T1267" s="9"/>
      <c r="U1267" s="9"/>
      <c r="V1267" s="9"/>
      <c r="W1267" s="9"/>
      <c r="X1267" s="9"/>
      <c r="Y1267" s="9"/>
      <c r="Z1267" s="9"/>
      <c r="AA1267" s="9"/>
    </row>
    <row r="1268" spans="1:27">
      <c r="A1268" s="9" t="s">
        <v>370</v>
      </c>
      <c r="B1268" s="9" t="s">
        <v>192</v>
      </c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9"/>
      <c r="U1268" s="9"/>
      <c r="V1268" s="9"/>
      <c r="W1268" s="9"/>
      <c r="X1268" s="9"/>
      <c r="Y1268" s="9"/>
      <c r="Z1268" s="9"/>
      <c r="AA1268" s="9"/>
    </row>
    <row r="1269" spans="1:27">
      <c r="A1269" s="9" t="s">
        <v>371</v>
      </c>
      <c r="B1269" s="9" t="s">
        <v>193</v>
      </c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9"/>
      <c r="T1269" s="9"/>
      <c r="U1269" s="9"/>
      <c r="V1269" s="9"/>
      <c r="W1269" s="9"/>
      <c r="X1269" s="9"/>
      <c r="Y1269" s="9"/>
      <c r="Z1269" s="9"/>
      <c r="AA1269" s="9"/>
    </row>
    <row r="1270" spans="1:27">
      <c r="A1270" s="9" t="s">
        <v>372</v>
      </c>
      <c r="B1270" s="9" t="s">
        <v>242</v>
      </c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9"/>
      <c r="T1270" s="9"/>
      <c r="U1270" s="9"/>
      <c r="V1270" s="9"/>
      <c r="W1270" s="9"/>
      <c r="X1270" s="9"/>
      <c r="Y1270" s="9"/>
      <c r="Z1270" s="9"/>
      <c r="AA1270" s="9"/>
    </row>
    <row r="1271" spans="1:27">
      <c r="A1271" s="9" t="s">
        <v>373</v>
      </c>
      <c r="B1271" s="9" t="s">
        <v>194</v>
      </c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9"/>
      <c r="T1271" s="9"/>
      <c r="U1271" s="9"/>
      <c r="V1271" s="9"/>
      <c r="W1271" s="9"/>
      <c r="X1271" s="9"/>
      <c r="Y1271" s="9"/>
      <c r="Z1271" s="9"/>
      <c r="AA1271" s="9"/>
    </row>
    <row r="1272" spans="1:27">
      <c r="A1272" s="9" t="s">
        <v>374</v>
      </c>
      <c r="B1272" s="9" t="s">
        <v>195</v>
      </c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9"/>
      <c r="U1272" s="9"/>
      <c r="V1272" s="9"/>
      <c r="W1272" s="9"/>
      <c r="X1272" s="9"/>
      <c r="Y1272" s="9"/>
      <c r="Z1272" s="9"/>
      <c r="AA1272" s="9"/>
    </row>
    <row r="1273" spans="1:27">
      <c r="A1273" s="9" t="s">
        <v>375</v>
      </c>
      <c r="B1273" s="9" t="s">
        <v>196</v>
      </c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9"/>
      <c r="T1273" s="9"/>
      <c r="U1273" s="9"/>
      <c r="V1273" s="9"/>
      <c r="W1273" s="9"/>
      <c r="X1273" s="9"/>
      <c r="Y1273" s="9"/>
      <c r="Z1273" s="9"/>
      <c r="AA1273" s="9"/>
    </row>
    <row r="1274" spans="1:27">
      <c r="A1274" s="9" t="s">
        <v>376</v>
      </c>
      <c r="B1274" s="9" t="s">
        <v>197</v>
      </c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9"/>
      <c r="T1274" s="9"/>
      <c r="U1274" s="9"/>
      <c r="V1274" s="9"/>
      <c r="W1274" s="9"/>
      <c r="X1274" s="9"/>
      <c r="Y1274" s="9"/>
      <c r="Z1274" s="9"/>
      <c r="AA1274" s="9"/>
    </row>
    <row r="1275" spans="1:27">
      <c r="A1275" s="9" t="s">
        <v>377</v>
      </c>
      <c r="B1275" s="9" t="s">
        <v>198</v>
      </c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9"/>
      <c r="T1275" s="9"/>
      <c r="U1275" s="9"/>
      <c r="V1275" s="9"/>
      <c r="W1275" s="9"/>
      <c r="X1275" s="9"/>
      <c r="Y1275" s="9"/>
      <c r="Z1275" s="9"/>
      <c r="AA1275" s="9"/>
    </row>
    <row r="1276" spans="1:27">
      <c r="A1276" s="9" t="s">
        <v>378</v>
      </c>
      <c r="B1276" s="9" t="s">
        <v>199</v>
      </c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9"/>
      <c r="U1276" s="9"/>
      <c r="V1276" s="9"/>
      <c r="W1276" s="9"/>
      <c r="X1276" s="9"/>
      <c r="Y1276" s="9"/>
      <c r="Z1276" s="9"/>
      <c r="AA1276" s="9"/>
    </row>
    <row r="1277" spans="1:27">
      <c r="A1277" s="9" t="s">
        <v>379</v>
      </c>
      <c r="B1277" s="9" t="s">
        <v>200</v>
      </c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9"/>
      <c r="T1277" s="9"/>
      <c r="U1277" s="9"/>
      <c r="V1277" s="9"/>
      <c r="W1277" s="9"/>
      <c r="X1277" s="9"/>
      <c r="Y1277" s="9"/>
      <c r="Z1277" s="9"/>
      <c r="AA1277" s="9"/>
    </row>
    <row r="1278" spans="1:27">
      <c r="A1278" s="9" t="s">
        <v>1837</v>
      </c>
      <c r="B1278" s="9" t="s">
        <v>2166</v>
      </c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9"/>
      <c r="T1278" s="9"/>
      <c r="U1278" s="9"/>
      <c r="V1278" s="9"/>
      <c r="W1278" s="9"/>
      <c r="X1278" s="9"/>
      <c r="Y1278" s="9"/>
      <c r="Z1278" s="9"/>
      <c r="AA1278" s="9"/>
    </row>
    <row r="1279" spans="1:27">
      <c r="A1279" s="9" t="s">
        <v>2706</v>
      </c>
      <c r="B1279" s="9" t="s">
        <v>2553</v>
      </c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9"/>
      <c r="T1279" s="9"/>
      <c r="U1279" s="9"/>
      <c r="V1279" s="9"/>
      <c r="W1279" s="9"/>
      <c r="X1279" s="9"/>
      <c r="Y1279" s="9"/>
      <c r="Z1279" s="9"/>
      <c r="AA1279" s="9"/>
    </row>
    <row r="1280" spans="1:27">
      <c r="A1280" s="9" t="s">
        <v>1838</v>
      </c>
      <c r="B1280" s="9" t="s">
        <v>2167</v>
      </c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9"/>
      <c r="U1280" s="9"/>
      <c r="V1280" s="9"/>
      <c r="W1280" s="9"/>
      <c r="X1280" s="9"/>
      <c r="Y1280" s="9"/>
      <c r="Z1280" s="9"/>
      <c r="AA1280" s="9"/>
    </row>
    <row r="1281" spans="1:27">
      <c r="A1281" s="9" t="s">
        <v>380</v>
      </c>
      <c r="B1281" s="9" t="s">
        <v>201</v>
      </c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9"/>
      <c r="T1281" s="9"/>
      <c r="U1281" s="9"/>
      <c r="V1281" s="9"/>
      <c r="W1281" s="9"/>
      <c r="X1281" s="9"/>
      <c r="Y1281" s="9"/>
      <c r="Z1281" s="9"/>
      <c r="AA1281" s="9"/>
    </row>
    <row r="1282" spans="1:27">
      <c r="A1282" s="9" t="s">
        <v>381</v>
      </c>
      <c r="B1282" s="9" t="s">
        <v>202</v>
      </c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9"/>
      <c r="U1282" s="9"/>
      <c r="V1282" s="9"/>
      <c r="W1282" s="9"/>
      <c r="X1282" s="9"/>
      <c r="Y1282" s="9"/>
      <c r="Z1282" s="9"/>
      <c r="AA1282" s="9"/>
    </row>
    <row r="1283" spans="1:27">
      <c r="A1283" s="9" t="s">
        <v>382</v>
      </c>
      <c r="B1283" s="9" t="s">
        <v>203</v>
      </c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9"/>
      <c r="T1283" s="9"/>
      <c r="U1283" s="9"/>
      <c r="V1283" s="9"/>
      <c r="W1283" s="9"/>
      <c r="X1283" s="9"/>
      <c r="Y1283" s="9"/>
      <c r="Z1283" s="9"/>
      <c r="AA1283" s="9"/>
    </row>
    <row r="1284" spans="1:27">
      <c r="A1284" s="9" t="s">
        <v>383</v>
      </c>
      <c r="B1284" s="9" t="s">
        <v>204</v>
      </c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9"/>
      <c r="U1284" s="9"/>
      <c r="V1284" s="9"/>
      <c r="W1284" s="9"/>
      <c r="X1284" s="9"/>
      <c r="Y1284" s="9"/>
      <c r="Z1284" s="9"/>
      <c r="AA1284" s="9"/>
    </row>
    <row r="1285" spans="1:27">
      <c r="A1285" s="9" t="s">
        <v>384</v>
      </c>
      <c r="B1285" s="9" t="s">
        <v>205</v>
      </c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9"/>
      <c r="T1285" s="9"/>
      <c r="U1285" s="9"/>
      <c r="V1285" s="9"/>
      <c r="W1285" s="9"/>
      <c r="X1285" s="9"/>
      <c r="Y1285" s="9"/>
      <c r="Z1285" s="9"/>
      <c r="AA1285" s="9"/>
    </row>
    <row r="1286" spans="1:27">
      <c r="A1286" s="9" t="s">
        <v>385</v>
      </c>
      <c r="B1286" s="9" t="s">
        <v>206</v>
      </c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9"/>
      <c r="T1286" s="9"/>
      <c r="U1286" s="9"/>
      <c r="V1286" s="9"/>
      <c r="W1286" s="9"/>
      <c r="X1286" s="9"/>
      <c r="Y1286" s="9"/>
      <c r="Z1286" s="9"/>
      <c r="AA1286" s="9"/>
    </row>
    <row r="1287" spans="1:27">
      <c r="A1287" s="9" t="s">
        <v>386</v>
      </c>
      <c r="B1287" s="9" t="s">
        <v>207</v>
      </c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9"/>
      <c r="T1287" s="9"/>
      <c r="U1287" s="9"/>
      <c r="V1287" s="9"/>
      <c r="W1287" s="9"/>
      <c r="X1287" s="9"/>
      <c r="Y1287" s="9"/>
      <c r="Z1287" s="9"/>
      <c r="AA1287" s="9"/>
    </row>
    <row r="1288" spans="1:27">
      <c r="A1288" s="9" t="s">
        <v>387</v>
      </c>
      <c r="B1288" s="9" t="s">
        <v>208</v>
      </c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9"/>
      <c r="U1288" s="9"/>
      <c r="V1288" s="9"/>
      <c r="W1288" s="9"/>
      <c r="X1288" s="9"/>
      <c r="Y1288" s="9"/>
      <c r="Z1288" s="9"/>
      <c r="AA1288" s="9"/>
    </row>
    <row r="1289" spans="1:27">
      <c r="A1289" s="9" t="s">
        <v>388</v>
      </c>
      <c r="B1289" s="9" t="s">
        <v>209</v>
      </c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9"/>
      <c r="T1289" s="9"/>
      <c r="U1289" s="9"/>
      <c r="V1289" s="9"/>
      <c r="W1289" s="9"/>
      <c r="X1289" s="9"/>
      <c r="Y1289" s="9"/>
      <c r="Z1289" s="9"/>
      <c r="AA1289" s="9"/>
    </row>
    <row r="1290" spans="1:27">
      <c r="A1290" s="9" t="s">
        <v>389</v>
      </c>
      <c r="B1290" s="9" t="s">
        <v>210</v>
      </c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9"/>
      <c r="U1290" s="9"/>
      <c r="V1290" s="9"/>
      <c r="W1290" s="9"/>
      <c r="X1290" s="9"/>
      <c r="Y1290" s="9"/>
      <c r="Z1290" s="9"/>
      <c r="AA1290" s="9"/>
    </row>
    <row r="1291" spans="1:27">
      <c r="A1291" s="9" t="s">
        <v>390</v>
      </c>
      <c r="B1291" s="9" t="s">
        <v>211</v>
      </c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9"/>
      <c r="T1291" s="9"/>
      <c r="U1291" s="9"/>
      <c r="V1291" s="9"/>
      <c r="W1291" s="9"/>
      <c r="X1291" s="9"/>
      <c r="Y1291" s="9"/>
      <c r="Z1291" s="9"/>
      <c r="AA1291" s="9"/>
    </row>
    <row r="1292" spans="1:27">
      <c r="A1292" s="9" t="s">
        <v>391</v>
      </c>
      <c r="B1292" s="9" t="s">
        <v>212</v>
      </c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9"/>
      <c r="U1292" s="9"/>
      <c r="V1292" s="9"/>
      <c r="W1292" s="9"/>
      <c r="X1292" s="9"/>
      <c r="Y1292" s="9"/>
      <c r="Z1292" s="9"/>
      <c r="AA1292" s="9"/>
    </row>
    <row r="1293" spans="1:27">
      <c r="A1293" s="9" t="s">
        <v>392</v>
      </c>
      <c r="B1293" s="9" t="s">
        <v>213</v>
      </c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9"/>
      <c r="T1293" s="9"/>
      <c r="U1293" s="9"/>
      <c r="V1293" s="9"/>
      <c r="W1293" s="9"/>
      <c r="X1293" s="9"/>
      <c r="Y1293" s="9"/>
      <c r="Z1293" s="9"/>
      <c r="AA1293" s="9"/>
    </row>
    <row r="1294" spans="1:27">
      <c r="A1294" s="9" t="s">
        <v>393</v>
      </c>
      <c r="B1294" s="9" t="s">
        <v>214</v>
      </c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9"/>
      <c r="T1294" s="9"/>
      <c r="U1294" s="9"/>
      <c r="V1294" s="9"/>
      <c r="W1294" s="9"/>
      <c r="X1294" s="9"/>
      <c r="Y1294" s="9"/>
      <c r="Z1294" s="9"/>
      <c r="AA1294" s="9"/>
    </row>
    <row r="1295" spans="1:27">
      <c r="A1295" s="9" t="s">
        <v>394</v>
      </c>
      <c r="B1295" s="9" t="s">
        <v>215</v>
      </c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9"/>
      <c r="T1295" s="9"/>
      <c r="U1295" s="9"/>
      <c r="V1295" s="9"/>
      <c r="W1295" s="9"/>
      <c r="X1295" s="9"/>
      <c r="Y1295" s="9"/>
      <c r="Z1295" s="9"/>
      <c r="AA1295" s="9"/>
    </row>
    <row r="1296" spans="1:27">
      <c r="A1296" s="9" t="s">
        <v>395</v>
      </c>
      <c r="B1296" s="9" t="s">
        <v>216</v>
      </c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9"/>
      <c r="U1296" s="9"/>
      <c r="V1296" s="9"/>
      <c r="W1296" s="9"/>
      <c r="X1296" s="9"/>
      <c r="Y1296" s="9"/>
      <c r="Z1296" s="9"/>
      <c r="AA1296" s="9"/>
    </row>
    <row r="1297" spans="1:27">
      <c r="A1297" s="9" t="s">
        <v>396</v>
      </c>
      <c r="B1297" s="9" t="s">
        <v>217</v>
      </c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9"/>
      <c r="T1297" s="9"/>
      <c r="U1297" s="9"/>
      <c r="V1297" s="9"/>
      <c r="W1297" s="9"/>
      <c r="X1297" s="9"/>
      <c r="Y1297" s="9"/>
      <c r="Z1297" s="9"/>
      <c r="AA1297" s="9"/>
    </row>
    <row r="1298" spans="1:27">
      <c r="A1298" s="9" t="s">
        <v>397</v>
      </c>
      <c r="B1298" s="9" t="s">
        <v>218</v>
      </c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9"/>
      <c r="T1298" s="9"/>
      <c r="U1298" s="9"/>
      <c r="V1298" s="9"/>
      <c r="W1298" s="9"/>
      <c r="X1298" s="9"/>
      <c r="Y1298" s="9"/>
      <c r="Z1298" s="9"/>
      <c r="AA1298" s="9"/>
    </row>
    <row r="1299" spans="1:27">
      <c r="A1299" s="9" t="s">
        <v>398</v>
      </c>
      <c r="B1299" s="9" t="s">
        <v>219</v>
      </c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9"/>
      <c r="T1299" s="9"/>
      <c r="U1299" s="9"/>
      <c r="V1299" s="9"/>
      <c r="W1299" s="9"/>
      <c r="X1299" s="9"/>
      <c r="Y1299" s="9"/>
      <c r="Z1299" s="9"/>
      <c r="AA1299" s="9"/>
    </row>
    <row r="1300" spans="1:27">
      <c r="A1300" s="9" t="s">
        <v>399</v>
      </c>
      <c r="B1300" s="9" t="s">
        <v>220</v>
      </c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9"/>
      <c r="U1300" s="9"/>
      <c r="V1300" s="9"/>
      <c r="W1300" s="9"/>
      <c r="X1300" s="9"/>
      <c r="Y1300" s="9"/>
      <c r="Z1300" s="9"/>
      <c r="AA1300" s="9"/>
    </row>
    <row r="1301" spans="1:27">
      <c r="A1301" s="9" t="s">
        <v>400</v>
      </c>
      <c r="B1301" s="9" t="s">
        <v>221</v>
      </c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9"/>
      <c r="T1301" s="9"/>
      <c r="U1301" s="9"/>
      <c r="V1301" s="9"/>
      <c r="W1301" s="9"/>
      <c r="X1301" s="9"/>
      <c r="Y1301" s="9"/>
      <c r="Z1301" s="9"/>
      <c r="AA1301" s="9"/>
    </row>
    <row r="1302" spans="1:27">
      <c r="A1302" s="9" t="s">
        <v>401</v>
      </c>
      <c r="B1302" s="9" t="s">
        <v>222</v>
      </c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9"/>
      <c r="U1302" s="9"/>
      <c r="V1302" s="9"/>
      <c r="W1302" s="9"/>
      <c r="X1302" s="9"/>
      <c r="Y1302" s="9"/>
      <c r="Z1302" s="9"/>
      <c r="AA1302" s="9"/>
    </row>
    <row r="1303" spans="1:27">
      <c r="A1303" s="9" t="s">
        <v>402</v>
      </c>
      <c r="B1303" s="9" t="s">
        <v>223</v>
      </c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9"/>
      <c r="U1303" s="9"/>
      <c r="V1303" s="9"/>
      <c r="W1303" s="9"/>
      <c r="X1303" s="9"/>
      <c r="Y1303" s="9"/>
      <c r="Z1303" s="9"/>
      <c r="AA1303" s="9"/>
    </row>
    <row r="1304" spans="1:27">
      <c r="A1304" s="9" t="s">
        <v>403</v>
      </c>
      <c r="B1304" s="9" t="s">
        <v>224</v>
      </c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9"/>
      <c r="U1304" s="9"/>
      <c r="V1304" s="9"/>
      <c r="W1304" s="9"/>
      <c r="X1304" s="9"/>
      <c r="Y1304" s="9"/>
      <c r="Z1304" s="9"/>
      <c r="AA1304" s="9"/>
    </row>
    <row r="1305" spans="1:27">
      <c r="A1305" s="9" t="s">
        <v>404</v>
      </c>
      <c r="B1305" s="9" t="s">
        <v>225</v>
      </c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9"/>
      <c r="T1305" s="9"/>
      <c r="U1305" s="9"/>
      <c r="V1305" s="9"/>
      <c r="W1305" s="9"/>
      <c r="X1305" s="9"/>
      <c r="Y1305" s="9"/>
      <c r="Z1305" s="9"/>
      <c r="AA1305" s="9"/>
    </row>
    <row r="1306" spans="1:27">
      <c r="A1306" s="9" t="s">
        <v>405</v>
      </c>
      <c r="B1306" s="9" t="s">
        <v>226</v>
      </c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9"/>
      <c r="T1306" s="9"/>
      <c r="U1306" s="9"/>
      <c r="V1306" s="9"/>
      <c r="W1306" s="9"/>
      <c r="X1306" s="9"/>
      <c r="Y1306" s="9"/>
      <c r="Z1306" s="9"/>
      <c r="AA1306" s="9"/>
    </row>
    <row r="1307" spans="1:27">
      <c r="A1307" s="9" t="s">
        <v>406</v>
      </c>
      <c r="B1307" s="9" t="s">
        <v>227</v>
      </c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9"/>
      <c r="T1307" s="9"/>
      <c r="U1307" s="9"/>
      <c r="V1307" s="9"/>
      <c r="W1307" s="9"/>
      <c r="X1307" s="9"/>
      <c r="Y1307" s="9"/>
      <c r="Z1307" s="9"/>
      <c r="AA1307" s="9"/>
    </row>
    <row r="1308" spans="1:27">
      <c r="A1308" s="9" t="s">
        <v>407</v>
      </c>
      <c r="B1308" s="9" t="s">
        <v>228</v>
      </c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9"/>
      <c r="U1308" s="9"/>
      <c r="V1308" s="9"/>
      <c r="W1308" s="9"/>
      <c r="X1308" s="9"/>
      <c r="Y1308" s="9"/>
      <c r="Z1308" s="9"/>
      <c r="AA1308" s="9"/>
    </row>
    <row r="1309" spans="1:27">
      <c r="A1309" s="9" t="s">
        <v>1839</v>
      </c>
      <c r="B1309" s="9" t="s">
        <v>2168</v>
      </c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9"/>
      <c r="T1309" s="9"/>
      <c r="U1309" s="9"/>
      <c r="V1309" s="9"/>
      <c r="W1309" s="9"/>
      <c r="X1309" s="9"/>
      <c r="Y1309" s="9"/>
      <c r="Z1309" s="9"/>
      <c r="AA1309" s="9"/>
    </row>
    <row r="1310" spans="1:27">
      <c r="A1310" s="9" t="s">
        <v>408</v>
      </c>
      <c r="B1310" s="9" t="s">
        <v>229</v>
      </c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9"/>
      <c r="T1310" s="9"/>
      <c r="U1310" s="9"/>
      <c r="V1310" s="9"/>
      <c r="W1310" s="9"/>
      <c r="X1310" s="9"/>
      <c r="Y1310" s="9"/>
      <c r="Z1310" s="9"/>
      <c r="AA1310" s="9"/>
    </row>
    <row r="1311" spans="1:27">
      <c r="A1311" s="9" t="s">
        <v>409</v>
      </c>
      <c r="B1311" s="9" t="s">
        <v>230</v>
      </c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9"/>
      <c r="T1311" s="9"/>
      <c r="U1311" s="9"/>
      <c r="V1311" s="9"/>
      <c r="W1311" s="9"/>
      <c r="X1311" s="9"/>
      <c r="Y1311" s="9"/>
      <c r="Z1311" s="9"/>
      <c r="AA1311" s="9"/>
    </row>
    <row r="1312" spans="1:27">
      <c r="A1312" s="9" t="s">
        <v>2707</v>
      </c>
      <c r="B1312" s="9" t="s">
        <v>2551</v>
      </c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9"/>
      <c r="U1312" s="9"/>
      <c r="V1312" s="9"/>
      <c r="W1312" s="9"/>
      <c r="X1312" s="9"/>
      <c r="Y1312" s="9"/>
      <c r="Z1312" s="9"/>
      <c r="AA1312" s="9"/>
    </row>
    <row r="1313" spans="1:27">
      <c r="A1313" s="9" t="s">
        <v>410</v>
      </c>
      <c r="B1313" s="9" t="s">
        <v>237</v>
      </c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9"/>
      <c r="T1313" s="9"/>
      <c r="U1313" s="9"/>
      <c r="V1313" s="9"/>
      <c r="W1313" s="9"/>
      <c r="X1313" s="9"/>
      <c r="Y1313" s="9"/>
      <c r="Z1313" s="9"/>
      <c r="AA1313" s="9"/>
    </row>
    <row r="1314" spans="1:27">
      <c r="A1314" s="9" t="s">
        <v>411</v>
      </c>
      <c r="B1314" s="9" t="s">
        <v>238</v>
      </c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9"/>
      <c r="T1314" s="9"/>
      <c r="U1314" s="9"/>
      <c r="V1314" s="9"/>
      <c r="W1314" s="9"/>
      <c r="X1314" s="9"/>
      <c r="Y1314" s="9"/>
      <c r="Z1314" s="9"/>
      <c r="AA1314" s="9"/>
    </row>
    <row r="1315" spans="1:27">
      <c r="A1315" s="9" t="s">
        <v>412</v>
      </c>
      <c r="B1315" s="9" t="s">
        <v>231</v>
      </c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9"/>
      <c r="T1315" s="9"/>
      <c r="U1315" s="9"/>
      <c r="V1315" s="9"/>
      <c r="W1315" s="9"/>
      <c r="X1315" s="9"/>
      <c r="Y1315" s="9"/>
      <c r="Z1315" s="9"/>
      <c r="AA1315" s="9"/>
    </row>
    <row r="1316" spans="1:27">
      <c r="A1316" s="9" t="s">
        <v>2708</v>
      </c>
      <c r="B1316" s="9" t="s">
        <v>2552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9"/>
      <c r="U1316" s="9"/>
      <c r="V1316" s="9"/>
      <c r="W1316" s="9"/>
      <c r="X1316" s="9"/>
      <c r="Y1316" s="9"/>
      <c r="Z1316" s="9"/>
      <c r="AA1316" s="9"/>
    </row>
    <row r="1317" spans="1:27">
      <c r="A1317" s="9" t="s">
        <v>1840</v>
      </c>
      <c r="B1317" s="9" t="s">
        <v>2169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9"/>
      <c r="T1317" s="9"/>
      <c r="U1317" s="9"/>
      <c r="V1317" s="9"/>
      <c r="W1317" s="9"/>
      <c r="X1317" s="9"/>
      <c r="Y1317" s="9"/>
      <c r="Z1317" s="9"/>
      <c r="AA1317" s="9"/>
    </row>
    <row r="1318" spans="1:27">
      <c r="A1318" s="9" t="s">
        <v>413</v>
      </c>
      <c r="B1318" s="9" t="s">
        <v>232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9"/>
      <c r="T1318" s="9"/>
      <c r="U1318" s="9"/>
      <c r="V1318" s="9"/>
      <c r="W1318" s="9"/>
      <c r="X1318" s="9"/>
      <c r="Y1318" s="9"/>
      <c r="Z1318" s="9"/>
      <c r="AA1318" s="9"/>
    </row>
    <row r="1319" spans="1:27">
      <c r="A1319" s="9" t="s">
        <v>414</v>
      </c>
      <c r="B1319" s="9" t="s">
        <v>2271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9"/>
      <c r="T1319" s="9"/>
      <c r="U1319" s="9"/>
      <c r="V1319" s="9"/>
      <c r="W1319" s="9"/>
      <c r="X1319" s="9"/>
      <c r="Y1319" s="9"/>
      <c r="Z1319" s="9"/>
      <c r="AA1319" s="9"/>
    </row>
    <row r="1320" spans="1:27">
      <c r="A1320" s="9" t="s">
        <v>2293</v>
      </c>
      <c r="B1320" s="9" t="s">
        <v>243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9"/>
      <c r="U1320" s="9"/>
      <c r="V1320" s="9"/>
      <c r="W1320" s="9"/>
      <c r="X1320" s="9"/>
      <c r="Y1320" s="9"/>
      <c r="Z1320" s="9"/>
      <c r="AA1320" s="9"/>
    </row>
    <row r="1321" spans="1:27">
      <c r="A1321" s="9" t="s">
        <v>303</v>
      </c>
      <c r="B1321" s="9" t="s">
        <v>181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9"/>
      <c r="T1321" s="9"/>
      <c r="U1321" s="9"/>
      <c r="V1321" s="9"/>
      <c r="W1321" s="9"/>
      <c r="X1321" s="9"/>
      <c r="Y1321" s="9"/>
      <c r="Z1321" s="9"/>
      <c r="AA1321" s="9"/>
    </row>
    <row r="1322" spans="1:27">
      <c r="A1322" s="9" t="s">
        <v>304</v>
      </c>
      <c r="B1322" s="9" t="s">
        <v>182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9"/>
      <c r="T1322" s="9"/>
      <c r="U1322" s="9"/>
      <c r="V1322" s="9"/>
      <c r="W1322" s="9"/>
      <c r="X1322" s="9"/>
      <c r="Y1322" s="9"/>
      <c r="Z1322" s="9"/>
      <c r="AA1322" s="9"/>
    </row>
    <row r="1323" spans="1:27">
      <c r="A1323" s="9" t="s">
        <v>305</v>
      </c>
      <c r="B1323" s="9" t="s">
        <v>183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9"/>
      <c r="T1323" s="9"/>
      <c r="U1323" s="9"/>
      <c r="V1323" s="9"/>
      <c r="W1323" s="9"/>
      <c r="X1323" s="9"/>
      <c r="Y1323" s="9"/>
      <c r="Z1323" s="9"/>
      <c r="AA1323" s="9"/>
    </row>
    <row r="1324" spans="1:27">
      <c r="A1324" s="9" t="s">
        <v>306</v>
      </c>
      <c r="B1324" s="9" t="s">
        <v>184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9"/>
      <c r="U1324" s="9"/>
      <c r="V1324" s="9"/>
      <c r="W1324" s="9"/>
      <c r="X1324" s="9"/>
      <c r="Y1324" s="9"/>
      <c r="Z1324" s="9"/>
      <c r="AA1324" s="9"/>
    </row>
    <row r="1325" spans="1:27">
      <c r="A1325" s="9" t="s">
        <v>307</v>
      </c>
      <c r="B1325" s="9" t="s">
        <v>185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9"/>
      <c r="T1325" s="9"/>
      <c r="U1325" s="9"/>
      <c r="V1325" s="9"/>
      <c r="W1325" s="9"/>
      <c r="X1325" s="9"/>
      <c r="Y1325" s="9"/>
      <c r="Z1325" s="9"/>
      <c r="AA1325" s="9"/>
    </row>
    <row r="1326" spans="1:27">
      <c r="A1326" s="9" t="s">
        <v>308</v>
      </c>
      <c r="B1326" s="9" t="s">
        <v>186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9"/>
      <c r="T1326" s="9"/>
      <c r="U1326" s="9"/>
      <c r="V1326" s="9"/>
      <c r="W1326" s="9"/>
      <c r="X1326" s="9"/>
      <c r="Y1326" s="9"/>
      <c r="Z1326" s="9"/>
      <c r="AA1326" s="9"/>
    </row>
    <row r="1327" spans="1:27">
      <c r="A1327" s="9" t="s">
        <v>309</v>
      </c>
      <c r="B1327" s="9" t="s">
        <v>187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9"/>
      <c r="T1327" s="9"/>
      <c r="U1327" s="9"/>
      <c r="V1327" s="9"/>
      <c r="W1327" s="9"/>
      <c r="X1327" s="9"/>
      <c r="Y1327" s="9"/>
      <c r="Z1327" s="9"/>
      <c r="AA1327" s="9"/>
    </row>
    <row r="1328" spans="1:27">
      <c r="A1328" s="9" t="s">
        <v>2243</v>
      </c>
      <c r="B1328" s="9" t="s">
        <v>2233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9"/>
      <c r="U1328" s="9"/>
      <c r="V1328" s="9"/>
      <c r="W1328" s="9"/>
      <c r="X1328" s="9"/>
      <c r="Y1328" s="9"/>
      <c r="Z1328" s="9"/>
      <c r="AA1328" s="9"/>
    </row>
    <row r="1329" spans="1:27">
      <c r="A1329" s="9" t="s">
        <v>310</v>
      </c>
      <c r="B1329" s="9" t="s">
        <v>188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9"/>
      <c r="T1329" s="9"/>
      <c r="U1329" s="9"/>
      <c r="V1329" s="9"/>
      <c r="W1329" s="9"/>
      <c r="X1329" s="9"/>
      <c r="Y1329" s="9"/>
      <c r="Z1329" s="9"/>
      <c r="AA1329" s="9"/>
    </row>
    <row r="1330" spans="1:27">
      <c r="A1330" s="9" t="s">
        <v>311</v>
      </c>
      <c r="B1330" s="9" t="s">
        <v>189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9"/>
      <c r="T1330" s="9"/>
      <c r="U1330" s="9"/>
      <c r="V1330" s="9"/>
      <c r="W1330" s="9"/>
      <c r="X1330" s="9"/>
      <c r="Y1330" s="9"/>
      <c r="Z1330" s="9"/>
      <c r="AA1330" s="9"/>
    </row>
    <row r="1331" spans="1:27">
      <c r="A1331" s="9" t="s">
        <v>312</v>
      </c>
      <c r="B1331" s="9" t="s">
        <v>190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9"/>
      <c r="T1331" s="9"/>
      <c r="U1331" s="9"/>
      <c r="V1331" s="9"/>
      <c r="W1331" s="9"/>
      <c r="X1331" s="9"/>
      <c r="Y1331" s="9"/>
      <c r="Z1331" s="9"/>
      <c r="AA1331" s="9"/>
    </row>
    <row r="1332" spans="1:27">
      <c r="A1332" s="9" t="s">
        <v>313</v>
      </c>
      <c r="B1332" s="9" t="s">
        <v>191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9"/>
      <c r="U1332" s="9"/>
      <c r="V1332" s="9"/>
      <c r="W1332" s="9"/>
      <c r="X1332" s="9"/>
      <c r="Y1332" s="9"/>
      <c r="Z1332" s="9"/>
      <c r="AA1332" s="9"/>
    </row>
    <row r="1333" spans="1:27">
      <c r="A1333" s="9" t="s">
        <v>314</v>
      </c>
      <c r="B1333" s="9" t="s">
        <v>192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9"/>
      <c r="U1333" s="9"/>
      <c r="V1333" s="9"/>
      <c r="W1333" s="9"/>
      <c r="X1333" s="9"/>
      <c r="Y1333" s="9"/>
      <c r="Z1333" s="9"/>
      <c r="AA1333" s="9"/>
    </row>
    <row r="1334" spans="1:27">
      <c r="A1334" s="9" t="s">
        <v>315</v>
      </c>
      <c r="B1334" s="9" t="s">
        <v>193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9"/>
      <c r="T1334" s="9"/>
      <c r="U1334" s="9"/>
      <c r="V1334" s="9"/>
      <c r="W1334" s="9"/>
      <c r="X1334" s="9"/>
      <c r="Y1334" s="9"/>
      <c r="Z1334" s="9"/>
      <c r="AA1334" s="9"/>
    </row>
    <row r="1335" spans="1:27">
      <c r="A1335" s="9" t="s">
        <v>316</v>
      </c>
      <c r="B1335" s="9" t="s">
        <v>242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9"/>
      <c r="T1335" s="9"/>
      <c r="U1335" s="9"/>
      <c r="V1335" s="9"/>
      <c r="W1335" s="9"/>
      <c r="X1335" s="9"/>
      <c r="Y1335" s="9"/>
      <c r="Z1335" s="9"/>
      <c r="AA1335" s="9"/>
    </row>
    <row r="1336" spans="1:27">
      <c r="A1336" s="9" t="s">
        <v>317</v>
      </c>
      <c r="B1336" s="9" t="s">
        <v>194</v>
      </c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9"/>
      <c r="U1336" s="9"/>
      <c r="V1336" s="9"/>
      <c r="W1336" s="9"/>
      <c r="X1336" s="9"/>
      <c r="Y1336" s="9"/>
      <c r="Z1336" s="9"/>
      <c r="AA1336" s="9"/>
    </row>
    <row r="1337" spans="1:27">
      <c r="A1337" s="9" t="s">
        <v>318</v>
      </c>
      <c r="B1337" s="9" t="s">
        <v>195</v>
      </c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9"/>
      <c r="T1337" s="9"/>
      <c r="U1337" s="9"/>
      <c r="V1337" s="9"/>
      <c r="W1337" s="9"/>
      <c r="X1337" s="9"/>
      <c r="Y1337" s="9"/>
      <c r="Z1337" s="9"/>
      <c r="AA1337" s="9"/>
    </row>
    <row r="1338" spans="1:27">
      <c r="A1338" s="9" t="s">
        <v>319</v>
      </c>
      <c r="B1338" s="9" t="s">
        <v>196</v>
      </c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9"/>
      <c r="T1338" s="9"/>
      <c r="U1338" s="9"/>
      <c r="V1338" s="9"/>
      <c r="W1338" s="9"/>
      <c r="X1338" s="9"/>
      <c r="Y1338" s="9"/>
      <c r="Z1338" s="9"/>
      <c r="AA1338" s="9"/>
    </row>
    <row r="1339" spans="1:27">
      <c r="A1339" s="9" t="s">
        <v>320</v>
      </c>
      <c r="B1339" s="9" t="s">
        <v>197</v>
      </c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9"/>
      <c r="T1339" s="9"/>
      <c r="U1339" s="9"/>
      <c r="V1339" s="9"/>
      <c r="W1339" s="9"/>
      <c r="X1339" s="9"/>
      <c r="Y1339" s="9"/>
      <c r="Z1339" s="9"/>
      <c r="AA1339" s="9"/>
    </row>
    <row r="1340" spans="1:27">
      <c r="A1340" s="9" t="s">
        <v>321</v>
      </c>
      <c r="B1340" s="9" t="s">
        <v>198</v>
      </c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9"/>
      <c r="U1340" s="9"/>
      <c r="V1340" s="9"/>
      <c r="W1340" s="9"/>
      <c r="X1340" s="9"/>
      <c r="Y1340" s="9"/>
      <c r="Z1340" s="9"/>
      <c r="AA1340" s="9"/>
    </row>
    <row r="1341" spans="1:27">
      <c r="A1341" s="9" t="s">
        <v>322</v>
      </c>
      <c r="B1341" s="9" t="s">
        <v>199</v>
      </c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9"/>
      <c r="T1341" s="9"/>
      <c r="U1341" s="9"/>
      <c r="V1341" s="9"/>
      <c r="W1341" s="9"/>
      <c r="X1341" s="9"/>
      <c r="Y1341" s="9"/>
      <c r="Z1341" s="9"/>
      <c r="AA1341" s="9"/>
    </row>
    <row r="1342" spans="1:27">
      <c r="A1342" s="9" t="s">
        <v>323</v>
      </c>
      <c r="B1342" s="9" t="s">
        <v>200</v>
      </c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9"/>
      <c r="T1342" s="9"/>
      <c r="U1342" s="9"/>
      <c r="V1342" s="9"/>
      <c r="W1342" s="9"/>
      <c r="X1342" s="9"/>
      <c r="Y1342" s="9"/>
      <c r="Z1342" s="9"/>
      <c r="AA1342" s="9"/>
    </row>
    <row r="1343" spans="1:27">
      <c r="A1343" s="9" t="s">
        <v>1833</v>
      </c>
      <c r="B1343" s="9" t="s">
        <v>2166</v>
      </c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9"/>
      <c r="T1343" s="9"/>
      <c r="U1343" s="9"/>
      <c r="V1343" s="9"/>
      <c r="W1343" s="9"/>
      <c r="X1343" s="9"/>
      <c r="Y1343" s="9"/>
      <c r="Z1343" s="9"/>
      <c r="AA1343" s="9"/>
    </row>
    <row r="1344" spans="1:27">
      <c r="A1344" s="9" t="s">
        <v>2709</v>
      </c>
      <c r="B1344" s="9" t="s">
        <v>2553</v>
      </c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9"/>
      <c r="U1344" s="9"/>
      <c r="V1344" s="9"/>
      <c r="W1344" s="9"/>
      <c r="X1344" s="9"/>
      <c r="Y1344" s="9"/>
      <c r="Z1344" s="9"/>
      <c r="AA1344" s="9"/>
    </row>
    <row r="1345" spans="1:27">
      <c r="A1345" s="9" t="s">
        <v>1834</v>
      </c>
      <c r="B1345" s="9" t="s">
        <v>2167</v>
      </c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9"/>
      <c r="U1345" s="9"/>
      <c r="V1345" s="9"/>
      <c r="W1345" s="9"/>
      <c r="X1345" s="9"/>
      <c r="Y1345" s="9"/>
      <c r="Z1345" s="9"/>
      <c r="AA1345" s="9"/>
    </row>
    <row r="1346" spans="1:27">
      <c r="A1346" s="9" t="s">
        <v>324</v>
      </c>
      <c r="B1346" s="9" t="s">
        <v>201</v>
      </c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9"/>
      <c r="T1346" s="9"/>
      <c r="U1346" s="9"/>
      <c r="V1346" s="9"/>
      <c r="W1346" s="9"/>
      <c r="X1346" s="9"/>
      <c r="Y1346" s="9"/>
      <c r="Z1346" s="9"/>
      <c r="AA1346" s="9"/>
    </row>
    <row r="1347" spans="1:27">
      <c r="A1347" s="9" t="s">
        <v>325</v>
      </c>
      <c r="B1347" s="9" t="s">
        <v>202</v>
      </c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9"/>
      <c r="T1347" s="9"/>
      <c r="U1347" s="9"/>
      <c r="V1347" s="9"/>
      <c r="W1347" s="9"/>
      <c r="X1347" s="9"/>
      <c r="Y1347" s="9"/>
      <c r="Z1347" s="9"/>
      <c r="AA1347" s="9"/>
    </row>
    <row r="1348" spans="1:27">
      <c r="A1348" s="9" t="s">
        <v>326</v>
      </c>
      <c r="B1348" s="9" t="s">
        <v>203</v>
      </c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9"/>
      <c r="U1348" s="9"/>
      <c r="V1348" s="9"/>
      <c r="W1348" s="9"/>
      <c r="X1348" s="9"/>
      <c r="Y1348" s="9"/>
      <c r="Z1348" s="9"/>
      <c r="AA1348" s="9"/>
    </row>
    <row r="1349" spans="1:27">
      <c r="A1349" s="9" t="s">
        <v>327</v>
      </c>
      <c r="B1349" s="9" t="s">
        <v>204</v>
      </c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9"/>
      <c r="T1349" s="9"/>
      <c r="U1349" s="9"/>
      <c r="V1349" s="9"/>
      <c r="W1349" s="9"/>
      <c r="X1349" s="9"/>
      <c r="Y1349" s="9"/>
      <c r="Z1349" s="9"/>
      <c r="AA1349" s="9"/>
    </row>
    <row r="1350" spans="1:27">
      <c r="A1350" s="9" t="s">
        <v>328</v>
      </c>
      <c r="B1350" s="9" t="s">
        <v>205</v>
      </c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9"/>
      <c r="T1350" s="9"/>
      <c r="U1350" s="9"/>
      <c r="V1350" s="9"/>
      <c r="W1350" s="9"/>
      <c r="X1350" s="9"/>
      <c r="Y1350" s="9"/>
      <c r="Z1350" s="9"/>
      <c r="AA1350" s="9"/>
    </row>
    <row r="1351" spans="1:27">
      <c r="A1351" s="9" t="s">
        <v>329</v>
      </c>
      <c r="B1351" s="9" t="s">
        <v>206</v>
      </c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9"/>
      <c r="T1351" s="9"/>
      <c r="U1351" s="9"/>
      <c r="V1351" s="9"/>
      <c r="W1351" s="9"/>
      <c r="X1351" s="9"/>
      <c r="Y1351" s="9"/>
      <c r="Z1351" s="9"/>
      <c r="AA1351" s="9"/>
    </row>
    <row r="1352" spans="1:27">
      <c r="A1352" s="9" t="s">
        <v>330</v>
      </c>
      <c r="B1352" s="9" t="s">
        <v>207</v>
      </c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9"/>
      <c r="U1352" s="9"/>
      <c r="V1352" s="9"/>
      <c r="W1352" s="9"/>
      <c r="X1352" s="9"/>
      <c r="Y1352" s="9"/>
      <c r="Z1352" s="9"/>
      <c r="AA1352" s="9"/>
    </row>
    <row r="1353" spans="1:27">
      <c r="A1353" s="9" t="s">
        <v>331</v>
      </c>
      <c r="B1353" s="9" t="s">
        <v>208</v>
      </c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9"/>
      <c r="T1353" s="9"/>
      <c r="U1353" s="9"/>
      <c r="V1353" s="9"/>
      <c r="W1353" s="9"/>
      <c r="X1353" s="9"/>
      <c r="Y1353" s="9"/>
      <c r="Z1353" s="9"/>
      <c r="AA1353" s="9"/>
    </row>
    <row r="1354" spans="1:27">
      <c r="A1354" s="9" t="s">
        <v>332</v>
      </c>
      <c r="B1354" s="9" t="s">
        <v>209</v>
      </c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9"/>
      <c r="T1354" s="9"/>
      <c r="U1354" s="9"/>
      <c r="V1354" s="9"/>
      <c r="W1354" s="9"/>
      <c r="X1354" s="9"/>
      <c r="Y1354" s="9"/>
      <c r="Z1354" s="9"/>
      <c r="AA1354" s="9"/>
    </row>
    <row r="1355" spans="1:27">
      <c r="A1355" s="9" t="s">
        <v>333</v>
      </c>
      <c r="B1355" s="9" t="s">
        <v>210</v>
      </c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9"/>
      <c r="T1355" s="9"/>
      <c r="U1355" s="9"/>
      <c r="V1355" s="9"/>
      <c r="W1355" s="9"/>
      <c r="X1355" s="9"/>
      <c r="Y1355" s="9"/>
      <c r="Z1355" s="9"/>
      <c r="AA1355" s="9"/>
    </row>
    <row r="1356" spans="1:27">
      <c r="A1356" s="9" t="s">
        <v>334</v>
      </c>
      <c r="B1356" s="9" t="s">
        <v>211</v>
      </c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9"/>
      <c r="U1356" s="9"/>
      <c r="V1356" s="9"/>
      <c r="W1356" s="9"/>
      <c r="X1356" s="9"/>
      <c r="Y1356" s="9"/>
      <c r="Z1356" s="9"/>
      <c r="AA1356" s="9"/>
    </row>
    <row r="1357" spans="1:27">
      <c r="A1357" s="9" t="s">
        <v>335</v>
      </c>
      <c r="B1357" s="9" t="s">
        <v>212</v>
      </c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9"/>
      <c r="T1357" s="9"/>
      <c r="U1357" s="9"/>
      <c r="V1357" s="9"/>
      <c r="W1357" s="9"/>
      <c r="X1357" s="9"/>
      <c r="Y1357" s="9"/>
      <c r="Z1357" s="9"/>
      <c r="AA1357" s="9"/>
    </row>
    <row r="1358" spans="1:27">
      <c r="A1358" s="9" t="s">
        <v>336</v>
      </c>
      <c r="B1358" s="9" t="s">
        <v>213</v>
      </c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9"/>
      <c r="T1358" s="9"/>
      <c r="U1358" s="9"/>
      <c r="V1358" s="9"/>
      <c r="W1358" s="9"/>
      <c r="X1358" s="9"/>
      <c r="Y1358" s="9"/>
      <c r="Z1358" s="9"/>
      <c r="AA1358" s="9"/>
    </row>
    <row r="1359" spans="1:27">
      <c r="A1359" s="9" t="s">
        <v>337</v>
      </c>
      <c r="B1359" s="9" t="s">
        <v>214</v>
      </c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9"/>
      <c r="T1359" s="9"/>
      <c r="U1359" s="9"/>
      <c r="V1359" s="9"/>
      <c r="W1359" s="9"/>
      <c r="X1359" s="9"/>
      <c r="Y1359" s="9"/>
      <c r="Z1359" s="9"/>
      <c r="AA1359" s="9"/>
    </row>
    <row r="1360" spans="1:27">
      <c r="A1360" s="9" t="s">
        <v>338</v>
      </c>
      <c r="B1360" s="9" t="s">
        <v>215</v>
      </c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9"/>
      <c r="U1360" s="9"/>
      <c r="V1360" s="9"/>
      <c r="W1360" s="9"/>
      <c r="X1360" s="9"/>
      <c r="Y1360" s="9"/>
      <c r="Z1360" s="9"/>
      <c r="AA1360" s="9"/>
    </row>
    <row r="1361" spans="1:27">
      <c r="A1361" s="9" t="s">
        <v>339</v>
      </c>
      <c r="B1361" s="9" t="s">
        <v>216</v>
      </c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9"/>
      <c r="T1361" s="9"/>
      <c r="U1361" s="9"/>
      <c r="V1361" s="9"/>
      <c r="W1361" s="9"/>
      <c r="X1361" s="9"/>
      <c r="Y1361" s="9"/>
      <c r="Z1361" s="9"/>
      <c r="AA1361" s="9"/>
    </row>
    <row r="1362" spans="1:27">
      <c r="A1362" s="9" t="s">
        <v>340</v>
      </c>
      <c r="B1362" s="9" t="s">
        <v>217</v>
      </c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9"/>
      <c r="T1362" s="9"/>
      <c r="U1362" s="9"/>
      <c r="V1362" s="9"/>
      <c r="W1362" s="9"/>
      <c r="X1362" s="9"/>
      <c r="Y1362" s="9"/>
      <c r="Z1362" s="9"/>
      <c r="AA1362" s="9"/>
    </row>
    <row r="1363" spans="1:27">
      <c r="A1363" s="9" t="s">
        <v>341</v>
      </c>
      <c r="B1363" s="9" t="s">
        <v>218</v>
      </c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9"/>
      <c r="T1363" s="9"/>
      <c r="U1363" s="9"/>
      <c r="V1363" s="9"/>
      <c r="W1363" s="9"/>
      <c r="X1363" s="9"/>
      <c r="Y1363" s="9"/>
      <c r="Z1363" s="9"/>
      <c r="AA1363" s="9"/>
    </row>
    <row r="1364" spans="1:27">
      <c r="A1364" s="9" t="s">
        <v>342</v>
      </c>
      <c r="B1364" s="9" t="s">
        <v>219</v>
      </c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9"/>
      <c r="U1364" s="9"/>
      <c r="V1364" s="9"/>
      <c r="W1364" s="9"/>
      <c r="X1364" s="9"/>
      <c r="Y1364" s="9"/>
      <c r="Z1364" s="9"/>
      <c r="AA1364" s="9"/>
    </row>
    <row r="1365" spans="1:27">
      <c r="A1365" s="9" t="s">
        <v>343</v>
      </c>
      <c r="B1365" s="9" t="s">
        <v>220</v>
      </c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9"/>
      <c r="T1365" s="9"/>
      <c r="U1365" s="9"/>
      <c r="V1365" s="9"/>
      <c r="W1365" s="9"/>
      <c r="X1365" s="9"/>
      <c r="Y1365" s="9"/>
      <c r="Z1365" s="9"/>
      <c r="AA1365" s="9"/>
    </row>
    <row r="1366" spans="1:27">
      <c r="A1366" s="9" t="s">
        <v>344</v>
      </c>
      <c r="B1366" s="9" t="s">
        <v>221</v>
      </c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9"/>
      <c r="U1366" s="9"/>
      <c r="V1366" s="9"/>
      <c r="W1366" s="9"/>
      <c r="X1366" s="9"/>
      <c r="Y1366" s="9"/>
      <c r="Z1366" s="9"/>
      <c r="AA1366" s="9"/>
    </row>
    <row r="1367" spans="1:27">
      <c r="A1367" s="9" t="s">
        <v>345</v>
      </c>
      <c r="B1367" s="9" t="s">
        <v>222</v>
      </c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9"/>
      <c r="T1367" s="9"/>
      <c r="U1367" s="9"/>
      <c r="V1367" s="9"/>
      <c r="W1367" s="9"/>
      <c r="X1367" s="9"/>
      <c r="Y1367" s="9"/>
      <c r="Z1367" s="9"/>
      <c r="AA1367" s="9"/>
    </row>
    <row r="1368" spans="1:27">
      <c r="A1368" s="9" t="s">
        <v>346</v>
      </c>
      <c r="B1368" s="9" t="s">
        <v>223</v>
      </c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9"/>
      <c r="U1368" s="9"/>
      <c r="V1368" s="9"/>
      <c r="W1368" s="9"/>
      <c r="X1368" s="9"/>
      <c r="Y1368" s="9"/>
      <c r="Z1368" s="9"/>
      <c r="AA1368" s="9"/>
    </row>
    <row r="1369" spans="1:27">
      <c r="A1369" s="9" t="s">
        <v>347</v>
      </c>
      <c r="B1369" s="9" t="s">
        <v>224</v>
      </c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9"/>
      <c r="T1369" s="9"/>
      <c r="U1369" s="9"/>
      <c r="V1369" s="9"/>
      <c r="W1369" s="9"/>
      <c r="X1369" s="9"/>
      <c r="Y1369" s="9"/>
      <c r="Z1369" s="9"/>
      <c r="AA1369" s="9"/>
    </row>
    <row r="1370" spans="1:27">
      <c r="A1370" s="9" t="s">
        <v>348</v>
      </c>
      <c r="B1370" s="9" t="s">
        <v>225</v>
      </c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9"/>
      <c r="T1370" s="9"/>
      <c r="U1370" s="9"/>
      <c r="V1370" s="9"/>
      <c r="W1370" s="9"/>
      <c r="X1370" s="9"/>
      <c r="Y1370" s="9"/>
      <c r="Z1370" s="9"/>
      <c r="AA1370" s="9"/>
    </row>
    <row r="1371" spans="1:27">
      <c r="A1371" s="9" t="s">
        <v>349</v>
      </c>
      <c r="B1371" s="9" t="s">
        <v>226</v>
      </c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9"/>
      <c r="T1371" s="9"/>
      <c r="U1371" s="9"/>
      <c r="V1371" s="9"/>
      <c r="W1371" s="9"/>
      <c r="X1371" s="9"/>
      <c r="Y1371" s="9"/>
      <c r="Z1371" s="9"/>
      <c r="AA1371" s="9"/>
    </row>
    <row r="1372" spans="1:27">
      <c r="A1372" s="9" t="s">
        <v>350</v>
      </c>
      <c r="B1372" s="9" t="s">
        <v>227</v>
      </c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9"/>
      <c r="U1372" s="9"/>
      <c r="V1372" s="9"/>
      <c r="W1372" s="9"/>
      <c r="X1372" s="9"/>
      <c r="Y1372" s="9"/>
      <c r="Z1372" s="9"/>
      <c r="AA1372" s="9"/>
    </row>
    <row r="1373" spans="1:27">
      <c r="A1373" s="9" t="s">
        <v>351</v>
      </c>
      <c r="B1373" s="9" t="s">
        <v>228</v>
      </c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9"/>
      <c r="T1373" s="9"/>
      <c r="U1373" s="9"/>
      <c r="V1373" s="9"/>
      <c r="W1373" s="9"/>
      <c r="X1373" s="9"/>
      <c r="Y1373" s="9"/>
      <c r="Z1373" s="9"/>
      <c r="AA1373" s="9"/>
    </row>
    <row r="1374" spans="1:27">
      <c r="A1374" s="9" t="s">
        <v>1835</v>
      </c>
      <c r="B1374" s="9" t="s">
        <v>2168</v>
      </c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9"/>
      <c r="T1374" s="9"/>
      <c r="U1374" s="9"/>
      <c r="V1374" s="9"/>
      <c r="W1374" s="9"/>
      <c r="X1374" s="9"/>
      <c r="Y1374" s="9"/>
      <c r="Z1374" s="9"/>
      <c r="AA1374" s="9"/>
    </row>
    <row r="1375" spans="1:27">
      <c r="A1375" s="9" t="s">
        <v>352</v>
      </c>
      <c r="B1375" s="9" t="s">
        <v>229</v>
      </c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9"/>
      <c r="T1375" s="9"/>
      <c r="U1375" s="9"/>
      <c r="V1375" s="9"/>
      <c r="W1375" s="9"/>
      <c r="X1375" s="9"/>
      <c r="Y1375" s="9"/>
      <c r="Z1375" s="9"/>
      <c r="AA1375" s="9"/>
    </row>
    <row r="1376" spans="1:27">
      <c r="A1376" s="9" t="s">
        <v>353</v>
      </c>
      <c r="B1376" s="9" t="s">
        <v>230</v>
      </c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9"/>
      <c r="U1376" s="9"/>
      <c r="V1376" s="9"/>
      <c r="W1376" s="9"/>
      <c r="X1376" s="9"/>
      <c r="Y1376" s="9"/>
      <c r="Z1376" s="9"/>
      <c r="AA1376" s="9"/>
    </row>
    <row r="1377" spans="1:27">
      <c r="A1377" s="9" t="s">
        <v>2710</v>
      </c>
      <c r="B1377" s="9" t="s">
        <v>2551</v>
      </c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9"/>
      <c r="T1377" s="9"/>
      <c r="U1377" s="9"/>
      <c r="V1377" s="9"/>
      <c r="W1377" s="9"/>
      <c r="X1377" s="9"/>
      <c r="Y1377" s="9"/>
      <c r="Z1377" s="9"/>
      <c r="AA1377" s="9"/>
    </row>
    <row r="1378" spans="1:27">
      <c r="A1378" s="9" t="s">
        <v>354</v>
      </c>
      <c r="B1378" s="9" t="s">
        <v>237</v>
      </c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9"/>
      <c r="T1378" s="9"/>
      <c r="U1378" s="9"/>
      <c r="V1378" s="9"/>
      <c r="W1378" s="9"/>
      <c r="X1378" s="9"/>
      <c r="Y1378" s="9"/>
      <c r="Z1378" s="9"/>
      <c r="AA1378" s="9"/>
    </row>
    <row r="1379" spans="1:27">
      <c r="A1379" s="9" t="s">
        <v>355</v>
      </c>
      <c r="B1379" s="9" t="s">
        <v>238</v>
      </c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9"/>
      <c r="T1379" s="9"/>
      <c r="U1379" s="9"/>
      <c r="V1379" s="9"/>
      <c r="W1379" s="9"/>
      <c r="X1379" s="9"/>
      <c r="Y1379" s="9"/>
      <c r="Z1379" s="9"/>
      <c r="AA1379" s="9"/>
    </row>
    <row r="1380" spans="1:27">
      <c r="A1380" s="9" t="s">
        <v>356</v>
      </c>
      <c r="B1380" s="9" t="s">
        <v>231</v>
      </c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9"/>
      <c r="U1380" s="9"/>
      <c r="V1380" s="9"/>
      <c r="W1380" s="9"/>
      <c r="X1380" s="9"/>
      <c r="Y1380" s="9"/>
      <c r="Z1380" s="9"/>
      <c r="AA1380" s="9"/>
    </row>
    <row r="1381" spans="1:27">
      <c r="A1381" s="9" t="s">
        <v>2711</v>
      </c>
      <c r="B1381" s="9" t="s">
        <v>2552</v>
      </c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9"/>
      <c r="U1381" s="9"/>
      <c r="V1381" s="9"/>
      <c r="W1381" s="9"/>
      <c r="X1381" s="9"/>
      <c r="Y1381" s="9"/>
      <c r="Z1381" s="9"/>
      <c r="AA1381" s="9"/>
    </row>
    <row r="1382" spans="1:27">
      <c r="A1382" s="9" t="s">
        <v>1836</v>
      </c>
      <c r="B1382" s="9" t="s">
        <v>2169</v>
      </c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9"/>
      <c r="T1382" s="9"/>
      <c r="U1382" s="9"/>
      <c r="V1382" s="9"/>
      <c r="W1382" s="9"/>
      <c r="X1382" s="9"/>
      <c r="Y1382" s="9"/>
      <c r="Z1382" s="9"/>
      <c r="AA1382" s="9"/>
    </row>
    <row r="1383" spans="1:27">
      <c r="A1383" s="9" t="s">
        <v>357</v>
      </c>
      <c r="B1383" s="9" t="s">
        <v>232</v>
      </c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9"/>
      <c r="T1383" s="9"/>
      <c r="U1383" s="9"/>
      <c r="V1383" s="9"/>
      <c r="W1383" s="9"/>
      <c r="X1383" s="9"/>
      <c r="Y1383" s="9"/>
      <c r="Z1383" s="9"/>
      <c r="AA1383" s="9"/>
    </row>
    <row r="1384" spans="1:27">
      <c r="A1384" s="9" t="s">
        <v>358</v>
      </c>
      <c r="B1384" s="9" t="s">
        <v>2271</v>
      </c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9"/>
      <c r="U1384" s="9"/>
      <c r="V1384" s="9"/>
      <c r="W1384" s="9"/>
      <c r="X1384" s="9"/>
      <c r="Y1384" s="9"/>
      <c r="Z1384" s="9"/>
      <c r="AA1384" s="9"/>
    </row>
    <row r="1385" spans="1:27">
      <c r="A1385" s="9" t="s">
        <v>2292</v>
      </c>
      <c r="B1385" s="9" t="s">
        <v>243</v>
      </c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9"/>
      <c r="T1385" s="9"/>
      <c r="U1385" s="9"/>
      <c r="V1385" s="9"/>
      <c r="W1385" s="9"/>
      <c r="X1385" s="9"/>
      <c r="Y1385" s="9"/>
      <c r="Z1385" s="9"/>
      <c r="AA1385" s="9"/>
    </row>
    <row r="1386" spans="1:27">
      <c r="A1386" s="9" t="s">
        <v>247</v>
      </c>
      <c r="B1386" s="9" t="s">
        <v>181</v>
      </c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9"/>
      <c r="T1386" s="9"/>
      <c r="U1386" s="9"/>
      <c r="V1386" s="9"/>
      <c r="W1386" s="9"/>
      <c r="X1386" s="9"/>
      <c r="Y1386" s="9"/>
      <c r="Z1386" s="9"/>
      <c r="AA1386" s="9"/>
    </row>
    <row r="1387" spans="1:27">
      <c r="A1387" s="9" t="s">
        <v>248</v>
      </c>
      <c r="B1387" s="9" t="s">
        <v>182</v>
      </c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9"/>
      <c r="T1387" s="9"/>
      <c r="U1387" s="9"/>
      <c r="V1387" s="9"/>
      <c r="W1387" s="9"/>
      <c r="X1387" s="9"/>
      <c r="Y1387" s="9"/>
      <c r="Z1387" s="9"/>
      <c r="AA1387" s="9"/>
    </row>
    <row r="1388" spans="1:27">
      <c r="A1388" s="9" t="s">
        <v>249</v>
      </c>
      <c r="B1388" s="9" t="s">
        <v>183</v>
      </c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9"/>
      <c r="U1388" s="9"/>
      <c r="V1388" s="9"/>
      <c r="W1388" s="9"/>
      <c r="X1388" s="9"/>
      <c r="Y1388" s="9"/>
      <c r="Z1388" s="9"/>
      <c r="AA1388" s="9"/>
    </row>
    <row r="1389" spans="1:27">
      <c r="A1389" s="9" t="s">
        <v>250</v>
      </c>
      <c r="B1389" s="9" t="s">
        <v>184</v>
      </c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9"/>
      <c r="T1389" s="9"/>
      <c r="U1389" s="9"/>
      <c r="V1389" s="9"/>
      <c r="W1389" s="9"/>
      <c r="X1389" s="9"/>
      <c r="Y1389" s="9"/>
      <c r="Z1389" s="9"/>
      <c r="AA1389" s="9"/>
    </row>
    <row r="1390" spans="1:27">
      <c r="A1390" s="9" t="s">
        <v>251</v>
      </c>
      <c r="B1390" s="9" t="s">
        <v>185</v>
      </c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9"/>
      <c r="T1390" s="9"/>
      <c r="U1390" s="9"/>
      <c r="V1390" s="9"/>
      <c r="W1390" s="9"/>
      <c r="X1390" s="9"/>
      <c r="Y1390" s="9"/>
      <c r="Z1390" s="9"/>
      <c r="AA1390" s="9"/>
    </row>
    <row r="1391" spans="1:27">
      <c r="A1391" s="9" t="s">
        <v>252</v>
      </c>
      <c r="B1391" s="9" t="s">
        <v>186</v>
      </c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9"/>
      <c r="T1391" s="9"/>
      <c r="U1391" s="9"/>
      <c r="V1391" s="9"/>
      <c r="W1391" s="9"/>
      <c r="X1391" s="9"/>
      <c r="Y1391" s="9"/>
      <c r="Z1391" s="9"/>
      <c r="AA1391" s="9"/>
    </row>
    <row r="1392" spans="1:27">
      <c r="A1392" s="9" t="s">
        <v>253</v>
      </c>
      <c r="B1392" s="9" t="s">
        <v>187</v>
      </c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9"/>
      <c r="U1392" s="9"/>
      <c r="V1392" s="9"/>
      <c r="W1392" s="9"/>
      <c r="X1392" s="9"/>
      <c r="Y1392" s="9"/>
      <c r="Z1392" s="9"/>
      <c r="AA1392" s="9"/>
    </row>
    <row r="1393" spans="1:27">
      <c r="A1393" s="9" t="s">
        <v>2242</v>
      </c>
      <c r="B1393" s="9" t="s">
        <v>2233</v>
      </c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9"/>
      <c r="U1393" s="9"/>
      <c r="V1393" s="9"/>
      <c r="W1393" s="9"/>
      <c r="X1393" s="9"/>
      <c r="Y1393" s="9"/>
      <c r="Z1393" s="9"/>
      <c r="AA1393" s="9"/>
    </row>
    <row r="1394" spans="1:27">
      <c r="A1394" s="9" t="s">
        <v>254</v>
      </c>
      <c r="B1394" s="9" t="s">
        <v>188</v>
      </c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9"/>
      <c r="T1394" s="9"/>
      <c r="U1394" s="9"/>
      <c r="V1394" s="9"/>
      <c r="W1394" s="9"/>
      <c r="X1394" s="9"/>
      <c r="Y1394" s="9"/>
      <c r="Z1394" s="9"/>
      <c r="AA1394" s="9"/>
    </row>
    <row r="1395" spans="1:27">
      <c r="A1395" s="9" t="s">
        <v>255</v>
      </c>
      <c r="B1395" s="9" t="s">
        <v>189</v>
      </c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9"/>
      <c r="T1395" s="9"/>
      <c r="U1395" s="9"/>
      <c r="V1395" s="9"/>
      <c r="W1395" s="9"/>
      <c r="X1395" s="9"/>
      <c r="Y1395" s="9"/>
      <c r="Z1395" s="9"/>
      <c r="AA1395" s="9"/>
    </row>
    <row r="1396" spans="1:27">
      <c r="A1396" s="9" t="s">
        <v>256</v>
      </c>
      <c r="B1396" s="9" t="s">
        <v>190</v>
      </c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9"/>
      <c r="U1396" s="9"/>
      <c r="V1396" s="9"/>
      <c r="W1396" s="9"/>
      <c r="X1396" s="9"/>
      <c r="Y1396" s="9"/>
      <c r="Z1396" s="9"/>
      <c r="AA1396" s="9"/>
    </row>
    <row r="1397" spans="1:27">
      <c r="A1397" s="9" t="s">
        <v>257</v>
      </c>
      <c r="B1397" s="9" t="s">
        <v>191</v>
      </c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9"/>
      <c r="T1397" s="9"/>
      <c r="U1397" s="9"/>
      <c r="V1397" s="9"/>
      <c r="W1397" s="9"/>
      <c r="X1397" s="9"/>
      <c r="Y1397" s="9"/>
      <c r="Z1397" s="9"/>
      <c r="AA1397" s="9"/>
    </row>
    <row r="1398" spans="1:27">
      <c r="A1398" s="9" t="s">
        <v>258</v>
      </c>
      <c r="B1398" s="9" t="s">
        <v>192</v>
      </c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9"/>
      <c r="T1398" s="9"/>
      <c r="U1398" s="9"/>
      <c r="V1398" s="9"/>
      <c r="W1398" s="9"/>
      <c r="X1398" s="9"/>
      <c r="Y1398" s="9"/>
      <c r="Z1398" s="9"/>
      <c r="AA1398" s="9"/>
    </row>
    <row r="1399" spans="1:27">
      <c r="A1399" s="9" t="s">
        <v>259</v>
      </c>
      <c r="B1399" s="9" t="s">
        <v>193</v>
      </c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9"/>
      <c r="T1399" s="9"/>
      <c r="U1399" s="9"/>
      <c r="V1399" s="9"/>
      <c r="W1399" s="9"/>
      <c r="X1399" s="9"/>
      <c r="Y1399" s="9"/>
      <c r="Z1399" s="9"/>
      <c r="AA1399" s="9"/>
    </row>
    <row r="1400" spans="1:27">
      <c r="A1400" s="9" t="s">
        <v>260</v>
      </c>
      <c r="B1400" s="9" t="s">
        <v>242</v>
      </c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9"/>
      <c r="U1400" s="9"/>
      <c r="V1400" s="9"/>
      <c r="W1400" s="9"/>
      <c r="X1400" s="9"/>
      <c r="Y1400" s="9"/>
      <c r="Z1400" s="9"/>
      <c r="AA1400" s="9"/>
    </row>
    <row r="1401" spans="1:27">
      <c r="A1401" s="9" t="s">
        <v>261</v>
      </c>
      <c r="B1401" s="9" t="s">
        <v>194</v>
      </c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9"/>
      <c r="T1401" s="9"/>
      <c r="U1401" s="9"/>
      <c r="V1401" s="9"/>
      <c r="W1401" s="9"/>
      <c r="X1401" s="9"/>
      <c r="Y1401" s="9"/>
      <c r="Z1401" s="9"/>
      <c r="AA1401" s="9"/>
    </row>
    <row r="1402" spans="1:27">
      <c r="A1402" s="9" t="s">
        <v>262</v>
      </c>
      <c r="B1402" s="9" t="s">
        <v>195</v>
      </c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9"/>
      <c r="T1402" s="9"/>
      <c r="U1402" s="9"/>
      <c r="V1402" s="9"/>
      <c r="W1402" s="9"/>
      <c r="X1402" s="9"/>
      <c r="Y1402" s="9"/>
      <c r="Z1402" s="9"/>
      <c r="AA1402" s="9"/>
    </row>
    <row r="1403" spans="1:27">
      <c r="A1403" s="9" t="s">
        <v>263</v>
      </c>
      <c r="B1403" s="9" t="s">
        <v>196</v>
      </c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9"/>
      <c r="T1403" s="9"/>
      <c r="U1403" s="9"/>
      <c r="V1403" s="9"/>
      <c r="W1403" s="9"/>
      <c r="X1403" s="9"/>
      <c r="Y1403" s="9"/>
      <c r="Z1403" s="9"/>
      <c r="AA1403" s="9"/>
    </row>
    <row r="1404" spans="1:27">
      <c r="A1404" s="9" t="s">
        <v>264</v>
      </c>
      <c r="B1404" s="9" t="s">
        <v>197</v>
      </c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9"/>
      <c r="U1404" s="9"/>
      <c r="V1404" s="9"/>
      <c r="W1404" s="9"/>
      <c r="X1404" s="9"/>
      <c r="Y1404" s="9"/>
      <c r="Z1404" s="9"/>
      <c r="AA1404" s="9"/>
    </row>
    <row r="1405" spans="1:27">
      <c r="A1405" s="9" t="s">
        <v>265</v>
      </c>
      <c r="B1405" s="9" t="s">
        <v>198</v>
      </c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9"/>
      <c r="T1405" s="9"/>
      <c r="U1405" s="9"/>
      <c r="V1405" s="9"/>
      <c r="W1405" s="9"/>
      <c r="X1405" s="9"/>
      <c r="Y1405" s="9"/>
      <c r="Z1405" s="9"/>
      <c r="AA1405" s="9"/>
    </row>
    <row r="1406" spans="1:27">
      <c r="A1406" s="9" t="s">
        <v>266</v>
      </c>
      <c r="B1406" s="9" t="s">
        <v>199</v>
      </c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9"/>
      <c r="T1406" s="9"/>
      <c r="U1406" s="9"/>
      <c r="V1406" s="9"/>
      <c r="W1406" s="9"/>
      <c r="X1406" s="9"/>
      <c r="Y1406" s="9"/>
      <c r="Z1406" s="9"/>
      <c r="AA1406" s="9"/>
    </row>
    <row r="1407" spans="1:27">
      <c r="A1407" s="9" t="s">
        <v>267</v>
      </c>
      <c r="B1407" s="9" t="s">
        <v>200</v>
      </c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9"/>
      <c r="T1407" s="9"/>
      <c r="U1407" s="9"/>
      <c r="V1407" s="9"/>
      <c r="W1407" s="9"/>
      <c r="X1407" s="9"/>
      <c r="Y1407" s="9"/>
      <c r="Z1407" s="9"/>
      <c r="AA1407" s="9"/>
    </row>
    <row r="1408" spans="1:27">
      <c r="A1408" s="9" t="s">
        <v>1829</v>
      </c>
      <c r="B1408" s="9" t="s">
        <v>2166</v>
      </c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9"/>
      <c r="U1408" s="9"/>
      <c r="V1408" s="9"/>
      <c r="W1408" s="9"/>
      <c r="X1408" s="9"/>
      <c r="Y1408" s="9"/>
      <c r="Z1408" s="9"/>
      <c r="AA1408" s="9"/>
    </row>
    <row r="1409" spans="1:27">
      <c r="A1409" s="9" t="s">
        <v>2712</v>
      </c>
      <c r="B1409" s="9" t="s">
        <v>2553</v>
      </c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9"/>
      <c r="T1409" s="9"/>
      <c r="U1409" s="9"/>
      <c r="V1409" s="9"/>
      <c r="W1409" s="9"/>
      <c r="X1409" s="9"/>
      <c r="Y1409" s="9"/>
      <c r="Z1409" s="9"/>
      <c r="AA1409" s="9"/>
    </row>
    <row r="1410" spans="1:27">
      <c r="A1410" s="9" t="s">
        <v>1830</v>
      </c>
      <c r="B1410" s="9" t="s">
        <v>2167</v>
      </c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9"/>
      <c r="T1410" s="9"/>
      <c r="U1410" s="9"/>
      <c r="V1410" s="9"/>
      <c r="W1410" s="9"/>
      <c r="X1410" s="9"/>
      <c r="Y1410" s="9"/>
      <c r="Z1410" s="9"/>
      <c r="AA1410" s="9"/>
    </row>
    <row r="1411" spans="1:27">
      <c r="A1411" s="9" t="s">
        <v>268</v>
      </c>
      <c r="B1411" s="9" t="s">
        <v>201</v>
      </c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9"/>
      <c r="T1411" s="9"/>
      <c r="U1411" s="9"/>
      <c r="V1411" s="9"/>
      <c r="W1411" s="9"/>
      <c r="X1411" s="9"/>
      <c r="Y1411" s="9"/>
      <c r="Z1411" s="9"/>
      <c r="AA1411" s="9"/>
    </row>
    <row r="1412" spans="1:27">
      <c r="A1412" s="9" t="s">
        <v>269</v>
      </c>
      <c r="B1412" s="9" t="s">
        <v>202</v>
      </c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9"/>
      <c r="U1412" s="9"/>
      <c r="V1412" s="9"/>
      <c r="W1412" s="9"/>
      <c r="X1412" s="9"/>
      <c r="Y1412" s="9"/>
      <c r="Z1412" s="9"/>
      <c r="AA1412" s="9"/>
    </row>
    <row r="1413" spans="1:27">
      <c r="A1413" s="9" t="s">
        <v>270</v>
      </c>
      <c r="B1413" s="9" t="s">
        <v>203</v>
      </c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9"/>
      <c r="T1413" s="9"/>
      <c r="U1413" s="9"/>
      <c r="V1413" s="9"/>
      <c r="W1413" s="9"/>
      <c r="X1413" s="9"/>
      <c r="Y1413" s="9"/>
      <c r="Z1413" s="9"/>
      <c r="AA1413" s="9"/>
    </row>
    <row r="1414" spans="1:27">
      <c r="A1414" s="9" t="s">
        <v>271</v>
      </c>
      <c r="B1414" s="9" t="s">
        <v>204</v>
      </c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9"/>
      <c r="T1414" s="9"/>
      <c r="U1414" s="9"/>
      <c r="V1414" s="9"/>
      <c r="W1414" s="9"/>
      <c r="X1414" s="9"/>
      <c r="Y1414" s="9"/>
      <c r="Z1414" s="9"/>
      <c r="AA1414" s="9"/>
    </row>
    <row r="1415" spans="1:27">
      <c r="A1415" s="9" t="s">
        <v>272</v>
      </c>
      <c r="B1415" s="9" t="s">
        <v>205</v>
      </c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9"/>
      <c r="T1415" s="9"/>
      <c r="U1415" s="9"/>
      <c r="V1415" s="9"/>
      <c r="W1415" s="9"/>
      <c r="X1415" s="9"/>
      <c r="Y1415" s="9"/>
      <c r="Z1415" s="9"/>
      <c r="AA1415" s="9"/>
    </row>
    <row r="1416" spans="1:27">
      <c r="A1416" s="9" t="s">
        <v>273</v>
      </c>
      <c r="B1416" s="9" t="s">
        <v>206</v>
      </c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9"/>
      <c r="U1416" s="9"/>
      <c r="V1416" s="9"/>
      <c r="W1416" s="9"/>
      <c r="X1416" s="9"/>
      <c r="Y1416" s="9"/>
      <c r="Z1416" s="9"/>
      <c r="AA1416" s="9"/>
    </row>
    <row r="1417" spans="1:27">
      <c r="A1417" s="9" t="s">
        <v>274</v>
      </c>
      <c r="B1417" s="9" t="s">
        <v>207</v>
      </c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9"/>
      <c r="T1417" s="9"/>
      <c r="U1417" s="9"/>
      <c r="V1417" s="9"/>
      <c r="W1417" s="9"/>
      <c r="X1417" s="9"/>
      <c r="Y1417" s="9"/>
      <c r="Z1417" s="9"/>
      <c r="AA1417" s="9"/>
    </row>
    <row r="1418" spans="1:27">
      <c r="A1418" s="9" t="s">
        <v>275</v>
      </c>
      <c r="B1418" s="9" t="s">
        <v>208</v>
      </c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9"/>
      <c r="T1418" s="9"/>
      <c r="U1418" s="9"/>
      <c r="V1418" s="9"/>
      <c r="W1418" s="9"/>
      <c r="X1418" s="9"/>
      <c r="Y1418" s="9"/>
      <c r="Z1418" s="9"/>
      <c r="AA1418" s="9"/>
    </row>
    <row r="1419" spans="1:27">
      <c r="A1419" s="9" t="s">
        <v>276</v>
      </c>
      <c r="B1419" s="9" t="s">
        <v>209</v>
      </c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9"/>
      <c r="U1419" s="9"/>
      <c r="V1419" s="9"/>
      <c r="W1419" s="9"/>
      <c r="X1419" s="9"/>
      <c r="Y1419" s="9"/>
      <c r="Z1419" s="9"/>
      <c r="AA1419" s="9"/>
    </row>
    <row r="1420" spans="1:27">
      <c r="A1420" s="9" t="s">
        <v>277</v>
      </c>
      <c r="B1420" s="9" t="s">
        <v>210</v>
      </c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9"/>
      <c r="U1420" s="9"/>
      <c r="V1420" s="9"/>
      <c r="W1420" s="9"/>
      <c r="X1420" s="9"/>
      <c r="Y1420" s="9"/>
      <c r="Z1420" s="9"/>
      <c r="AA1420" s="9"/>
    </row>
    <row r="1421" spans="1:27">
      <c r="A1421" s="9" t="s">
        <v>278</v>
      </c>
      <c r="B1421" s="9" t="s">
        <v>211</v>
      </c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9"/>
      <c r="T1421" s="9"/>
      <c r="U1421" s="9"/>
      <c r="V1421" s="9"/>
      <c r="W1421" s="9"/>
      <c r="X1421" s="9"/>
      <c r="Y1421" s="9"/>
      <c r="Z1421" s="9"/>
      <c r="AA1421" s="9"/>
    </row>
    <row r="1422" spans="1:27">
      <c r="A1422" s="9" t="s">
        <v>279</v>
      </c>
      <c r="B1422" s="9" t="s">
        <v>212</v>
      </c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9"/>
      <c r="T1422" s="9"/>
      <c r="U1422" s="9"/>
      <c r="V1422" s="9"/>
      <c r="W1422" s="9"/>
      <c r="X1422" s="9"/>
      <c r="Y1422" s="9"/>
      <c r="Z1422" s="9"/>
      <c r="AA1422" s="9"/>
    </row>
    <row r="1423" spans="1:27">
      <c r="A1423" s="9" t="s">
        <v>280</v>
      </c>
      <c r="B1423" s="9" t="s">
        <v>213</v>
      </c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9"/>
      <c r="T1423" s="9"/>
      <c r="U1423" s="9"/>
      <c r="V1423" s="9"/>
      <c r="W1423" s="9"/>
      <c r="X1423" s="9"/>
      <c r="Y1423" s="9"/>
      <c r="Z1423" s="9"/>
      <c r="AA1423" s="9"/>
    </row>
    <row r="1424" spans="1:27">
      <c r="A1424" s="9" t="s">
        <v>281</v>
      </c>
      <c r="B1424" s="9" t="s">
        <v>214</v>
      </c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9"/>
      <c r="U1424" s="9"/>
      <c r="V1424" s="9"/>
      <c r="W1424" s="9"/>
      <c r="X1424" s="9"/>
      <c r="Y1424" s="9"/>
      <c r="Z1424" s="9"/>
      <c r="AA1424" s="9"/>
    </row>
    <row r="1425" spans="1:27">
      <c r="A1425" s="9" t="s">
        <v>282</v>
      </c>
      <c r="B1425" s="9" t="s">
        <v>215</v>
      </c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9"/>
      <c r="T1425" s="9"/>
      <c r="U1425" s="9"/>
      <c r="V1425" s="9"/>
      <c r="W1425" s="9"/>
      <c r="X1425" s="9"/>
      <c r="Y1425" s="9"/>
      <c r="Z1425" s="9"/>
      <c r="AA1425" s="9"/>
    </row>
    <row r="1426" spans="1:27">
      <c r="A1426" s="9" t="s">
        <v>283</v>
      </c>
      <c r="B1426" s="9" t="s">
        <v>216</v>
      </c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9"/>
      <c r="T1426" s="9"/>
      <c r="U1426" s="9"/>
      <c r="V1426" s="9"/>
      <c r="W1426" s="9"/>
      <c r="X1426" s="9"/>
      <c r="Y1426" s="9"/>
      <c r="Z1426" s="9"/>
      <c r="AA1426" s="9"/>
    </row>
    <row r="1427" spans="1:27">
      <c r="A1427" s="9" t="s">
        <v>284</v>
      </c>
      <c r="B1427" s="9" t="s">
        <v>217</v>
      </c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9"/>
      <c r="T1427" s="9"/>
      <c r="U1427" s="9"/>
      <c r="V1427" s="9"/>
      <c r="W1427" s="9"/>
      <c r="X1427" s="9"/>
      <c r="Y1427" s="9"/>
      <c r="Z1427" s="9"/>
      <c r="AA1427" s="9"/>
    </row>
    <row r="1428" spans="1:27">
      <c r="A1428" s="9" t="s">
        <v>285</v>
      </c>
      <c r="B1428" s="9" t="s">
        <v>218</v>
      </c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9"/>
      <c r="U1428" s="9"/>
      <c r="V1428" s="9"/>
      <c r="W1428" s="9"/>
      <c r="X1428" s="9"/>
      <c r="Y1428" s="9"/>
      <c r="Z1428" s="9"/>
      <c r="AA1428" s="9"/>
    </row>
    <row r="1429" spans="1:27">
      <c r="A1429" s="9" t="s">
        <v>286</v>
      </c>
      <c r="B1429" s="9" t="s">
        <v>219</v>
      </c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9"/>
      <c r="T1429" s="9"/>
      <c r="U1429" s="9"/>
      <c r="V1429" s="9"/>
      <c r="W1429" s="9"/>
      <c r="X1429" s="9"/>
      <c r="Y1429" s="9"/>
      <c r="Z1429" s="9"/>
      <c r="AA1429" s="9"/>
    </row>
    <row r="1430" spans="1:27">
      <c r="A1430" s="9" t="s">
        <v>287</v>
      </c>
      <c r="B1430" s="9" t="s">
        <v>220</v>
      </c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9"/>
      <c r="T1430" s="9"/>
      <c r="U1430" s="9"/>
      <c r="V1430" s="9"/>
      <c r="W1430" s="9"/>
      <c r="X1430" s="9"/>
      <c r="Y1430" s="9"/>
      <c r="Z1430" s="9"/>
      <c r="AA1430" s="9"/>
    </row>
    <row r="1431" spans="1:27">
      <c r="A1431" s="9" t="s">
        <v>288</v>
      </c>
      <c r="B1431" s="9" t="s">
        <v>221</v>
      </c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9"/>
      <c r="T1431" s="9"/>
      <c r="U1431" s="9"/>
      <c r="V1431" s="9"/>
      <c r="W1431" s="9"/>
      <c r="X1431" s="9"/>
      <c r="Y1431" s="9"/>
      <c r="Z1431" s="9"/>
      <c r="AA1431" s="9"/>
    </row>
    <row r="1432" spans="1:27">
      <c r="A1432" s="9" t="s">
        <v>289</v>
      </c>
      <c r="B1432" s="9" t="s">
        <v>222</v>
      </c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9"/>
      <c r="U1432" s="9"/>
      <c r="V1432" s="9"/>
      <c r="W1432" s="9"/>
      <c r="X1432" s="9"/>
      <c r="Y1432" s="9"/>
      <c r="Z1432" s="9"/>
      <c r="AA1432" s="9"/>
    </row>
    <row r="1433" spans="1:27">
      <c r="A1433" s="9" t="s">
        <v>290</v>
      </c>
      <c r="B1433" s="9" t="s">
        <v>223</v>
      </c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9"/>
      <c r="T1433" s="9"/>
      <c r="U1433" s="9"/>
      <c r="V1433" s="9"/>
      <c r="W1433" s="9"/>
      <c r="X1433" s="9"/>
      <c r="Y1433" s="9"/>
      <c r="Z1433" s="9"/>
      <c r="AA1433" s="9"/>
    </row>
    <row r="1434" spans="1:27">
      <c r="A1434" s="9" t="s">
        <v>291</v>
      </c>
      <c r="B1434" s="9" t="s">
        <v>224</v>
      </c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9"/>
      <c r="T1434" s="9"/>
      <c r="U1434" s="9"/>
      <c r="V1434" s="9"/>
      <c r="W1434" s="9"/>
      <c r="X1434" s="9"/>
      <c r="Y1434" s="9"/>
      <c r="Z1434" s="9"/>
      <c r="AA1434" s="9"/>
    </row>
    <row r="1435" spans="1:27">
      <c r="A1435" s="9" t="s">
        <v>292</v>
      </c>
      <c r="B1435" s="9" t="s">
        <v>225</v>
      </c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9"/>
      <c r="T1435" s="9"/>
      <c r="U1435" s="9"/>
      <c r="V1435" s="9"/>
      <c r="W1435" s="9"/>
      <c r="X1435" s="9"/>
      <c r="Y1435" s="9"/>
      <c r="Z1435" s="9"/>
      <c r="AA1435" s="9"/>
    </row>
    <row r="1436" spans="1:27">
      <c r="A1436" s="9" t="s">
        <v>293</v>
      </c>
      <c r="B1436" s="9" t="s">
        <v>226</v>
      </c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9"/>
      <c r="U1436" s="9"/>
      <c r="V1436" s="9"/>
      <c r="W1436" s="9"/>
      <c r="X1436" s="9"/>
      <c r="Y1436" s="9"/>
      <c r="Z1436" s="9"/>
      <c r="AA1436" s="9"/>
    </row>
    <row r="1437" spans="1:27">
      <c r="A1437" s="9" t="s">
        <v>294</v>
      </c>
      <c r="B1437" s="9" t="s">
        <v>227</v>
      </c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9"/>
      <c r="T1437" s="9"/>
      <c r="U1437" s="9"/>
      <c r="V1437" s="9"/>
      <c r="W1437" s="9"/>
      <c r="X1437" s="9"/>
      <c r="Y1437" s="9"/>
      <c r="Z1437" s="9"/>
      <c r="AA1437" s="9"/>
    </row>
    <row r="1438" spans="1:27">
      <c r="A1438" s="9" t="s">
        <v>295</v>
      </c>
      <c r="B1438" s="9" t="s">
        <v>228</v>
      </c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9"/>
      <c r="T1438" s="9"/>
      <c r="U1438" s="9"/>
      <c r="V1438" s="9"/>
      <c r="W1438" s="9"/>
      <c r="X1438" s="9"/>
      <c r="Y1438" s="9"/>
      <c r="Z1438" s="9"/>
      <c r="AA1438" s="9"/>
    </row>
    <row r="1439" spans="1:27">
      <c r="A1439" s="9" t="s">
        <v>1831</v>
      </c>
      <c r="B1439" s="9" t="s">
        <v>2168</v>
      </c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9"/>
      <c r="T1439" s="9"/>
      <c r="U1439" s="9"/>
      <c r="V1439" s="9"/>
      <c r="W1439" s="9"/>
      <c r="X1439" s="9"/>
      <c r="Y1439" s="9"/>
      <c r="Z1439" s="9"/>
      <c r="AA1439" s="9"/>
    </row>
    <row r="1440" spans="1:27">
      <c r="A1440" s="9" t="s">
        <v>296</v>
      </c>
      <c r="B1440" s="9" t="s">
        <v>229</v>
      </c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9"/>
      <c r="U1440" s="9"/>
      <c r="V1440" s="9"/>
      <c r="W1440" s="9"/>
      <c r="X1440" s="9"/>
      <c r="Y1440" s="9"/>
      <c r="Z1440" s="9"/>
      <c r="AA1440" s="9"/>
    </row>
    <row r="1441" spans="1:27">
      <c r="A1441" s="9" t="s">
        <v>297</v>
      </c>
      <c r="B1441" s="9" t="s">
        <v>230</v>
      </c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9"/>
      <c r="T1441" s="9"/>
      <c r="U1441" s="9"/>
      <c r="V1441" s="9"/>
      <c r="W1441" s="9"/>
      <c r="X1441" s="9"/>
      <c r="Y1441" s="9"/>
      <c r="Z1441" s="9"/>
      <c r="AA1441" s="9"/>
    </row>
    <row r="1442" spans="1:27">
      <c r="A1442" s="9" t="s">
        <v>2713</v>
      </c>
      <c r="B1442" s="9" t="s">
        <v>2551</v>
      </c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9"/>
      <c r="T1442" s="9"/>
      <c r="U1442" s="9"/>
      <c r="V1442" s="9"/>
      <c r="W1442" s="9"/>
      <c r="X1442" s="9"/>
      <c r="Y1442" s="9"/>
      <c r="Z1442" s="9"/>
      <c r="AA1442" s="9"/>
    </row>
    <row r="1443" spans="1:27">
      <c r="A1443" s="9" t="s">
        <v>298</v>
      </c>
      <c r="B1443" s="9" t="s">
        <v>237</v>
      </c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9"/>
      <c r="T1443" s="9"/>
      <c r="U1443" s="9"/>
      <c r="V1443" s="9"/>
      <c r="W1443" s="9"/>
      <c r="X1443" s="9"/>
      <c r="Y1443" s="9"/>
      <c r="Z1443" s="9"/>
      <c r="AA1443" s="9"/>
    </row>
    <row r="1444" spans="1:27">
      <c r="A1444" s="9" t="s">
        <v>299</v>
      </c>
      <c r="B1444" s="9" t="s">
        <v>238</v>
      </c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9"/>
      <c r="U1444" s="9"/>
      <c r="V1444" s="9"/>
      <c r="W1444" s="9"/>
      <c r="X1444" s="9"/>
      <c r="Y1444" s="9"/>
      <c r="Z1444" s="9"/>
      <c r="AA1444" s="9"/>
    </row>
    <row r="1445" spans="1:27">
      <c r="A1445" s="9" t="s">
        <v>300</v>
      </c>
      <c r="B1445" s="9" t="s">
        <v>231</v>
      </c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9"/>
      <c r="T1445" s="9"/>
      <c r="U1445" s="9"/>
      <c r="V1445" s="9"/>
      <c r="W1445" s="9"/>
      <c r="X1445" s="9"/>
      <c r="Y1445" s="9"/>
      <c r="Z1445" s="9"/>
      <c r="AA1445" s="9"/>
    </row>
    <row r="1446" spans="1:27">
      <c r="A1446" s="9" t="s">
        <v>2714</v>
      </c>
      <c r="B1446" s="9" t="s">
        <v>2552</v>
      </c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9"/>
      <c r="T1446" s="9"/>
      <c r="U1446" s="9"/>
      <c r="V1446" s="9"/>
      <c r="W1446" s="9"/>
      <c r="X1446" s="9"/>
      <c r="Y1446" s="9"/>
      <c r="Z1446" s="9"/>
      <c r="AA1446" s="9"/>
    </row>
    <row r="1447" spans="1:27">
      <c r="A1447" s="9" t="s">
        <v>1832</v>
      </c>
      <c r="B1447" s="9" t="s">
        <v>2169</v>
      </c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9"/>
      <c r="T1447" s="9"/>
      <c r="U1447" s="9"/>
      <c r="V1447" s="9"/>
      <c r="W1447" s="9"/>
      <c r="X1447" s="9"/>
      <c r="Y1447" s="9"/>
      <c r="Z1447" s="9"/>
      <c r="AA1447" s="9"/>
    </row>
    <row r="1448" spans="1:27">
      <c r="A1448" s="9" t="s">
        <v>301</v>
      </c>
      <c r="B1448" s="9" t="s">
        <v>232</v>
      </c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9"/>
      <c r="U1448" s="9"/>
      <c r="V1448" s="9"/>
      <c r="W1448" s="9"/>
      <c r="X1448" s="9"/>
      <c r="Y1448" s="9"/>
      <c r="Z1448" s="9"/>
      <c r="AA1448" s="9"/>
    </row>
    <row r="1449" spans="1:27">
      <c r="A1449" s="9" t="s">
        <v>302</v>
      </c>
      <c r="B1449" s="9" t="s">
        <v>2271</v>
      </c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9"/>
      <c r="T1449" s="9"/>
      <c r="U1449" s="9"/>
      <c r="V1449" s="9"/>
      <c r="W1449" s="9"/>
      <c r="X1449" s="9"/>
      <c r="Y1449" s="9"/>
      <c r="Z1449" s="9"/>
      <c r="AA1449" s="9"/>
    </row>
    <row r="1450" spans="1:27">
      <c r="A1450" s="9" t="s">
        <v>2291</v>
      </c>
      <c r="B1450" s="9" t="s">
        <v>243</v>
      </c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9"/>
      <c r="T1450" s="9"/>
      <c r="U1450" s="9"/>
      <c r="V1450" s="9"/>
      <c r="W1450" s="9"/>
      <c r="X1450" s="9"/>
      <c r="Y1450" s="9"/>
      <c r="Z1450" s="9"/>
      <c r="AA1450" s="9"/>
    </row>
    <row r="1451" spans="1:27">
      <c r="A1451" s="9" t="s">
        <v>415</v>
      </c>
      <c r="B1451" s="9" t="s">
        <v>181</v>
      </c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9"/>
      <c r="T1451" s="9"/>
      <c r="U1451" s="9"/>
      <c r="V1451" s="9"/>
      <c r="W1451" s="9"/>
      <c r="X1451" s="9"/>
      <c r="Y1451" s="9"/>
      <c r="Z1451" s="9"/>
      <c r="AA1451" s="9"/>
    </row>
    <row r="1452" spans="1:27">
      <c r="A1452" s="9" t="s">
        <v>416</v>
      </c>
      <c r="B1452" s="9" t="s">
        <v>182</v>
      </c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9"/>
      <c r="U1452" s="9"/>
      <c r="V1452" s="9"/>
      <c r="W1452" s="9"/>
      <c r="X1452" s="9"/>
      <c r="Y1452" s="9"/>
      <c r="Z1452" s="9"/>
      <c r="AA1452" s="9"/>
    </row>
    <row r="1453" spans="1:27">
      <c r="A1453" s="9" t="s">
        <v>417</v>
      </c>
      <c r="B1453" s="9" t="s">
        <v>183</v>
      </c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9"/>
      <c r="T1453" s="9"/>
      <c r="U1453" s="9"/>
      <c r="V1453" s="9"/>
      <c r="W1453" s="9"/>
      <c r="X1453" s="9"/>
      <c r="Y1453" s="9"/>
      <c r="Z1453" s="9"/>
      <c r="AA1453" s="9"/>
    </row>
    <row r="1454" spans="1:27">
      <c r="A1454" s="9" t="s">
        <v>418</v>
      </c>
      <c r="B1454" s="9" t="s">
        <v>184</v>
      </c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9"/>
      <c r="T1454" s="9"/>
      <c r="U1454" s="9"/>
      <c r="V1454" s="9"/>
      <c r="W1454" s="9"/>
      <c r="X1454" s="9"/>
      <c r="Y1454" s="9"/>
      <c r="Z1454" s="9"/>
      <c r="AA1454" s="9"/>
    </row>
    <row r="1455" spans="1:27">
      <c r="A1455" s="9" t="s">
        <v>419</v>
      </c>
      <c r="B1455" s="9" t="s">
        <v>185</v>
      </c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9"/>
      <c r="T1455" s="9"/>
      <c r="U1455" s="9"/>
      <c r="V1455" s="9"/>
      <c r="W1455" s="9"/>
      <c r="X1455" s="9"/>
      <c r="Y1455" s="9"/>
      <c r="Z1455" s="9"/>
      <c r="AA1455" s="9"/>
    </row>
    <row r="1456" spans="1:27">
      <c r="A1456" s="9" t="s">
        <v>420</v>
      </c>
      <c r="B1456" s="9" t="s">
        <v>186</v>
      </c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9"/>
      <c r="U1456" s="9"/>
      <c r="V1456" s="9"/>
      <c r="W1456" s="9"/>
      <c r="X1456" s="9"/>
      <c r="Y1456" s="9"/>
      <c r="Z1456" s="9"/>
      <c r="AA1456" s="9"/>
    </row>
    <row r="1457" spans="1:27">
      <c r="A1457" s="9" t="s">
        <v>421</v>
      </c>
      <c r="B1457" s="9" t="s">
        <v>187</v>
      </c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9"/>
      <c r="T1457" s="9"/>
      <c r="U1457" s="9"/>
      <c r="V1457" s="9"/>
      <c r="W1457" s="9"/>
      <c r="X1457" s="9"/>
      <c r="Y1457" s="9"/>
      <c r="Z1457" s="9"/>
      <c r="AA1457" s="9"/>
    </row>
    <row r="1458" spans="1:27">
      <c r="A1458" s="9" t="s">
        <v>2245</v>
      </c>
      <c r="B1458" s="9" t="s">
        <v>2233</v>
      </c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9"/>
      <c r="T1458" s="9"/>
      <c r="U1458" s="9"/>
      <c r="V1458" s="9"/>
      <c r="W1458" s="9"/>
      <c r="X1458" s="9"/>
      <c r="Y1458" s="9"/>
      <c r="Z1458" s="9"/>
      <c r="AA1458" s="9"/>
    </row>
    <row r="1459" spans="1:27">
      <c r="A1459" s="9" t="s">
        <v>422</v>
      </c>
      <c r="B1459" s="9" t="s">
        <v>188</v>
      </c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9"/>
      <c r="T1459" s="9"/>
      <c r="U1459" s="9"/>
      <c r="V1459" s="9"/>
      <c r="W1459" s="9"/>
      <c r="X1459" s="9"/>
      <c r="Y1459" s="9"/>
      <c r="Z1459" s="9"/>
      <c r="AA1459" s="9"/>
    </row>
    <row r="1460" spans="1:27">
      <c r="A1460" s="9" t="s">
        <v>423</v>
      </c>
      <c r="B1460" s="9" t="s">
        <v>189</v>
      </c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9"/>
      <c r="U1460" s="9"/>
      <c r="V1460" s="9"/>
      <c r="W1460" s="9"/>
      <c r="X1460" s="9"/>
      <c r="Y1460" s="9"/>
      <c r="Z1460" s="9"/>
      <c r="AA1460" s="9"/>
    </row>
    <row r="1461" spans="1:27">
      <c r="A1461" s="9" t="s">
        <v>424</v>
      </c>
      <c r="B1461" s="9" t="s">
        <v>190</v>
      </c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9"/>
      <c r="T1461" s="9"/>
      <c r="U1461" s="9"/>
      <c r="V1461" s="9"/>
      <c r="W1461" s="9"/>
      <c r="X1461" s="9"/>
      <c r="Y1461" s="9"/>
      <c r="Z1461" s="9"/>
      <c r="AA1461" s="9"/>
    </row>
    <row r="1462" spans="1:27">
      <c r="A1462" s="9" t="s">
        <v>425</v>
      </c>
      <c r="B1462" s="9" t="s">
        <v>191</v>
      </c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9"/>
      <c r="U1462" s="9"/>
      <c r="V1462" s="9"/>
      <c r="W1462" s="9"/>
      <c r="X1462" s="9"/>
      <c r="Y1462" s="9"/>
      <c r="Z1462" s="9"/>
      <c r="AA1462" s="9"/>
    </row>
    <row r="1463" spans="1:27">
      <c r="A1463" s="9" t="s">
        <v>426</v>
      </c>
      <c r="B1463" s="9" t="s">
        <v>192</v>
      </c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9"/>
      <c r="T1463" s="9"/>
      <c r="U1463" s="9"/>
      <c r="V1463" s="9"/>
      <c r="W1463" s="9"/>
      <c r="X1463" s="9"/>
      <c r="Y1463" s="9"/>
      <c r="Z1463" s="9"/>
      <c r="AA1463" s="9"/>
    </row>
    <row r="1464" spans="1:27">
      <c r="A1464" s="9" t="s">
        <v>427</v>
      </c>
      <c r="B1464" s="9" t="s">
        <v>193</v>
      </c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9"/>
      <c r="U1464" s="9"/>
      <c r="V1464" s="9"/>
      <c r="W1464" s="9"/>
      <c r="X1464" s="9"/>
      <c r="Y1464" s="9"/>
      <c r="Z1464" s="9"/>
      <c r="AA1464" s="9"/>
    </row>
    <row r="1465" spans="1:27">
      <c r="A1465" s="9" t="s">
        <v>428</v>
      </c>
      <c r="B1465" s="9" t="s">
        <v>242</v>
      </c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9"/>
      <c r="T1465" s="9"/>
      <c r="U1465" s="9"/>
      <c r="V1465" s="9"/>
      <c r="W1465" s="9"/>
      <c r="X1465" s="9"/>
      <c r="Y1465" s="9"/>
      <c r="Z1465" s="9"/>
      <c r="AA1465" s="9"/>
    </row>
    <row r="1466" spans="1:27">
      <c r="A1466" s="9" t="s">
        <v>429</v>
      </c>
      <c r="B1466" s="9" t="s">
        <v>194</v>
      </c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9"/>
      <c r="T1466" s="9"/>
      <c r="U1466" s="9"/>
      <c r="V1466" s="9"/>
      <c r="W1466" s="9"/>
      <c r="X1466" s="9"/>
      <c r="Y1466" s="9"/>
      <c r="Z1466" s="9"/>
      <c r="AA1466" s="9"/>
    </row>
    <row r="1467" spans="1:27">
      <c r="A1467" s="9" t="s">
        <v>430</v>
      </c>
      <c r="B1467" s="9" t="s">
        <v>195</v>
      </c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9"/>
      <c r="T1467" s="9"/>
      <c r="U1467" s="9"/>
      <c r="V1467" s="9"/>
      <c r="W1467" s="9"/>
      <c r="X1467" s="9"/>
      <c r="Y1467" s="9"/>
      <c r="Z1467" s="9"/>
      <c r="AA1467" s="9"/>
    </row>
    <row r="1468" spans="1:27">
      <c r="A1468" s="9" t="s">
        <v>431</v>
      </c>
      <c r="B1468" s="9" t="s">
        <v>196</v>
      </c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9"/>
      <c r="U1468" s="9"/>
      <c r="V1468" s="9"/>
      <c r="W1468" s="9"/>
      <c r="X1468" s="9"/>
      <c r="Y1468" s="9"/>
      <c r="Z1468" s="9"/>
      <c r="AA1468" s="9"/>
    </row>
    <row r="1469" spans="1:27">
      <c r="A1469" s="9" t="s">
        <v>432</v>
      </c>
      <c r="B1469" s="9" t="s">
        <v>197</v>
      </c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9"/>
      <c r="T1469" s="9"/>
      <c r="U1469" s="9"/>
      <c r="V1469" s="9"/>
      <c r="W1469" s="9"/>
      <c r="X1469" s="9"/>
      <c r="Y1469" s="9"/>
      <c r="Z1469" s="9"/>
      <c r="AA1469" s="9"/>
    </row>
    <row r="1470" spans="1:27">
      <c r="A1470" s="9" t="s">
        <v>433</v>
      </c>
      <c r="B1470" s="9" t="s">
        <v>198</v>
      </c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9"/>
      <c r="T1470" s="9"/>
      <c r="U1470" s="9"/>
      <c r="V1470" s="9"/>
      <c r="W1470" s="9"/>
      <c r="X1470" s="9"/>
      <c r="Y1470" s="9"/>
      <c r="Z1470" s="9"/>
      <c r="AA1470" s="9"/>
    </row>
    <row r="1471" spans="1:27">
      <c r="A1471" s="9" t="s">
        <v>434</v>
      </c>
      <c r="B1471" s="9" t="s">
        <v>199</v>
      </c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9"/>
      <c r="T1471" s="9"/>
      <c r="U1471" s="9"/>
      <c r="V1471" s="9"/>
      <c r="W1471" s="9"/>
      <c r="X1471" s="9"/>
      <c r="Y1471" s="9"/>
      <c r="Z1471" s="9"/>
      <c r="AA1471" s="9"/>
    </row>
    <row r="1472" spans="1:27">
      <c r="A1472" s="9" t="s">
        <v>435</v>
      </c>
      <c r="B1472" s="9" t="s">
        <v>200</v>
      </c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9"/>
      <c r="U1472" s="9"/>
      <c r="V1472" s="9"/>
      <c r="W1472" s="9"/>
      <c r="X1472" s="9"/>
      <c r="Y1472" s="9"/>
      <c r="Z1472" s="9"/>
      <c r="AA1472" s="9"/>
    </row>
    <row r="1473" spans="1:27">
      <c r="A1473" s="9" t="s">
        <v>1841</v>
      </c>
      <c r="B1473" s="9" t="s">
        <v>2166</v>
      </c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9"/>
      <c r="T1473" s="9"/>
      <c r="U1473" s="9"/>
      <c r="V1473" s="9"/>
      <c r="W1473" s="9"/>
      <c r="X1473" s="9"/>
      <c r="Y1473" s="9"/>
      <c r="Z1473" s="9"/>
      <c r="AA1473" s="9"/>
    </row>
    <row r="1474" spans="1:27">
      <c r="A1474" s="9" t="s">
        <v>2715</v>
      </c>
      <c r="B1474" s="9" t="s">
        <v>2553</v>
      </c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9"/>
      <c r="T1474" s="9"/>
      <c r="U1474" s="9"/>
      <c r="V1474" s="9"/>
      <c r="W1474" s="9"/>
      <c r="X1474" s="9"/>
      <c r="Y1474" s="9"/>
      <c r="Z1474" s="9"/>
      <c r="AA1474" s="9"/>
    </row>
    <row r="1475" spans="1:27">
      <c r="A1475" s="9" t="s">
        <v>1842</v>
      </c>
      <c r="B1475" s="9" t="s">
        <v>2167</v>
      </c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9"/>
      <c r="T1475" s="9"/>
      <c r="U1475" s="9"/>
      <c r="V1475" s="9"/>
      <c r="W1475" s="9"/>
      <c r="X1475" s="9"/>
      <c r="Y1475" s="9"/>
      <c r="Z1475" s="9"/>
      <c r="AA1475" s="9"/>
    </row>
    <row r="1476" spans="1:27">
      <c r="A1476" s="9" t="s">
        <v>436</v>
      </c>
      <c r="B1476" s="9" t="s">
        <v>201</v>
      </c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9"/>
      <c r="U1476" s="9"/>
      <c r="V1476" s="9"/>
      <c r="W1476" s="9"/>
      <c r="X1476" s="9"/>
      <c r="Y1476" s="9"/>
      <c r="Z1476" s="9"/>
      <c r="AA1476" s="9"/>
    </row>
    <row r="1477" spans="1:27">
      <c r="A1477" s="9" t="s">
        <v>437</v>
      </c>
      <c r="B1477" s="9" t="s">
        <v>202</v>
      </c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9"/>
      <c r="T1477" s="9"/>
      <c r="U1477" s="9"/>
      <c r="V1477" s="9"/>
      <c r="W1477" s="9"/>
      <c r="X1477" s="9"/>
      <c r="Y1477" s="9"/>
      <c r="Z1477" s="9"/>
      <c r="AA1477" s="9"/>
    </row>
    <row r="1478" spans="1:27">
      <c r="A1478" s="9" t="s">
        <v>438</v>
      </c>
      <c r="B1478" s="9" t="s">
        <v>203</v>
      </c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9"/>
      <c r="T1478" s="9"/>
      <c r="U1478" s="9"/>
      <c r="V1478" s="9"/>
      <c r="W1478" s="9"/>
      <c r="X1478" s="9"/>
      <c r="Y1478" s="9"/>
      <c r="Z1478" s="9"/>
      <c r="AA1478" s="9"/>
    </row>
    <row r="1479" spans="1:27">
      <c r="A1479" s="9" t="s">
        <v>439</v>
      </c>
      <c r="B1479" s="9" t="s">
        <v>204</v>
      </c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9"/>
      <c r="T1479" s="9"/>
      <c r="U1479" s="9"/>
      <c r="V1479" s="9"/>
      <c r="W1479" s="9"/>
      <c r="X1479" s="9"/>
      <c r="Y1479" s="9"/>
      <c r="Z1479" s="9"/>
      <c r="AA1479" s="9"/>
    </row>
    <row r="1480" spans="1:27">
      <c r="A1480" s="9" t="s">
        <v>440</v>
      </c>
      <c r="B1480" s="9" t="s">
        <v>205</v>
      </c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9"/>
      <c r="U1480" s="9"/>
      <c r="V1480" s="9"/>
      <c r="W1480" s="9"/>
      <c r="X1480" s="9"/>
      <c r="Y1480" s="9"/>
      <c r="Z1480" s="9"/>
      <c r="AA1480" s="9"/>
    </row>
    <row r="1481" spans="1:27">
      <c r="A1481" s="9" t="s">
        <v>441</v>
      </c>
      <c r="B1481" s="9" t="s">
        <v>206</v>
      </c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9"/>
      <c r="T1481" s="9"/>
      <c r="U1481" s="9"/>
      <c r="V1481" s="9"/>
      <c r="W1481" s="9"/>
      <c r="X1481" s="9"/>
      <c r="Y1481" s="9"/>
      <c r="Z1481" s="9"/>
      <c r="AA1481" s="9"/>
    </row>
    <row r="1482" spans="1:27">
      <c r="A1482" s="9" t="s">
        <v>442</v>
      </c>
      <c r="B1482" s="9" t="s">
        <v>207</v>
      </c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9"/>
      <c r="T1482" s="9"/>
      <c r="U1482" s="9"/>
      <c r="V1482" s="9"/>
      <c r="W1482" s="9"/>
      <c r="X1482" s="9"/>
      <c r="Y1482" s="9"/>
      <c r="Z1482" s="9"/>
      <c r="AA1482" s="9"/>
    </row>
    <row r="1483" spans="1:27">
      <c r="A1483" s="9" t="s">
        <v>443</v>
      </c>
      <c r="B1483" s="9" t="s">
        <v>208</v>
      </c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9"/>
      <c r="U1483" s="9"/>
      <c r="V1483" s="9"/>
      <c r="W1483" s="9"/>
      <c r="X1483" s="9"/>
      <c r="Y1483" s="9"/>
      <c r="Z1483" s="9"/>
      <c r="AA1483" s="9"/>
    </row>
    <row r="1484" spans="1:27">
      <c r="A1484" s="9" t="s">
        <v>444</v>
      </c>
      <c r="B1484" s="9" t="s">
        <v>209</v>
      </c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9"/>
      <c r="U1484" s="9"/>
      <c r="V1484" s="9"/>
      <c r="W1484" s="9"/>
      <c r="X1484" s="9"/>
      <c r="Y1484" s="9"/>
      <c r="Z1484" s="9"/>
      <c r="AA1484" s="9"/>
    </row>
    <row r="1485" spans="1:27">
      <c r="A1485" s="9" t="s">
        <v>445</v>
      </c>
      <c r="B1485" s="9" t="s">
        <v>210</v>
      </c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9"/>
      <c r="U1485" s="9"/>
      <c r="V1485" s="9"/>
      <c r="W1485" s="9"/>
      <c r="X1485" s="9"/>
      <c r="Y1485" s="9"/>
      <c r="Z1485" s="9"/>
      <c r="AA1485" s="9"/>
    </row>
    <row r="1486" spans="1:27">
      <c r="A1486" s="9" t="s">
        <v>446</v>
      </c>
      <c r="B1486" s="9" t="s">
        <v>211</v>
      </c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9"/>
      <c r="U1486" s="9"/>
      <c r="V1486" s="9"/>
      <c r="W1486" s="9"/>
      <c r="X1486" s="9"/>
      <c r="Y1486" s="9"/>
      <c r="Z1486" s="9"/>
      <c r="AA1486" s="9"/>
    </row>
    <row r="1487" spans="1:27">
      <c r="A1487" s="9" t="s">
        <v>447</v>
      </c>
      <c r="B1487" s="9" t="s">
        <v>212</v>
      </c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9"/>
      <c r="U1487" s="9"/>
      <c r="V1487" s="9"/>
      <c r="W1487" s="9"/>
      <c r="X1487" s="9"/>
      <c r="Y1487" s="9"/>
      <c r="Z1487" s="9"/>
      <c r="AA1487" s="9"/>
    </row>
    <row r="1488" spans="1:27">
      <c r="A1488" s="9" t="s">
        <v>448</v>
      </c>
      <c r="B1488" s="9" t="s">
        <v>213</v>
      </c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9"/>
      <c r="U1488" s="9"/>
      <c r="V1488" s="9"/>
      <c r="W1488" s="9"/>
      <c r="X1488" s="9"/>
      <c r="Y1488" s="9"/>
      <c r="Z1488" s="9"/>
      <c r="AA1488" s="9"/>
    </row>
    <row r="1489" spans="1:27">
      <c r="A1489" s="9" t="s">
        <v>449</v>
      </c>
      <c r="B1489" s="9" t="s">
        <v>214</v>
      </c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9"/>
      <c r="U1489" s="9"/>
      <c r="V1489" s="9"/>
      <c r="W1489" s="9"/>
      <c r="X1489" s="9"/>
      <c r="Y1489" s="9"/>
      <c r="Z1489" s="9"/>
      <c r="AA1489" s="9"/>
    </row>
    <row r="1490" spans="1:27">
      <c r="A1490" s="9" t="s">
        <v>450</v>
      </c>
      <c r="B1490" s="9" t="s">
        <v>215</v>
      </c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9"/>
      <c r="U1490" s="9"/>
      <c r="V1490" s="9"/>
      <c r="W1490" s="9"/>
      <c r="X1490" s="9"/>
      <c r="Y1490" s="9"/>
      <c r="Z1490" s="9"/>
      <c r="AA1490" s="9"/>
    </row>
    <row r="1491" spans="1:27">
      <c r="A1491" s="9" t="s">
        <v>451</v>
      </c>
      <c r="B1491" s="9" t="s">
        <v>216</v>
      </c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9"/>
      <c r="U1491" s="9"/>
      <c r="V1491" s="9"/>
      <c r="W1491" s="9"/>
      <c r="X1491" s="9"/>
      <c r="Y1491" s="9"/>
      <c r="Z1491" s="9"/>
      <c r="AA1491" s="9"/>
    </row>
    <row r="1492" spans="1:27">
      <c r="A1492" s="9" t="s">
        <v>452</v>
      </c>
      <c r="B1492" s="9" t="s">
        <v>217</v>
      </c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9"/>
      <c r="U1492" s="9"/>
      <c r="V1492" s="9"/>
      <c r="W1492" s="9"/>
      <c r="X1492" s="9"/>
      <c r="Y1492" s="9"/>
      <c r="Z1492" s="9"/>
      <c r="AA1492" s="9"/>
    </row>
    <row r="1493" spans="1:27">
      <c r="A1493" s="9" t="s">
        <v>453</v>
      </c>
      <c r="B1493" s="9" t="s">
        <v>218</v>
      </c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9"/>
      <c r="U1493" s="9"/>
      <c r="V1493" s="9"/>
      <c r="W1493" s="9"/>
      <c r="X1493" s="9"/>
      <c r="Y1493" s="9"/>
      <c r="Z1493" s="9"/>
      <c r="AA1493" s="9"/>
    </row>
    <row r="1494" spans="1:27">
      <c r="A1494" s="9" t="s">
        <v>454</v>
      </c>
      <c r="B1494" s="9" t="s">
        <v>219</v>
      </c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9"/>
      <c r="U1494" s="9"/>
      <c r="V1494" s="9"/>
      <c r="W1494" s="9"/>
      <c r="X1494" s="9"/>
      <c r="Y1494" s="9"/>
      <c r="Z1494" s="9"/>
      <c r="AA1494" s="9"/>
    </row>
    <row r="1495" spans="1:27">
      <c r="A1495" s="9" t="s">
        <v>455</v>
      </c>
      <c r="B1495" s="9" t="s">
        <v>220</v>
      </c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9"/>
      <c r="U1495" s="9"/>
      <c r="V1495" s="9"/>
      <c r="W1495" s="9"/>
      <c r="X1495" s="9"/>
      <c r="Y1495" s="9"/>
      <c r="Z1495" s="9"/>
      <c r="AA1495" s="9"/>
    </row>
    <row r="1496" spans="1:27">
      <c r="A1496" s="9" t="s">
        <v>456</v>
      </c>
      <c r="B1496" s="9" t="s">
        <v>221</v>
      </c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9"/>
      <c r="U1496" s="9"/>
      <c r="V1496" s="9"/>
      <c r="W1496" s="9"/>
      <c r="X1496" s="9"/>
      <c r="Y1496" s="9"/>
      <c r="Z1496" s="9"/>
      <c r="AA1496" s="9"/>
    </row>
    <row r="1497" spans="1:27">
      <c r="A1497" s="9" t="s">
        <v>457</v>
      </c>
      <c r="B1497" s="9" t="s">
        <v>222</v>
      </c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9"/>
      <c r="U1497" s="9"/>
      <c r="V1497" s="9"/>
      <c r="W1497" s="9"/>
      <c r="X1497" s="9"/>
      <c r="Y1497" s="9"/>
      <c r="Z1497" s="9"/>
      <c r="AA1497" s="9"/>
    </row>
    <row r="1498" spans="1:27">
      <c r="A1498" s="9" t="s">
        <v>458</v>
      </c>
      <c r="B1498" s="9" t="s">
        <v>223</v>
      </c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9"/>
      <c r="U1498" s="9"/>
      <c r="V1498" s="9"/>
      <c r="W1498" s="9"/>
      <c r="X1498" s="9"/>
      <c r="Y1498" s="9"/>
      <c r="Z1498" s="9"/>
      <c r="AA1498" s="9"/>
    </row>
    <row r="1499" spans="1:27">
      <c r="A1499" s="9" t="s">
        <v>459</v>
      </c>
      <c r="B1499" s="9" t="s">
        <v>224</v>
      </c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9"/>
      <c r="U1499" s="9"/>
      <c r="V1499" s="9"/>
      <c r="W1499" s="9"/>
      <c r="X1499" s="9"/>
      <c r="Y1499" s="9"/>
      <c r="Z1499" s="9"/>
      <c r="AA1499" s="9"/>
    </row>
    <row r="1500" spans="1:27">
      <c r="A1500" s="9" t="s">
        <v>460</v>
      </c>
      <c r="B1500" s="9" t="s">
        <v>225</v>
      </c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9"/>
      <c r="U1500" s="9"/>
      <c r="V1500" s="9"/>
      <c r="W1500" s="9"/>
      <c r="X1500" s="9"/>
      <c r="Y1500" s="9"/>
      <c r="Z1500" s="9"/>
      <c r="AA1500" s="9"/>
    </row>
    <row r="1501" spans="1:27">
      <c r="A1501" s="9" t="s">
        <v>461</v>
      </c>
      <c r="B1501" s="9" t="s">
        <v>226</v>
      </c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9"/>
      <c r="U1501" s="9"/>
      <c r="V1501" s="9"/>
      <c r="W1501" s="9"/>
      <c r="X1501" s="9"/>
      <c r="Y1501" s="9"/>
      <c r="Z1501" s="9"/>
      <c r="AA1501" s="9"/>
    </row>
    <row r="1502" spans="1:27">
      <c r="A1502" s="9" t="s">
        <v>462</v>
      </c>
      <c r="B1502" s="9" t="s">
        <v>227</v>
      </c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9"/>
      <c r="U1502" s="9"/>
      <c r="V1502" s="9"/>
      <c r="W1502" s="9"/>
      <c r="X1502" s="9"/>
      <c r="Y1502" s="9"/>
      <c r="Z1502" s="9"/>
      <c r="AA1502" s="9"/>
    </row>
    <row r="1503" spans="1:27">
      <c r="A1503" s="9" t="s">
        <v>463</v>
      </c>
      <c r="B1503" s="9" t="s">
        <v>228</v>
      </c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9"/>
      <c r="U1503" s="9"/>
      <c r="V1503" s="9"/>
      <c r="W1503" s="9"/>
      <c r="X1503" s="9"/>
      <c r="Y1503" s="9"/>
      <c r="Z1503" s="9"/>
      <c r="AA1503" s="9"/>
    </row>
    <row r="1504" spans="1:27">
      <c r="A1504" s="9" t="s">
        <v>1843</v>
      </c>
      <c r="B1504" s="9" t="s">
        <v>2168</v>
      </c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9"/>
      <c r="U1504" s="9"/>
      <c r="V1504" s="9"/>
      <c r="W1504" s="9"/>
      <c r="X1504" s="9"/>
      <c r="Y1504" s="9"/>
      <c r="Z1504" s="9"/>
      <c r="AA1504" s="9"/>
    </row>
    <row r="1505" spans="1:27">
      <c r="A1505" s="9" t="s">
        <v>464</v>
      </c>
      <c r="B1505" s="9" t="s">
        <v>229</v>
      </c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9"/>
      <c r="U1505" s="9"/>
      <c r="V1505" s="9"/>
      <c r="W1505" s="9"/>
      <c r="X1505" s="9"/>
      <c r="Y1505" s="9"/>
      <c r="Z1505" s="9"/>
      <c r="AA1505" s="9"/>
    </row>
    <row r="1506" spans="1:27">
      <c r="A1506" s="9" t="s">
        <v>465</v>
      </c>
      <c r="B1506" s="9" t="s">
        <v>230</v>
      </c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9"/>
      <c r="U1506" s="9"/>
      <c r="V1506" s="9"/>
      <c r="W1506" s="9"/>
      <c r="X1506" s="9"/>
      <c r="Y1506" s="9"/>
      <c r="Z1506" s="9"/>
      <c r="AA1506" s="9"/>
    </row>
    <row r="1507" spans="1:27">
      <c r="A1507" s="9" t="s">
        <v>2716</v>
      </c>
      <c r="B1507" s="9" t="s">
        <v>2551</v>
      </c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9"/>
      <c r="U1507" s="9"/>
      <c r="V1507" s="9"/>
      <c r="W1507" s="9"/>
      <c r="X1507" s="9"/>
      <c r="Y1507" s="9"/>
      <c r="Z1507" s="9"/>
      <c r="AA1507" s="9"/>
    </row>
    <row r="1508" spans="1:27">
      <c r="A1508" s="9" t="s">
        <v>466</v>
      </c>
      <c r="B1508" s="9" t="s">
        <v>237</v>
      </c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9"/>
      <c r="U1508" s="9"/>
      <c r="V1508" s="9"/>
      <c r="W1508" s="9"/>
      <c r="X1508" s="9"/>
      <c r="Y1508" s="9"/>
      <c r="Z1508" s="9"/>
      <c r="AA1508" s="9"/>
    </row>
    <row r="1509" spans="1:27">
      <c r="A1509" s="9" t="s">
        <v>467</v>
      </c>
      <c r="B1509" s="9" t="s">
        <v>238</v>
      </c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9"/>
      <c r="U1509" s="9"/>
      <c r="V1509" s="9"/>
      <c r="W1509" s="9"/>
      <c r="X1509" s="9"/>
      <c r="Y1509" s="9"/>
      <c r="Z1509" s="9"/>
      <c r="AA1509" s="9"/>
    </row>
    <row r="1510" spans="1:27">
      <c r="A1510" s="9" t="s">
        <v>468</v>
      </c>
      <c r="B1510" s="9" t="s">
        <v>231</v>
      </c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9"/>
      <c r="U1510" s="9"/>
      <c r="V1510" s="9"/>
      <c r="W1510" s="9"/>
      <c r="X1510" s="9"/>
      <c r="Y1510" s="9"/>
      <c r="Z1510" s="9"/>
      <c r="AA1510" s="9"/>
    </row>
    <row r="1511" spans="1:27">
      <c r="A1511" s="9" t="s">
        <v>2717</v>
      </c>
      <c r="B1511" s="9" t="s">
        <v>2552</v>
      </c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9"/>
      <c r="U1511" s="9"/>
      <c r="V1511" s="9"/>
      <c r="W1511" s="9"/>
      <c r="X1511" s="9"/>
      <c r="Y1511" s="9"/>
      <c r="Z1511" s="9"/>
      <c r="AA1511" s="9"/>
    </row>
    <row r="1512" spans="1:27">
      <c r="A1512" s="9" t="s">
        <v>1844</v>
      </c>
      <c r="B1512" s="9" t="s">
        <v>2169</v>
      </c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9"/>
      <c r="U1512" s="9"/>
      <c r="V1512" s="9"/>
      <c r="W1512" s="9"/>
      <c r="X1512" s="9"/>
      <c r="Y1512" s="9"/>
      <c r="Z1512" s="9"/>
      <c r="AA1512" s="9"/>
    </row>
    <row r="1513" spans="1:27">
      <c r="A1513" s="9" t="s">
        <v>469</v>
      </c>
      <c r="B1513" s="9" t="s">
        <v>232</v>
      </c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9"/>
      <c r="U1513" s="9"/>
      <c r="V1513" s="9"/>
      <c r="W1513" s="9"/>
      <c r="X1513" s="9"/>
      <c r="Y1513" s="9"/>
      <c r="Z1513" s="9"/>
      <c r="AA1513" s="9"/>
    </row>
    <row r="1514" spans="1:27">
      <c r="A1514" s="9" t="s">
        <v>470</v>
      </c>
      <c r="B1514" s="9" t="s">
        <v>2271</v>
      </c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9"/>
      <c r="U1514" s="9"/>
      <c r="V1514" s="9"/>
      <c r="W1514" s="9"/>
      <c r="X1514" s="9"/>
      <c r="Y1514" s="9"/>
      <c r="Z1514" s="9"/>
      <c r="AA1514" s="9"/>
    </row>
    <row r="1515" spans="1:27">
      <c r="A1515" s="9" t="s">
        <v>2294</v>
      </c>
      <c r="B1515" s="9" t="s">
        <v>243</v>
      </c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9"/>
      <c r="U1515" s="9"/>
      <c r="V1515" s="9"/>
      <c r="W1515" s="9"/>
      <c r="X1515" s="9"/>
      <c r="Y1515" s="9"/>
      <c r="Z1515" s="9"/>
      <c r="AA1515" s="9"/>
    </row>
    <row r="1516" spans="1:27">
      <c r="A1516" s="9" t="s">
        <v>1351</v>
      </c>
      <c r="B1516" s="9" t="s">
        <v>181</v>
      </c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9"/>
      <c r="U1516" s="9"/>
      <c r="V1516" s="9"/>
      <c r="W1516" s="9"/>
      <c r="X1516" s="9"/>
      <c r="Y1516" s="9"/>
      <c r="Z1516" s="9"/>
      <c r="AA1516" s="9"/>
    </row>
    <row r="1517" spans="1:27">
      <c r="A1517" s="9" t="s">
        <v>1352</v>
      </c>
      <c r="B1517" s="9" t="s">
        <v>182</v>
      </c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9"/>
      <c r="U1517" s="9"/>
      <c r="V1517" s="9"/>
      <c r="W1517" s="9"/>
      <c r="X1517" s="9"/>
      <c r="Y1517" s="9"/>
      <c r="Z1517" s="9"/>
      <c r="AA1517" s="9"/>
    </row>
    <row r="1518" spans="1:27">
      <c r="A1518" s="9" t="s">
        <v>1353</v>
      </c>
      <c r="B1518" s="9" t="s">
        <v>183</v>
      </c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9"/>
      <c r="U1518" s="9"/>
      <c r="V1518" s="9"/>
      <c r="W1518" s="9"/>
      <c r="X1518" s="9"/>
      <c r="Y1518" s="9"/>
      <c r="Z1518" s="9"/>
      <c r="AA1518" s="9"/>
    </row>
    <row r="1519" spans="1:27">
      <c r="A1519" s="9" t="s">
        <v>1354</v>
      </c>
      <c r="B1519" s="9" t="s">
        <v>184</v>
      </c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9"/>
      <c r="U1519" s="9"/>
      <c r="V1519" s="9"/>
      <c r="W1519" s="9"/>
      <c r="X1519" s="9"/>
      <c r="Y1519" s="9"/>
      <c r="Z1519" s="9"/>
      <c r="AA1519" s="9"/>
    </row>
    <row r="1520" spans="1:27">
      <c r="A1520" s="9" t="s">
        <v>1355</v>
      </c>
      <c r="B1520" s="9" t="s">
        <v>185</v>
      </c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9"/>
      <c r="U1520" s="9"/>
      <c r="V1520" s="9"/>
      <c r="W1520" s="9"/>
      <c r="X1520" s="9"/>
      <c r="Y1520" s="9"/>
      <c r="Z1520" s="9"/>
      <c r="AA1520" s="9"/>
    </row>
    <row r="1521" spans="1:27">
      <c r="A1521" s="9" t="s">
        <v>1356</v>
      </c>
      <c r="B1521" s="9" t="s">
        <v>186</v>
      </c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9"/>
      <c r="U1521" s="9"/>
      <c r="V1521" s="9"/>
      <c r="W1521" s="9"/>
      <c r="X1521" s="9"/>
      <c r="Y1521" s="9"/>
      <c r="Z1521" s="9"/>
      <c r="AA1521" s="9"/>
    </row>
    <row r="1522" spans="1:27">
      <c r="A1522" s="9" t="s">
        <v>1357</v>
      </c>
      <c r="B1522" s="9" t="s">
        <v>187</v>
      </c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9"/>
      <c r="U1522" s="9"/>
      <c r="V1522" s="9"/>
      <c r="W1522" s="9"/>
      <c r="X1522" s="9"/>
      <c r="Y1522" s="9"/>
      <c r="Z1522" s="9"/>
      <c r="AA1522" s="9"/>
    </row>
    <row r="1523" spans="1:27">
      <c r="A1523" s="9" t="s">
        <v>2260</v>
      </c>
      <c r="B1523" s="9" t="s">
        <v>2233</v>
      </c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9"/>
      <c r="U1523" s="9"/>
      <c r="V1523" s="9"/>
      <c r="W1523" s="9"/>
      <c r="X1523" s="9"/>
      <c r="Y1523" s="9"/>
      <c r="Z1523" s="9"/>
      <c r="AA1523" s="9"/>
    </row>
    <row r="1524" spans="1:27">
      <c r="A1524" s="9" t="s">
        <v>1358</v>
      </c>
      <c r="B1524" s="9" t="s">
        <v>188</v>
      </c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9"/>
      <c r="U1524" s="9"/>
      <c r="V1524" s="9"/>
      <c r="W1524" s="9"/>
      <c r="X1524" s="9"/>
      <c r="Y1524" s="9"/>
      <c r="Z1524" s="9"/>
      <c r="AA1524" s="9"/>
    </row>
    <row r="1525" spans="1:27">
      <c r="A1525" s="9" t="s">
        <v>1359</v>
      </c>
      <c r="B1525" s="9" t="s">
        <v>189</v>
      </c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9"/>
      <c r="U1525" s="9"/>
      <c r="V1525" s="9"/>
      <c r="W1525" s="9"/>
      <c r="X1525" s="9"/>
      <c r="Y1525" s="9"/>
      <c r="Z1525" s="9"/>
      <c r="AA1525" s="9"/>
    </row>
    <row r="1526" spans="1:27">
      <c r="A1526" s="9" t="s">
        <v>1360</v>
      </c>
      <c r="B1526" s="9" t="s">
        <v>190</v>
      </c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9"/>
      <c r="U1526" s="9"/>
      <c r="V1526" s="9"/>
      <c r="W1526" s="9"/>
      <c r="X1526" s="9"/>
      <c r="Y1526" s="9"/>
      <c r="Z1526" s="9"/>
      <c r="AA1526" s="9"/>
    </row>
    <row r="1527" spans="1:27">
      <c r="A1527" s="9" t="s">
        <v>1361</v>
      </c>
      <c r="B1527" s="9" t="s">
        <v>191</v>
      </c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9"/>
      <c r="U1527" s="9"/>
      <c r="V1527" s="9"/>
      <c r="W1527" s="9"/>
      <c r="X1527" s="9"/>
      <c r="Y1527" s="9"/>
      <c r="Z1527" s="9"/>
      <c r="AA1527" s="9"/>
    </row>
    <row r="1528" spans="1:27">
      <c r="A1528" s="9" t="s">
        <v>1362</v>
      </c>
      <c r="B1528" s="9" t="s">
        <v>192</v>
      </c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9"/>
      <c r="U1528" s="9"/>
      <c r="V1528" s="9"/>
      <c r="W1528" s="9"/>
      <c r="X1528" s="9"/>
      <c r="Y1528" s="9"/>
      <c r="Z1528" s="9"/>
      <c r="AA1528" s="9"/>
    </row>
    <row r="1529" spans="1:27">
      <c r="A1529" s="9" t="s">
        <v>1363</v>
      </c>
      <c r="B1529" s="9" t="s">
        <v>193</v>
      </c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9"/>
      <c r="U1529" s="9"/>
      <c r="V1529" s="9"/>
      <c r="W1529" s="9"/>
      <c r="X1529" s="9"/>
      <c r="Y1529" s="9"/>
      <c r="Z1529" s="9"/>
      <c r="AA1529" s="9"/>
    </row>
    <row r="1530" spans="1:27">
      <c r="A1530" s="9" t="s">
        <v>1364</v>
      </c>
      <c r="B1530" s="9" t="s">
        <v>242</v>
      </c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9"/>
      <c r="U1530" s="9"/>
      <c r="V1530" s="9"/>
      <c r="W1530" s="9"/>
      <c r="X1530" s="9"/>
      <c r="Y1530" s="9"/>
      <c r="Z1530" s="9"/>
      <c r="AA1530" s="9"/>
    </row>
    <row r="1531" spans="1:27">
      <c r="A1531" s="9" t="s">
        <v>1365</v>
      </c>
      <c r="B1531" s="9" t="s">
        <v>194</v>
      </c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9"/>
      <c r="U1531" s="9"/>
      <c r="V1531" s="9"/>
      <c r="W1531" s="9"/>
      <c r="X1531" s="9"/>
      <c r="Y1531" s="9"/>
      <c r="Z1531" s="9"/>
      <c r="AA1531" s="9"/>
    </row>
    <row r="1532" spans="1:27">
      <c r="A1532" s="9" t="s">
        <v>1366</v>
      </c>
      <c r="B1532" s="9" t="s">
        <v>195</v>
      </c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9"/>
      <c r="U1532" s="9"/>
      <c r="V1532" s="9"/>
      <c r="W1532" s="9"/>
      <c r="X1532" s="9"/>
      <c r="Y1532" s="9"/>
      <c r="Z1532" s="9"/>
      <c r="AA1532" s="9"/>
    </row>
    <row r="1533" spans="1:27">
      <c r="A1533" s="9" t="s">
        <v>1367</v>
      </c>
      <c r="B1533" s="9" t="s">
        <v>196</v>
      </c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9"/>
      <c r="U1533" s="9"/>
      <c r="V1533" s="9"/>
      <c r="W1533" s="9"/>
      <c r="X1533" s="9"/>
      <c r="Y1533" s="9"/>
      <c r="Z1533" s="9"/>
      <c r="AA1533" s="9"/>
    </row>
    <row r="1534" spans="1:27">
      <c r="A1534" s="9" t="s">
        <v>1368</v>
      </c>
      <c r="B1534" s="9" t="s">
        <v>197</v>
      </c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9"/>
      <c r="U1534" s="9"/>
      <c r="V1534" s="9"/>
      <c r="W1534" s="9"/>
      <c r="X1534" s="9"/>
      <c r="Y1534" s="9"/>
      <c r="Z1534" s="9"/>
      <c r="AA1534" s="9"/>
    </row>
    <row r="1535" spans="1:27">
      <c r="A1535" s="9" t="s">
        <v>1369</v>
      </c>
      <c r="B1535" s="9" t="s">
        <v>198</v>
      </c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9"/>
      <c r="U1535" s="9"/>
      <c r="V1535" s="9"/>
      <c r="W1535" s="9"/>
      <c r="X1535" s="9"/>
      <c r="Y1535" s="9"/>
      <c r="Z1535" s="9"/>
      <c r="AA1535" s="9"/>
    </row>
    <row r="1536" spans="1:27">
      <c r="A1536" s="9" t="s">
        <v>1370</v>
      </c>
      <c r="B1536" s="9" t="s">
        <v>199</v>
      </c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9"/>
      <c r="U1536" s="9"/>
      <c r="V1536" s="9"/>
      <c r="W1536" s="9"/>
      <c r="X1536" s="9"/>
      <c r="Y1536" s="9"/>
      <c r="Z1536" s="9"/>
      <c r="AA1536" s="9"/>
    </row>
    <row r="1537" spans="1:27">
      <c r="A1537" s="9" t="s">
        <v>1371</v>
      </c>
      <c r="B1537" s="9" t="s">
        <v>200</v>
      </c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9"/>
      <c r="U1537" s="9"/>
      <c r="V1537" s="9"/>
      <c r="W1537" s="9"/>
      <c r="X1537" s="9"/>
      <c r="Y1537" s="9"/>
      <c r="Z1537" s="9"/>
      <c r="AA1537" s="9"/>
    </row>
    <row r="1538" spans="1:27">
      <c r="A1538" s="9" t="s">
        <v>1885</v>
      </c>
      <c r="B1538" s="9" t="s">
        <v>2166</v>
      </c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9"/>
      <c r="U1538" s="9"/>
      <c r="V1538" s="9"/>
      <c r="W1538" s="9"/>
      <c r="X1538" s="9"/>
      <c r="Y1538" s="9"/>
      <c r="Z1538" s="9"/>
      <c r="AA1538" s="9"/>
    </row>
    <row r="1539" spans="1:27">
      <c r="A1539" s="9" t="s">
        <v>2655</v>
      </c>
      <c r="B1539" s="9" t="s">
        <v>2553</v>
      </c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9"/>
      <c r="U1539" s="9"/>
      <c r="V1539" s="9"/>
      <c r="W1539" s="9"/>
      <c r="X1539" s="9"/>
      <c r="Y1539" s="9"/>
      <c r="Z1539" s="9"/>
      <c r="AA1539" s="9"/>
    </row>
    <row r="1540" spans="1:27">
      <c r="A1540" s="9" t="s">
        <v>1886</v>
      </c>
      <c r="B1540" s="9" t="s">
        <v>2167</v>
      </c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9"/>
      <c r="U1540" s="9"/>
      <c r="V1540" s="9"/>
      <c r="W1540" s="9"/>
      <c r="X1540" s="9"/>
      <c r="Y1540" s="9"/>
      <c r="Z1540" s="9"/>
      <c r="AA1540" s="9"/>
    </row>
    <row r="1541" spans="1:27">
      <c r="A1541" s="9" t="s">
        <v>1372</v>
      </c>
      <c r="B1541" s="9" t="s">
        <v>201</v>
      </c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9"/>
      <c r="U1541" s="9"/>
      <c r="V1541" s="9"/>
      <c r="W1541" s="9"/>
      <c r="X1541" s="9"/>
      <c r="Y1541" s="9"/>
      <c r="Z1541" s="9"/>
      <c r="AA1541" s="9"/>
    </row>
    <row r="1542" spans="1:27">
      <c r="A1542" s="9" t="s">
        <v>1373</v>
      </c>
      <c r="B1542" s="9" t="s">
        <v>202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9"/>
      <c r="U1542" s="9"/>
      <c r="V1542" s="9"/>
      <c r="W1542" s="9"/>
      <c r="X1542" s="9"/>
      <c r="Y1542" s="9"/>
      <c r="Z1542" s="9"/>
      <c r="AA1542" s="9"/>
    </row>
    <row r="1543" spans="1:27">
      <c r="A1543" s="9" t="s">
        <v>1374</v>
      </c>
      <c r="B1543" s="9" t="s">
        <v>203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9"/>
      <c r="U1543" s="9"/>
      <c r="V1543" s="9"/>
      <c r="W1543" s="9"/>
      <c r="X1543" s="9"/>
      <c r="Y1543" s="9"/>
      <c r="Z1543" s="9"/>
      <c r="AA1543" s="9"/>
    </row>
    <row r="1544" spans="1:27">
      <c r="A1544" s="9" t="s">
        <v>1375</v>
      </c>
      <c r="B1544" s="9" t="s">
        <v>204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9"/>
      <c r="U1544" s="9"/>
      <c r="V1544" s="9"/>
      <c r="W1544" s="9"/>
      <c r="X1544" s="9"/>
      <c r="Y1544" s="9"/>
      <c r="Z1544" s="9"/>
      <c r="AA1544" s="9"/>
    </row>
    <row r="1545" spans="1:27">
      <c r="A1545" s="9" t="s">
        <v>1376</v>
      </c>
      <c r="B1545" s="9" t="s">
        <v>205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9"/>
      <c r="U1545" s="9"/>
      <c r="V1545" s="9"/>
      <c r="W1545" s="9"/>
      <c r="X1545" s="9"/>
      <c r="Y1545" s="9"/>
      <c r="Z1545" s="9"/>
      <c r="AA1545" s="9"/>
    </row>
    <row r="1546" spans="1:27">
      <c r="A1546" s="9" t="s">
        <v>1377</v>
      </c>
      <c r="B1546" s="9" t="s">
        <v>206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9"/>
      <c r="U1546" s="9"/>
      <c r="V1546" s="9"/>
      <c r="W1546" s="9"/>
      <c r="X1546" s="9"/>
      <c r="Y1546" s="9"/>
      <c r="Z1546" s="9"/>
      <c r="AA1546" s="9"/>
    </row>
    <row r="1547" spans="1:27">
      <c r="A1547" s="9" t="s">
        <v>1378</v>
      </c>
      <c r="B1547" s="9" t="s">
        <v>207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9"/>
      <c r="U1547" s="9"/>
      <c r="V1547" s="9"/>
      <c r="W1547" s="9"/>
      <c r="X1547" s="9"/>
      <c r="Y1547" s="9"/>
      <c r="Z1547" s="9"/>
      <c r="AA1547" s="9"/>
    </row>
    <row r="1548" spans="1:27">
      <c r="A1548" s="9" t="s">
        <v>1379</v>
      </c>
      <c r="B1548" s="9" t="s">
        <v>208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9"/>
    </row>
    <row r="1549" spans="1:27">
      <c r="A1549" s="9" t="s">
        <v>1380</v>
      </c>
      <c r="B1549" s="9" t="s">
        <v>209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9"/>
      <c r="U1549" s="9"/>
      <c r="V1549" s="9"/>
      <c r="W1549" s="9"/>
      <c r="X1549" s="9"/>
      <c r="Y1549" s="9"/>
      <c r="Z1549" s="9"/>
      <c r="AA1549" s="9"/>
    </row>
    <row r="1550" spans="1:27">
      <c r="A1550" s="9" t="s">
        <v>1381</v>
      </c>
      <c r="B1550" s="9" t="s">
        <v>210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9"/>
      <c r="U1550" s="9"/>
      <c r="V1550" s="9"/>
      <c r="W1550" s="9"/>
      <c r="X1550" s="9"/>
      <c r="Y1550" s="9"/>
      <c r="Z1550" s="9"/>
      <c r="AA1550" s="9"/>
    </row>
    <row r="1551" spans="1:27">
      <c r="A1551" s="9" t="s">
        <v>1382</v>
      </c>
      <c r="B1551" s="9" t="s">
        <v>211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9"/>
      <c r="U1551" s="9"/>
      <c r="V1551" s="9"/>
      <c r="W1551" s="9"/>
      <c r="X1551" s="9"/>
      <c r="Y1551" s="9"/>
      <c r="Z1551" s="9"/>
      <c r="AA1551" s="9"/>
    </row>
    <row r="1552" spans="1:27">
      <c r="A1552" s="9" t="s">
        <v>1383</v>
      </c>
      <c r="B1552" s="9" t="s">
        <v>212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9"/>
      <c r="U1552" s="9"/>
      <c r="V1552" s="9"/>
      <c r="W1552" s="9"/>
      <c r="X1552" s="9"/>
      <c r="Y1552" s="9"/>
      <c r="Z1552" s="9"/>
      <c r="AA1552" s="9"/>
    </row>
    <row r="1553" spans="1:27">
      <c r="A1553" s="9" t="s">
        <v>1384</v>
      </c>
      <c r="B1553" s="9" t="s">
        <v>213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9"/>
      <c r="U1553" s="9"/>
      <c r="V1553" s="9"/>
      <c r="W1553" s="9"/>
      <c r="X1553" s="9"/>
      <c r="Y1553" s="9"/>
      <c r="Z1553" s="9"/>
      <c r="AA1553" s="9"/>
    </row>
    <row r="1554" spans="1:27">
      <c r="A1554" s="9" t="s">
        <v>1385</v>
      </c>
      <c r="B1554" s="9" t="s">
        <v>214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9"/>
      <c r="U1554" s="9"/>
      <c r="V1554" s="9"/>
      <c r="W1554" s="9"/>
      <c r="X1554" s="9"/>
      <c r="Y1554" s="9"/>
      <c r="Z1554" s="9"/>
      <c r="AA1554" s="9"/>
    </row>
    <row r="1555" spans="1:27">
      <c r="A1555" s="9" t="s">
        <v>1386</v>
      </c>
      <c r="B1555" s="9" t="s">
        <v>215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9"/>
      <c r="U1555" s="9"/>
      <c r="V1555" s="9"/>
      <c r="W1555" s="9"/>
      <c r="X1555" s="9"/>
      <c r="Y1555" s="9"/>
      <c r="Z1555" s="9"/>
      <c r="AA1555" s="9"/>
    </row>
    <row r="1556" spans="1:27">
      <c r="A1556" s="9" t="s">
        <v>1387</v>
      </c>
      <c r="B1556" s="9" t="s">
        <v>216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9"/>
      <c r="U1556" s="9"/>
      <c r="V1556" s="9"/>
      <c r="W1556" s="9"/>
      <c r="X1556" s="9"/>
      <c r="Y1556" s="9"/>
      <c r="Z1556" s="9"/>
      <c r="AA1556" s="9"/>
    </row>
    <row r="1557" spans="1:27">
      <c r="A1557" s="9" t="s">
        <v>1388</v>
      </c>
      <c r="B1557" s="9" t="s">
        <v>217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9"/>
      <c r="U1557" s="9"/>
      <c r="V1557" s="9"/>
      <c r="W1557" s="9"/>
      <c r="X1557" s="9"/>
      <c r="Y1557" s="9"/>
      <c r="Z1557" s="9"/>
      <c r="AA1557" s="9"/>
    </row>
    <row r="1558" spans="1:27">
      <c r="A1558" s="9" t="s">
        <v>1389</v>
      </c>
      <c r="B1558" s="9" t="s">
        <v>218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9"/>
      <c r="U1558" s="9"/>
      <c r="V1558" s="9"/>
      <c r="W1558" s="9"/>
      <c r="X1558" s="9"/>
      <c r="Y1558" s="9"/>
      <c r="Z1558" s="9"/>
      <c r="AA1558" s="9"/>
    </row>
    <row r="1559" spans="1:27">
      <c r="A1559" s="9" t="s">
        <v>1390</v>
      </c>
      <c r="B1559" s="9" t="s">
        <v>219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9"/>
      <c r="U1559" s="9"/>
      <c r="V1559" s="9"/>
      <c r="W1559" s="9"/>
      <c r="X1559" s="9"/>
      <c r="Y1559" s="9"/>
      <c r="Z1559" s="9"/>
      <c r="AA1559" s="9"/>
    </row>
    <row r="1560" spans="1:27">
      <c r="A1560" s="9" t="s">
        <v>1391</v>
      </c>
      <c r="B1560" s="9" t="s">
        <v>220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9"/>
      <c r="U1560" s="9"/>
      <c r="V1560" s="9"/>
      <c r="W1560" s="9"/>
      <c r="X1560" s="9"/>
      <c r="Y1560" s="9"/>
      <c r="Z1560" s="9"/>
      <c r="AA1560" s="9"/>
    </row>
    <row r="1561" spans="1:27">
      <c r="A1561" s="9" t="s">
        <v>1392</v>
      </c>
      <c r="B1561" s="9" t="s">
        <v>221</v>
      </c>
      <c r="C1561" s="9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9"/>
      <c r="U1561" s="9"/>
      <c r="V1561" s="9"/>
      <c r="W1561" s="9"/>
      <c r="X1561" s="9"/>
      <c r="Y1561" s="9"/>
      <c r="Z1561" s="9"/>
      <c r="AA1561" s="9"/>
    </row>
    <row r="1562" spans="1:27">
      <c r="A1562" s="9" t="s">
        <v>1393</v>
      </c>
      <c r="B1562" s="9" t="s">
        <v>222</v>
      </c>
      <c r="C1562" s="9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9"/>
      <c r="U1562" s="9"/>
      <c r="V1562" s="9"/>
      <c r="W1562" s="9"/>
      <c r="X1562" s="9"/>
      <c r="Y1562" s="9"/>
      <c r="Z1562" s="9"/>
      <c r="AA1562" s="9"/>
    </row>
    <row r="1563" spans="1:27">
      <c r="A1563" s="9" t="s">
        <v>1394</v>
      </c>
      <c r="B1563" s="9" t="s">
        <v>223</v>
      </c>
      <c r="C1563" s="9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9"/>
      <c r="U1563" s="9"/>
      <c r="V1563" s="9"/>
      <c r="W1563" s="9"/>
      <c r="X1563" s="9"/>
      <c r="Y1563" s="9"/>
      <c r="Z1563" s="9"/>
      <c r="AA1563" s="9"/>
    </row>
    <row r="1564" spans="1:27">
      <c r="A1564" s="9" t="s">
        <v>1395</v>
      </c>
      <c r="B1564" s="9" t="s">
        <v>224</v>
      </c>
      <c r="C1564" s="9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9"/>
      <c r="U1564" s="9"/>
      <c r="V1564" s="9"/>
      <c r="W1564" s="9"/>
      <c r="X1564" s="9"/>
      <c r="Y1564" s="9"/>
      <c r="Z1564" s="9"/>
      <c r="AA1564" s="9"/>
    </row>
    <row r="1565" spans="1:27">
      <c r="A1565" s="9" t="s">
        <v>1396</v>
      </c>
      <c r="B1565" s="9" t="s">
        <v>225</v>
      </c>
      <c r="C1565" s="9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9"/>
      <c r="U1565" s="9"/>
      <c r="V1565" s="9"/>
      <c r="W1565" s="9"/>
      <c r="X1565" s="9"/>
      <c r="Y1565" s="9"/>
      <c r="Z1565" s="9"/>
      <c r="AA1565" s="9"/>
    </row>
    <row r="1566" spans="1:27">
      <c r="A1566" s="9" t="s">
        <v>1397</v>
      </c>
      <c r="B1566" s="9" t="s">
        <v>226</v>
      </c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9"/>
      <c r="U1566" s="9"/>
      <c r="V1566" s="9"/>
      <c r="W1566" s="9"/>
      <c r="X1566" s="9"/>
      <c r="Y1566" s="9"/>
      <c r="Z1566" s="9"/>
      <c r="AA1566" s="9"/>
    </row>
    <row r="1567" spans="1:27">
      <c r="A1567" s="9" t="s">
        <v>1398</v>
      </c>
      <c r="B1567" s="9" t="s">
        <v>227</v>
      </c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9"/>
      <c r="U1567" s="9"/>
      <c r="V1567" s="9"/>
      <c r="W1567" s="9"/>
      <c r="X1567" s="9"/>
      <c r="Y1567" s="9"/>
      <c r="Z1567" s="9"/>
      <c r="AA1567" s="9"/>
    </row>
    <row r="1568" spans="1:27">
      <c r="A1568" s="9" t="s">
        <v>1399</v>
      </c>
      <c r="B1568" s="9" t="s">
        <v>228</v>
      </c>
      <c r="C1568" s="9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9"/>
      <c r="U1568" s="9"/>
      <c r="V1568" s="9"/>
      <c r="W1568" s="9"/>
      <c r="X1568" s="9"/>
      <c r="Y1568" s="9"/>
      <c r="Z1568" s="9"/>
      <c r="AA1568" s="9"/>
    </row>
    <row r="1569" spans="1:27">
      <c r="A1569" s="9" t="s">
        <v>1887</v>
      </c>
      <c r="B1569" s="9" t="s">
        <v>2168</v>
      </c>
      <c r="C1569" s="9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9"/>
      <c r="U1569" s="9"/>
      <c r="V1569" s="9"/>
      <c r="W1569" s="9"/>
      <c r="X1569" s="9"/>
      <c r="Y1569" s="9"/>
      <c r="Z1569" s="9"/>
      <c r="AA1569" s="9"/>
    </row>
    <row r="1570" spans="1:27">
      <c r="A1570" s="9" t="s">
        <v>1400</v>
      </c>
      <c r="B1570" s="9" t="s">
        <v>229</v>
      </c>
      <c r="C1570" s="9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9"/>
      <c r="U1570" s="9"/>
      <c r="V1570" s="9"/>
      <c r="W1570" s="9"/>
      <c r="X1570" s="9"/>
      <c r="Y1570" s="9"/>
      <c r="Z1570" s="9"/>
      <c r="AA1570" s="9"/>
    </row>
    <row r="1571" spans="1:27">
      <c r="A1571" s="9" t="s">
        <v>1401</v>
      </c>
      <c r="B1571" s="9" t="s">
        <v>230</v>
      </c>
      <c r="C1571" s="9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9"/>
      <c r="U1571" s="9"/>
      <c r="V1571" s="9"/>
      <c r="W1571" s="9"/>
      <c r="X1571" s="9"/>
      <c r="Y1571" s="9"/>
      <c r="Z1571" s="9"/>
      <c r="AA1571" s="9"/>
    </row>
    <row r="1572" spans="1:27">
      <c r="A1572" s="9" t="s">
        <v>2656</v>
      </c>
      <c r="B1572" s="9" t="s">
        <v>2551</v>
      </c>
      <c r="C1572" s="9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9"/>
      <c r="U1572" s="9"/>
      <c r="V1572" s="9"/>
      <c r="W1572" s="9"/>
      <c r="X1572" s="9"/>
      <c r="Y1572" s="9"/>
      <c r="Z1572" s="9"/>
      <c r="AA1572" s="9"/>
    </row>
    <row r="1573" spans="1:27">
      <c r="A1573" s="9" t="s">
        <v>1402</v>
      </c>
      <c r="B1573" s="9" t="s">
        <v>237</v>
      </c>
      <c r="C1573" s="9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9"/>
      <c r="U1573" s="9"/>
      <c r="V1573" s="9"/>
      <c r="W1573" s="9"/>
      <c r="X1573" s="9"/>
      <c r="Y1573" s="9"/>
      <c r="Z1573" s="9"/>
      <c r="AA1573" s="9"/>
    </row>
    <row r="1574" spans="1:27">
      <c r="A1574" s="9" t="s">
        <v>1403</v>
      </c>
      <c r="B1574" s="9" t="s">
        <v>238</v>
      </c>
      <c r="C1574" s="9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9"/>
      <c r="U1574" s="9"/>
      <c r="V1574" s="9"/>
      <c r="W1574" s="9"/>
      <c r="X1574" s="9"/>
      <c r="Y1574" s="9"/>
      <c r="Z1574" s="9"/>
      <c r="AA1574" s="9"/>
    </row>
    <row r="1575" spans="1:27">
      <c r="A1575" s="9" t="s">
        <v>1404</v>
      </c>
      <c r="B1575" s="9" t="s">
        <v>231</v>
      </c>
      <c r="C1575" s="9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9"/>
      <c r="U1575" s="9"/>
      <c r="V1575" s="9"/>
      <c r="W1575" s="9"/>
      <c r="X1575" s="9"/>
      <c r="Y1575" s="9"/>
      <c r="Z1575" s="9"/>
      <c r="AA1575" s="9"/>
    </row>
    <row r="1576" spans="1:27">
      <c r="A1576" s="9" t="s">
        <v>2657</v>
      </c>
      <c r="B1576" s="9" t="s">
        <v>2552</v>
      </c>
      <c r="C1576" s="9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9"/>
      <c r="U1576" s="9"/>
      <c r="V1576" s="9"/>
      <c r="W1576" s="9"/>
      <c r="X1576" s="9"/>
      <c r="Y1576" s="9"/>
      <c r="Z1576" s="9"/>
      <c r="AA1576" s="9"/>
    </row>
    <row r="1577" spans="1:27">
      <c r="A1577" s="9" t="s">
        <v>1888</v>
      </c>
      <c r="B1577" s="9" t="s">
        <v>2169</v>
      </c>
      <c r="C1577" s="9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9"/>
      <c r="U1577" s="9"/>
      <c r="V1577" s="9"/>
      <c r="W1577" s="9"/>
      <c r="X1577" s="9"/>
      <c r="Y1577" s="9"/>
      <c r="Z1577" s="9"/>
      <c r="AA1577" s="9"/>
    </row>
    <row r="1578" spans="1:27">
      <c r="A1578" s="9" t="s">
        <v>1405</v>
      </c>
      <c r="B1578" s="9" t="s">
        <v>232</v>
      </c>
      <c r="C1578" s="9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9"/>
      <c r="U1578" s="9"/>
      <c r="V1578" s="9"/>
      <c r="W1578" s="9"/>
      <c r="X1578" s="9"/>
      <c r="Y1578" s="9"/>
      <c r="Z1578" s="9"/>
      <c r="AA1578" s="9"/>
    </row>
    <row r="1579" spans="1:27">
      <c r="A1579" s="9" t="s">
        <v>1406</v>
      </c>
      <c r="B1579" s="9" t="s">
        <v>2271</v>
      </c>
      <c r="C1579" s="9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9"/>
      <c r="U1579" s="9"/>
      <c r="V1579" s="9"/>
      <c r="W1579" s="9"/>
      <c r="X1579" s="9"/>
      <c r="Y1579" s="9"/>
      <c r="Z1579" s="9"/>
      <c r="AA1579" s="9"/>
    </row>
    <row r="1580" spans="1:27">
      <c r="A1580" s="9" t="s">
        <v>2307</v>
      </c>
      <c r="B1580" s="9" t="s">
        <v>243</v>
      </c>
      <c r="C1580" s="9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9"/>
      <c r="U1580" s="9"/>
      <c r="V1580" s="9"/>
      <c r="W1580" s="9"/>
      <c r="X1580" s="9"/>
      <c r="Y1580" s="9"/>
      <c r="Z1580" s="9"/>
      <c r="AA1580" s="9"/>
    </row>
    <row r="1581" spans="1:27">
      <c r="A1581" s="9" t="s">
        <v>1295</v>
      </c>
      <c r="B1581" s="9" t="s">
        <v>181</v>
      </c>
      <c r="C1581" s="9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9"/>
      <c r="U1581" s="9"/>
      <c r="V1581" s="9"/>
      <c r="W1581" s="9"/>
      <c r="X1581" s="9"/>
      <c r="Y1581" s="9"/>
      <c r="Z1581" s="9"/>
      <c r="AA1581" s="9"/>
    </row>
    <row r="1582" spans="1:27">
      <c r="A1582" s="9" t="s">
        <v>1296</v>
      </c>
      <c r="B1582" s="9" t="s">
        <v>182</v>
      </c>
      <c r="C1582" s="9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9"/>
      <c r="U1582" s="9"/>
      <c r="V1582" s="9"/>
      <c r="W1582" s="9"/>
      <c r="X1582" s="9"/>
      <c r="Y1582" s="9"/>
      <c r="Z1582" s="9"/>
      <c r="AA1582" s="9"/>
    </row>
    <row r="1583" spans="1:27">
      <c r="A1583" s="9" t="s">
        <v>1297</v>
      </c>
      <c r="B1583" s="9" t="s">
        <v>183</v>
      </c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9"/>
      <c r="U1583" s="9"/>
      <c r="V1583" s="9"/>
      <c r="W1583" s="9"/>
      <c r="X1583" s="9"/>
      <c r="Y1583" s="9"/>
      <c r="Z1583" s="9"/>
      <c r="AA1583" s="9"/>
    </row>
    <row r="1584" spans="1:27">
      <c r="A1584" s="9" t="s">
        <v>1298</v>
      </c>
      <c r="B1584" s="9" t="s">
        <v>184</v>
      </c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9"/>
      <c r="U1584" s="9"/>
      <c r="V1584" s="9"/>
      <c r="W1584" s="9"/>
      <c r="X1584" s="9"/>
      <c r="Y1584" s="9"/>
      <c r="Z1584" s="9"/>
      <c r="AA1584" s="9"/>
    </row>
    <row r="1585" spans="1:27">
      <c r="A1585" s="9" t="s">
        <v>1299</v>
      </c>
      <c r="B1585" s="9" t="s">
        <v>185</v>
      </c>
      <c r="C1585" s="9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9"/>
      <c r="U1585" s="9"/>
      <c r="V1585" s="9"/>
      <c r="W1585" s="9"/>
      <c r="X1585" s="9"/>
      <c r="Y1585" s="9"/>
      <c r="Z1585" s="9"/>
      <c r="AA1585" s="9"/>
    </row>
    <row r="1586" spans="1:27">
      <c r="A1586" s="9" t="s">
        <v>1300</v>
      </c>
      <c r="B1586" s="9" t="s">
        <v>186</v>
      </c>
      <c r="C1586" s="9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9"/>
      <c r="U1586" s="9"/>
      <c r="V1586" s="9"/>
      <c r="W1586" s="9"/>
      <c r="X1586" s="9"/>
      <c r="Y1586" s="9"/>
      <c r="Z1586" s="9"/>
      <c r="AA1586" s="9"/>
    </row>
    <row r="1587" spans="1:27">
      <c r="A1587" s="9" t="s">
        <v>1301</v>
      </c>
      <c r="B1587" s="9" t="s">
        <v>187</v>
      </c>
      <c r="C1587" s="9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9"/>
      <c r="U1587" s="9"/>
      <c r="V1587" s="9"/>
      <c r="W1587" s="9"/>
      <c r="X1587" s="9"/>
      <c r="Y1587" s="9"/>
      <c r="Z1587" s="9"/>
      <c r="AA1587" s="9"/>
    </row>
    <row r="1588" spans="1:27">
      <c r="A1588" s="9" t="s">
        <v>2259</v>
      </c>
      <c r="B1588" s="9" t="s">
        <v>2233</v>
      </c>
      <c r="C1588" s="9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9"/>
      <c r="U1588" s="9"/>
      <c r="V1588" s="9"/>
      <c r="W1588" s="9"/>
      <c r="X1588" s="9"/>
      <c r="Y1588" s="9"/>
      <c r="Z1588" s="9"/>
      <c r="AA1588" s="9"/>
    </row>
    <row r="1589" spans="1:27">
      <c r="A1589" s="9" t="s">
        <v>1302</v>
      </c>
      <c r="B1589" s="9" t="s">
        <v>188</v>
      </c>
      <c r="C1589" s="9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9"/>
      <c r="U1589" s="9"/>
      <c r="V1589" s="9"/>
      <c r="W1589" s="9"/>
      <c r="X1589" s="9"/>
      <c r="Y1589" s="9"/>
      <c r="Z1589" s="9"/>
      <c r="AA1589" s="9"/>
    </row>
    <row r="1590" spans="1:27">
      <c r="A1590" s="9" t="s">
        <v>1303</v>
      </c>
      <c r="B1590" s="9" t="s">
        <v>189</v>
      </c>
      <c r="C1590" s="9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9"/>
      <c r="U1590" s="9"/>
      <c r="V1590" s="9"/>
      <c r="W1590" s="9"/>
      <c r="X1590" s="9"/>
      <c r="Y1590" s="9"/>
      <c r="Z1590" s="9"/>
      <c r="AA1590" s="9"/>
    </row>
    <row r="1591" spans="1:27">
      <c r="A1591" s="9" t="s">
        <v>1304</v>
      </c>
      <c r="B1591" s="9" t="s">
        <v>190</v>
      </c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9"/>
      <c r="U1591" s="9"/>
      <c r="V1591" s="9"/>
      <c r="W1591" s="9"/>
      <c r="X1591" s="9"/>
      <c r="Y1591" s="9"/>
      <c r="Z1591" s="9"/>
      <c r="AA1591" s="9"/>
    </row>
    <row r="1592" spans="1:27">
      <c r="A1592" s="9" t="s">
        <v>1305</v>
      </c>
      <c r="B1592" s="9" t="s">
        <v>191</v>
      </c>
      <c r="C1592" s="9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9"/>
      <c r="U1592" s="9"/>
      <c r="V1592" s="9"/>
      <c r="W1592" s="9"/>
      <c r="X1592" s="9"/>
      <c r="Y1592" s="9"/>
      <c r="Z1592" s="9"/>
      <c r="AA1592" s="9"/>
    </row>
    <row r="1593" spans="1:27">
      <c r="A1593" s="9" t="s">
        <v>1306</v>
      </c>
      <c r="B1593" s="9" t="s">
        <v>192</v>
      </c>
      <c r="C1593" s="9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9"/>
      <c r="U1593" s="9"/>
      <c r="V1593" s="9"/>
      <c r="W1593" s="9"/>
      <c r="X1593" s="9"/>
      <c r="Y1593" s="9"/>
      <c r="Z1593" s="9"/>
      <c r="AA1593" s="9"/>
    </row>
    <row r="1594" spans="1:27">
      <c r="A1594" s="9" t="s">
        <v>1307</v>
      </c>
      <c r="B1594" s="9" t="s">
        <v>193</v>
      </c>
      <c r="C1594" s="9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9"/>
      <c r="U1594" s="9"/>
      <c r="V1594" s="9"/>
      <c r="W1594" s="9"/>
      <c r="X1594" s="9"/>
      <c r="Y1594" s="9"/>
      <c r="Z1594" s="9"/>
      <c r="AA1594" s="9"/>
    </row>
    <row r="1595" spans="1:27">
      <c r="A1595" s="9" t="s">
        <v>1308</v>
      </c>
      <c r="B1595" s="9" t="s">
        <v>242</v>
      </c>
      <c r="C1595" s="9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9"/>
      <c r="U1595" s="9"/>
      <c r="V1595" s="9"/>
      <c r="W1595" s="9"/>
      <c r="X1595" s="9"/>
      <c r="Y1595" s="9"/>
      <c r="Z1595" s="9"/>
      <c r="AA1595" s="9"/>
    </row>
    <row r="1596" spans="1:27">
      <c r="A1596" s="9" t="s">
        <v>1309</v>
      </c>
      <c r="B1596" s="9" t="s">
        <v>194</v>
      </c>
      <c r="C1596" s="9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9"/>
      <c r="U1596" s="9"/>
      <c r="V1596" s="9"/>
      <c r="W1596" s="9"/>
      <c r="X1596" s="9"/>
      <c r="Y1596" s="9"/>
      <c r="Z1596" s="9"/>
      <c r="AA1596" s="9"/>
    </row>
    <row r="1597" spans="1:27">
      <c r="A1597" s="9" t="s">
        <v>1310</v>
      </c>
      <c r="B1597" s="9" t="s">
        <v>195</v>
      </c>
      <c r="C1597" s="9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9"/>
      <c r="U1597" s="9"/>
      <c r="V1597" s="9"/>
      <c r="W1597" s="9"/>
      <c r="X1597" s="9"/>
      <c r="Y1597" s="9"/>
      <c r="Z1597" s="9"/>
      <c r="AA1597" s="9"/>
    </row>
    <row r="1598" spans="1:27">
      <c r="A1598" s="9" t="s">
        <v>1311</v>
      </c>
      <c r="B1598" s="9" t="s">
        <v>196</v>
      </c>
      <c r="C1598" s="9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9"/>
      <c r="U1598" s="9"/>
      <c r="V1598" s="9"/>
      <c r="W1598" s="9"/>
      <c r="X1598" s="9"/>
      <c r="Y1598" s="9"/>
      <c r="Z1598" s="9"/>
      <c r="AA1598" s="9"/>
    </row>
    <row r="1599" spans="1:27">
      <c r="A1599" s="9" t="s">
        <v>1312</v>
      </c>
      <c r="B1599" s="9" t="s">
        <v>197</v>
      </c>
      <c r="C1599" s="9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9"/>
      <c r="U1599" s="9"/>
      <c r="V1599" s="9"/>
      <c r="W1599" s="9"/>
      <c r="X1599" s="9"/>
      <c r="Y1599" s="9"/>
      <c r="Z1599" s="9"/>
      <c r="AA1599" s="9"/>
    </row>
    <row r="1600" spans="1:27">
      <c r="A1600" s="9" t="s">
        <v>1313</v>
      </c>
      <c r="B1600" s="9" t="s">
        <v>198</v>
      </c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9"/>
      <c r="U1600" s="9"/>
      <c r="V1600" s="9"/>
      <c r="W1600" s="9"/>
      <c r="X1600" s="9"/>
      <c r="Y1600" s="9"/>
      <c r="Z1600" s="9"/>
      <c r="AA1600" s="9"/>
    </row>
    <row r="1601" spans="1:27">
      <c r="A1601" s="9" t="s">
        <v>1314</v>
      </c>
      <c r="B1601" s="9" t="s">
        <v>199</v>
      </c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9"/>
      <c r="U1601" s="9"/>
      <c r="V1601" s="9"/>
      <c r="W1601" s="9"/>
      <c r="X1601" s="9"/>
      <c r="Y1601" s="9"/>
      <c r="Z1601" s="9"/>
      <c r="AA1601" s="9"/>
    </row>
    <row r="1602" spans="1:27">
      <c r="A1602" s="9" t="s">
        <v>1315</v>
      </c>
      <c r="B1602" s="9" t="s">
        <v>200</v>
      </c>
      <c r="C1602" s="9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9"/>
      <c r="U1602" s="9"/>
      <c r="V1602" s="9"/>
      <c r="W1602" s="9"/>
      <c r="X1602" s="9"/>
      <c r="Y1602" s="9"/>
      <c r="Z1602" s="9"/>
      <c r="AA1602" s="9"/>
    </row>
    <row r="1603" spans="1:27">
      <c r="A1603" s="9" t="s">
        <v>1881</v>
      </c>
      <c r="B1603" s="9" t="s">
        <v>2166</v>
      </c>
      <c r="C1603" s="9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9"/>
      <c r="U1603" s="9"/>
      <c r="V1603" s="9"/>
      <c r="W1603" s="9"/>
      <c r="X1603" s="9"/>
      <c r="Y1603" s="9"/>
      <c r="Z1603" s="9"/>
      <c r="AA1603" s="9"/>
    </row>
    <row r="1604" spans="1:27">
      <c r="A1604" s="9" t="s">
        <v>2658</v>
      </c>
      <c r="B1604" s="9" t="s">
        <v>2553</v>
      </c>
      <c r="C1604" s="9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9"/>
      <c r="U1604" s="9"/>
      <c r="V1604" s="9"/>
      <c r="W1604" s="9"/>
      <c r="X1604" s="9"/>
      <c r="Y1604" s="9"/>
      <c r="Z1604" s="9"/>
      <c r="AA1604" s="9"/>
    </row>
    <row r="1605" spans="1:27">
      <c r="A1605" s="9" t="s">
        <v>1882</v>
      </c>
      <c r="B1605" s="9" t="s">
        <v>2167</v>
      </c>
      <c r="C1605" s="9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9"/>
      <c r="U1605" s="9"/>
      <c r="V1605" s="9"/>
      <c r="W1605" s="9"/>
      <c r="X1605" s="9"/>
      <c r="Y1605" s="9"/>
      <c r="Z1605" s="9"/>
      <c r="AA1605" s="9"/>
    </row>
    <row r="1606" spans="1:27">
      <c r="A1606" s="9" t="s">
        <v>1316</v>
      </c>
      <c r="B1606" s="9" t="s">
        <v>201</v>
      </c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9"/>
      <c r="U1606" s="9"/>
      <c r="V1606" s="9"/>
      <c r="W1606" s="9"/>
      <c r="X1606" s="9"/>
      <c r="Y1606" s="9"/>
      <c r="Z1606" s="9"/>
      <c r="AA1606" s="9"/>
    </row>
    <row r="1607" spans="1:27">
      <c r="A1607" s="9" t="s">
        <v>1317</v>
      </c>
      <c r="B1607" s="9" t="s">
        <v>202</v>
      </c>
      <c r="C1607" s="9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9"/>
      <c r="U1607" s="9"/>
      <c r="V1607" s="9"/>
      <c r="W1607" s="9"/>
      <c r="X1607" s="9"/>
      <c r="Y1607" s="9"/>
      <c r="Z1607" s="9"/>
      <c r="AA1607" s="9"/>
    </row>
    <row r="1608" spans="1:27">
      <c r="A1608" s="9" t="s">
        <v>1318</v>
      </c>
      <c r="B1608" s="9" t="s">
        <v>203</v>
      </c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9"/>
      <c r="U1608" s="9"/>
      <c r="V1608" s="9"/>
      <c r="W1608" s="9"/>
      <c r="X1608" s="9"/>
      <c r="Y1608" s="9"/>
      <c r="Z1608" s="9"/>
      <c r="AA1608" s="9"/>
    </row>
    <row r="1609" spans="1:27">
      <c r="A1609" s="9" t="s">
        <v>1319</v>
      </c>
      <c r="B1609" s="9" t="s">
        <v>204</v>
      </c>
      <c r="C1609" s="9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9"/>
      <c r="U1609" s="9"/>
      <c r="V1609" s="9"/>
      <c r="W1609" s="9"/>
      <c r="X1609" s="9"/>
      <c r="Y1609" s="9"/>
      <c r="Z1609" s="9"/>
      <c r="AA1609" s="9"/>
    </row>
    <row r="1610" spans="1:27">
      <c r="A1610" s="9" t="s">
        <v>1320</v>
      </c>
      <c r="B1610" s="9" t="s">
        <v>205</v>
      </c>
      <c r="C1610" s="9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9"/>
      <c r="U1610" s="9"/>
      <c r="V1610" s="9"/>
      <c r="W1610" s="9"/>
      <c r="X1610" s="9"/>
      <c r="Y1610" s="9"/>
      <c r="Z1610" s="9"/>
      <c r="AA1610" s="9"/>
    </row>
    <row r="1611" spans="1:27">
      <c r="A1611" s="9" t="s">
        <v>1321</v>
      </c>
      <c r="B1611" s="9" t="s">
        <v>206</v>
      </c>
      <c r="C1611" s="9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9"/>
      <c r="U1611" s="9"/>
      <c r="V1611" s="9"/>
      <c r="W1611" s="9"/>
      <c r="X1611" s="9"/>
      <c r="Y1611" s="9"/>
      <c r="Z1611" s="9"/>
      <c r="AA1611" s="9"/>
    </row>
    <row r="1612" spans="1:27">
      <c r="A1612" s="9" t="s">
        <v>1322</v>
      </c>
      <c r="B1612" s="9" t="s">
        <v>207</v>
      </c>
      <c r="C1612" s="9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9"/>
      <c r="U1612" s="9"/>
      <c r="V1612" s="9"/>
      <c r="W1612" s="9"/>
      <c r="X1612" s="9"/>
      <c r="Y1612" s="9"/>
      <c r="Z1612" s="9"/>
      <c r="AA1612" s="9"/>
    </row>
    <row r="1613" spans="1:27">
      <c r="A1613" s="9" t="s">
        <v>1323</v>
      </c>
      <c r="B1613" s="9" t="s">
        <v>208</v>
      </c>
      <c r="C1613" s="9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9"/>
      <c r="U1613" s="9"/>
      <c r="V1613" s="9"/>
      <c r="W1613" s="9"/>
      <c r="X1613" s="9"/>
      <c r="Y1613" s="9"/>
      <c r="Z1613" s="9"/>
      <c r="AA1613" s="9"/>
    </row>
    <row r="1614" spans="1:27">
      <c r="A1614" s="9" t="s">
        <v>1324</v>
      </c>
      <c r="B1614" s="9" t="s">
        <v>209</v>
      </c>
      <c r="C1614" s="9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9"/>
      <c r="U1614" s="9"/>
      <c r="V1614" s="9"/>
      <c r="W1614" s="9"/>
      <c r="X1614" s="9"/>
      <c r="Y1614" s="9"/>
      <c r="Z1614" s="9"/>
      <c r="AA1614" s="9"/>
    </row>
    <row r="1615" spans="1:27">
      <c r="A1615" s="9" t="s">
        <v>1325</v>
      </c>
      <c r="B1615" s="9" t="s">
        <v>210</v>
      </c>
      <c r="C1615" s="9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9"/>
      <c r="U1615" s="9"/>
      <c r="V1615" s="9"/>
      <c r="W1615" s="9"/>
      <c r="X1615" s="9"/>
      <c r="Y1615" s="9"/>
      <c r="Z1615" s="9"/>
      <c r="AA1615" s="9"/>
    </row>
    <row r="1616" spans="1:27">
      <c r="A1616" s="9" t="s">
        <v>1326</v>
      </c>
      <c r="B1616" s="9" t="s">
        <v>211</v>
      </c>
      <c r="C1616" s="9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9"/>
      <c r="U1616" s="9"/>
      <c r="V1616" s="9"/>
      <c r="W1616" s="9"/>
      <c r="X1616" s="9"/>
      <c r="Y1616" s="9"/>
      <c r="Z1616" s="9"/>
      <c r="AA1616" s="9"/>
    </row>
    <row r="1617" spans="1:27">
      <c r="A1617" s="9" t="s">
        <v>1327</v>
      </c>
      <c r="B1617" s="9" t="s">
        <v>212</v>
      </c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9"/>
      <c r="U1617" s="9"/>
      <c r="V1617" s="9"/>
      <c r="W1617" s="9"/>
      <c r="X1617" s="9"/>
      <c r="Y1617" s="9"/>
      <c r="Z1617" s="9"/>
      <c r="AA1617" s="9"/>
    </row>
    <row r="1618" spans="1:27">
      <c r="A1618" s="9" t="s">
        <v>1328</v>
      </c>
      <c r="B1618" s="9" t="s">
        <v>213</v>
      </c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9"/>
      <c r="U1618" s="9"/>
      <c r="V1618" s="9"/>
      <c r="W1618" s="9"/>
      <c r="X1618" s="9"/>
      <c r="Y1618" s="9"/>
      <c r="Z1618" s="9"/>
      <c r="AA1618" s="9"/>
    </row>
    <row r="1619" spans="1:27">
      <c r="A1619" s="9" t="s">
        <v>1329</v>
      </c>
      <c r="B1619" s="9" t="s">
        <v>214</v>
      </c>
      <c r="C1619" s="9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9"/>
      <c r="U1619" s="9"/>
      <c r="V1619" s="9"/>
      <c r="W1619" s="9"/>
      <c r="X1619" s="9"/>
      <c r="Y1619" s="9"/>
      <c r="Z1619" s="9"/>
      <c r="AA1619" s="9"/>
    </row>
    <row r="1620" spans="1:27">
      <c r="A1620" s="9" t="s">
        <v>1330</v>
      </c>
      <c r="B1620" s="9" t="s">
        <v>215</v>
      </c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9"/>
      <c r="U1620" s="9"/>
      <c r="V1620" s="9"/>
      <c r="W1620" s="9"/>
      <c r="X1620" s="9"/>
      <c r="Y1620" s="9"/>
      <c r="Z1620" s="9"/>
      <c r="AA1620" s="9"/>
    </row>
    <row r="1621" spans="1:27">
      <c r="A1621" s="9" t="s">
        <v>1331</v>
      </c>
      <c r="B1621" s="9" t="s">
        <v>216</v>
      </c>
      <c r="C1621" s="9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9"/>
      <c r="U1621" s="9"/>
      <c r="V1621" s="9"/>
      <c r="W1621" s="9"/>
      <c r="X1621" s="9"/>
      <c r="Y1621" s="9"/>
      <c r="Z1621" s="9"/>
      <c r="AA1621" s="9"/>
    </row>
    <row r="1622" spans="1:27">
      <c r="A1622" s="9" t="s">
        <v>1332</v>
      </c>
      <c r="B1622" s="9" t="s">
        <v>217</v>
      </c>
      <c r="C1622" s="9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9"/>
      <c r="U1622" s="9"/>
      <c r="V1622" s="9"/>
      <c r="W1622" s="9"/>
      <c r="X1622" s="9"/>
      <c r="Y1622" s="9"/>
      <c r="Z1622" s="9"/>
      <c r="AA1622" s="9"/>
    </row>
    <row r="1623" spans="1:27">
      <c r="A1623" s="9" t="s">
        <v>1333</v>
      </c>
      <c r="B1623" s="9" t="s">
        <v>218</v>
      </c>
      <c r="C1623" s="9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9"/>
      <c r="X1623" s="9"/>
      <c r="Y1623" s="9"/>
      <c r="Z1623" s="9"/>
      <c r="AA1623" s="9"/>
    </row>
    <row r="1624" spans="1:27">
      <c r="A1624" s="9" t="s">
        <v>1334</v>
      </c>
      <c r="B1624" s="9" t="s">
        <v>219</v>
      </c>
      <c r="C1624" s="9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9"/>
      <c r="Y1624" s="9"/>
      <c r="Z1624" s="9"/>
      <c r="AA1624" s="9"/>
    </row>
    <row r="1625" spans="1:27">
      <c r="A1625" s="9" t="s">
        <v>1335</v>
      </c>
      <c r="B1625" s="9" t="s">
        <v>220</v>
      </c>
      <c r="C1625" s="9"/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9"/>
      <c r="X1625" s="9"/>
      <c r="Y1625" s="9"/>
      <c r="Z1625" s="9"/>
      <c r="AA1625" s="9"/>
    </row>
    <row r="1626" spans="1:27">
      <c r="A1626" s="9" t="s">
        <v>1336</v>
      </c>
      <c r="B1626" s="9" t="s">
        <v>221</v>
      </c>
      <c r="C1626" s="9"/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9"/>
      <c r="X1626" s="9"/>
      <c r="Y1626" s="9"/>
      <c r="Z1626" s="9"/>
      <c r="AA1626" s="9"/>
    </row>
    <row r="1627" spans="1:27">
      <c r="A1627" s="9" t="s">
        <v>1337</v>
      </c>
      <c r="B1627" s="9" t="s">
        <v>222</v>
      </c>
      <c r="C1627" s="9"/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9"/>
      <c r="X1627" s="9"/>
      <c r="Y1627" s="9"/>
      <c r="Z1627" s="9"/>
      <c r="AA1627" s="9"/>
    </row>
    <row r="1628" spans="1:27">
      <c r="A1628" s="9" t="s">
        <v>1338</v>
      </c>
      <c r="B1628" s="9" t="s">
        <v>223</v>
      </c>
      <c r="C1628" s="9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9"/>
      <c r="Y1628" s="9"/>
      <c r="Z1628" s="9"/>
      <c r="AA1628" s="9"/>
    </row>
    <row r="1629" spans="1:27">
      <c r="A1629" s="9" t="s">
        <v>1339</v>
      </c>
      <c r="B1629" s="9" t="s">
        <v>224</v>
      </c>
      <c r="C1629" s="9"/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9"/>
      <c r="X1629" s="9"/>
      <c r="Y1629" s="9"/>
      <c r="Z1629" s="9"/>
      <c r="AA1629" s="9"/>
    </row>
    <row r="1630" spans="1:27">
      <c r="A1630" s="9" t="s">
        <v>1340</v>
      </c>
      <c r="B1630" s="9" t="s">
        <v>225</v>
      </c>
      <c r="C1630" s="9"/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9"/>
      <c r="X1630" s="9"/>
      <c r="Y1630" s="9"/>
      <c r="Z1630" s="9"/>
      <c r="AA1630" s="9"/>
    </row>
    <row r="1631" spans="1:27">
      <c r="A1631" s="9" t="s">
        <v>1341</v>
      </c>
      <c r="B1631" s="9" t="s">
        <v>226</v>
      </c>
      <c r="C1631" s="9"/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9"/>
      <c r="X1631" s="9"/>
      <c r="Y1631" s="9"/>
      <c r="Z1631" s="9"/>
      <c r="AA1631" s="9"/>
    </row>
    <row r="1632" spans="1:27">
      <c r="A1632" s="9" t="s">
        <v>1342</v>
      </c>
      <c r="B1632" s="9" t="s">
        <v>227</v>
      </c>
      <c r="C1632" s="9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9"/>
      <c r="Y1632" s="9"/>
      <c r="Z1632" s="9"/>
      <c r="AA1632" s="9"/>
    </row>
    <row r="1633" spans="1:27">
      <c r="A1633" s="9" t="s">
        <v>1343</v>
      </c>
      <c r="B1633" s="9" t="s">
        <v>228</v>
      </c>
      <c r="C1633" s="9"/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9"/>
      <c r="X1633" s="9"/>
      <c r="Y1633" s="9"/>
      <c r="Z1633" s="9"/>
      <c r="AA1633" s="9"/>
    </row>
    <row r="1634" spans="1:27">
      <c r="A1634" s="9" t="s">
        <v>1883</v>
      </c>
      <c r="B1634" s="9" t="s">
        <v>2168</v>
      </c>
      <c r="C1634" s="9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9"/>
      <c r="Y1634" s="9"/>
      <c r="Z1634" s="9"/>
      <c r="AA1634" s="9"/>
    </row>
    <row r="1635" spans="1:27">
      <c r="A1635" s="9" t="s">
        <v>1344</v>
      </c>
      <c r="B1635" s="9" t="s">
        <v>229</v>
      </c>
      <c r="C1635" s="9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9"/>
      <c r="X1635" s="9"/>
      <c r="Y1635" s="9"/>
      <c r="Z1635" s="9"/>
      <c r="AA1635" s="9"/>
    </row>
    <row r="1636" spans="1:27">
      <c r="A1636" s="9" t="s">
        <v>1345</v>
      </c>
      <c r="B1636" s="9" t="s">
        <v>230</v>
      </c>
      <c r="C1636" s="9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9"/>
      <c r="Y1636" s="9"/>
      <c r="Z1636" s="9"/>
      <c r="AA1636" s="9"/>
    </row>
    <row r="1637" spans="1:27">
      <c r="A1637" s="9" t="s">
        <v>2659</v>
      </c>
      <c r="B1637" s="9" t="s">
        <v>2551</v>
      </c>
      <c r="C1637" s="9"/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9"/>
      <c r="X1637" s="9"/>
      <c r="Y1637" s="9"/>
      <c r="Z1637" s="9"/>
      <c r="AA1637" s="9"/>
    </row>
    <row r="1638" spans="1:27">
      <c r="A1638" s="9" t="s">
        <v>1346</v>
      </c>
      <c r="B1638" s="9" t="s">
        <v>237</v>
      </c>
      <c r="C1638" s="9"/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9"/>
      <c r="X1638" s="9"/>
      <c r="Y1638" s="9"/>
      <c r="Z1638" s="9"/>
      <c r="AA1638" s="9"/>
    </row>
    <row r="1639" spans="1:27">
      <c r="A1639" s="9" t="s">
        <v>1347</v>
      </c>
      <c r="B1639" s="9" t="s">
        <v>238</v>
      </c>
      <c r="C1639" s="9"/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9"/>
      <c r="X1639" s="9"/>
      <c r="Y1639" s="9"/>
      <c r="Z1639" s="9"/>
      <c r="AA1639" s="9"/>
    </row>
    <row r="1640" spans="1:27">
      <c r="A1640" s="9" t="s">
        <v>1348</v>
      </c>
      <c r="B1640" s="9" t="s">
        <v>231</v>
      </c>
      <c r="C1640" s="9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9"/>
      <c r="Y1640" s="9"/>
      <c r="Z1640" s="9"/>
      <c r="AA1640" s="9"/>
    </row>
    <row r="1641" spans="1:27">
      <c r="A1641" s="9" t="s">
        <v>2660</v>
      </c>
      <c r="B1641" s="9" t="s">
        <v>2552</v>
      </c>
      <c r="C1641" s="9"/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9"/>
      <c r="X1641" s="9"/>
      <c r="Y1641" s="9"/>
      <c r="Z1641" s="9"/>
      <c r="AA1641" s="9"/>
    </row>
    <row r="1642" spans="1:27">
      <c r="A1642" s="9" t="s">
        <v>1884</v>
      </c>
      <c r="B1642" s="9" t="s">
        <v>2169</v>
      </c>
      <c r="C1642" s="9"/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9"/>
      <c r="X1642" s="9"/>
      <c r="Y1642" s="9"/>
      <c r="Z1642" s="9"/>
      <c r="AA1642" s="9"/>
    </row>
    <row r="1643" spans="1:27">
      <c r="A1643" s="9" t="s">
        <v>1349</v>
      </c>
      <c r="B1643" s="9" t="s">
        <v>232</v>
      </c>
      <c r="C1643" s="9"/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9"/>
      <c r="X1643" s="9"/>
      <c r="Y1643" s="9"/>
      <c r="Z1643" s="9"/>
      <c r="AA1643" s="9"/>
    </row>
    <row r="1644" spans="1:27">
      <c r="A1644" s="9" t="s">
        <v>1350</v>
      </c>
      <c r="B1644" s="9" t="s">
        <v>2271</v>
      </c>
      <c r="C1644" s="9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9"/>
      <c r="Y1644" s="9"/>
      <c r="Z1644" s="9"/>
      <c r="AA1644" s="9"/>
    </row>
    <row r="1645" spans="1:27">
      <c r="A1645" s="9" t="s">
        <v>2308</v>
      </c>
      <c r="B1645" s="9" t="s">
        <v>243</v>
      </c>
      <c r="C1645" s="9"/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9"/>
      <c r="X1645" s="9"/>
      <c r="Y1645" s="9"/>
      <c r="Z1645" s="9"/>
      <c r="AA1645" s="9"/>
    </row>
    <row r="1646" spans="1:27">
      <c r="A1646" s="9" t="s">
        <v>1239</v>
      </c>
      <c r="B1646" s="9" t="s">
        <v>181</v>
      </c>
      <c r="C1646" s="9"/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9"/>
      <c r="X1646" s="9"/>
      <c r="Y1646" s="9"/>
      <c r="Z1646" s="9"/>
      <c r="AA1646" s="9"/>
    </row>
    <row r="1647" spans="1:27">
      <c r="A1647" s="9" t="s">
        <v>1240</v>
      </c>
      <c r="B1647" s="9" t="s">
        <v>182</v>
      </c>
      <c r="C1647" s="9"/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9"/>
      <c r="X1647" s="9"/>
      <c r="Y1647" s="9"/>
      <c r="Z1647" s="9"/>
      <c r="AA1647" s="9"/>
    </row>
    <row r="1648" spans="1:27">
      <c r="A1648" s="9" t="s">
        <v>1241</v>
      </c>
      <c r="B1648" s="9" t="s">
        <v>183</v>
      </c>
      <c r="C1648" s="9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9"/>
      <c r="Y1648" s="9"/>
      <c r="Z1648" s="9"/>
      <c r="AA1648" s="9"/>
    </row>
    <row r="1649" spans="1:27">
      <c r="A1649" s="9" t="s">
        <v>1242</v>
      </c>
      <c r="B1649" s="9" t="s">
        <v>184</v>
      </c>
      <c r="C1649" s="9"/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9"/>
      <c r="X1649" s="9"/>
      <c r="Y1649" s="9"/>
      <c r="Z1649" s="9"/>
      <c r="AA1649" s="9"/>
    </row>
    <row r="1650" spans="1:27">
      <c r="A1650" s="9" t="s">
        <v>1243</v>
      </c>
      <c r="B1650" s="9" t="s">
        <v>185</v>
      </c>
      <c r="C1650" s="9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  <c r="X1650" s="9"/>
      <c r="Y1650" s="9"/>
      <c r="Z1650" s="9"/>
      <c r="AA1650" s="9"/>
    </row>
    <row r="1651" spans="1:27">
      <c r="A1651" s="9" t="s">
        <v>1244</v>
      </c>
      <c r="B1651" s="9" t="s">
        <v>186</v>
      </c>
      <c r="C1651" s="9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9"/>
      <c r="X1651" s="9"/>
      <c r="Y1651" s="9"/>
      <c r="Z1651" s="9"/>
      <c r="AA1651" s="9"/>
    </row>
    <row r="1652" spans="1:27">
      <c r="A1652" s="9" t="s">
        <v>1245</v>
      </c>
      <c r="B1652" s="9" t="s">
        <v>187</v>
      </c>
      <c r="C1652" s="9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9"/>
      <c r="Y1652" s="9"/>
      <c r="Z1652" s="9"/>
      <c r="AA1652" s="9"/>
    </row>
    <row r="1653" spans="1:27">
      <c r="A1653" s="9" t="s">
        <v>2258</v>
      </c>
      <c r="B1653" s="9" t="s">
        <v>2233</v>
      </c>
      <c r="C1653" s="9"/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9"/>
      <c r="X1653" s="9"/>
      <c r="Y1653" s="9"/>
      <c r="Z1653" s="9"/>
      <c r="AA1653" s="9"/>
    </row>
    <row r="1654" spans="1:27">
      <c r="A1654" s="9" t="s">
        <v>1246</v>
      </c>
      <c r="B1654" s="9" t="s">
        <v>188</v>
      </c>
      <c r="C1654" s="9"/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9"/>
      <c r="X1654" s="9"/>
      <c r="Y1654" s="9"/>
      <c r="Z1654" s="9"/>
      <c r="AA1654" s="9"/>
    </row>
    <row r="1655" spans="1:27">
      <c r="A1655" s="9" t="s">
        <v>1247</v>
      </c>
      <c r="B1655" s="9" t="s">
        <v>189</v>
      </c>
      <c r="C1655" s="9"/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9"/>
      <c r="X1655" s="9"/>
      <c r="Y1655" s="9"/>
      <c r="Z1655" s="9"/>
      <c r="AA1655" s="9"/>
    </row>
    <row r="1656" spans="1:27">
      <c r="A1656" s="9" t="s">
        <v>1248</v>
      </c>
      <c r="B1656" s="9" t="s">
        <v>190</v>
      </c>
      <c r="C1656" s="9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9"/>
      <c r="Y1656" s="9"/>
      <c r="Z1656" s="9"/>
      <c r="AA1656" s="9"/>
    </row>
    <row r="1657" spans="1:27">
      <c r="A1657" s="9" t="s">
        <v>1249</v>
      </c>
      <c r="B1657" s="9" t="s">
        <v>191</v>
      </c>
      <c r="C1657" s="9"/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9"/>
      <c r="X1657" s="9"/>
      <c r="Y1657" s="9"/>
      <c r="Z1657" s="9"/>
      <c r="AA1657" s="9"/>
    </row>
    <row r="1658" spans="1:27">
      <c r="A1658" s="9" t="s">
        <v>1250</v>
      </c>
      <c r="B1658" s="9" t="s">
        <v>192</v>
      </c>
      <c r="C1658" s="9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9"/>
      <c r="X1658" s="9"/>
      <c r="Y1658" s="9"/>
      <c r="Z1658" s="9"/>
      <c r="AA1658" s="9"/>
    </row>
    <row r="1659" spans="1:27">
      <c r="A1659" s="9" t="s">
        <v>1251</v>
      </c>
      <c r="B1659" s="9" t="s">
        <v>193</v>
      </c>
      <c r="C1659" s="9"/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9"/>
      <c r="X1659" s="9"/>
      <c r="Y1659" s="9"/>
      <c r="Z1659" s="9"/>
      <c r="AA1659" s="9"/>
    </row>
    <row r="1660" spans="1:27">
      <c r="A1660" s="9" t="s">
        <v>1252</v>
      </c>
      <c r="B1660" s="9" t="s">
        <v>242</v>
      </c>
      <c r="C1660" s="9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9"/>
      <c r="Y1660" s="9"/>
      <c r="Z1660" s="9"/>
      <c r="AA1660" s="9"/>
    </row>
    <row r="1661" spans="1:27">
      <c r="A1661" s="9" t="s">
        <v>1253</v>
      </c>
      <c r="B1661" s="9" t="s">
        <v>194</v>
      </c>
      <c r="C1661" s="9"/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9"/>
      <c r="X1661" s="9"/>
      <c r="Y1661" s="9"/>
      <c r="Z1661" s="9"/>
      <c r="AA1661" s="9"/>
    </row>
    <row r="1662" spans="1:27">
      <c r="A1662" s="9" t="s">
        <v>1254</v>
      </c>
      <c r="B1662" s="9" t="s">
        <v>195</v>
      </c>
      <c r="C1662" s="9"/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9"/>
      <c r="X1662" s="9"/>
      <c r="Y1662" s="9"/>
      <c r="Z1662" s="9"/>
      <c r="AA1662" s="9"/>
    </row>
    <row r="1663" spans="1:27">
      <c r="A1663" s="9" t="s">
        <v>1255</v>
      </c>
      <c r="B1663" s="9" t="s">
        <v>196</v>
      </c>
      <c r="C1663" s="9"/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9"/>
      <c r="X1663" s="9"/>
      <c r="Y1663" s="9"/>
      <c r="Z1663" s="9"/>
      <c r="AA1663" s="9"/>
    </row>
    <row r="1664" spans="1:27">
      <c r="A1664" s="9" t="s">
        <v>1256</v>
      </c>
      <c r="B1664" s="9" t="s">
        <v>197</v>
      </c>
      <c r="C1664" s="9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9"/>
      <c r="Y1664" s="9"/>
      <c r="Z1664" s="9"/>
      <c r="AA1664" s="9"/>
    </row>
    <row r="1665" spans="1:27">
      <c r="A1665" s="9" t="s">
        <v>1257</v>
      </c>
      <c r="B1665" s="9" t="s">
        <v>198</v>
      </c>
      <c r="C1665" s="9"/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9"/>
      <c r="X1665" s="9"/>
      <c r="Y1665" s="9"/>
      <c r="Z1665" s="9"/>
      <c r="AA1665" s="9"/>
    </row>
    <row r="1666" spans="1:27">
      <c r="A1666" s="9" t="s">
        <v>1258</v>
      </c>
      <c r="B1666" s="9" t="s">
        <v>199</v>
      </c>
      <c r="C1666" s="9"/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9"/>
      <c r="X1666" s="9"/>
      <c r="Y1666" s="9"/>
      <c r="Z1666" s="9"/>
      <c r="AA1666" s="9"/>
    </row>
    <row r="1667" spans="1:27">
      <c r="A1667" s="9" t="s">
        <v>1259</v>
      </c>
      <c r="B1667" s="9" t="s">
        <v>200</v>
      </c>
      <c r="C1667" s="9"/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9"/>
      <c r="X1667" s="9"/>
      <c r="Y1667" s="9"/>
      <c r="Z1667" s="9"/>
      <c r="AA1667" s="9"/>
    </row>
    <row r="1668" spans="1:27">
      <c r="A1668" s="9" t="s">
        <v>1877</v>
      </c>
      <c r="B1668" s="9" t="s">
        <v>2166</v>
      </c>
      <c r="C1668" s="9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9"/>
      <c r="Y1668" s="9"/>
      <c r="Z1668" s="9"/>
      <c r="AA1668" s="9"/>
    </row>
    <row r="1669" spans="1:27">
      <c r="A1669" s="9" t="s">
        <v>2661</v>
      </c>
      <c r="B1669" s="9" t="s">
        <v>2553</v>
      </c>
      <c r="C1669" s="9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9"/>
      <c r="X1669" s="9"/>
      <c r="Y1669" s="9"/>
      <c r="Z1669" s="9"/>
      <c r="AA1669" s="9"/>
    </row>
    <row r="1670" spans="1:27">
      <c r="A1670" s="9" t="s">
        <v>1878</v>
      </c>
      <c r="B1670" s="9" t="s">
        <v>2167</v>
      </c>
      <c r="C1670" s="9"/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9"/>
      <c r="X1670" s="9"/>
      <c r="Y1670" s="9"/>
      <c r="Z1670" s="9"/>
      <c r="AA1670" s="9"/>
    </row>
    <row r="1671" spans="1:27">
      <c r="A1671" s="9" t="s">
        <v>1260</v>
      </c>
      <c r="B1671" s="9" t="s">
        <v>201</v>
      </c>
      <c r="C1671" s="9"/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9"/>
      <c r="X1671" s="9"/>
      <c r="Y1671" s="9"/>
      <c r="Z1671" s="9"/>
      <c r="AA1671" s="9"/>
    </row>
    <row r="1672" spans="1:27">
      <c r="A1672" s="9" t="s">
        <v>1261</v>
      </c>
      <c r="B1672" s="9" t="s">
        <v>202</v>
      </c>
      <c r="C1672" s="9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9"/>
      <c r="Y1672" s="9"/>
      <c r="Z1672" s="9"/>
      <c r="AA1672" s="9"/>
    </row>
    <row r="1673" spans="1:27">
      <c r="A1673" s="9" t="s">
        <v>1262</v>
      </c>
      <c r="B1673" s="9" t="s">
        <v>203</v>
      </c>
      <c r="C1673" s="9"/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9"/>
      <c r="X1673" s="9"/>
      <c r="Y1673" s="9"/>
      <c r="Z1673" s="9"/>
      <c r="AA1673" s="9"/>
    </row>
    <row r="1674" spans="1:27">
      <c r="A1674" s="9" t="s">
        <v>1263</v>
      </c>
      <c r="B1674" s="9" t="s">
        <v>204</v>
      </c>
      <c r="C1674" s="9"/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9"/>
      <c r="X1674" s="9"/>
      <c r="Y1674" s="9"/>
      <c r="Z1674" s="9"/>
      <c r="AA1674" s="9"/>
    </row>
    <row r="1675" spans="1:27">
      <c r="A1675" s="9" t="s">
        <v>1264</v>
      </c>
      <c r="B1675" s="9" t="s">
        <v>205</v>
      </c>
      <c r="C1675" s="9"/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9"/>
      <c r="X1675" s="9"/>
      <c r="Y1675" s="9"/>
      <c r="Z1675" s="9"/>
      <c r="AA1675" s="9"/>
    </row>
    <row r="1676" spans="1:27">
      <c r="A1676" s="9" t="s">
        <v>1265</v>
      </c>
      <c r="B1676" s="9" t="s">
        <v>206</v>
      </c>
      <c r="C1676" s="9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9"/>
      <c r="Y1676" s="9"/>
      <c r="Z1676" s="9"/>
      <c r="AA1676" s="9"/>
    </row>
    <row r="1677" spans="1:27">
      <c r="A1677" s="9" t="s">
        <v>1266</v>
      </c>
      <c r="B1677" s="9" t="s">
        <v>207</v>
      </c>
      <c r="C1677" s="9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9"/>
      <c r="Y1677" s="9"/>
      <c r="Z1677" s="9"/>
      <c r="AA1677" s="9"/>
    </row>
    <row r="1678" spans="1:27">
      <c r="A1678" s="9" t="s">
        <v>1267</v>
      </c>
      <c r="B1678" s="9" t="s">
        <v>208</v>
      </c>
      <c r="C1678" s="9"/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9"/>
      <c r="X1678" s="9"/>
      <c r="Y1678" s="9"/>
      <c r="Z1678" s="9"/>
      <c r="AA1678" s="9"/>
    </row>
    <row r="1679" spans="1:27">
      <c r="A1679" s="9" t="s">
        <v>1268</v>
      </c>
      <c r="B1679" s="9" t="s">
        <v>209</v>
      </c>
      <c r="C1679" s="9"/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9"/>
      <c r="X1679" s="9"/>
      <c r="Y1679" s="9"/>
      <c r="Z1679" s="9"/>
      <c r="AA1679" s="9"/>
    </row>
    <row r="1680" spans="1:27">
      <c r="A1680" s="9" t="s">
        <v>1269</v>
      </c>
      <c r="B1680" s="9" t="s">
        <v>210</v>
      </c>
      <c r="C1680" s="9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9"/>
      <c r="Y1680" s="9"/>
      <c r="Z1680" s="9"/>
      <c r="AA1680" s="9"/>
    </row>
    <row r="1681" spans="1:27">
      <c r="A1681" s="9" t="s">
        <v>1270</v>
      </c>
      <c r="B1681" s="9" t="s">
        <v>211</v>
      </c>
      <c r="C1681" s="9"/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9"/>
      <c r="X1681" s="9"/>
      <c r="Y1681" s="9"/>
      <c r="Z1681" s="9"/>
      <c r="AA1681" s="9"/>
    </row>
    <row r="1682" spans="1:27">
      <c r="A1682" s="9" t="s">
        <v>1271</v>
      </c>
      <c r="B1682" s="9" t="s">
        <v>212</v>
      </c>
      <c r="C1682" s="9"/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9"/>
      <c r="X1682" s="9"/>
      <c r="Y1682" s="9"/>
      <c r="Z1682" s="9"/>
      <c r="AA1682" s="9"/>
    </row>
    <row r="1683" spans="1:27">
      <c r="A1683" s="9" t="s">
        <v>1272</v>
      </c>
      <c r="B1683" s="9" t="s">
        <v>213</v>
      </c>
      <c r="C1683" s="9"/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9"/>
      <c r="X1683" s="9"/>
      <c r="Y1683" s="9"/>
      <c r="Z1683" s="9"/>
      <c r="AA1683" s="9"/>
    </row>
    <row r="1684" spans="1:27">
      <c r="A1684" s="9" t="s">
        <v>1273</v>
      </c>
      <c r="B1684" s="9" t="s">
        <v>214</v>
      </c>
      <c r="C1684" s="9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9"/>
      <c r="Y1684" s="9"/>
      <c r="Z1684" s="9"/>
      <c r="AA1684" s="9"/>
    </row>
    <row r="1685" spans="1:27">
      <c r="A1685" s="9" t="s">
        <v>1274</v>
      </c>
      <c r="B1685" s="9" t="s">
        <v>215</v>
      </c>
      <c r="C1685" s="9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9"/>
      <c r="X1685" s="9"/>
      <c r="Y1685" s="9"/>
      <c r="Z1685" s="9"/>
      <c r="AA1685" s="9"/>
    </row>
    <row r="1686" spans="1:27">
      <c r="A1686" s="9" t="s">
        <v>1275</v>
      </c>
      <c r="B1686" s="9" t="s">
        <v>216</v>
      </c>
      <c r="C1686" s="9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9"/>
      <c r="X1686" s="9"/>
      <c r="Y1686" s="9"/>
      <c r="Z1686" s="9"/>
      <c r="AA1686" s="9"/>
    </row>
    <row r="1687" spans="1:27">
      <c r="A1687" s="9" t="s">
        <v>1276</v>
      </c>
      <c r="B1687" s="9" t="s">
        <v>217</v>
      </c>
      <c r="C1687" s="9"/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9"/>
      <c r="X1687" s="9"/>
      <c r="Y1687" s="9"/>
      <c r="Z1687" s="9"/>
      <c r="AA1687" s="9"/>
    </row>
    <row r="1688" spans="1:27">
      <c r="A1688" s="9" t="s">
        <v>1277</v>
      </c>
      <c r="B1688" s="9" t="s">
        <v>218</v>
      </c>
      <c r="C1688" s="9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9"/>
      <c r="Y1688" s="9"/>
      <c r="Z1688" s="9"/>
      <c r="AA1688" s="9"/>
    </row>
    <row r="1689" spans="1:27">
      <c r="A1689" s="9" t="s">
        <v>1278</v>
      </c>
      <c r="B1689" s="9" t="s">
        <v>219</v>
      </c>
      <c r="C1689" s="9"/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9"/>
      <c r="X1689" s="9"/>
      <c r="Y1689" s="9"/>
      <c r="Z1689" s="9"/>
      <c r="AA1689" s="9"/>
    </row>
    <row r="1690" spans="1:27">
      <c r="A1690" s="9" t="s">
        <v>1279</v>
      </c>
      <c r="B1690" s="9" t="s">
        <v>220</v>
      </c>
      <c r="C1690" s="9"/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9"/>
      <c r="X1690" s="9"/>
      <c r="Y1690" s="9"/>
      <c r="Z1690" s="9"/>
      <c r="AA1690" s="9"/>
    </row>
    <row r="1691" spans="1:27">
      <c r="A1691" s="9" t="s">
        <v>1280</v>
      </c>
      <c r="B1691" s="9" t="s">
        <v>221</v>
      </c>
      <c r="C1691" s="9"/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9"/>
      <c r="X1691" s="9"/>
      <c r="Y1691" s="9"/>
      <c r="Z1691" s="9"/>
      <c r="AA1691" s="9"/>
    </row>
    <row r="1692" spans="1:27">
      <c r="A1692" s="9" t="s">
        <v>1281</v>
      </c>
      <c r="B1692" s="9" t="s">
        <v>222</v>
      </c>
      <c r="C1692" s="9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9"/>
      <c r="Y1692" s="9"/>
      <c r="Z1692" s="9"/>
      <c r="AA1692" s="9"/>
    </row>
    <row r="1693" spans="1:27">
      <c r="A1693" s="9" t="s">
        <v>1282</v>
      </c>
      <c r="B1693" s="9" t="s">
        <v>223</v>
      </c>
      <c r="C1693" s="9"/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9"/>
      <c r="X1693" s="9"/>
      <c r="Y1693" s="9"/>
      <c r="Z1693" s="9"/>
      <c r="AA1693" s="9"/>
    </row>
    <row r="1694" spans="1:27">
      <c r="A1694" s="9" t="s">
        <v>1283</v>
      </c>
      <c r="B1694" s="9" t="s">
        <v>224</v>
      </c>
      <c r="C1694" s="9"/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9"/>
      <c r="X1694" s="9"/>
      <c r="Y1694" s="9"/>
      <c r="Z1694" s="9"/>
      <c r="AA1694" s="9"/>
    </row>
    <row r="1695" spans="1:27">
      <c r="A1695" s="9" t="s">
        <v>1284</v>
      </c>
      <c r="B1695" s="9" t="s">
        <v>225</v>
      </c>
      <c r="C1695" s="9"/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9"/>
      <c r="X1695" s="9"/>
      <c r="Y1695" s="9"/>
      <c r="Z1695" s="9"/>
      <c r="AA1695" s="9"/>
    </row>
    <row r="1696" spans="1:27">
      <c r="A1696" s="9" t="s">
        <v>1285</v>
      </c>
      <c r="B1696" s="9" t="s">
        <v>226</v>
      </c>
      <c r="C1696" s="9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9"/>
      <c r="Y1696" s="9"/>
      <c r="Z1696" s="9"/>
      <c r="AA1696" s="9"/>
    </row>
    <row r="1697" spans="1:27">
      <c r="A1697" s="9" t="s">
        <v>1286</v>
      </c>
      <c r="B1697" s="9" t="s">
        <v>227</v>
      </c>
      <c r="C1697" s="9"/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9"/>
      <c r="X1697" s="9"/>
      <c r="Y1697" s="9"/>
      <c r="Z1697" s="9"/>
      <c r="AA1697" s="9"/>
    </row>
    <row r="1698" spans="1:27">
      <c r="A1698" s="9" t="s">
        <v>1287</v>
      </c>
      <c r="B1698" s="9" t="s">
        <v>228</v>
      </c>
      <c r="C1698" s="9"/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9"/>
      <c r="X1698" s="9"/>
      <c r="Y1698" s="9"/>
      <c r="Z1698" s="9"/>
      <c r="AA1698" s="9"/>
    </row>
    <row r="1699" spans="1:27">
      <c r="A1699" s="9" t="s">
        <v>1879</v>
      </c>
      <c r="B1699" s="9" t="s">
        <v>2168</v>
      </c>
      <c r="C1699" s="9"/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9"/>
      <c r="X1699" s="9"/>
      <c r="Y1699" s="9"/>
      <c r="Z1699" s="9"/>
      <c r="AA1699" s="9"/>
    </row>
    <row r="1700" spans="1:27">
      <c r="A1700" s="9" t="s">
        <v>1288</v>
      </c>
      <c r="B1700" s="9" t="s">
        <v>229</v>
      </c>
      <c r="C1700" s="9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9"/>
      <c r="Y1700" s="9"/>
      <c r="Z1700" s="9"/>
      <c r="AA1700" s="9"/>
    </row>
    <row r="1701" spans="1:27">
      <c r="A1701" s="9" t="s">
        <v>1289</v>
      </c>
      <c r="B1701" s="9" t="s">
        <v>230</v>
      </c>
      <c r="C1701" s="9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9"/>
      <c r="X1701" s="9"/>
      <c r="Y1701" s="9"/>
      <c r="Z1701" s="9"/>
      <c r="AA1701" s="9"/>
    </row>
    <row r="1702" spans="1:27">
      <c r="A1702" s="9" t="s">
        <v>2662</v>
      </c>
      <c r="B1702" s="9" t="s">
        <v>2551</v>
      </c>
      <c r="C1702" s="9"/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9"/>
      <c r="X1702" s="9"/>
      <c r="Y1702" s="9"/>
      <c r="Z1702" s="9"/>
      <c r="AA1702" s="9"/>
    </row>
    <row r="1703" spans="1:27">
      <c r="A1703" s="9" t="s">
        <v>1290</v>
      </c>
      <c r="B1703" s="9" t="s">
        <v>237</v>
      </c>
      <c r="C1703" s="9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  <c r="X1703" s="9"/>
      <c r="Y1703" s="9"/>
      <c r="Z1703" s="9"/>
      <c r="AA1703" s="9"/>
    </row>
    <row r="1704" spans="1:27">
      <c r="A1704" s="9" t="s">
        <v>1291</v>
      </c>
      <c r="B1704" s="9" t="s">
        <v>238</v>
      </c>
      <c r="C1704" s="9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9"/>
      <c r="Y1704" s="9"/>
      <c r="Z1704" s="9"/>
      <c r="AA1704" s="9"/>
    </row>
    <row r="1705" spans="1:27">
      <c r="A1705" s="9" t="s">
        <v>1292</v>
      </c>
      <c r="B1705" s="9" t="s">
        <v>231</v>
      </c>
      <c r="C1705" s="9"/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9"/>
      <c r="X1705" s="9"/>
      <c r="Y1705" s="9"/>
      <c r="Z1705" s="9"/>
      <c r="AA1705" s="9"/>
    </row>
    <row r="1706" spans="1:27">
      <c r="A1706" s="9" t="s">
        <v>2663</v>
      </c>
      <c r="B1706" s="9" t="s">
        <v>2552</v>
      </c>
      <c r="C1706" s="9"/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9"/>
      <c r="X1706" s="9"/>
      <c r="Y1706" s="9"/>
      <c r="Z1706" s="9"/>
      <c r="AA1706" s="9"/>
    </row>
    <row r="1707" spans="1:27">
      <c r="A1707" s="9" t="s">
        <v>1880</v>
      </c>
      <c r="B1707" s="9" t="s">
        <v>2169</v>
      </c>
      <c r="C1707" s="9"/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9"/>
      <c r="X1707" s="9"/>
      <c r="Y1707" s="9"/>
      <c r="Z1707" s="9"/>
      <c r="AA1707" s="9"/>
    </row>
    <row r="1708" spans="1:27">
      <c r="A1708" s="9" t="s">
        <v>1293</v>
      </c>
      <c r="B1708" s="9" t="s">
        <v>232</v>
      </c>
      <c r="C1708" s="9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9"/>
      <c r="Y1708" s="9"/>
      <c r="Z1708" s="9"/>
      <c r="AA1708" s="9"/>
    </row>
    <row r="1709" spans="1:27">
      <c r="A1709" s="9" t="s">
        <v>1294</v>
      </c>
      <c r="B1709" s="9" t="s">
        <v>2271</v>
      </c>
      <c r="C1709" s="9"/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9"/>
      <c r="X1709" s="9"/>
      <c r="Y1709" s="9"/>
      <c r="Z1709" s="9"/>
      <c r="AA1709" s="9"/>
    </row>
    <row r="1710" spans="1:27">
      <c r="A1710" s="9" t="s">
        <v>2309</v>
      </c>
      <c r="B1710" s="9" t="s">
        <v>243</v>
      </c>
      <c r="C1710" s="9"/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9"/>
      <c r="X1710" s="9"/>
      <c r="Y1710" s="9"/>
      <c r="Z1710" s="9"/>
      <c r="AA1710" s="9"/>
    </row>
    <row r="1711" spans="1:27">
      <c r="A1711" s="9" t="s">
        <v>1407</v>
      </c>
      <c r="B1711" s="9" t="s">
        <v>181</v>
      </c>
      <c r="C1711" s="9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9"/>
      <c r="X1711" s="9"/>
      <c r="Y1711" s="9"/>
      <c r="Z1711" s="9"/>
      <c r="AA1711" s="9"/>
    </row>
    <row r="1712" spans="1:27">
      <c r="A1712" s="9" t="s">
        <v>1408</v>
      </c>
      <c r="B1712" s="9" t="s">
        <v>182</v>
      </c>
      <c r="C1712" s="9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9"/>
      <c r="Y1712" s="9"/>
      <c r="Z1712" s="9"/>
      <c r="AA1712" s="9"/>
    </row>
    <row r="1713" spans="1:27">
      <c r="A1713" s="9" t="s">
        <v>1409</v>
      </c>
      <c r="B1713" s="9" t="s">
        <v>183</v>
      </c>
      <c r="C1713" s="9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  <c r="X1713" s="9"/>
      <c r="Y1713" s="9"/>
      <c r="Z1713" s="9"/>
      <c r="AA1713" s="9"/>
    </row>
    <row r="1714" spans="1:27">
      <c r="A1714" s="9" t="s">
        <v>1410</v>
      </c>
      <c r="B1714" s="9" t="s">
        <v>184</v>
      </c>
      <c r="C1714" s="9"/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9"/>
      <c r="X1714" s="9"/>
      <c r="Y1714" s="9"/>
      <c r="Z1714" s="9"/>
      <c r="AA1714" s="9"/>
    </row>
    <row r="1715" spans="1:27">
      <c r="A1715" s="9" t="s">
        <v>1411</v>
      </c>
      <c r="B1715" s="9" t="s">
        <v>185</v>
      </c>
      <c r="C1715" s="9"/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9"/>
      <c r="X1715" s="9"/>
      <c r="Y1715" s="9"/>
      <c r="Z1715" s="9"/>
      <c r="AA1715" s="9"/>
    </row>
    <row r="1716" spans="1:27">
      <c r="A1716" s="9" t="s">
        <v>1412</v>
      </c>
      <c r="B1716" s="9" t="s">
        <v>186</v>
      </c>
      <c r="C1716" s="9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9"/>
      <c r="Y1716" s="9"/>
      <c r="Z1716" s="9"/>
      <c r="AA1716" s="9"/>
    </row>
    <row r="1717" spans="1:27">
      <c r="A1717" s="9" t="s">
        <v>1413</v>
      </c>
      <c r="B1717" s="9" t="s">
        <v>187</v>
      </c>
      <c r="C1717" s="9"/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9"/>
      <c r="X1717" s="9"/>
      <c r="Y1717" s="9"/>
      <c r="Z1717" s="9"/>
      <c r="AA1717" s="9"/>
    </row>
    <row r="1718" spans="1:27">
      <c r="A1718" s="9" t="s">
        <v>2261</v>
      </c>
      <c r="B1718" s="9" t="s">
        <v>2233</v>
      </c>
      <c r="C1718" s="9"/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9"/>
      <c r="X1718" s="9"/>
      <c r="Y1718" s="9"/>
      <c r="Z1718" s="9"/>
      <c r="AA1718" s="9"/>
    </row>
    <row r="1719" spans="1:27">
      <c r="A1719" s="9" t="s">
        <v>1414</v>
      </c>
      <c r="B1719" s="9" t="s">
        <v>188</v>
      </c>
      <c r="C1719" s="9"/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9"/>
      <c r="X1719" s="9"/>
      <c r="Y1719" s="9"/>
      <c r="Z1719" s="9"/>
      <c r="AA1719" s="9"/>
    </row>
    <row r="1720" spans="1:27">
      <c r="A1720" s="9" t="s">
        <v>1415</v>
      </c>
      <c r="B1720" s="9" t="s">
        <v>189</v>
      </c>
      <c r="C1720" s="9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9"/>
    </row>
    <row r="1721" spans="1:27">
      <c r="A1721" s="9" t="s">
        <v>1416</v>
      </c>
      <c r="B1721" s="9" t="s">
        <v>190</v>
      </c>
      <c r="C1721" s="9"/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9"/>
      <c r="X1721" s="9"/>
      <c r="Y1721" s="9"/>
      <c r="Z1721" s="9"/>
      <c r="AA1721" s="9"/>
    </row>
    <row r="1722" spans="1:27">
      <c r="A1722" s="9" t="s">
        <v>1417</v>
      </c>
      <c r="B1722" s="9" t="s">
        <v>191</v>
      </c>
      <c r="C1722" s="9"/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9"/>
      <c r="X1722" s="9"/>
      <c r="Y1722" s="9"/>
      <c r="Z1722" s="9"/>
      <c r="AA1722" s="9"/>
    </row>
    <row r="1723" spans="1:27">
      <c r="A1723" s="9" t="s">
        <v>1418</v>
      </c>
      <c r="B1723" s="9" t="s">
        <v>192</v>
      </c>
      <c r="C1723" s="9"/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9"/>
      <c r="X1723" s="9"/>
      <c r="Y1723" s="9"/>
      <c r="Z1723" s="9"/>
      <c r="AA1723" s="9"/>
    </row>
    <row r="1724" spans="1:27">
      <c r="A1724" s="9" t="s">
        <v>1419</v>
      </c>
      <c r="B1724" s="9" t="s">
        <v>193</v>
      </c>
      <c r="C1724" s="9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9"/>
      <c r="Y1724" s="9"/>
      <c r="Z1724" s="9"/>
      <c r="AA1724" s="9"/>
    </row>
    <row r="1725" spans="1:27">
      <c r="A1725" s="9" t="s">
        <v>1420</v>
      </c>
      <c r="B1725" s="9" t="s">
        <v>242</v>
      </c>
      <c r="C1725" s="9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  <c r="X1725" s="9"/>
      <c r="Y1725" s="9"/>
      <c r="Z1725" s="9"/>
      <c r="AA1725" s="9"/>
    </row>
    <row r="1726" spans="1:27">
      <c r="A1726" s="9" t="s">
        <v>1421</v>
      </c>
      <c r="B1726" s="9" t="s">
        <v>194</v>
      </c>
      <c r="C1726" s="9"/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9"/>
      <c r="X1726" s="9"/>
      <c r="Y1726" s="9"/>
      <c r="Z1726" s="9"/>
      <c r="AA1726" s="9"/>
    </row>
    <row r="1727" spans="1:27">
      <c r="A1727" s="9" t="s">
        <v>1422</v>
      </c>
      <c r="B1727" s="9" t="s">
        <v>195</v>
      </c>
      <c r="C1727" s="9"/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9"/>
      <c r="X1727" s="9"/>
      <c r="Y1727" s="9"/>
      <c r="Z1727" s="9"/>
      <c r="AA1727" s="9"/>
    </row>
    <row r="1728" spans="1:27">
      <c r="A1728" s="9" t="s">
        <v>1423</v>
      </c>
      <c r="B1728" s="9" t="s">
        <v>196</v>
      </c>
      <c r="C1728" s="9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9"/>
      <c r="Y1728" s="9"/>
      <c r="Z1728" s="9"/>
      <c r="AA1728" s="9"/>
    </row>
    <row r="1729" spans="1:27">
      <c r="A1729" s="9" t="s">
        <v>1424</v>
      </c>
      <c r="B1729" s="9" t="s">
        <v>197</v>
      </c>
      <c r="C1729" s="9"/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9"/>
      <c r="X1729" s="9"/>
      <c r="Y1729" s="9"/>
      <c r="Z1729" s="9"/>
      <c r="AA1729" s="9"/>
    </row>
    <row r="1730" spans="1:27">
      <c r="A1730" s="9" t="s">
        <v>1425</v>
      </c>
      <c r="B1730" s="9" t="s">
        <v>198</v>
      </c>
      <c r="C1730" s="9"/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9"/>
      <c r="X1730" s="9"/>
      <c r="Y1730" s="9"/>
      <c r="Z1730" s="9"/>
      <c r="AA1730" s="9"/>
    </row>
    <row r="1731" spans="1:27">
      <c r="A1731" s="9" t="s">
        <v>1426</v>
      </c>
      <c r="B1731" s="9" t="s">
        <v>199</v>
      </c>
      <c r="C1731" s="9"/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9"/>
      <c r="X1731" s="9"/>
      <c r="Y1731" s="9"/>
      <c r="Z1731" s="9"/>
      <c r="AA1731" s="9"/>
    </row>
    <row r="1732" spans="1:27">
      <c r="A1732" s="9" t="s">
        <v>1427</v>
      </c>
      <c r="B1732" s="9" t="s">
        <v>200</v>
      </c>
      <c r="C1732" s="9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9"/>
      <c r="Y1732" s="9"/>
      <c r="Z1732" s="9"/>
      <c r="AA1732" s="9"/>
    </row>
    <row r="1733" spans="1:27">
      <c r="A1733" s="9" t="s">
        <v>1889</v>
      </c>
      <c r="B1733" s="9" t="s">
        <v>2166</v>
      </c>
      <c r="C1733" s="9"/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9"/>
      <c r="X1733" s="9"/>
      <c r="Y1733" s="9"/>
      <c r="Z1733" s="9"/>
      <c r="AA1733" s="9"/>
    </row>
    <row r="1734" spans="1:27">
      <c r="A1734" s="9" t="s">
        <v>2664</v>
      </c>
      <c r="B1734" s="9" t="s">
        <v>2553</v>
      </c>
      <c r="C1734" s="9"/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9"/>
      <c r="X1734" s="9"/>
      <c r="Y1734" s="9"/>
      <c r="Z1734" s="9"/>
      <c r="AA1734" s="9"/>
    </row>
    <row r="1735" spans="1:27">
      <c r="A1735" s="9" t="s">
        <v>1890</v>
      </c>
      <c r="B1735" s="9" t="s">
        <v>2167</v>
      </c>
      <c r="C1735" s="9"/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9"/>
      <c r="X1735" s="9"/>
      <c r="Y1735" s="9"/>
      <c r="Z1735" s="9"/>
      <c r="AA1735" s="9"/>
    </row>
    <row r="1736" spans="1:27">
      <c r="A1736" s="9" t="s">
        <v>1428</v>
      </c>
      <c r="B1736" s="9" t="s">
        <v>201</v>
      </c>
      <c r="C1736" s="9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9"/>
      <c r="Y1736" s="9"/>
      <c r="Z1736" s="9"/>
      <c r="AA1736" s="9"/>
    </row>
    <row r="1737" spans="1:27">
      <c r="A1737" s="9" t="s">
        <v>1429</v>
      </c>
      <c r="B1737" s="9" t="s">
        <v>202</v>
      </c>
      <c r="C1737" s="9"/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9"/>
      <c r="X1737" s="9"/>
      <c r="Y1737" s="9"/>
      <c r="Z1737" s="9"/>
      <c r="AA1737" s="9"/>
    </row>
    <row r="1738" spans="1:27">
      <c r="A1738" s="9" t="s">
        <v>1430</v>
      </c>
      <c r="B1738" s="9" t="s">
        <v>203</v>
      </c>
      <c r="C1738" s="9"/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9"/>
      <c r="X1738" s="9"/>
      <c r="Y1738" s="9"/>
      <c r="Z1738" s="9"/>
      <c r="AA1738" s="9"/>
    </row>
    <row r="1739" spans="1:27">
      <c r="A1739" s="9" t="s">
        <v>1431</v>
      </c>
      <c r="B1739" s="9" t="s">
        <v>204</v>
      </c>
      <c r="C1739" s="9"/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9"/>
      <c r="X1739" s="9"/>
      <c r="Y1739" s="9"/>
      <c r="Z1739" s="9"/>
      <c r="AA1739" s="9"/>
    </row>
    <row r="1740" spans="1:27">
      <c r="A1740" s="9" t="s">
        <v>1432</v>
      </c>
      <c r="B1740" s="9" t="s">
        <v>205</v>
      </c>
      <c r="C1740" s="9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9"/>
      <c r="Y1740" s="9"/>
      <c r="Z1740" s="9"/>
      <c r="AA1740" s="9"/>
    </row>
    <row r="1741" spans="1:27">
      <c r="A1741" s="9" t="s">
        <v>1433</v>
      </c>
      <c r="B1741" s="9" t="s">
        <v>206</v>
      </c>
      <c r="C1741" s="9"/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9"/>
      <c r="X1741" s="9"/>
      <c r="Y1741" s="9"/>
      <c r="Z1741" s="9"/>
      <c r="AA1741" s="9"/>
    </row>
    <row r="1742" spans="1:27">
      <c r="A1742" s="9" t="s">
        <v>1434</v>
      </c>
      <c r="B1742" s="9" t="s">
        <v>207</v>
      </c>
      <c r="C1742" s="9"/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9"/>
      <c r="X1742" s="9"/>
      <c r="Y1742" s="9"/>
      <c r="Z1742" s="9"/>
      <c r="AA1742" s="9"/>
    </row>
    <row r="1743" spans="1:27">
      <c r="A1743" s="9" t="s">
        <v>1435</v>
      </c>
      <c r="B1743" s="9" t="s">
        <v>208</v>
      </c>
      <c r="C1743" s="9"/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9"/>
      <c r="X1743" s="9"/>
      <c r="Y1743" s="9"/>
      <c r="Z1743" s="9"/>
      <c r="AA1743" s="9"/>
    </row>
    <row r="1744" spans="1:27">
      <c r="A1744" s="9" t="s">
        <v>1436</v>
      </c>
      <c r="B1744" s="9" t="s">
        <v>209</v>
      </c>
      <c r="C1744" s="9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9"/>
      <c r="Y1744" s="9"/>
      <c r="Z1744" s="9"/>
      <c r="AA1744" s="9"/>
    </row>
    <row r="1745" spans="1:27">
      <c r="A1745" s="9" t="s">
        <v>1437</v>
      </c>
      <c r="B1745" s="9" t="s">
        <v>210</v>
      </c>
      <c r="C1745" s="9"/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9"/>
      <c r="X1745" s="9"/>
      <c r="Y1745" s="9"/>
      <c r="Z1745" s="9"/>
      <c r="AA1745" s="9"/>
    </row>
    <row r="1746" spans="1:27">
      <c r="A1746" s="9" t="s">
        <v>1438</v>
      </c>
      <c r="B1746" s="9" t="s">
        <v>211</v>
      </c>
      <c r="C1746" s="9"/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9"/>
      <c r="X1746" s="9"/>
      <c r="Y1746" s="9"/>
      <c r="Z1746" s="9"/>
      <c r="AA1746" s="9"/>
    </row>
    <row r="1747" spans="1:27">
      <c r="A1747" s="9" t="s">
        <v>1439</v>
      </c>
      <c r="B1747" s="9" t="s">
        <v>212</v>
      </c>
      <c r="C1747" s="9"/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9"/>
      <c r="X1747" s="9"/>
      <c r="Y1747" s="9"/>
      <c r="Z1747" s="9"/>
      <c r="AA1747" s="9"/>
    </row>
    <row r="1748" spans="1:27">
      <c r="A1748" s="9" t="s">
        <v>1440</v>
      </c>
      <c r="B1748" s="9" t="s">
        <v>213</v>
      </c>
      <c r="C1748" s="9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9"/>
      <c r="Y1748" s="9"/>
      <c r="Z1748" s="9"/>
      <c r="AA1748" s="9"/>
    </row>
    <row r="1749" spans="1:27">
      <c r="A1749" s="9" t="s">
        <v>1441</v>
      </c>
      <c r="B1749" s="9" t="s">
        <v>214</v>
      </c>
      <c r="C1749" s="9"/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9"/>
      <c r="X1749" s="9"/>
      <c r="Y1749" s="9"/>
      <c r="Z1749" s="9"/>
      <c r="AA1749" s="9"/>
    </row>
    <row r="1750" spans="1:27">
      <c r="A1750" s="9" t="s">
        <v>1442</v>
      </c>
      <c r="B1750" s="9" t="s">
        <v>215</v>
      </c>
      <c r="C1750" s="9"/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9"/>
      <c r="X1750" s="9"/>
      <c r="Y1750" s="9"/>
      <c r="Z1750" s="9"/>
      <c r="AA1750" s="9"/>
    </row>
    <row r="1751" spans="1:27">
      <c r="A1751" s="9" t="s">
        <v>1443</v>
      </c>
      <c r="B1751" s="9" t="s">
        <v>216</v>
      </c>
      <c r="C1751" s="9"/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9"/>
      <c r="X1751" s="9"/>
      <c r="Y1751" s="9"/>
      <c r="Z1751" s="9"/>
      <c r="AA1751" s="9"/>
    </row>
    <row r="1752" spans="1:27">
      <c r="A1752" s="9" t="s">
        <v>1444</v>
      </c>
      <c r="B1752" s="9" t="s">
        <v>217</v>
      </c>
      <c r="C1752" s="9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9"/>
      <c r="Y1752" s="9"/>
      <c r="Z1752" s="9"/>
      <c r="AA1752" s="9"/>
    </row>
    <row r="1753" spans="1:27">
      <c r="A1753" s="9" t="s">
        <v>1445</v>
      </c>
      <c r="B1753" s="9" t="s">
        <v>218</v>
      </c>
      <c r="C1753" s="9"/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9"/>
      <c r="X1753" s="9"/>
      <c r="Y1753" s="9"/>
      <c r="Z1753" s="9"/>
      <c r="AA1753" s="9"/>
    </row>
    <row r="1754" spans="1:27">
      <c r="A1754" s="9" t="s">
        <v>1446</v>
      </c>
      <c r="B1754" s="9" t="s">
        <v>219</v>
      </c>
      <c r="C1754" s="9"/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9"/>
      <c r="X1754" s="9"/>
      <c r="Y1754" s="9"/>
      <c r="Z1754" s="9"/>
      <c r="AA1754" s="9"/>
    </row>
    <row r="1755" spans="1:27">
      <c r="A1755" s="9" t="s">
        <v>1447</v>
      </c>
      <c r="B1755" s="9" t="s">
        <v>220</v>
      </c>
      <c r="C1755" s="9"/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9"/>
      <c r="X1755" s="9"/>
      <c r="Y1755" s="9"/>
      <c r="Z1755" s="9"/>
      <c r="AA1755" s="9"/>
    </row>
    <row r="1756" spans="1:27">
      <c r="A1756" s="9" t="s">
        <v>1448</v>
      </c>
      <c r="B1756" s="9" t="s">
        <v>221</v>
      </c>
      <c r="C1756" s="9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9"/>
      <c r="Y1756" s="9"/>
      <c r="Z1756" s="9"/>
      <c r="AA1756" s="9"/>
    </row>
    <row r="1757" spans="1:27">
      <c r="A1757" s="9" t="s">
        <v>1449</v>
      </c>
      <c r="B1757" s="9" t="s">
        <v>222</v>
      </c>
      <c r="C1757" s="9"/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9"/>
      <c r="X1757" s="9"/>
      <c r="Y1757" s="9"/>
      <c r="Z1757" s="9"/>
      <c r="AA1757" s="9"/>
    </row>
    <row r="1758" spans="1:27">
      <c r="A1758" s="9" t="s">
        <v>1450</v>
      </c>
      <c r="B1758" s="9" t="s">
        <v>223</v>
      </c>
      <c r="C1758" s="9"/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9"/>
      <c r="X1758" s="9"/>
      <c r="Y1758" s="9"/>
      <c r="Z1758" s="9"/>
      <c r="AA1758" s="9"/>
    </row>
    <row r="1759" spans="1:27">
      <c r="A1759" s="9" t="s">
        <v>1451</v>
      </c>
      <c r="B1759" s="9" t="s">
        <v>224</v>
      </c>
      <c r="C1759" s="9"/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9"/>
      <c r="X1759" s="9"/>
      <c r="Y1759" s="9"/>
      <c r="Z1759" s="9"/>
      <c r="AA1759" s="9"/>
    </row>
    <row r="1760" spans="1:27">
      <c r="A1760" s="9" t="s">
        <v>1452</v>
      </c>
      <c r="B1760" s="9" t="s">
        <v>225</v>
      </c>
      <c r="C1760" s="9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9"/>
      <c r="Y1760" s="9"/>
      <c r="Z1760" s="9"/>
      <c r="AA1760" s="9"/>
    </row>
    <row r="1761" spans="1:27">
      <c r="A1761" s="9" t="s">
        <v>1453</v>
      </c>
      <c r="B1761" s="9" t="s">
        <v>226</v>
      </c>
      <c r="C1761" s="9"/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9"/>
      <c r="X1761" s="9"/>
      <c r="Y1761" s="9"/>
      <c r="Z1761" s="9"/>
      <c r="AA1761" s="9"/>
    </row>
    <row r="1762" spans="1:27">
      <c r="A1762" s="9" t="s">
        <v>1454</v>
      </c>
      <c r="B1762" s="9" t="s">
        <v>227</v>
      </c>
      <c r="C1762" s="9"/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9"/>
      <c r="X1762" s="9"/>
      <c r="Y1762" s="9"/>
      <c r="Z1762" s="9"/>
      <c r="AA1762" s="9"/>
    </row>
    <row r="1763" spans="1:27">
      <c r="A1763" s="9" t="s">
        <v>1455</v>
      </c>
      <c r="B1763" s="9" t="s">
        <v>228</v>
      </c>
      <c r="C1763" s="9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9"/>
      <c r="Y1763" s="9"/>
      <c r="Z1763" s="9"/>
      <c r="AA1763" s="9"/>
    </row>
    <row r="1764" spans="1:27">
      <c r="A1764" s="9" t="s">
        <v>1891</v>
      </c>
      <c r="B1764" s="9" t="s">
        <v>2168</v>
      </c>
      <c r="C1764" s="9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9"/>
      <c r="Y1764" s="9"/>
      <c r="Z1764" s="9"/>
      <c r="AA1764" s="9"/>
    </row>
    <row r="1765" spans="1:27">
      <c r="A1765" s="9" t="s">
        <v>1456</v>
      </c>
      <c r="B1765" s="9" t="s">
        <v>229</v>
      </c>
      <c r="C1765" s="9"/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9"/>
      <c r="X1765" s="9"/>
      <c r="Y1765" s="9"/>
      <c r="Z1765" s="9"/>
      <c r="AA1765" s="9"/>
    </row>
    <row r="1766" spans="1:27">
      <c r="A1766" s="9" t="s">
        <v>1457</v>
      </c>
      <c r="B1766" s="9" t="s">
        <v>230</v>
      </c>
      <c r="C1766" s="9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  <c r="X1766" s="9"/>
      <c r="Y1766" s="9"/>
      <c r="Z1766" s="9"/>
      <c r="AA1766" s="9"/>
    </row>
    <row r="1767" spans="1:27">
      <c r="A1767" s="9" t="s">
        <v>2666</v>
      </c>
      <c r="B1767" s="9" t="s">
        <v>2551</v>
      </c>
      <c r="C1767" s="9"/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9"/>
      <c r="X1767" s="9"/>
      <c r="Y1767" s="9"/>
      <c r="Z1767" s="9"/>
      <c r="AA1767" s="9"/>
    </row>
    <row r="1768" spans="1:27">
      <c r="A1768" s="9" t="s">
        <v>1458</v>
      </c>
      <c r="B1768" s="9" t="s">
        <v>237</v>
      </c>
      <c r="C1768" s="9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9"/>
      <c r="Y1768" s="9"/>
      <c r="Z1768" s="9"/>
      <c r="AA1768" s="9"/>
    </row>
    <row r="1769" spans="1:27">
      <c r="A1769" s="9" t="s">
        <v>1459</v>
      </c>
      <c r="B1769" s="9" t="s">
        <v>238</v>
      </c>
      <c r="C1769" s="9"/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9"/>
      <c r="X1769" s="9"/>
      <c r="Y1769" s="9"/>
      <c r="Z1769" s="9"/>
      <c r="AA1769" s="9"/>
    </row>
    <row r="1770" spans="1:27">
      <c r="A1770" s="9" t="s">
        <v>1460</v>
      </c>
      <c r="B1770" s="9" t="s">
        <v>231</v>
      </c>
      <c r="C1770" s="9"/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9"/>
      <c r="X1770" s="9"/>
      <c r="Y1770" s="9"/>
      <c r="Z1770" s="9"/>
      <c r="AA1770" s="9"/>
    </row>
    <row r="1771" spans="1:27">
      <c r="A1771" s="9" t="s">
        <v>2667</v>
      </c>
      <c r="B1771" s="9" t="s">
        <v>2552</v>
      </c>
      <c r="C1771" s="9"/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9"/>
      <c r="X1771" s="9"/>
      <c r="Y1771" s="9"/>
      <c r="Z1771" s="9"/>
      <c r="AA1771" s="9"/>
    </row>
    <row r="1772" spans="1:27">
      <c r="A1772" s="9" t="s">
        <v>1892</v>
      </c>
      <c r="B1772" s="9" t="s">
        <v>2169</v>
      </c>
      <c r="C1772" s="9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9"/>
      <c r="Y1772" s="9"/>
      <c r="Z1772" s="9"/>
      <c r="AA1772" s="9"/>
    </row>
    <row r="1773" spans="1:27">
      <c r="A1773" s="9" t="s">
        <v>1461</v>
      </c>
      <c r="B1773" s="9" t="s">
        <v>232</v>
      </c>
      <c r="C1773" s="9"/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9"/>
      <c r="X1773" s="9"/>
      <c r="Y1773" s="9"/>
      <c r="Z1773" s="9"/>
      <c r="AA1773" s="9"/>
    </row>
    <row r="1774" spans="1:27">
      <c r="A1774" s="9" t="s">
        <v>1462</v>
      </c>
      <c r="B1774" s="9" t="s">
        <v>2271</v>
      </c>
      <c r="C1774" s="9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9"/>
      <c r="X1774" s="9"/>
      <c r="Y1774" s="9"/>
      <c r="Z1774" s="9"/>
      <c r="AA1774" s="9"/>
    </row>
    <row r="1775" spans="1:27">
      <c r="A1775" s="9" t="s">
        <v>2310</v>
      </c>
      <c r="B1775" s="9" t="s">
        <v>243</v>
      </c>
      <c r="C1775" s="9"/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9"/>
      <c r="X1775" s="9"/>
      <c r="Y1775" s="9"/>
      <c r="Z1775" s="9"/>
      <c r="AA1775" s="9"/>
    </row>
    <row r="1776" spans="1:27">
      <c r="A1776" s="9" t="s">
        <v>807</v>
      </c>
      <c r="B1776" s="9" t="s">
        <v>181</v>
      </c>
      <c r="C1776" s="9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9"/>
      <c r="Y1776" s="9"/>
      <c r="Z1776" s="9"/>
      <c r="AA1776" s="9"/>
    </row>
    <row r="1777" spans="1:27">
      <c r="A1777" s="9" t="s">
        <v>808</v>
      </c>
      <c r="B1777" s="9" t="s">
        <v>182</v>
      </c>
      <c r="C1777" s="9"/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9"/>
      <c r="X1777" s="9"/>
      <c r="Y1777" s="9"/>
      <c r="Z1777" s="9"/>
      <c r="AA1777" s="9"/>
    </row>
    <row r="1778" spans="1:27">
      <c r="A1778" s="9" t="s">
        <v>809</v>
      </c>
      <c r="B1778" s="9" t="s">
        <v>183</v>
      </c>
      <c r="C1778" s="9"/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9"/>
      <c r="X1778" s="9"/>
      <c r="Y1778" s="9"/>
      <c r="Z1778" s="9"/>
      <c r="AA1778" s="9"/>
    </row>
    <row r="1779" spans="1:27">
      <c r="A1779" s="9" t="s">
        <v>810</v>
      </c>
      <c r="B1779" s="9" t="s">
        <v>184</v>
      </c>
      <c r="C1779" s="9"/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9"/>
      <c r="X1779" s="9"/>
      <c r="Y1779" s="9"/>
      <c r="Z1779" s="9"/>
      <c r="AA1779" s="9"/>
    </row>
    <row r="1780" spans="1:27">
      <c r="A1780" s="9" t="s">
        <v>811</v>
      </c>
      <c r="B1780" s="9" t="s">
        <v>185</v>
      </c>
      <c r="C1780" s="9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9"/>
      <c r="Y1780" s="9"/>
      <c r="Z1780" s="9"/>
      <c r="AA1780" s="9"/>
    </row>
    <row r="1781" spans="1:27">
      <c r="A1781" s="9" t="s">
        <v>812</v>
      </c>
      <c r="B1781" s="9" t="s">
        <v>186</v>
      </c>
      <c r="C1781" s="9"/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9"/>
      <c r="X1781" s="9"/>
      <c r="Y1781" s="9"/>
      <c r="Z1781" s="9"/>
      <c r="AA1781" s="9"/>
    </row>
    <row r="1782" spans="1:27">
      <c r="A1782" s="9" t="s">
        <v>813</v>
      </c>
      <c r="B1782" s="9" t="s">
        <v>187</v>
      </c>
      <c r="C1782" s="9"/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9"/>
      <c r="X1782" s="9"/>
      <c r="Y1782" s="9"/>
      <c r="Z1782" s="9"/>
      <c r="AA1782" s="9"/>
    </row>
    <row r="1783" spans="1:27">
      <c r="A1783" s="9" t="s">
        <v>2268</v>
      </c>
      <c r="B1783" s="9" t="s">
        <v>2233</v>
      </c>
      <c r="C1783" s="9"/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9"/>
      <c r="X1783" s="9"/>
      <c r="Y1783" s="9"/>
      <c r="Z1783" s="9"/>
      <c r="AA1783" s="9"/>
    </row>
    <row r="1784" spans="1:27">
      <c r="A1784" s="9" t="s">
        <v>814</v>
      </c>
      <c r="B1784" s="9" t="s">
        <v>188</v>
      </c>
      <c r="C1784" s="9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9"/>
      <c r="Y1784" s="9"/>
      <c r="Z1784" s="9"/>
      <c r="AA1784" s="9"/>
    </row>
    <row r="1785" spans="1:27">
      <c r="A1785" s="9" t="s">
        <v>815</v>
      </c>
      <c r="B1785" s="9" t="s">
        <v>189</v>
      </c>
      <c r="C1785" s="9"/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9"/>
      <c r="X1785" s="9"/>
      <c r="Y1785" s="9"/>
      <c r="Z1785" s="9"/>
      <c r="AA1785" s="9"/>
    </row>
    <row r="1786" spans="1:27">
      <c r="A1786" s="9" t="s">
        <v>816</v>
      </c>
      <c r="B1786" s="9" t="s">
        <v>190</v>
      </c>
      <c r="C1786" s="9"/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9"/>
      <c r="X1786" s="9"/>
      <c r="Y1786" s="9"/>
      <c r="Z1786" s="9"/>
      <c r="AA1786" s="9"/>
    </row>
    <row r="1787" spans="1:27">
      <c r="A1787" s="9" t="s">
        <v>817</v>
      </c>
      <c r="B1787" s="9" t="s">
        <v>191</v>
      </c>
      <c r="C1787" s="9"/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9"/>
      <c r="X1787" s="9"/>
      <c r="Y1787" s="9"/>
      <c r="Z1787" s="9"/>
      <c r="AA1787" s="9"/>
    </row>
    <row r="1788" spans="1:27">
      <c r="A1788" s="9" t="s">
        <v>818</v>
      </c>
      <c r="B1788" s="9" t="s">
        <v>192</v>
      </c>
      <c r="C1788" s="9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9"/>
      <c r="Y1788" s="9"/>
      <c r="Z1788" s="9"/>
      <c r="AA1788" s="9"/>
    </row>
    <row r="1789" spans="1:27">
      <c r="A1789" s="9" t="s">
        <v>819</v>
      </c>
      <c r="B1789" s="9" t="s">
        <v>193</v>
      </c>
      <c r="C1789" s="9"/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9"/>
      <c r="X1789" s="9"/>
      <c r="Y1789" s="9"/>
      <c r="Z1789" s="9"/>
      <c r="AA1789" s="9"/>
    </row>
    <row r="1790" spans="1:27">
      <c r="A1790" s="9" t="s">
        <v>820</v>
      </c>
      <c r="B1790" s="9" t="s">
        <v>242</v>
      </c>
      <c r="C1790" s="9"/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9"/>
      <c r="X1790" s="9"/>
      <c r="Y1790" s="9"/>
      <c r="Z1790" s="9"/>
      <c r="AA1790" s="9"/>
    </row>
    <row r="1791" spans="1:27">
      <c r="A1791" s="9" t="s">
        <v>821</v>
      </c>
      <c r="B1791" s="9" t="s">
        <v>194</v>
      </c>
      <c r="C1791" s="9"/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9"/>
      <c r="X1791" s="9"/>
      <c r="Y1791" s="9"/>
      <c r="Z1791" s="9"/>
      <c r="AA1791" s="9"/>
    </row>
    <row r="1792" spans="1:27">
      <c r="A1792" s="9" t="s">
        <v>822</v>
      </c>
      <c r="B1792" s="9" t="s">
        <v>195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9"/>
      <c r="Y1792" s="9"/>
      <c r="Z1792" s="9"/>
      <c r="AA1792" s="9"/>
    </row>
    <row r="1793" spans="1:27">
      <c r="A1793" s="9" t="s">
        <v>823</v>
      </c>
      <c r="B1793" s="9" t="s">
        <v>196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9"/>
      <c r="X1793" s="9"/>
      <c r="Y1793" s="9"/>
      <c r="Z1793" s="9"/>
      <c r="AA1793" s="9"/>
    </row>
    <row r="1794" spans="1:27">
      <c r="A1794" s="9" t="s">
        <v>824</v>
      </c>
      <c r="B1794" s="9" t="s">
        <v>197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9"/>
      <c r="X1794" s="9"/>
      <c r="Y1794" s="9"/>
      <c r="Z1794" s="9"/>
      <c r="AA1794" s="9"/>
    </row>
    <row r="1795" spans="1:27">
      <c r="A1795" s="9" t="s">
        <v>825</v>
      </c>
      <c r="B1795" s="9" t="s">
        <v>198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9"/>
      <c r="X1795" s="9"/>
      <c r="Y1795" s="9"/>
      <c r="Z1795" s="9"/>
      <c r="AA1795" s="9"/>
    </row>
    <row r="1796" spans="1:27">
      <c r="A1796" s="9" t="s">
        <v>826</v>
      </c>
      <c r="B1796" s="9" t="s">
        <v>199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9"/>
      <c r="Y1796" s="9"/>
      <c r="Z1796" s="9"/>
      <c r="AA1796" s="9"/>
    </row>
    <row r="1797" spans="1:27">
      <c r="A1797" s="9" t="s">
        <v>827</v>
      </c>
      <c r="B1797" s="9" t="s">
        <v>200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9"/>
      <c r="X1797" s="9"/>
      <c r="Y1797" s="9"/>
      <c r="Z1797" s="9"/>
      <c r="AA1797" s="9"/>
    </row>
    <row r="1798" spans="1:27">
      <c r="A1798" s="9" t="s">
        <v>1917</v>
      </c>
      <c r="B1798" s="9" t="s">
        <v>2166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9"/>
      <c r="X1798" s="9"/>
      <c r="Y1798" s="9"/>
      <c r="Z1798" s="9"/>
      <c r="AA1798" s="9"/>
    </row>
    <row r="1799" spans="1:27">
      <c r="A1799" s="9" t="s">
        <v>2670</v>
      </c>
      <c r="B1799" s="9" t="s">
        <v>2553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9"/>
      <c r="X1799" s="9"/>
      <c r="Y1799" s="9"/>
      <c r="Z1799" s="9"/>
      <c r="AA1799" s="9"/>
    </row>
    <row r="1800" spans="1:27">
      <c r="A1800" s="9" t="s">
        <v>1918</v>
      </c>
      <c r="B1800" s="9" t="s">
        <v>2167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9"/>
      <c r="Y1800" s="9"/>
      <c r="Z1800" s="9"/>
      <c r="AA1800" s="9"/>
    </row>
    <row r="1801" spans="1:27">
      <c r="A1801" s="9" t="s">
        <v>828</v>
      </c>
      <c r="B1801" s="9" t="s">
        <v>201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9"/>
      <c r="X1801" s="9"/>
      <c r="Y1801" s="9"/>
      <c r="Z1801" s="9"/>
      <c r="AA1801" s="9"/>
    </row>
    <row r="1802" spans="1:27">
      <c r="A1802" s="9" t="s">
        <v>829</v>
      </c>
      <c r="B1802" s="9" t="s">
        <v>202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9"/>
      <c r="X1802" s="9"/>
      <c r="Y1802" s="9"/>
      <c r="Z1802" s="9"/>
      <c r="AA1802" s="9"/>
    </row>
    <row r="1803" spans="1:27">
      <c r="A1803" s="9" t="s">
        <v>830</v>
      </c>
      <c r="B1803" s="9" t="s">
        <v>203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9"/>
      <c r="X1803" s="9"/>
      <c r="Y1803" s="9"/>
      <c r="Z1803" s="9"/>
      <c r="AA1803" s="9"/>
    </row>
    <row r="1804" spans="1:27">
      <c r="A1804" s="9" t="s">
        <v>831</v>
      </c>
      <c r="B1804" s="9" t="s">
        <v>204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9"/>
      <c r="Y1804" s="9"/>
      <c r="Z1804" s="9"/>
      <c r="AA1804" s="9"/>
    </row>
    <row r="1805" spans="1:27">
      <c r="A1805" s="9" t="s">
        <v>832</v>
      </c>
      <c r="B1805" s="9" t="s">
        <v>205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9"/>
      <c r="X1805" s="9"/>
      <c r="Y1805" s="9"/>
      <c r="Z1805" s="9"/>
      <c r="AA1805" s="9"/>
    </row>
    <row r="1806" spans="1:27">
      <c r="A1806" s="9" t="s">
        <v>833</v>
      </c>
      <c r="B1806" s="9" t="s">
        <v>206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9"/>
      <c r="Y1806" s="9"/>
      <c r="Z1806" s="9"/>
      <c r="AA1806" s="9"/>
    </row>
    <row r="1807" spans="1:27">
      <c r="A1807" s="9" t="s">
        <v>834</v>
      </c>
      <c r="B1807" s="9" t="s">
        <v>207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9"/>
      <c r="X1807" s="9"/>
      <c r="Y1807" s="9"/>
      <c r="Z1807" s="9"/>
      <c r="AA1807" s="9"/>
    </row>
    <row r="1808" spans="1:27">
      <c r="A1808" s="9" t="s">
        <v>835</v>
      </c>
      <c r="B1808" s="9" t="s">
        <v>208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9"/>
      <c r="Y1808" s="9"/>
      <c r="Z1808" s="9"/>
      <c r="AA1808" s="9"/>
    </row>
    <row r="1809" spans="1:27">
      <c r="A1809" s="9" t="s">
        <v>836</v>
      </c>
      <c r="B1809" s="9" t="s">
        <v>209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9"/>
      <c r="X1809" s="9"/>
      <c r="Y1809" s="9"/>
      <c r="Z1809" s="9"/>
      <c r="AA1809" s="9"/>
    </row>
    <row r="1810" spans="1:27">
      <c r="A1810" s="9" t="s">
        <v>837</v>
      </c>
      <c r="B1810" s="9" t="s">
        <v>210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9"/>
      <c r="X1810" s="9"/>
      <c r="Y1810" s="9"/>
      <c r="Z1810" s="9"/>
      <c r="AA1810" s="9"/>
    </row>
    <row r="1811" spans="1:27">
      <c r="A1811" s="9" t="s">
        <v>838</v>
      </c>
      <c r="B1811" s="9" t="s">
        <v>211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9"/>
      <c r="X1811" s="9"/>
      <c r="Y1811" s="9"/>
      <c r="Z1811" s="9"/>
      <c r="AA1811" s="9"/>
    </row>
    <row r="1812" spans="1:27">
      <c r="A1812" s="9" t="s">
        <v>839</v>
      </c>
      <c r="B1812" s="9" t="s">
        <v>212</v>
      </c>
      <c r="C1812" s="9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9"/>
      <c r="Y1812" s="9"/>
      <c r="Z1812" s="9"/>
      <c r="AA1812" s="9"/>
    </row>
    <row r="1813" spans="1:27">
      <c r="A1813" s="9" t="s">
        <v>840</v>
      </c>
      <c r="B1813" s="9" t="s">
        <v>213</v>
      </c>
      <c r="C1813" s="9"/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9"/>
      <c r="X1813" s="9"/>
      <c r="Y1813" s="9"/>
      <c r="Z1813" s="9"/>
      <c r="AA1813" s="9"/>
    </row>
    <row r="1814" spans="1:27">
      <c r="A1814" s="9" t="s">
        <v>841</v>
      </c>
      <c r="B1814" s="9" t="s">
        <v>214</v>
      </c>
      <c r="C1814" s="9"/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9"/>
      <c r="X1814" s="9"/>
      <c r="Y1814" s="9"/>
      <c r="Z1814" s="9"/>
      <c r="AA1814" s="9"/>
    </row>
    <row r="1815" spans="1:27">
      <c r="A1815" s="9" t="s">
        <v>842</v>
      </c>
      <c r="B1815" s="9" t="s">
        <v>215</v>
      </c>
      <c r="C1815" s="9"/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9"/>
      <c r="X1815" s="9"/>
      <c r="Y1815" s="9"/>
      <c r="Z1815" s="9"/>
      <c r="AA1815" s="9"/>
    </row>
    <row r="1816" spans="1:27">
      <c r="A1816" s="9" t="s">
        <v>843</v>
      </c>
      <c r="B1816" s="9" t="s">
        <v>216</v>
      </c>
      <c r="C1816" s="9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9"/>
      <c r="Y1816" s="9"/>
      <c r="Z1816" s="9"/>
      <c r="AA1816" s="9"/>
    </row>
    <row r="1817" spans="1:27">
      <c r="A1817" s="9" t="s">
        <v>844</v>
      </c>
      <c r="B1817" s="9" t="s">
        <v>217</v>
      </c>
      <c r="C1817" s="9"/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9"/>
      <c r="X1817" s="9"/>
      <c r="Y1817" s="9"/>
      <c r="Z1817" s="9"/>
      <c r="AA1817" s="9"/>
    </row>
    <row r="1818" spans="1:27">
      <c r="A1818" s="9" t="s">
        <v>845</v>
      </c>
      <c r="B1818" s="9" t="s">
        <v>218</v>
      </c>
      <c r="C1818" s="9"/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9"/>
      <c r="X1818" s="9"/>
      <c r="Y1818" s="9"/>
      <c r="Z1818" s="9"/>
      <c r="AA1818" s="9"/>
    </row>
    <row r="1819" spans="1:27">
      <c r="A1819" s="9" t="s">
        <v>846</v>
      </c>
      <c r="B1819" s="9" t="s">
        <v>219</v>
      </c>
      <c r="C1819" s="9"/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9"/>
      <c r="X1819" s="9"/>
      <c r="Y1819" s="9"/>
      <c r="Z1819" s="9"/>
      <c r="AA1819" s="9"/>
    </row>
    <row r="1820" spans="1:27">
      <c r="A1820" s="9" t="s">
        <v>847</v>
      </c>
      <c r="B1820" s="9" t="s">
        <v>220</v>
      </c>
      <c r="C1820" s="9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9"/>
      <c r="Y1820" s="9"/>
      <c r="Z1820" s="9"/>
      <c r="AA1820" s="9"/>
    </row>
    <row r="1821" spans="1:27">
      <c r="A1821" s="9" t="s">
        <v>848</v>
      </c>
      <c r="B1821" s="9" t="s">
        <v>221</v>
      </c>
      <c r="C1821" s="9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9"/>
      <c r="X1821" s="9"/>
      <c r="Y1821" s="9"/>
      <c r="Z1821" s="9"/>
      <c r="AA1821" s="9"/>
    </row>
    <row r="1822" spans="1:27">
      <c r="A1822" s="9" t="s">
        <v>849</v>
      </c>
      <c r="B1822" s="9" t="s">
        <v>222</v>
      </c>
      <c r="C1822" s="9"/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9"/>
      <c r="X1822" s="9"/>
      <c r="Y1822" s="9"/>
      <c r="Z1822" s="9"/>
      <c r="AA1822" s="9"/>
    </row>
    <row r="1823" spans="1:27">
      <c r="A1823" s="9" t="s">
        <v>850</v>
      </c>
      <c r="B1823" s="9" t="s">
        <v>223</v>
      </c>
      <c r="C1823" s="9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  <c r="X1823" s="9"/>
      <c r="Y1823" s="9"/>
      <c r="Z1823" s="9"/>
      <c r="AA1823" s="9"/>
    </row>
    <row r="1824" spans="1:27">
      <c r="A1824" s="9" t="s">
        <v>851</v>
      </c>
      <c r="B1824" s="9" t="s">
        <v>224</v>
      </c>
      <c r="C1824" s="9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9"/>
      <c r="Y1824" s="9"/>
      <c r="Z1824" s="9"/>
      <c r="AA1824" s="9"/>
    </row>
    <row r="1825" spans="1:27">
      <c r="A1825" s="9" t="s">
        <v>852</v>
      </c>
      <c r="B1825" s="9" t="s">
        <v>225</v>
      </c>
      <c r="C1825" s="9"/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9"/>
      <c r="X1825" s="9"/>
      <c r="Y1825" s="9"/>
      <c r="Z1825" s="9"/>
      <c r="AA1825" s="9"/>
    </row>
    <row r="1826" spans="1:27">
      <c r="A1826" s="9" t="s">
        <v>853</v>
      </c>
      <c r="B1826" s="9" t="s">
        <v>226</v>
      </c>
      <c r="C1826" s="9"/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9"/>
      <c r="X1826" s="9"/>
      <c r="Y1826" s="9"/>
      <c r="Z1826" s="9"/>
      <c r="AA1826" s="9"/>
    </row>
    <row r="1827" spans="1:27">
      <c r="A1827" s="9" t="s">
        <v>854</v>
      </c>
      <c r="B1827" s="9" t="s">
        <v>227</v>
      </c>
      <c r="C1827" s="9"/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9"/>
      <c r="X1827" s="9"/>
      <c r="Y1827" s="9"/>
      <c r="Z1827" s="9"/>
      <c r="AA1827" s="9"/>
    </row>
    <row r="1828" spans="1:27">
      <c r="A1828" s="9" t="s">
        <v>855</v>
      </c>
      <c r="B1828" s="9" t="s">
        <v>228</v>
      </c>
      <c r="C1828" s="9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9"/>
      <c r="Y1828" s="9"/>
      <c r="Z1828" s="9"/>
      <c r="AA1828" s="9"/>
    </row>
    <row r="1829" spans="1:27">
      <c r="A1829" s="9" t="s">
        <v>1919</v>
      </c>
      <c r="B1829" s="9" t="s">
        <v>2168</v>
      </c>
      <c r="C1829" s="9"/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9"/>
      <c r="X1829" s="9"/>
      <c r="Y1829" s="9"/>
      <c r="Z1829" s="9"/>
      <c r="AA1829" s="9"/>
    </row>
    <row r="1830" spans="1:27">
      <c r="A1830" s="9" t="s">
        <v>856</v>
      </c>
      <c r="B1830" s="9" t="s">
        <v>229</v>
      </c>
      <c r="C1830" s="9"/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9"/>
      <c r="X1830" s="9"/>
      <c r="Y1830" s="9"/>
      <c r="Z1830" s="9"/>
      <c r="AA1830" s="9"/>
    </row>
    <row r="1831" spans="1:27">
      <c r="A1831" s="9" t="s">
        <v>857</v>
      </c>
      <c r="B1831" s="9" t="s">
        <v>230</v>
      </c>
      <c r="C1831" s="9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9"/>
      <c r="X1831" s="9"/>
      <c r="Y1831" s="9"/>
      <c r="Z1831" s="9"/>
      <c r="AA1831" s="9"/>
    </row>
    <row r="1832" spans="1:27">
      <c r="A1832" s="9" t="s">
        <v>2672</v>
      </c>
      <c r="B1832" s="9" t="s">
        <v>2551</v>
      </c>
      <c r="C1832" s="9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9"/>
      <c r="Y1832" s="9"/>
      <c r="Z1832" s="9"/>
      <c r="AA1832" s="9"/>
    </row>
    <row r="1833" spans="1:27">
      <c r="A1833" s="9" t="s">
        <v>858</v>
      </c>
      <c r="B1833" s="9" t="s">
        <v>237</v>
      </c>
      <c r="C1833" s="9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  <c r="X1833" s="9"/>
      <c r="Y1833" s="9"/>
      <c r="Z1833" s="9"/>
      <c r="AA1833" s="9"/>
    </row>
    <row r="1834" spans="1:27">
      <c r="A1834" s="9" t="s">
        <v>859</v>
      </c>
      <c r="B1834" s="9" t="s">
        <v>238</v>
      </c>
      <c r="C1834" s="9"/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9"/>
      <c r="X1834" s="9"/>
      <c r="Y1834" s="9"/>
      <c r="Z1834" s="9"/>
      <c r="AA1834" s="9"/>
    </row>
    <row r="1835" spans="1:27">
      <c r="A1835" s="9" t="s">
        <v>860</v>
      </c>
      <c r="B1835" s="9" t="s">
        <v>231</v>
      </c>
      <c r="C1835" s="9"/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9"/>
      <c r="X1835" s="9"/>
      <c r="Y1835" s="9"/>
      <c r="Z1835" s="9"/>
      <c r="AA1835" s="9"/>
    </row>
    <row r="1836" spans="1:27">
      <c r="A1836" s="9" t="s">
        <v>2673</v>
      </c>
      <c r="B1836" s="9" t="s">
        <v>2552</v>
      </c>
      <c r="C1836" s="9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9"/>
      <c r="Y1836" s="9"/>
      <c r="Z1836" s="9"/>
      <c r="AA1836" s="9"/>
    </row>
    <row r="1837" spans="1:27">
      <c r="A1837" s="9" t="s">
        <v>1920</v>
      </c>
      <c r="B1837" s="9" t="s">
        <v>2169</v>
      </c>
      <c r="C1837" s="9"/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9"/>
      <c r="X1837" s="9"/>
      <c r="Y1837" s="9"/>
      <c r="Z1837" s="9"/>
      <c r="AA1837" s="9"/>
    </row>
    <row r="1838" spans="1:27">
      <c r="A1838" s="9" t="s">
        <v>861</v>
      </c>
      <c r="B1838" s="9" t="s">
        <v>232</v>
      </c>
      <c r="C1838" s="9"/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9"/>
      <c r="X1838" s="9"/>
      <c r="Y1838" s="9"/>
      <c r="Z1838" s="9"/>
      <c r="AA1838" s="9"/>
    </row>
    <row r="1839" spans="1:27">
      <c r="A1839" s="9" t="s">
        <v>862</v>
      </c>
      <c r="B1839" s="9" t="s">
        <v>2271</v>
      </c>
      <c r="C1839" s="9"/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9"/>
      <c r="X1839" s="9"/>
      <c r="Y1839" s="9"/>
      <c r="Z1839" s="9"/>
      <c r="AA1839" s="9"/>
    </row>
    <row r="1840" spans="1:27">
      <c r="A1840" s="9" t="s">
        <v>2311</v>
      </c>
      <c r="B1840" s="9" t="s">
        <v>243</v>
      </c>
      <c r="C1840" s="9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9"/>
      <c r="Y1840" s="9"/>
      <c r="Z1840" s="9"/>
      <c r="AA1840" s="9"/>
    </row>
    <row r="1841" spans="1:27">
      <c r="A1841" s="9" t="s">
        <v>751</v>
      </c>
      <c r="B1841" s="9" t="s">
        <v>181</v>
      </c>
      <c r="C1841" s="9"/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9"/>
      <c r="X1841" s="9"/>
      <c r="Y1841" s="9"/>
      <c r="Z1841" s="9"/>
      <c r="AA1841" s="9"/>
    </row>
    <row r="1842" spans="1:27">
      <c r="A1842" s="9" t="s">
        <v>752</v>
      </c>
      <c r="B1842" s="9" t="s">
        <v>182</v>
      </c>
      <c r="C1842" s="9"/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9"/>
      <c r="X1842" s="9"/>
      <c r="Y1842" s="9"/>
      <c r="Z1842" s="9"/>
      <c r="AA1842" s="9"/>
    </row>
    <row r="1843" spans="1:27">
      <c r="A1843" s="9" t="s">
        <v>753</v>
      </c>
      <c r="B1843" s="9" t="s">
        <v>183</v>
      </c>
      <c r="C1843" s="9"/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9"/>
      <c r="X1843" s="9"/>
      <c r="Y1843" s="9"/>
      <c r="Z1843" s="9"/>
      <c r="AA1843" s="9"/>
    </row>
    <row r="1844" spans="1:27">
      <c r="A1844" s="9" t="s">
        <v>754</v>
      </c>
      <c r="B1844" s="9" t="s">
        <v>184</v>
      </c>
      <c r="C1844" s="9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9"/>
      <c r="Y1844" s="9"/>
      <c r="Z1844" s="9"/>
      <c r="AA1844" s="9"/>
    </row>
    <row r="1845" spans="1:27">
      <c r="A1845" s="9" t="s">
        <v>755</v>
      </c>
      <c r="B1845" s="9" t="s">
        <v>185</v>
      </c>
      <c r="C1845" s="9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  <c r="X1845" s="9"/>
      <c r="Y1845" s="9"/>
      <c r="Z1845" s="9"/>
      <c r="AA1845" s="9"/>
    </row>
    <row r="1846" spans="1:27">
      <c r="A1846" s="9" t="s">
        <v>756</v>
      </c>
      <c r="B1846" s="9" t="s">
        <v>186</v>
      </c>
      <c r="C1846" s="9"/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9"/>
      <c r="X1846" s="9"/>
      <c r="Y1846" s="9"/>
      <c r="Z1846" s="9"/>
      <c r="AA1846" s="9"/>
    </row>
    <row r="1847" spans="1:27">
      <c r="A1847" s="9" t="s">
        <v>757</v>
      </c>
      <c r="B1847" s="9" t="s">
        <v>187</v>
      </c>
      <c r="C1847" s="9"/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9"/>
      <c r="X1847" s="9"/>
      <c r="Y1847" s="9"/>
      <c r="Z1847" s="9"/>
      <c r="AA1847" s="9"/>
    </row>
    <row r="1848" spans="1:27">
      <c r="A1848" s="9" t="s">
        <v>2267</v>
      </c>
      <c r="B1848" s="9" t="s">
        <v>2233</v>
      </c>
      <c r="C1848" s="9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9"/>
      <c r="Y1848" s="9"/>
      <c r="Z1848" s="9"/>
      <c r="AA1848" s="9"/>
    </row>
    <row r="1849" spans="1:27">
      <c r="A1849" s="9" t="s">
        <v>758</v>
      </c>
      <c r="B1849" s="9" t="s">
        <v>188</v>
      </c>
      <c r="C1849" s="9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9"/>
      <c r="Y1849" s="9"/>
      <c r="Z1849" s="9"/>
      <c r="AA1849" s="9"/>
    </row>
    <row r="1850" spans="1:27">
      <c r="A1850" s="9" t="s">
        <v>759</v>
      </c>
      <c r="B1850" s="9" t="s">
        <v>189</v>
      </c>
      <c r="C1850" s="9"/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9"/>
      <c r="X1850" s="9"/>
      <c r="Y1850" s="9"/>
      <c r="Z1850" s="9"/>
      <c r="AA1850" s="9"/>
    </row>
    <row r="1851" spans="1:27">
      <c r="A1851" s="9" t="s">
        <v>760</v>
      </c>
      <c r="B1851" s="9" t="s">
        <v>190</v>
      </c>
      <c r="C1851" s="9"/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9"/>
      <c r="X1851" s="9"/>
      <c r="Y1851" s="9"/>
      <c r="Z1851" s="9"/>
      <c r="AA1851" s="9"/>
    </row>
    <row r="1852" spans="1:27">
      <c r="A1852" s="9" t="s">
        <v>761</v>
      </c>
      <c r="B1852" s="9" t="s">
        <v>191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9"/>
      <c r="Y1852" s="9"/>
      <c r="Z1852" s="9"/>
      <c r="AA1852" s="9"/>
    </row>
    <row r="1853" spans="1:27">
      <c r="A1853" s="9" t="s">
        <v>762</v>
      </c>
      <c r="B1853" s="9" t="s">
        <v>192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9"/>
      <c r="X1853" s="9"/>
      <c r="Y1853" s="9"/>
      <c r="Z1853" s="9"/>
      <c r="AA1853" s="9"/>
    </row>
    <row r="1854" spans="1:27">
      <c r="A1854" s="9" t="s">
        <v>763</v>
      </c>
      <c r="B1854" s="9" t="s">
        <v>193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9"/>
      <c r="X1854" s="9"/>
      <c r="Y1854" s="9"/>
      <c r="Z1854" s="9"/>
      <c r="AA1854" s="9"/>
    </row>
    <row r="1855" spans="1:27">
      <c r="A1855" s="9" t="s">
        <v>764</v>
      </c>
      <c r="B1855" s="9" t="s">
        <v>242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9"/>
      <c r="X1855" s="9"/>
      <c r="Y1855" s="9"/>
      <c r="Z1855" s="9"/>
      <c r="AA1855" s="9"/>
    </row>
    <row r="1856" spans="1:27">
      <c r="A1856" s="9" t="s">
        <v>765</v>
      </c>
      <c r="B1856" s="9" t="s">
        <v>194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9"/>
      <c r="Y1856" s="9"/>
      <c r="Z1856" s="9"/>
      <c r="AA1856" s="9"/>
    </row>
    <row r="1857" spans="1:27">
      <c r="A1857" s="9" t="s">
        <v>766</v>
      </c>
      <c r="B1857" s="9" t="s">
        <v>195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9"/>
      <c r="X1857" s="9"/>
      <c r="Y1857" s="9"/>
      <c r="Z1857" s="9"/>
      <c r="AA1857" s="9"/>
    </row>
    <row r="1858" spans="1:27">
      <c r="A1858" s="9" t="s">
        <v>767</v>
      </c>
      <c r="B1858" s="9" t="s">
        <v>196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9"/>
      <c r="X1858" s="9"/>
      <c r="Y1858" s="9"/>
      <c r="Z1858" s="9"/>
      <c r="AA1858" s="9"/>
    </row>
    <row r="1859" spans="1:27">
      <c r="A1859" s="9" t="s">
        <v>768</v>
      </c>
      <c r="B1859" s="9" t="s">
        <v>197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9"/>
      <c r="X1859" s="9"/>
      <c r="Y1859" s="9"/>
      <c r="Z1859" s="9"/>
      <c r="AA1859" s="9"/>
    </row>
    <row r="1860" spans="1:27">
      <c r="A1860" s="9" t="s">
        <v>769</v>
      </c>
      <c r="B1860" s="9" t="s">
        <v>198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9"/>
      <c r="Y1860" s="9"/>
      <c r="Z1860" s="9"/>
      <c r="AA1860" s="9"/>
    </row>
    <row r="1861" spans="1:27">
      <c r="A1861" s="9" t="s">
        <v>770</v>
      </c>
      <c r="B1861" s="9" t="s">
        <v>199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9"/>
      <c r="X1861" s="9"/>
      <c r="Y1861" s="9"/>
      <c r="Z1861" s="9"/>
      <c r="AA1861" s="9"/>
    </row>
    <row r="1862" spans="1:27">
      <c r="A1862" s="9" t="s">
        <v>771</v>
      </c>
      <c r="B1862" s="9" t="s">
        <v>200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9"/>
      <c r="X1862" s="9"/>
      <c r="Y1862" s="9"/>
      <c r="Z1862" s="9"/>
      <c r="AA1862" s="9"/>
    </row>
    <row r="1863" spans="1:27">
      <c r="A1863" s="9" t="s">
        <v>1913</v>
      </c>
      <c r="B1863" s="9" t="s">
        <v>2166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9"/>
      <c r="X1863" s="9"/>
      <c r="Y1863" s="9"/>
      <c r="Z1863" s="9"/>
      <c r="AA1863" s="9"/>
    </row>
    <row r="1864" spans="1:27">
      <c r="A1864" s="9" t="s">
        <v>2676</v>
      </c>
      <c r="B1864" s="9" t="s">
        <v>2553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9"/>
      <c r="Y1864" s="9"/>
      <c r="Z1864" s="9"/>
      <c r="AA1864" s="9"/>
    </row>
    <row r="1865" spans="1:27">
      <c r="A1865" s="9" t="s">
        <v>1914</v>
      </c>
      <c r="B1865" s="9" t="s">
        <v>2167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9"/>
      <c r="X1865" s="9"/>
      <c r="Y1865" s="9"/>
      <c r="Z1865" s="9"/>
      <c r="AA1865" s="9"/>
    </row>
    <row r="1866" spans="1:27">
      <c r="A1866" s="9" t="s">
        <v>772</v>
      </c>
      <c r="B1866" s="9" t="s">
        <v>201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9"/>
      <c r="X1866" s="9"/>
      <c r="Y1866" s="9"/>
      <c r="Z1866" s="9"/>
      <c r="AA1866" s="9"/>
    </row>
    <row r="1867" spans="1:27">
      <c r="A1867" s="9" t="s">
        <v>773</v>
      </c>
      <c r="B1867" s="9" t="s">
        <v>202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9"/>
      <c r="X1867" s="9"/>
      <c r="Y1867" s="9"/>
      <c r="Z1867" s="9"/>
      <c r="AA1867" s="9"/>
    </row>
    <row r="1868" spans="1:27">
      <c r="A1868" s="9" t="s">
        <v>774</v>
      </c>
      <c r="B1868" s="9" t="s">
        <v>203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9"/>
      <c r="Y1868" s="9"/>
      <c r="Z1868" s="9"/>
      <c r="AA1868" s="9"/>
    </row>
    <row r="1869" spans="1:27">
      <c r="A1869" s="9" t="s">
        <v>775</v>
      </c>
      <c r="B1869" s="9" t="s">
        <v>204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9"/>
      <c r="X1869" s="9"/>
      <c r="Y1869" s="9"/>
      <c r="Z1869" s="9"/>
      <c r="AA1869" s="9"/>
    </row>
    <row r="1870" spans="1:27">
      <c r="A1870" s="9" t="s">
        <v>776</v>
      </c>
      <c r="B1870" s="9" t="s">
        <v>205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9"/>
      <c r="X1870" s="9"/>
      <c r="Y1870" s="9"/>
      <c r="Z1870" s="9"/>
      <c r="AA1870" s="9"/>
    </row>
    <row r="1871" spans="1:27">
      <c r="A1871" s="9" t="s">
        <v>777</v>
      </c>
      <c r="B1871" s="9" t="s">
        <v>206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9"/>
      <c r="X1871" s="9"/>
      <c r="Y1871" s="9"/>
      <c r="Z1871" s="9"/>
      <c r="AA1871" s="9"/>
    </row>
    <row r="1872" spans="1:27">
      <c r="A1872" s="9" t="s">
        <v>778</v>
      </c>
      <c r="B1872" s="9" t="s">
        <v>207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9"/>
      <c r="Y1872" s="9"/>
      <c r="Z1872" s="9"/>
      <c r="AA1872" s="9"/>
    </row>
    <row r="1873" spans="1:27">
      <c r="A1873" s="9" t="s">
        <v>779</v>
      </c>
      <c r="B1873" s="9" t="s">
        <v>208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9"/>
      <c r="X1873" s="9"/>
      <c r="Y1873" s="9"/>
      <c r="Z1873" s="9"/>
      <c r="AA1873" s="9"/>
    </row>
    <row r="1874" spans="1:27">
      <c r="A1874" s="9" t="s">
        <v>780</v>
      </c>
      <c r="B1874" s="9" t="s">
        <v>209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9"/>
      <c r="X1874" s="9"/>
      <c r="Y1874" s="9"/>
      <c r="Z1874" s="9"/>
      <c r="AA1874" s="9"/>
    </row>
    <row r="1875" spans="1:27">
      <c r="A1875" s="9" t="s">
        <v>781</v>
      </c>
      <c r="B1875" s="9" t="s">
        <v>210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9"/>
      <c r="X1875" s="9"/>
      <c r="Y1875" s="9"/>
      <c r="Z1875" s="9"/>
      <c r="AA1875" s="9"/>
    </row>
    <row r="1876" spans="1:27">
      <c r="A1876" s="9" t="s">
        <v>782</v>
      </c>
      <c r="B1876" s="9" t="s">
        <v>211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9"/>
      <c r="Y1876" s="9"/>
      <c r="Z1876" s="9"/>
      <c r="AA1876" s="9"/>
    </row>
    <row r="1877" spans="1:27">
      <c r="A1877" s="9" t="s">
        <v>783</v>
      </c>
      <c r="B1877" s="9" t="s">
        <v>212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  <c r="X1877" s="9"/>
      <c r="Y1877" s="9"/>
      <c r="Z1877" s="9"/>
      <c r="AA1877" s="9"/>
    </row>
    <row r="1878" spans="1:27">
      <c r="A1878" s="9" t="s">
        <v>784</v>
      </c>
      <c r="B1878" s="9" t="s">
        <v>213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9"/>
      <c r="X1878" s="9"/>
      <c r="Y1878" s="9"/>
      <c r="Z1878" s="9"/>
      <c r="AA1878" s="9"/>
    </row>
    <row r="1879" spans="1:27">
      <c r="A1879" s="9" t="s">
        <v>785</v>
      </c>
      <c r="B1879" s="9" t="s">
        <v>214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9"/>
      <c r="X1879" s="9"/>
      <c r="Y1879" s="9"/>
      <c r="Z1879" s="9"/>
      <c r="AA1879" s="9"/>
    </row>
    <row r="1880" spans="1:27">
      <c r="A1880" s="9" t="s">
        <v>786</v>
      </c>
      <c r="B1880" s="9" t="s">
        <v>215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9"/>
      <c r="Y1880" s="9"/>
      <c r="Z1880" s="9"/>
      <c r="AA1880" s="9"/>
    </row>
    <row r="1881" spans="1:27">
      <c r="A1881" s="9" t="s">
        <v>787</v>
      </c>
      <c r="B1881" s="9" t="s">
        <v>216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9"/>
      <c r="X1881" s="9"/>
      <c r="Y1881" s="9"/>
      <c r="Z1881" s="9"/>
      <c r="AA1881" s="9"/>
    </row>
    <row r="1882" spans="1:27">
      <c r="A1882" s="9" t="s">
        <v>788</v>
      </c>
      <c r="B1882" s="9" t="s">
        <v>217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9"/>
      <c r="X1882" s="9"/>
      <c r="Y1882" s="9"/>
      <c r="Z1882" s="9"/>
      <c r="AA1882" s="9"/>
    </row>
    <row r="1883" spans="1:27">
      <c r="A1883" s="9" t="s">
        <v>789</v>
      </c>
      <c r="B1883" s="9" t="s">
        <v>218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9"/>
      <c r="X1883" s="9"/>
      <c r="Y1883" s="9"/>
      <c r="Z1883" s="9"/>
      <c r="AA1883" s="9"/>
    </row>
    <row r="1884" spans="1:27">
      <c r="A1884" s="9" t="s">
        <v>790</v>
      </c>
      <c r="B1884" s="9" t="s">
        <v>219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9"/>
      <c r="Y1884" s="9"/>
      <c r="Z1884" s="9"/>
      <c r="AA1884" s="9"/>
    </row>
    <row r="1885" spans="1:27">
      <c r="A1885" s="9" t="s">
        <v>791</v>
      </c>
      <c r="B1885" s="9" t="s">
        <v>220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9"/>
      <c r="X1885" s="9"/>
      <c r="Y1885" s="9"/>
      <c r="Z1885" s="9"/>
      <c r="AA1885" s="9"/>
    </row>
    <row r="1886" spans="1:27">
      <c r="A1886" s="9" t="s">
        <v>792</v>
      </c>
      <c r="B1886" s="9" t="s">
        <v>221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9"/>
      <c r="X1886" s="9"/>
      <c r="Y1886" s="9"/>
      <c r="Z1886" s="9"/>
      <c r="AA1886" s="9"/>
    </row>
    <row r="1887" spans="1:27">
      <c r="A1887" s="9" t="s">
        <v>793</v>
      </c>
      <c r="B1887" s="9" t="s">
        <v>222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  <c r="X1887" s="9"/>
      <c r="Y1887" s="9"/>
      <c r="Z1887" s="9"/>
      <c r="AA1887" s="9"/>
    </row>
    <row r="1888" spans="1:27">
      <c r="A1888" s="9" t="s">
        <v>794</v>
      </c>
      <c r="B1888" s="9" t="s">
        <v>223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9"/>
      <c r="Y1888" s="9"/>
      <c r="Z1888" s="9"/>
      <c r="AA1888" s="9"/>
    </row>
    <row r="1889" spans="1:27">
      <c r="A1889" s="9" t="s">
        <v>795</v>
      </c>
      <c r="B1889" s="9" t="s">
        <v>224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9"/>
      <c r="X1889" s="9"/>
      <c r="Y1889" s="9"/>
      <c r="Z1889" s="9"/>
      <c r="AA1889" s="9"/>
    </row>
    <row r="1890" spans="1:27">
      <c r="A1890" s="9" t="s">
        <v>796</v>
      </c>
      <c r="B1890" s="9" t="s">
        <v>225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9"/>
      <c r="X1890" s="9"/>
      <c r="Y1890" s="9"/>
      <c r="Z1890" s="9"/>
      <c r="AA1890" s="9"/>
    </row>
    <row r="1891" spans="1:27">
      <c r="A1891" s="9" t="s">
        <v>797</v>
      </c>
      <c r="B1891" s="9" t="s">
        <v>226</v>
      </c>
      <c r="C1891" s="9"/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9"/>
      <c r="X1891" s="9"/>
      <c r="Y1891" s="9"/>
      <c r="Z1891" s="9"/>
      <c r="AA1891" s="9"/>
    </row>
    <row r="1892" spans="1:27">
      <c r="A1892" s="9" t="s">
        <v>798</v>
      </c>
      <c r="B1892" s="9" t="s">
        <v>227</v>
      </c>
      <c r="C1892" s="9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9"/>
    </row>
    <row r="1893" spans="1:27">
      <c r="A1893" s="9" t="s">
        <v>799</v>
      </c>
      <c r="B1893" s="9" t="s">
        <v>228</v>
      </c>
      <c r="C1893" s="9"/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9"/>
      <c r="X1893" s="9"/>
      <c r="Y1893" s="9"/>
      <c r="Z1893" s="9"/>
      <c r="AA1893" s="9"/>
    </row>
    <row r="1894" spans="1:27">
      <c r="A1894" s="9" t="s">
        <v>1915</v>
      </c>
      <c r="B1894" s="9" t="s">
        <v>2168</v>
      </c>
      <c r="C1894" s="9"/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9"/>
      <c r="X1894" s="9"/>
      <c r="Y1894" s="9"/>
      <c r="Z1894" s="9"/>
      <c r="AA1894" s="9"/>
    </row>
    <row r="1895" spans="1:27">
      <c r="A1895" s="9" t="s">
        <v>800</v>
      </c>
      <c r="B1895" s="9" t="s">
        <v>229</v>
      </c>
      <c r="C1895" s="9"/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9"/>
      <c r="X1895" s="9"/>
      <c r="Y1895" s="9"/>
      <c r="Z1895" s="9"/>
      <c r="AA1895" s="9"/>
    </row>
    <row r="1896" spans="1:27">
      <c r="A1896" s="9" t="s">
        <v>801</v>
      </c>
      <c r="B1896" s="9" t="s">
        <v>230</v>
      </c>
      <c r="C1896" s="9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9"/>
      <c r="Y1896" s="9"/>
      <c r="Z1896" s="9"/>
      <c r="AA1896" s="9"/>
    </row>
    <row r="1897" spans="1:27">
      <c r="A1897" s="9" t="s">
        <v>2678</v>
      </c>
      <c r="B1897" s="9" t="s">
        <v>2551</v>
      </c>
      <c r="C1897" s="9"/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9"/>
      <c r="X1897" s="9"/>
      <c r="Y1897" s="9"/>
      <c r="Z1897" s="9"/>
      <c r="AA1897" s="9"/>
    </row>
    <row r="1898" spans="1:27">
      <c r="A1898" s="9" t="s">
        <v>802</v>
      </c>
      <c r="B1898" s="9" t="s">
        <v>237</v>
      </c>
      <c r="C1898" s="9"/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9"/>
      <c r="X1898" s="9"/>
      <c r="Y1898" s="9"/>
      <c r="Z1898" s="9"/>
      <c r="AA1898" s="9"/>
    </row>
    <row r="1899" spans="1:27">
      <c r="A1899" s="9" t="s">
        <v>803</v>
      </c>
      <c r="B1899" s="9" t="s">
        <v>238</v>
      </c>
      <c r="C1899" s="9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  <c r="X1899" s="9"/>
      <c r="Y1899" s="9"/>
      <c r="Z1899" s="9"/>
      <c r="AA1899" s="9"/>
    </row>
    <row r="1900" spans="1:27">
      <c r="A1900" s="9" t="s">
        <v>804</v>
      </c>
      <c r="B1900" s="9" t="s">
        <v>231</v>
      </c>
      <c r="C1900" s="9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9"/>
      <c r="Y1900" s="9"/>
      <c r="Z1900" s="9"/>
      <c r="AA1900" s="9"/>
    </row>
    <row r="1901" spans="1:27">
      <c r="A1901" s="9" t="s">
        <v>2679</v>
      </c>
      <c r="B1901" s="9" t="s">
        <v>2552</v>
      </c>
      <c r="C1901" s="9"/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9"/>
      <c r="X1901" s="9"/>
      <c r="Y1901" s="9"/>
      <c r="Z1901" s="9"/>
      <c r="AA1901" s="9"/>
    </row>
    <row r="1902" spans="1:27">
      <c r="A1902" s="9" t="s">
        <v>1916</v>
      </c>
      <c r="B1902" s="9" t="s">
        <v>2169</v>
      </c>
      <c r="C1902" s="9"/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9"/>
      <c r="X1902" s="9"/>
      <c r="Y1902" s="9"/>
      <c r="Z1902" s="9"/>
      <c r="AA1902" s="9"/>
    </row>
    <row r="1903" spans="1:27">
      <c r="A1903" s="9" t="s">
        <v>805</v>
      </c>
      <c r="B1903" s="9" t="s">
        <v>232</v>
      </c>
      <c r="C1903" s="9"/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9"/>
      <c r="X1903" s="9"/>
      <c r="Y1903" s="9"/>
      <c r="Z1903" s="9"/>
      <c r="AA1903" s="9"/>
    </row>
    <row r="1904" spans="1:27">
      <c r="A1904" s="9" t="s">
        <v>806</v>
      </c>
      <c r="B1904" s="9" t="s">
        <v>2271</v>
      </c>
      <c r="C1904" s="9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9"/>
      <c r="Y1904" s="9"/>
      <c r="Z1904" s="9"/>
      <c r="AA1904" s="9"/>
    </row>
    <row r="1905" spans="1:27">
      <c r="A1905" s="9" t="s">
        <v>2312</v>
      </c>
      <c r="B1905" s="9" t="s">
        <v>243</v>
      </c>
      <c r="C1905" s="9"/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9"/>
      <c r="X1905" s="9"/>
      <c r="Y1905" s="9"/>
      <c r="Z1905" s="9"/>
      <c r="AA1905" s="9"/>
    </row>
    <row r="1906" spans="1:27">
      <c r="A1906" s="9" t="s">
        <v>695</v>
      </c>
      <c r="B1906" s="9" t="s">
        <v>181</v>
      </c>
      <c r="C1906" s="9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9"/>
      <c r="X1906" s="9"/>
      <c r="Y1906" s="9"/>
      <c r="Z1906" s="9"/>
      <c r="AA1906" s="9"/>
    </row>
    <row r="1907" spans="1:27">
      <c r="A1907" s="9" t="s">
        <v>696</v>
      </c>
      <c r="B1907" s="9" t="s">
        <v>182</v>
      </c>
      <c r="C1907" s="9"/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9"/>
      <c r="X1907" s="9"/>
      <c r="Y1907" s="9"/>
      <c r="Z1907" s="9"/>
      <c r="AA1907" s="9"/>
    </row>
    <row r="1908" spans="1:27">
      <c r="A1908" s="9" t="s">
        <v>697</v>
      </c>
      <c r="B1908" s="9" t="s">
        <v>183</v>
      </c>
      <c r="C1908" s="9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9"/>
      <c r="Y1908" s="9"/>
      <c r="Z1908" s="9"/>
      <c r="AA1908" s="9"/>
    </row>
    <row r="1909" spans="1:27">
      <c r="A1909" s="9" t="s">
        <v>698</v>
      </c>
      <c r="B1909" s="9" t="s">
        <v>184</v>
      </c>
      <c r="C1909" s="9"/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9"/>
      <c r="X1909" s="9"/>
      <c r="Y1909" s="9"/>
      <c r="Z1909" s="9"/>
      <c r="AA1909" s="9"/>
    </row>
    <row r="1910" spans="1:27">
      <c r="A1910" s="9" t="s">
        <v>699</v>
      </c>
      <c r="B1910" s="9" t="s">
        <v>185</v>
      </c>
      <c r="C1910" s="9"/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9"/>
      <c r="X1910" s="9"/>
      <c r="Y1910" s="9"/>
      <c r="Z1910" s="9"/>
      <c r="AA1910" s="9"/>
    </row>
    <row r="1911" spans="1:27">
      <c r="A1911" s="9" t="s">
        <v>700</v>
      </c>
      <c r="B1911" s="9" t="s">
        <v>186</v>
      </c>
      <c r="C1911" s="9"/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9"/>
      <c r="X1911" s="9"/>
      <c r="Y1911" s="9"/>
      <c r="Z1911" s="9"/>
      <c r="AA1911" s="9"/>
    </row>
    <row r="1912" spans="1:27">
      <c r="A1912" s="9" t="s">
        <v>701</v>
      </c>
      <c r="B1912" s="9" t="s">
        <v>187</v>
      </c>
      <c r="C1912" s="9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9"/>
      <c r="Y1912" s="9"/>
      <c r="Z1912" s="9"/>
      <c r="AA1912" s="9"/>
    </row>
    <row r="1913" spans="1:27">
      <c r="A1913" s="9" t="s">
        <v>2266</v>
      </c>
      <c r="B1913" s="9" t="s">
        <v>2233</v>
      </c>
      <c r="C1913" s="9"/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9"/>
      <c r="X1913" s="9"/>
      <c r="Y1913" s="9"/>
      <c r="Z1913" s="9"/>
      <c r="AA1913" s="9"/>
    </row>
    <row r="1914" spans="1:27">
      <c r="A1914" s="9" t="s">
        <v>702</v>
      </c>
      <c r="B1914" s="9" t="s">
        <v>188</v>
      </c>
      <c r="C1914" s="9"/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9"/>
      <c r="X1914" s="9"/>
      <c r="Y1914" s="9"/>
      <c r="Z1914" s="9"/>
      <c r="AA1914" s="9"/>
    </row>
    <row r="1915" spans="1:27">
      <c r="A1915" s="9" t="s">
        <v>703</v>
      </c>
      <c r="B1915" s="9" t="s">
        <v>189</v>
      </c>
      <c r="C1915" s="9"/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9"/>
      <c r="X1915" s="9"/>
      <c r="Y1915" s="9"/>
      <c r="Z1915" s="9"/>
      <c r="AA1915" s="9"/>
    </row>
    <row r="1916" spans="1:27">
      <c r="A1916" s="9" t="s">
        <v>704</v>
      </c>
      <c r="B1916" s="9" t="s">
        <v>190</v>
      </c>
      <c r="C1916" s="9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9"/>
      <c r="Y1916" s="9"/>
      <c r="Z1916" s="9"/>
      <c r="AA1916" s="9"/>
    </row>
    <row r="1917" spans="1:27">
      <c r="A1917" s="9" t="s">
        <v>705</v>
      </c>
      <c r="B1917" s="9" t="s">
        <v>191</v>
      </c>
      <c r="C1917" s="9"/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9"/>
      <c r="X1917" s="9"/>
      <c r="Y1917" s="9"/>
      <c r="Z1917" s="9"/>
      <c r="AA1917" s="9"/>
    </row>
    <row r="1918" spans="1:27">
      <c r="A1918" s="9" t="s">
        <v>706</v>
      </c>
      <c r="B1918" s="9" t="s">
        <v>192</v>
      </c>
      <c r="C1918" s="9"/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9"/>
      <c r="X1918" s="9"/>
      <c r="Y1918" s="9"/>
      <c r="Z1918" s="9"/>
      <c r="AA1918" s="9"/>
    </row>
    <row r="1919" spans="1:27">
      <c r="A1919" s="9" t="s">
        <v>707</v>
      </c>
      <c r="B1919" s="9" t="s">
        <v>193</v>
      </c>
      <c r="C1919" s="9"/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9"/>
      <c r="X1919" s="9"/>
      <c r="Y1919" s="9"/>
      <c r="Z1919" s="9"/>
      <c r="AA1919" s="9"/>
    </row>
    <row r="1920" spans="1:27">
      <c r="A1920" s="9" t="s">
        <v>708</v>
      </c>
      <c r="B1920" s="9" t="s">
        <v>242</v>
      </c>
      <c r="C1920" s="9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9"/>
      <c r="Y1920" s="9"/>
      <c r="Z1920" s="9"/>
      <c r="AA1920" s="9"/>
    </row>
    <row r="1921" spans="1:27">
      <c r="A1921" s="9" t="s">
        <v>709</v>
      </c>
      <c r="B1921" s="9" t="s">
        <v>194</v>
      </c>
      <c r="C1921" s="9"/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9"/>
      <c r="X1921" s="9"/>
      <c r="Y1921" s="9"/>
      <c r="Z1921" s="9"/>
      <c r="AA1921" s="9"/>
    </row>
    <row r="1922" spans="1:27">
      <c r="A1922" s="9" t="s">
        <v>710</v>
      </c>
      <c r="B1922" s="9" t="s">
        <v>195</v>
      </c>
      <c r="C1922" s="9"/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9"/>
      <c r="X1922" s="9"/>
      <c r="Y1922" s="9"/>
      <c r="Z1922" s="9"/>
      <c r="AA1922" s="9"/>
    </row>
    <row r="1923" spans="1:27">
      <c r="A1923" s="9" t="s">
        <v>711</v>
      </c>
      <c r="B1923" s="9" t="s">
        <v>196</v>
      </c>
      <c r="C1923" s="9"/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9"/>
      <c r="X1923" s="9"/>
      <c r="Y1923" s="9"/>
      <c r="Z1923" s="9"/>
      <c r="AA1923" s="9"/>
    </row>
    <row r="1924" spans="1:27">
      <c r="A1924" s="9" t="s">
        <v>712</v>
      </c>
      <c r="B1924" s="9" t="s">
        <v>197</v>
      </c>
      <c r="C1924" s="9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9"/>
      <c r="Y1924" s="9"/>
      <c r="Z1924" s="9"/>
      <c r="AA1924" s="9"/>
    </row>
    <row r="1925" spans="1:27">
      <c r="A1925" s="9" t="s">
        <v>713</v>
      </c>
      <c r="B1925" s="9" t="s">
        <v>198</v>
      </c>
      <c r="C1925" s="9"/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9"/>
      <c r="X1925" s="9"/>
      <c r="Y1925" s="9"/>
      <c r="Z1925" s="9"/>
      <c r="AA1925" s="9"/>
    </row>
    <row r="1926" spans="1:27">
      <c r="A1926" s="9" t="s">
        <v>714</v>
      </c>
      <c r="B1926" s="9" t="s">
        <v>199</v>
      </c>
      <c r="C1926" s="9"/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9"/>
      <c r="X1926" s="9"/>
      <c r="Y1926" s="9"/>
      <c r="Z1926" s="9"/>
      <c r="AA1926" s="9"/>
    </row>
    <row r="1927" spans="1:27">
      <c r="A1927" s="9" t="s">
        <v>715</v>
      </c>
      <c r="B1927" s="9" t="s">
        <v>200</v>
      </c>
      <c r="C1927" s="9"/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9"/>
      <c r="X1927" s="9"/>
      <c r="Y1927" s="9"/>
      <c r="Z1927" s="9"/>
      <c r="AA1927" s="9"/>
    </row>
    <row r="1928" spans="1:27">
      <c r="A1928" s="9" t="s">
        <v>1909</v>
      </c>
      <c r="B1928" s="9" t="s">
        <v>2166</v>
      </c>
      <c r="C1928" s="9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9"/>
      <c r="Y1928" s="9"/>
      <c r="Z1928" s="9"/>
      <c r="AA1928" s="9"/>
    </row>
    <row r="1929" spans="1:27">
      <c r="A1929" s="9" t="s">
        <v>2682</v>
      </c>
      <c r="B1929" s="9" t="s">
        <v>2553</v>
      </c>
      <c r="C1929" s="9"/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9"/>
      <c r="X1929" s="9"/>
      <c r="Y1929" s="9"/>
      <c r="Z1929" s="9"/>
      <c r="AA1929" s="9"/>
    </row>
    <row r="1930" spans="1:27">
      <c r="A1930" s="9" t="s">
        <v>1910</v>
      </c>
      <c r="B1930" s="9" t="s">
        <v>2167</v>
      </c>
      <c r="C1930" s="9"/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9"/>
      <c r="X1930" s="9"/>
      <c r="Y1930" s="9"/>
      <c r="Z1930" s="9"/>
      <c r="AA1930" s="9"/>
    </row>
    <row r="1931" spans="1:27">
      <c r="A1931" s="9" t="s">
        <v>716</v>
      </c>
      <c r="B1931" s="9" t="s">
        <v>201</v>
      </c>
      <c r="C1931" s="9"/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9"/>
      <c r="X1931" s="9"/>
      <c r="Y1931" s="9"/>
      <c r="Z1931" s="9"/>
      <c r="AA1931" s="9"/>
    </row>
    <row r="1932" spans="1:27">
      <c r="A1932" s="9" t="s">
        <v>717</v>
      </c>
      <c r="B1932" s="9" t="s">
        <v>202</v>
      </c>
      <c r="C1932" s="9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9"/>
      <c r="Y1932" s="9"/>
      <c r="Z1932" s="9"/>
      <c r="AA1932" s="9"/>
    </row>
    <row r="1933" spans="1:27">
      <c r="A1933" s="9" t="s">
        <v>718</v>
      </c>
      <c r="B1933" s="9" t="s">
        <v>203</v>
      </c>
      <c r="C1933" s="9"/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9"/>
      <c r="X1933" s="9"/>
      <c r="Y1933" s="9"/>
      <c r="Z1933" s="9"/>
      <c r="AA1933" s="9"/>
    </row>
    <row r="1934" spans="1:27">
      <c r="A1934" s="9" t="s">
        <v>719</v>
      </c>
      <c r="B1934" s="9" t="s">
        <v>204</v>
      </c>
      <c r="C1934" s="9"/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9"/>
      <c r="X1934" s="9"/>
      <c r="Y1934" s="9"/>
      <c r="Z1934" s="9"/>
      <c r="AA1934" s="9"/>
    </row>
    <row r="1935" spans="1:27">
      <c r="A1935" s="9" t="s">
        <v>720</v>
      </c>
      <c r="B1935" s="9" t="s">
        <v>205</v>
      </c>
      <c r="C1935" s="9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9"/>
      <c r="Y1935" s="9"/>
      <c r="Z1935" s="9"/>
      <c r="AA1935" s="9"/>
    </row>
    <row r="1936" spans="1:27">
      <c r="A1936" s="9" t="s">
        <v>721</v>
      </c>
      <c r="B1936" s="9" t="s">
        <v>206</v>
      </c>
      <c r="C1936" s="9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9"/>
      <c r="Y1936" s="9"/>
      <c r="Z1936" s="9"/>
      <c r="AA1936" s="9"/>
    </row>
    <row r="1937" spans="1:27">
      <c r="A1937" s="9" t="s">
        <v>722</v>
      </c>
      <c r="B1937" s="9" t="s">
        <v>207</v>
      </c>
      <c r="C1937" s="9"/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9"/>
      <c r="X1937" s="9"/>
      <c r="Y1937" s="9"/>
      <c r="Z1937" s="9"/>
      <c r="AA1937" s="9"/>
    </row>
    <row r="1938" spans="1:27">
      <c r="A1938" s="9" t="s">
        <v>723</v>
      </c>
      <c r="B1938" s="9" t="s">
        <v>208</v>
      </c>
      <c r="C1938" s="9"/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9"/>
      <c r="X1938" s="9"/>
      <c r="Y1938" s="9"/>
      <c r="Z1938" s="9"/>
      <c r="AA1938" s="9"/>
    </row>
    <row r="1939" spans="1:27">
      <c r="A1939" s="9" t="s">
        <v>724</v>
      </c>
      <c r="B1939" s="9" t="s">
        <v>209</v>
      </c>
      <c r="C1939" s="9"/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9"/>
      <c r="X1939" s="9"/>
      <c r="Y1939" s="9"/>
      <c r="Z1939" s="9"/>
      <c r="AA1939" s="9"/>
    </row>
    <row r="1940" spans="1:27">
      <c r="A1940" s="9" t="s">
        <v>725</v>
      </c>
      <c r="B1940" s="9" t="s">
        <v>210</v>
      </c>
      <c r="C1940" s="9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9"/>
      <c r="Y1940" s="9"/>
      <c r="Z1940" s="9"/>
      <c r="AA1940" s="9"/>
    </row>
    <row r="1941" spans="1:27">
      <c r="A1941" s="9" t="s">
        <v>726</v>
      </c>
      <c r="B1941" s="9" t="s">
        <v>211</v>
      </c>
      <c r="C1941" s="9"/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9"/>
      <c r="X1941" s="9"/>
      <c r="Y1941" s="9"/>
      <c r="Z1941" s="9"/>
      <c r="AA1941" s="9"/>
    </row>
    <row r="1942" spans="1:27">
      <c r="A1942" s="9" t="s">
        <v>727</v>
      </c>
      <c r="B1942" s="9" t="s">
        <v>212</v>
      </c>
      <c r="C1942" s="9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  <c r="X1942" s="9"/>
      <c r="Y1942" s="9"/>
      <c r="Z1942" s="9"/>
      <c r="AA1942" s="9"/>
    </row>
    <row r="1943" spans="1:27">
      <c r="A1943" s="9" t="s">
        <v>728</v>
      </c>
      <c r="B1943" s="9" t="s">
        <v>213</v>
      </c>
      <c r="C1943" s="9"/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9"/>
      <c r="X1943" s="9"/>
      <c r="Y1943" s="9"/>
      <c r="Z1943" s="9"/>
      <c r="AA1943" s="9"/>
    </row>
    <row r="1944" spans="1:27">
      <c r="A1944" s="9" t="s">
        <v>729</v>
      </c>
      <c r="B1944" s="9" t="s">
        <v>214</v>
      </c>
      <c r="C1944" s="9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9"/>
      <c r="Y1944" s="9"/>
      <c r="Z1944" s="9"/>
      <c r="AA1944" s="9"/>
    </row>
    <row r="1945" spans="1:27">
      <c r="A1945" s="9" t="s">
        <v>730</v>
      </c>
      <c r="B1945" s="9" t="s">
        <v>215</v>
      </c>
      <c r="C1945" s="9"/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9"/>
      <c r="X1945" s="9"/>
      <c r="Y1945" s="9"/>
      <c r="Z1945" s="9"/>
      <c r="AA1945" s="9"/>
    </row>
    <row r="1946" spans="1:27">
      <c r="A1946" s="9" t="s">
        <v>731</v>
      </c>
      <c r="B1946" s="9" t="s">
        <v>216</v>
      </c>
      <c r="C1946" s="9"/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9"/>
      <c r="X1946" s="9"/>
      <c r="Y1946" s="9"/>
      <c r="Z1946" s="9"/>
      <c r="AA1946" s="9"/>
    </row>
    <row r="1947" spans="1:27">
      <c r="A1947" s="9" t="s">
        <v>732</v>
      </c>
      <c r="B1947" s="9" t="s">
        <v>217</v>
      </c>
      <c r="C1947" s="9"/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9"/>
      <c r="X1947" s="9"/>
      <c r="Y1947" s="9"/>
      <c r="Z1947" s="9"/>
      <c r="AA1947" s="9"/>
    </row>
    <row r="1948" spans="1:27">
      <c r="A1948" s="9" t="s">
        <v>733</v>
      </c>
      <c r="B1948" s="9" t="s">
        <v>218</v>
      </c>
      <c r="C1948" s="9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9"/>
      <c r="Y1948" s="9"/>
      <c r="Z1948" s="9"/>
      <c r="AA1948" s="9"/>
    </row>
    <row r="1949" spans="1:27">
      <c r="A1949" s="9" t="s">
        <v>734</v>
      </c>
      <c r="B1949" s="9" t="s">
        <v>219</v>
      </c>
      <c r="C1949" s="9"/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9"/>
      <c r="X1949" s="9"/>
      <c r="Y1949" s="9"/>
      <c r="Z1949" s="9"/>
      <c r="AA1949" s="9"/>
    </row>
    <row r="1950" spans="1:27">
      <c r="A1950" s="9" t="s">
        <v>735</v>
      </c>
      <c r="B1950" s="9" t="s">
        <v>220</v>
      </c>
      <c r="C1950" s="9"/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9"/>
      <c r="X1950" s="9"/>
      <c r="Y1950" s="9"/>
      <c r="Z1950" s="9"/>
      <c r="AA1950" s="9"/>
    </row>
    <row r="1951" spans="1:27">
      <c r="A1951" s="9" t="s">
        <v>736</v>
      </c>
      <c r="B1951" s="9" t="s">
        <v>221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9"/>
      <c r="X1951" s="9"/>
      <c r="Y1951" s="9"/>
      <c r="Z1951" s="9"/>
      <c r="AA1951" s="9"/>
    </row>
    <row r="1952" spans="1:27">
      <c r="A1952" s="9" t="s">
        <v>737</v>
      </c>
      <c r="B1952" s="9" t="s">
        <v>222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9"/>
      <c r="Y1952" s="9"/>
      <c r="Z1952" s="9"/>
      <c r="AA1952" s="9"/>
    </row>
    <row r="1953" spans="1:27">
      <c r="A1953" s="9" t="s">
        <v>738</v>
      </c>
      <c r="B1953" s="9" t="s">
        <v>223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  <c r="X1953" s="9"/>
      <c r="Y1953" s="9"/>
      <c r="Z1953" s="9"/>
      <c r="AA1953" s="9"/>
    </row>
    <row r="1954" spans="1:27">
      <c r="A1954" s="9" t="s">
        <v>739</v>
      </c>
      <c r="B1954" s="9" t="s">
        <v>224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9"/>
      <c r="X1954" s="9"/>
      <c r="Y1954" s="9"/>
      <c r="Z1954" s="9"/>
      <c r="AA1954" s="9"/>
    </row>
    <row r="1955" spans="1:27">
      <c r="A1955" s="9" t="s">
        <v>740</v>
      </c>
      <c r="B1955" s="9" t="s">
        <v>225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9"/>
      <c r="X1955" s="9"/>
      <c r="Y1955" s="9"/>
      <c r="Z1955" s="9"/>
      <c r="AA1955" s="9"/>
    </row>
    <row r="1956" spans="1:27">
      <c r="A1956" s="9" t="s">
        <v>741</v>
      </c>
      <c r="B1956" s="9" t="s">
        <v>226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9"/>
      <c r="Y1956" s="9"/>
      <c r="Z1956" s="9"/>
      <c r="AA1956" s="9"/>
    </row>
    <row r="1957" spans="1:27">
      <c r="A1957" s="9" t="s">
        <v>742</v>
      </c>
      <c r="B1957" s="9" t="s">
        <v>227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9"/>
      <c r="X1957" s="9"/>
      <c r="Y1957" s="9"/>
      <c r="Z1957" s="9"/>
      <c r="AA1957" s="9"/>
    </row>
    <row r="1958" spans="1:27">
      <c r="A1958" s="9" t="s">
        <v>743</v>
      </c>
      <c r="B1958" s="9" t="s">
        <v>228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9"/>
      <c r="X1958" s="9"/>
      <c r="Y1958" s="9"/>
      <c r="Z1958" s="9"/>
      <c r="AA1958" s="9"/>
    </row>
    <row r="1959" spans="1:27">
      <c r="A1959" s="9" t="s">
        <v>1911</v>
      </c>
      <c r="B1959" s="9" t="s">
        <v>2168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9"/>
      <c r="X1959" s="9"/>
      <c r="Y1959" s="9"/>
      <c r="Z1959" s="9"/>
      <c r="AA1959" s="9"/>
    </row>
    <row r="1960" spans="1:27">
      <c r="A1960" s="9" t="s">
        <v>744</v>
      </c>
      <c r="B1960" s="9" t="s">
        <v>229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9"/>
      <c r="Y1960" s="9"/>
      <c r="Z1960" s="9"/>
      <c r="AA1960" s="9"/>
    </row>
    <row r="1961" spans="1:27">
      <c r="A1961" s="9" t="s">
        <v>745</v>
      </c>
      <c r="B1961" s="9" t="s">
        <v>230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9"/>
      <c r="X1961" s="9"/>
      <c r="Y1961" s="9"/>
      <c r="Z1961" s="9"/>
      <c r="AA1961" s="9"/>
    </row>
    <row r="1962" spans="1:27">
      <c r="A1962" s="9" t="s">
        <v>2684</v>
      </c>
      <c r="B1962" s="9" t="s">
        <v>2551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9"/>
      <c r="X1962" s="9"/>
      <c r="Y1962" s="9"/>
      <c r="Z1962" s="9"/>
      <c r="AA1962" s="9"/>
    </row>
    <row r="1963" spans="1:27">
      <c r="A1963" s="9" t="s">
        <v>746</v>
      </c>
      <c r="B1963" s="9" t="s">
        <v>237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9"/>
      <c r="X1963" s="9"/>
      <c r="Y1963" s="9"/>
      <c r="Z1963" s="9"/>
      <c r="AA1963" s="9"/>
    </row>
    <row r="1964" spans="1:27">
      <c r="A1964" s="9" t="s">
        <v>747</v>
      </c>
      <c r="B1964" s="9" t="s">
        <v>238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9"/>
      <c r="Y1964" s="9"/>
      <c r="Z1964" s="9"/>
      <c r="AA1964" s="9"/>
    </row>
    <row r="1965" spans="1:27">
      <c r="A1965" s="9" t="s">
        <v>748</v>
      </c>
      <c r="B1965" s="9" t="s">
        <v>231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  <c r="X1965" s="9"/>
      <c r="Y1965" s="9"/>
      <c r="Z1965" s="9"/>
      <c r="AA1965" s="9"/>
    </row>
    <row r="1966" spans="1:27">
      <c r="A1966" s="9" t="s">
        <v>2685</v>
      </c>
      <c r="B1966" s="9" t="s">
        <v>2552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9"/>
      <c r="X1966" s="9"/>
      <c r="Y1966" s="9"/>
      <c r="Z1966" s="9"/>
      <c r="AA1966" s="9"/>
    </row>
    <row r="1967" spans="1:27">
      <c r="A1967" s="9" t="s">
        <v>1912</v>
      </c>
      <c r="B1967" s="9" t="s">
        <v>2169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9"/>
      <c r="X1967" s="9"/>
      <c r="Y1967" s="9"/>
      <c r="Z1967" s="9"/>
      <c r="AA1967" s="9"/>
    </row>
    <row r="1968" spans="1:27">
      <c r="A1968" s="9" t="s">
        <v>749</v>
      </c>
      <c r="B1968" s="9" t="s">
        <v>232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9"/>
      <c r="Y1968" s="9"/>
      <c r="Z1968" s="9"/>
      <c r="AA1968" s="9"/>
    </row>
    <row r="1969" spans="1:27">
      <c r="A1969" s="9" t="s">
        <v>750</v>
      </c>
      <c r="B1969" s="9" t="s">
        <v>2271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9"/>
      <c r="X1969" s="9"/>
      <c r="Y1969" s="9"/>
      <c r="Z1969" s="9"/>
      <c r="AA1969" s="9"/>
    </row>
    <row r="1970" spans="1:27">
      <c r="A1970" s="9" t="s">
        <v>2313</v>
      </c>
      <c r="B1970" s="9" t="s">
        <v>243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9"/>
      <c r="X1970" s="9"/>
      <c r="Y1970" s="9"/>
      <c r="Z1970" s="9"/>
      <c r="AA1970" s="9"/>
    </row>
    <row r="1971" spans="1:27">
      <c r="A1971" s="9" t="s">
        <v>863</v>
      </c>
      <c r="B1971" s="9" t="s">
        <v>181</v>
      </c>
      <c r="C1971" s="9"/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9"/>
      <c r="X1971" s="9"/>
      <c r="Y1971" s="9"/>
      <c r="Z1971" s="9"/>
      <c r="AA1971" s="9"/>
    </row>
    <row r="1972" spans="1:27">
      <c r="A1972" s="9" t="s">
        <v>864</v>
      </c>
      <c r="B1972" s="9" t="s">
        <v>182</v>
      </c>
      <c r="C1972" s="9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9"/>
      <c r="Y1972" s="9"/>
      <c r="Z1972" s="9"/>
      <c r="AA1972" s="9"/>
    </row>
    <row r="1973" spans="1:27">
      <c r="A1973" s="9" t="s">
        <v>865</v>
      </c>
      <c r="B1973" s="9" t="s">
        <v>183</v>
      </c>
      <c r="C1973" s="9"/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9"/>
      <c r="X1973" s="9"/>
      <c r="Y1973" s="9"/>
      <c r="Z1973" s="9"/>
      <c r="AA1973" s="9"/>
    </row>
    <row r="1974" spans="1:27">
      <c r="A1974" s="9" t="s">
        <v>866</v>
      </c>
      <c r="B1974" s="9" t="s">
        <v>184</v>
      </c>
      <c r="C1974" s="9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  <c r="X1974" s="9"/>
      <c r="Y1974" s="9"/>
      <c r="Z1974" s="9"/>
      <c r="AA1974" s="9"/>
    </row>
    <row r="1975" spans="1:27">
      <c r="A1975" s="9" t="s">
        <v>867</v>
      </c>
      <c r="B1975" s="9" t="s">
        <v>185</v>
      </c>
      <c r="C1975" s="9"/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9"/>
      <c r="X1975" s="9"/>
      <c r="Y1975" s="9"/>
      <c r="Z1975" s="9"/>
      <c r="AA1975" s="9"/>
    </row>
    <row r="1976" spans="1:27">
      <c r="A1976" s="9" t="s">
        <v>868</v>
      </c>
      <c r="B1976" s="9" t="s">
        <v>186</v>
      </c>
      <c r="C1976" s="9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9"/>
      <c r="Y1976" s="9"/>
      <c r="Z1976" s="9"/>
      <c r="AA1976" s="9"/>
    </row>
    <row r="1977" spans="1:27">
      <c r="A1977" s="9" t="s">
        <v>869</v>
      </c>
      <c r="B1977" s="9" t="s">
        <v>187</v>
      </c>
      <c r="C1977" s="9"/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9"/>
      <c r="X1977" s="9"/>
      <c r="Y1977" s="9"/>
      <c r="Z1977" s="9"/>
      <c r="AA1977" s="9"/>
    </row>
    <row r="1978" spans="1:27">
      <c r="A1978" s="9" t="s">
        <v>2269</v>
      </c>
      <c r="B1978" s="9" t="s">
        <v>2233</v>
      </c>
      <c r="C1978" s="9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9"/>
      <c r="Y1978" s="9"/>
      <c r="Z1978" s="9"/>
      <c r="AA1978" s="9"/>
    </row>
    <row r="1979" spans="1:27">
      <c r="A1979" s="9" t="s">
        <v>870</v>
      </c>
      <c r="B1979" s="9" t="s">
        <v>188</v>
      </c>
      <c r="C1979" s="9"/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9"/>
      <c r="X1979" s="9"/>
      <c r="Y1979" s="9"/>
      <c r="Z1979" s="9"/>
      <c r="AA1979" s="9"/>
    </row>
    <row r="1980" spans="1:27">
      <c r="A1980" s="9" t="s">
        <v>871</v>
      </c>
      <c r="B1980" s="9" t="s">
        <v>189</v>
      </c>
      <c r="C1980" s="9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9"/>
      <c r="Y1980" s="9"/>
      <c r="Z1980" s="9"/>
      <c r="AA1980" s="9"/>
    </row>
    <row r="1981" spans="1:27">
      <c r="A1981" s="9" t="s">
        <v>872</v>
      </c>
      <c r="B1981" s="9" t="s">
        <v>190</v>
      </c>
      <c r="C1981" s="9"/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9"/>
      <c r="X1981" s="9"/>
      <c r="Y1981" s="9"/>
      <c r="Z1981" s="9"/>
      <c r="AA1981" s="9"/>
    </row>
    <row r="1982" spans="1:27">
      <c r="A1982" s="9" t="s">
        <v>873</v>
      </c>
      <c r="B1982" s="9" t="s">
        <v>191</v>
      </c>
      <c r="C1982" s="9"/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9"/>
      <c r="X1982" s="9"/>
      <c r="Y1982" s="9"/>
      <c r="Z1982" s="9"/>
      <c r="AA1982" s="9"/>
    </row>
    <row r="1983" spans="1:27">
      <c r="A1983" s="9" t="s">
        <v>874</v>
      </c>
      <c r="B1983" s="9" t="s">
        <v>192</v>
      </c>
      <c r="C1983" s="9"/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9"/>
      <c r="X1983" s="9"/>
      <c r="Y1983" s="9"/>
      <c r="Z1983" s="9"/>
      <c r="AA1983" s="9"/>
    </row>
    <row r="1984" spans="1:27">
      <c r="A1984" s="9" t="s">
        <v>875</v>
      </c>
      <c r="B1984" s="9" t="s">
        <v>193</v>
      </c>
      <c r="C1984" s="9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9"/>
      <c r="Y1984" s="9"/>
      <c r="Z1984" s="9"/>
      <c r="AA1984" s="9"/>
    </row>
    <row r="1985" spans="1:27">
      <c r="A1985" s="9" t="s">
        <v>876</v>
      </c>
      <c r="B1985" s="9" t="s">
        <v>242</v>
      </c>
      <c r="C1985" s="9"/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9"/>
      <c r="X1985" s="9"/>
      <c r="Y1985" s="9"/>
      <c r="Z1985" s="9"/>
      <c r="AA1985" s="9"/>
    </row>
    <row r="1986" spans="1:27">
      <c r="A1986" s="9" t="s">
        <v>877</v>
      </c>
      <c r="B1986" s="9" t="s">
        <v>194</v>
      </c>
      <c r="C1986" s="9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  <c r="X1986" s="9"/>
      <c r="Y1986" s="9"/>
      <c r="Z1986" s="9"/>
      <c r="AA1986" s="9"/>
    </row>
    <row r="1987" spans="1:27">
      <c r="A1987" s="9" t="s">
        <v>878</v>
      </c>
      <c r="B1987" s="9" t="s">
        <v>195</v>
      </c>
      <c r="C1987" s="9"/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9"/>
      <c r="X1987" s="9"/>
      <c r="Y1987" s="9"/>
      <c r="Z1987" s="9"/>
      <c r="AA1987" s="9"/>
    </row>
    <row r="1988" spans="1:27">
      <c r="A1988" s="9" t="s">
        <v>879</v>
      </c>
      <c r="B1988" s="9" t="s">
        <v>196</v>
      </c>
      <c r="C1988" s="9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9"/>
      <c r="Y1988" s="9"/>
      <c r="Z1988" s="9"/>
      <c r="AA1988" s="9"/>
    </row>
    <row r="1989" spans="1:27">
      <c r="A1989" s="9" t="s">
        <v>880</v>
      </c>
      <c r="B1989" s="9" t="s">
        <v>197</v>
      </c>
      <c r="C1989" s="9"/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9"/>
      <c r="X1989" s="9"/>
      <c r="Y1989" s="9"/>
      <c r="Z1989" s="9"/>
      <c r="AA1989" s="9"/>
    </row>
    <row r="1990" spans="1:27">
      <c r="A1990" s="9" t="s">
        <v>881</v>
      </c>
      <c r="B1990" s="9" t="s">
        <v>198</v>
      </c>
      <c r="C1990" s="9"/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9"/>
      <c r="X1990" s="9"/>
      <c r="Y1990" s="9"/>
      <c r="Z1990" s="9"/>
      <c r="AA1990" s="9"/>
    </row>
    <row r="1991" spans="1:27">
      <c r="A1991" s="9" t="s">
        <v>882</v>
      </c>
      <c r="B1991" s="9" t="s">
        <v>199</v>
      </c>
      <c r="C1991" s="9"/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9"/>
      <c r="X1991" s="9"/>
      <c r="Y1991" s="9"/>
      <c r="Z1991" s="9"/>
      <c r="AA1991" s="9"/>
    </row>
    <row r="1992" spans="1:27">
      <c r="A1992" s="9" t="s">
        <v>883</v>
      </c>
      <c r="B1992" s="9" t="s">
        <v>200</v>
      </c>
      <c r="C1992" s="9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9"/>
      <c r="Y1992" s="9"/>
      <c r="Z1992" s="9"/>
      <c r="AA1992" s="9"/>
    </row>
    <row r="1993" spans="1:27">
      <c r="A1993" s="9" t="s">
        <v>1921</v>
      </c>
      <c r="B1993" s="9" t="s">
        <v>2166</v>
      </c>
      <c r="C1993" s="9"/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9"/>
      <c r="X1993" s="9"/>
      <c r="Y1993" s="9"/>
      <c r="Z1993" s="9"/>
      <c r="AA1993" s="9"/>
    </row>
    <row r="1994" spans="1:27">
      <c r="A1994" s="9" t="s">
        <v>2688</v>
      </c>
      <c r="B1994" s="9" t="s">
        <v>2553</v>
      </c>
      <c r="C1994" s="9"/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9"/>
      <c r="X1994" s="9"/>
      <c r="Y1994" s="9"/>
      <c r="Z1994" s="9"/>
      <c r="AA1994" s="9"/>
    </row>
    <row r="1995" spans="1:27">
      <c r="A1995" s="9" t="s">
        <v>1922</v>
      </c>
      <c r="B1995" s="9" t="s">
        <v>2167</v>
      </c>
      <c r="C1995" s="9"/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9"/>
      <c r="X1995" s="9"/>
      <c r="Y1995" s="9"/>
      <c r="Z1995" s="9"/>
      <c r="AA1995" s="9"/>
    </row>
    <row r="1996" spans="1:27">
      <c r="A1996" s="9" t="s">
        <v>884</v>
      </c>
      <c r="B1996" s="9" t="s">
        <v>201</v>
      </c>
      <c r="C1996" s="9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9"/>
    </row>
    <row r="1997" spans="1:27">
      <c r="A1997" s="9" t="s">
        <v>885</v>
      </c>
      <c r="B1997" s="9" t="s">
        <v>202</v>
      </c>
      <c r="C1997" s="9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9"/>
      <c r="Y1997" s="9"/>
      <c r="Z1997" s="9"/>
      <c r="AA1997" s="9"/>
    </row>
    <row r="1998" spans="1:27">
      <c r="A1998" s="9" t="s">
        <v>886</v>
      </c>
      <c r="B1998" s="9" t="s">
        <v>203</v>
      </c>
      <c r="C1998" s="9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9"/>
      <c r="Y1998" s="9"/>
      <c r="Z1998" s="9"/>
      <c r="AA1998" s="9"/>
    </row>
    <row r="1999" spans="1:27">
      <c r="A1999" s="9" t="s">
        <v>887</v>
      </c>
      <c r="B1999" s="9" t="s">
        <v>204</v>
      </c>
      <c r="C1999" s="9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9"/>
      <c r="Y1999" s="9"/>
      <c r="Z1999" s="9"/>
      <c r="AA1999" s="9"/>
    </row>
    <row r="2000" spans="1:27">
      <c r="A2000" s="9" t="s">
        <v>888</v>
      </c>
      <c r="B2000" s="9" t="s">
        <v>205</v>
      </c>
      <c r="C2000" s="9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9"/>
    </row>
    <row r="2001" spans="1:27">
      <c r="A2001" s="9" t="s">
        <v>889</v>
      </c>
      <c r="B2001" s="9" t="s">
        <v>206</v>
      </c>
      <c r="C2001" s="9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9"/>
      <c r="Y2001" s="9"/>
      <c r="Z2001" s="9"/>
      <c r="AA2001" s="9"/>
    </row>
    <row r="2002" spans="1:27">
      <c r="A2002" s="9" t="s">
        <v>890</v>
      </c>
      <c r="B2002" s="9" t="s">
        <v>207</v>
      </c>
      <c r="C2002" s="9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9"/>
      <c r="Y2002" s="9"/>
      <c r="Z2002" s="9"/>
      <c r="AA2002" s="9"/>
    </row>
    <row r="2003" spans="1:27">
      <c r="A2003" s="9" t="s">
        <v>891</v>
      </c>
      <c r="B2003" s="9" t="s">
        <v>208</v>
      </c>
      <c r="C2003" s="9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9"/>
      <c r="Y2003" s="9"/>
      <c r="Z2003" s="9"/>
      <c r="AA2003" s="9"/>
    </row>
    <row r="2004" spans="1:27">
      <c r="A2004" s="9" t="s">
        <v>892</v>
      </c>
      <c r="B2004" s="9" t="s">
        <v>209</v>
      </c>
      <c r="C2004" s="9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9"/>
    </row>
    <row r="2005" spans="1:27">
      <c r="A2005" s="9" t="s">
        <v>893</v>
      </c>
      <c r="B2005" s="9" t="s">
        <v>210</v>
      </c>
      <c r="C2005" s="9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9"/>
      <c r="Y2005" s="9"/>
      <c r="Z2005" s="9"/>
      <c r="AA2005" s="9"/>
    </row>
    <row r="2006" spans="1:27">
      <c r="A2006" s="9" t="s">
        <v>894</v>
      </c>
      <c r="B2006" s="9" t="s">
        <v>211</v>
      </c>
      <c r="C2006" s="9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9"/>
      <c r="Y2006" s="9"/>
      <c r="Z2006" s="9"/>
      <c r="AA2006" s="9"/>
    </row>
    <row r="2007" spans="1:27">
      <c r="A2007" s="9" t="s">
        <v>895</v>
      </c>
      <c r="B2007" s="9" t="s">
        <v>212</v>
      </c>
      <c r="C2007" s="9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9"/>
      <c r="Y2007" s="9"/>
      <c r="Z2007" s="9"/>
      <c r="AA2007" s="9"/>
    </row>
    <row r="2008" spans="1:27">
      <c r="A2008" s="9" t="s">
        <v>896</v>
      </c>
      <c r="B2008" s="9" t="s">
        <v>213</v>
      </c>
      <c r="C2008" s="9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9"/>
    </row>
    <row r="2009" spans="1:27">
      <c r="A2009" s="9" t="s">
        <v>897</v>
      </c>
      <c r="B2009" s="9" t="s">
        <v>214</v>
      </c>
      <c r="C2009" s="9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9"/>
      <c r="Y2009" s="9"/>
      <c r="Z2009" s="9"/>
      <c r="AA2009" s="9"/>
    </row>
    <row r="2010" spans="1:27">
      <c r="A2010" s="9" t="s">
        <v>898</v>
      </c>
      <c r="B2010" s="9" t="s">
        <v>215</v>
      </c>
      <c r="C2010" s="9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9"/>
      <c r="Y2010" s="9"/>
      <c r="Z2010" s="9"/>
      <c r="AA2010" s="9"/>
    </row>
    <row r="2011" spans="1:27">
      <c r="A2011" s="9" t="s">
        <v>899</v>
      </c>
      <c r="B2011" s="9" t="s">
        <v>216</v>
      </c>
      <c r="C2011" s="9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9"/>
      <c r="Y2011" s="9"/>
      <c r="Z2011" s="9"/>
      <c r="AA2011" s="9"/>
    </row>
    <row r="2012" spans="1:27">
      <c r="A2012" s="9" t="s">
        <v>900</v>
      </c>
      <c r="B2012" s="9" t="s">
        <v>217</v>
      </c>
      <c r="C2012" s="9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9"/>
    </row>
    <row r="2013" spans="1:27">
      <c r="A2013" s="9" t="s">
        <v>901</v>
      </c>
      <c r="B2013" s="9" t="s">
        <v>218</v>
      </c>
      <c r="C2013" s="9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9"/>
      <c r="Y2013" s="9"/>
      <c r="Z2013" s="9"/>
      <c r="AA2013" s="9"/>
    </row>
    <row r="2014" spans="1:27">
      <c r="A2014" s="9" t="s">
        <v>902</v>
      </c>
      <c r="B2014" s="9" t="s">
        <v>219</v>
      </c>
      <c r="C2014" s="9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9"/>
      <c r="Y2014" s="9"/>
      <c r="Z2014" s="9"/>
      <c r="AA2014" s="9"/>
    </row>
    <row r="2015" spans="1:27">
      <c r="A2015" s="9" t="s">
        <v>903</v>
      </c>
      <c r="B2015" s="9" t="s">
        <v>220</v>
      </c>
      <c r="C2015" s="9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9"/>
      <c r="Y2015" s="9"/>
      <c r="Z2015" s="9"/>
      <c r="AA2015" s="9"/>
    </row>
    <row r="2016" spans="1:27">
      <c r="A2016" s="9" t="s">
        <v>904</v>
      </c>
      <c r="B2016" s="9" t="s">
        <v>221</v>
      </c>
      <c r="C2016" s="9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9"/>
    </row>
    <row r="2017" spans="1:27">
      <c r="A2017" s="9" t="s">
        <v>905</v>
      </c>
      <c r="B2017" s="9" t="s">
        <v>222</v>
      </c>
      <c r="C2017" s="9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9"/>
      <c r="Y2017" s="9"/>
      <c r="Z2017" s="9"/>
      <c r="AA2017" s="9"/>
    </row>
    <row r="2018" spans="1:27">
      <c r="A2018" s="9" t="s">
        <v>906</v>
      </c>
      <c r="B2018" s="9" t="s">
        <v>223</v>
      </c>
      <c r="C2018" s="9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9"/>
      <c r="Y2018" s="9"/>
      <c r="Z2018" s="9"/>
      <c r="AA2018" s="9"/>
    </row>
    <row r="2019" spans="1:27">
      <c r="A2019" s="9" t="s">
        <v>907</v>
      </c>
      <c r="B2019" s="9" t="s">
        <v>224</v>
      </c>
      <c r="C2019" s="9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9"/>
      <c r="Y2019" s="9"/>
      <c r="Z2019" s="9"/>
      <c r="AA2019" s="9"/>
    </row>
    <row r="2020" spans="1:27">
      <c r="A2020" s="9" t="s">
        <v>908</v>
      </c>
      <c r="B2020" s="9" t="s">
        <v>225</v>
      </c>
      <c r="C2020" s="9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9"/>
    </row>
    <row r="2021" spans="1:27">
      <c r="A2021" s="9" t="s">
        <v>909</v>
      </c>
      <c r="B2021" s="9" t="s">
        <v>226</v>
      </c>
      <c r="C2021" s="9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9"/>
    </row>
    <row r="2022" spans="1:27">
      <c r="A2022" s="9" t="s">
        <v>910</v>
      </c>
      <c r="B2022" s="9" t="s">
        <v>227</v>
      </c>
      <c r="C2022" s="9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9"/>
      <c r="Y2022" s="9"/>
      <c r="Z2022" s="9"/>
      <c r="AA2022" s="9"/>
    </row>
    <row r="2023" spans="1:27">
      <c r="A2023" s="9" t="s">
        <v>911</v>
      </c>
      <c r="B2023" s="9" t="s">
        <v>228</v>
      </c>
      <c r="C2023" s="9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9"/>
      <c r="Y2023" s="9"/>
      <c r="Z2023" s="9"/>
      <c r="AA2023" s="9"/>
    </row>
    <row r="2024" spans="1:27">
      <c r="A2024" s="9" t="s">
        <v>1923</v>
      </c>
      <c r="B2024" s="9" t="s">
        <v>2168</v>
      </c>
      <c r="C2024" s="9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9"/>
    </row>
    <row r="2025" spans="1:27">
      <c r="A2025" s="9" t="s">
        <v>912</v>
      </c>
      <c r="B2025" s="9" t="s">
        <v>229</v>
      </c>
      <c r="C2025" s="9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9"/>
      <c r="Y2025" s="9"/>
      <c r="Z2025" s="9"/>
      <c r="AA2025" s="9"/>
    </row>
    <row r="2026" spans="1:27">
      <c r="A2026" s="9" t="s">
        <v>913</v>
      </c>
      <c r="B2026" s="9" t="s">
        <v>230</v>
      </c>
      <c r="C2026" s="9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9"/>
      <c r="Y2026" s="9"/>
      <c r="Z2026" s="9"/>
      <c r="AA2026" s="9"/>
    </row>
    <row r="2027" spans="1:27">
      <c r="A2027" s="9" t="s">
        <v>2690</v>
      </c>
      <c r="B2027" s="9" t="s">
        <v>2551</v>
      </c>
      <c r="C2027" s="9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9"/>
      <c r="Y2027" s="9"/>
      <c r="Z2027" s="9"/>
      <c r="AA2027" s="9"/>
    </row>
    <row r="2028" spans="1:27">
      <c r="A2028" s="9" t="s">
        <v>914</v>
      </c>
      <c r="B2028" s="9" t="s">
        <v>237</v>
      </c>
      <c r="C2028" s="9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9"/>
    </row>
    <row r="2029" spans="1:27">
      <c r="A2029" s="9" t="s">
        <v>915</v>
      </c>
      <c r="B2029" s="9" t="s">
        <v>238</v>
      </c>
      <c r="C2029" s="9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9"/>
      <c r="Y2029" s="9"/>
      <c r="Z2029" s="9"/>
      <c r="AA2029" s="9"/>
    </row>
    <row r="2030" spans="1:27">
      <c r="A2030" s="9" t="s">
        <v>916</v>
      </c>
      <c r="B2030" s="9" t="s">
        <v>231</v>
      </c>
      <c r="C2030" s="9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9"/>
      <c r="Y2030" s="9"/>
      <c r="Z2030" s="9"/>
      <c r="AA2030" s="9"/>
    </row>
    <row r="2031" spans="1:27">
      <c r="A2031" s="9" t="s">
        <v>2691</v>
      </c>
      <c r="B2031" s="9" t="s">
        <v>2552</v>
      </c>
      <c r="C2031" s="9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9"/>
      <c r="Y2031" s="9"/>
      <c r="Z2031" s="9"/>
      <c r="AA2031" s="9"/>
    </row>
    <row r="2032" spans="1:27">
      <c r="A2032" s="9" t="s">
        <v>1924</v>
      </c>
      <c r="B2032" s="9" t="s">
        <v>2169</v>
      </c>
      <c r="C2032" s="9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9"/>
    </row>
    <row r="2033" spans="1:27">
      <c r="A2033" s="9" t="s">
        <v>917</v>
      </c>
      <c r="B2033" s="9" t="s">
        <v>232</v>
      </c>
      <c r="C2033" s="9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9"/>
      <c r="Y2033" s="9"/>
      <c r="Z2033" s="9"/>
      <c r="AA2033" s="9"/>
    </row>
    <row r="2034" spans="1:27">
      <c r="A2034" s="9" t="s">
        <v>918</v>
      </c>
      <c r="B2034" s="9" t="s">
        <v>2271</v>
      </c>
      <c r="C2034" s="9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9"/>
      <c r="Y2034" s="9"/>
      <c r="Z2034" s="9"/>
      <c r="AA2034" s="9"/>
    </row>
    <row r="2035" spans="1:27">
      <c r="A2035" s="9" t="s">
        <v>2314</v>
      </c>
      <c r="B2035" s="9" t="s">
        <v>243</v>
      </c>
      <c r="C2035" s="9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9"/>
      <c r="Y2035" s="9"/>
      <c r="Z2035" s="9"/>
      <c r="AA2035" s="9"/>
    </row>
    <row r="2036" spans="1:27">
      <c r="A2036" s="9" t="s">
        <v>2170</v>
      </c>
      <c r="B2036" s="9" t="s">
        <v>181</v>
      </c>
      <c r="C2036" s="9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9"/>
    </row>
    <row r="2037" spans="1:27">
      <c r="A2037" s="9" t="s">
        <v>2171</v>
      </c>
      <c r="B2037" s="9" t="s">
        <v>182</v>
      </c>
      <c r="C2037" s="9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9"/>
      <c r="Y2037" s="9"/>
      <c r="Z2037" s="9"/>
      <c r="AA2037" s="9"/>
    </row>
    <row r="2038" spans="1:27">
      <c r="A2038" s="9" t="s">
        <v>2172</v>
      </c>
      <c r="B2038" s="9" t="s">
        <v>183</v>
      </c>
      <c r="C2038" s="9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9"/>
      <c r="Y2038" s="9"/>
      <c r="Z2038" s="9"/>
      <c r="AA2038" s="9"/>
    </row>
    <row r="2039" spans="1:27">
      <c r="A2039" s="9" t="s">
        <v>2173</v>
      </c>
      <c r="B2039" s="9" t="s">
        <v>184</v>
      </c>
      <c r="C2039" s="9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9"/>
      <c r="Y2039" s="9"/>
      <c r="Z2039" s="9"/>
      <c r="AA2039" s="9"/>
    </row>
    <row r="2040" spans="1:27">
      <c r="A2040" s="9" t="s">
        <v>2174</v>
      </c>
      <c r="B2040" s="9" t="s">
        <v>185</v>
      </c>
      <c r="C2040" s="9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9"/>
    </row>
    <row r="2041" spans="1:27">
      <c r="A2041" s="9" t="s">
        <v>2175</v>
      </c>
      <c r="B2041" s="9" t="s">
        <v>186</v>
      </c>
      <c r="C2041" s="9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9"/>
      <c r="Y2041" s="9"/>
      <c r="Z2041" s="9"/>
      <c r="AA2041" s="9"/>
    </row>
    <row r="2042" spans="1:27">
      <c r="A2042" s="9" t="s">
        <v>2176</v>
      </c>
      <c r="B2042" s="9" t="s">
        <v>187</v>
      </c>
      <c r="C2042" s="9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9"/>
      <c r="Y2042" s="9"/>
      <c r="Z2042" s="9"/>
      <c r="AA2042" s="9"/>
    </row>
    <row r="2043" spans="1:27">
      <c r="A2043" s="9" t="s">
        <v>2270</v>
      </c>
      <c r="B2043" s="9" t="s">
        <v>2233</v>
      </c>
      <c r="C2043" s="9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9"/>
      <c r="Y2043" s="9"/>
      <c r="Z2043" s="9"/>
      <c r="AA2043" s="9"/>
    </row>
    <row r="2044" spans="1:27">
      <c r="A2044" s="9" t="s">
        <v>2177</v>
      </c>
      <c r="B2044" s="9" t="s">
        <v>188</v>
      </c>
      <c r="C2044" s="9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9"/>
    </row>
    <row r="2045" spans="1:27">
      <c r="A2045" s="9" t="s">
        <v>2178</v>
      </c>
      <c r="B2045" s="9" t="s">
        <v>189</v>
      </c>
      <c r="C2045" s="9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9"/>
      <c r="Y2045" s="9"/>
      <c r="Z2045" s="9"/>
      <c r="AA2045" s="9"/>
    </row>
    <row r="2046" spans="1:27">
      <c r="A2046" s="9" t="s">
        <v>2179</v>
      </c>
      <c r="B2046" s="9" t="s">
        <v>190</v>
      </c>
      <c r="C2046" s="9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9"/>
      <c r="Y2046" s="9"/>
      <c r="Z2046" s="9"/>
      <c r="AA2046" s="9"/>
    </row>
    <row r="2047" spans="1:27">
      <c r="A2047" s="9" t="s">
        <v>2180</v>
      </c>
      <c r="B2047" s="9" t="s">
        <v>191</v>
      </c>
      <c r="C2047" s="9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9"/>
      <c r="Y2047" s="9"/>
      <c r="Z2047" s="9"/>
      <c r="AA2047" s="9"/>
    </row>
    <row r="2048" spans="1:27">
      <c r="A2048" s="9" t="s">
        <v>2181</v>
      </c>
      <c r="B2048" s="9" t="s">
        <v>192</v>
      </c>
      <c r="C2048" s="9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9"/>
    </row>
    <row r="2049" spans="1:27">
      <c r="A2049" s="9" t="s">
        <v>2182</v>
      </c>
      <c r="B2049" s="9" t="s">
        <v>193</v>
      </c>
      <c r="C2049" s="9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9"/>
      <c r="Y2049" s="9"/>
      <c r="Z2049" s="9"/>
      <c r="AA2049" s="9"/>
    </row>
    <row r="2050" spans="1:27">
      <c r="A2050" s="9" t="s">
        <v>2183</v>
      </c>
      <c r="B2050" s="9" t="s">
        <v>242</v>
      </c>
      <c r="C2050" s="9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9"/>
      <c r="Y2050" s="9"/>
      <c r="Z2050" s="9"/>
      <c r="AA2050" s="9"/>
    </row>
    <row r="2051" spans="1:27">
      <c r="A2051" s="9" t="s">
        <v>2184</v>
      </c>
      <c r="B2051" s="9" t="s">
        <v>194</v>
      </c>
      <c r="C2051" s="9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9"/>
      <c r="Y2051" s="9"/>
      <c r="Z2051" s="9"/>
      <c r="AA2051" s="9"/>
    </row>
    <row r="2052" spans="1:27">
      <c r="A2052" s="9" t="s">
        <v>2185</v>
      </c>
      <c r="B2052" s="9" t="s">
        <v>195</v>
      </c>
      <c r="C2052" s="9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9"/>
    </row>
    <row r="2053" spans="1:27">
      <c r="A2053" s="9" t="s">
        <v>2186</v>
      </c>
      <c r="B2053" s="9" t="s">
        <v>196</v>
      </c>
      <c r="C2053" s="9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9"/>
      <c r="Y2053" s="9"/>
      <c r="Z2053" s="9"/>
      <c r="AA2053" s="9"/>
    </row>
    <row r="2054" spans="1:27">
      <c r="A2054" s="9" t="s">
        <v>2187</v>
      </c>
      <c r="B2054" s="9" t="s">
        <v>197</v>
      </c>
      <c r="C2054" s="9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9"/>
      <c r="Y2054" s="9"/>
      <c r="Z2054" s="9"/>
      <c r="AA2054" s="9"/>
    </row>
    <row r="2055" spans="1:27">
      <c r="A2055" s="9" t="s">
        <v>2188</v>
      </c>
      <c r="B2055" s="9" t="s">
        <v>198</v>
      </c>
      <c r="C2055" s="9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9"/>
      <c r="Y2055" s="9"/>
      <c r="Z2055" s="9"/>
      <c r="AA2055" s="9"/>
    </row>
    <row r="2056" spans="1:27">
      <c r="A2056" s="9" t="s">
        <v>2189</v>
      </c>
      <c r="B2056" s="9" t="s">
        <v>199</v>
      </c>
      <c r="C2056" s="9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9"/>
    </row>
    <row r="2057" spans="1:27">
      <c r="A2057" s="9" t="s">
        <v>2190</v>
      </c>
      <c r="B2057" s="9" t="s">
        <v>200</v>
      </c>
      <c r="C2057" s="9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9"/>
      <c r="Y2057" s="9"/>
      <c r="Z2057" s="9"/>
      <c r="AA2057" s="9"/>
    </row>
    <row r="2058" spans="1:27">
      <c r="A2058" s="9" t="s">
        <v>2191</v>
      </c>
      <c r="B2058" s="9" t="s">
        <v>2166</v>
      </c>
      <c r="C2058" s="9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9"/>
      <c r="Y2058" s="9"/>
      <c r="Z2058" s="9"/>
      <c r="AA2058" s="9"/>
    </row>
    <row r="2059" spans="1:27">
      <c r="A2059" s="9" t="s">
        <v>2694</v>
      </c>
      <c r="B2059" s="9" t="s">
        <v>2553</v>
      </c>
      <c r="C2059" s="9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9"/>
      <c r="Y2059" s="9"/>
      <c r="Z2059" s="9"/>
      <c r="AA2059" s="9"/>
    </row>
    <row r="2060" spans="1:27">
      <c r="A2060" s="9" t="s">
        <v>2192</v>
      </c>
      <c r="B2060" s="9" t="s">
        <v>2167</v>
      </c>
      <c r="C2060" s="9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9"/>
    </row>
    <row r="2061" spans="1:27">
      <c r="A2061" s="9" t="s">
        <v>2193</v>
      </c>
      <c r="B2061" s="9" t="s">
        <v>201</v>
      </c>
      <c r="C2061" s="9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9"/>
      <c r="Y2061" s="9"/>
      <c r="Z2061" s="9"/>
      <c r="AA2061" s="9"/>
    </row>
    <row r="2062" spans="1:27">
      <c r="A2062" s="9" t="s">
        <v>2194</v>
      </c>
      <c r="B2062" s="9" t="s">
        <v>202</v>
      </c>
      <c r="C2062" s="9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9"/>
      <c r="Y2062" s="9"/>
      <c r="Z2062" s="9"/>
      <c r="AA2062" s="9"/>
    </row>
    <row r="2063" spans="1:27">
      <c r="A2063" s="9" t="s">
        <v>2195</v>
      </c>
      <c r="B2063" s="9" t="s">
        <v>203</v>
      </c>
      <c r="C2063" s="9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9"/>
      <c r="Y2063" s="9"/>
      <c r="Z2063" s="9"/>
      <c r="AA2063" s="9"/>
    </row>
    <row r="2064" spans="1:27">
      <c r="A2064" s="9" t="s">
        <v>2196</v>
      </c>
      <c r="B2064" s="9" t="s">
        <v>204</v>
      </c>
      <c r="C2064" s="9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9"/>
    </row>
    <row r="2065" spans="1:27">
      <c r="A2065" s="9" t="s">
        <v>2197</v>
      </c>
      <c r="B2065" s="9" t="s">
        <v>205</v>
      </c>
      <c r="C2065" s="9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9"/>
      <c r="Y2065" s="9"/>
      <c r="Z2065" s="9"/>
      <c r="AA2065" s="9"/>
    </row>
    <row r="2066" spans="1:27">
      <c r="A2066" s="9" t="s">
        <v>2198</v>
      </c>
      <c r="B2066" s="9" t="s">
        <v>206</v>
      </c>
      <c r="C2066" s="9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9"/>
      <c r="Y2066" s="9"/>
      <c r="Z2066" s="9"/>
      <c r="AA2066" s="9"/>
    </row>
    <row r="2067" spans="1:27">
      <c r="A2067" s="9" t="s">
        <v>2199</v>
      </c>
      <c r="B2067" s="9" t="s">
        <v>207</v>
      </c>
      <c r="C2067" s="9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9"/>
      <c r="Y2067" s="9"/>
      <c r="Z2067" s="9"/>
      <c r="AA2067" s="9"/>
    </row>
    <row r="2068" spans="1:27">
      <c r="A2068" s="9" t="s">
        <v>2200</v>
      </c>
      <c r="B2068" s="9" t="s">
        <v>208</v>
      </c>
      <c r="C2068" s="9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9"/>
    </row>
    <row r="2069" spans="1:27">
      <c r="A2069" s="9" t="s">
        <v>2201</v>
      </c>
      <c r="B2069" s="9" t="s">
        <v>209</v>
      </c>
      <c r="C2069" s="9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9"/>
      <c r="Y2069" s="9"/>
      <c r="Z2069" s="9"/>
      <c r="AA2069" s="9"/>
    </row>
    <row r="2070" spans="1:27">
      <c r="A2070" s="9" t="s">
        <v>2202</v>
      </c>
      <c r="B2070" s="9" t="s">
        <v>210</v>
      </c>
      <c r="C2070" s="9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9"/>
      <c r="Y2070" s="9"/>
      <c r="Z2070" s="9"/>
      <c r="AA2070" s="9"/>
    </row>
    <row r="2071" spans="1:27">
      <c r="A2071" s="9" t="s">
        <v>2203</v>
      </c>
      <c r="B2071" s="9" t="s">
        <v>211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9"/>
      <c r="Y2071" s="9"/>
      <c r="Z2071" s="9"/>
      <c r="AA2071" s="9"/>
    </row>
    <row r="2072" spans="1:27">
      <c r="A2072" s="9" t="s">
        <v>2204</v>
      </c>
      <c r="B2072" s="9" t="s">
        <v>212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9"/>
    </row>
    <row r="2073" spans="1:27">
      <c r="A2073" s="9" t="s">
        <v>2205</v>
      </c>
      <c r="B2073" s="9" t="s">
        <v>213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9"/>
      <c r="Y2073" s="9"/>
      <c r="Z2073" s="9"/>
      <c r="AA2073" s="9"/>
    </row>
    <row r="2074" spans="1:27">
      <c r="A2074" s="9" t="s">
        <v>2206</v>
      </c>
      <c r="B2074" s="9" t="s">
        <v>214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9"/>
      <c r="Y2074" s="9"/>
      <c r="Z2074" s="9"/>
      <c r="AA2074" s="9"/>
    </row>
    <row r="2075" spans="1:27">
      <c r="A2075" s="9" t="s">
        <v>2207</v>
      </c>
      <c r="B2075" s="9" t="s">
        <v>215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9"/>
      <c r="Y2075" s="9"/>
      <c r="Z2075" s="9"/>
      <c r="AA2075" s="9"/>
    </row>
    <row r="2076" spans="1:27">
      <c r="A2076" s="9" t="s">
        <v>2208</v>
      </c>
      <c r="B2076" s="9" t="s">
        <v>216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9"/>
    </row>
    <row r="2077" spans="1:27">
      <c r="A2077" s="9" t="s">
        <v>2209</v>
      </c>
      <c r="B2077" s="9" t="s">
        <v>217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9"/>
      <c r="Y2077" s="9"/>
      <c r="Z2077" s="9"/>
      <c r="AA2077" s="9"/>
    </row>
    <row r="2078" spans="1:27">
      <c r="A2078" s="9" t="s">
        <v>2210</v>
      </c>
      <c r="B2078" s="9" t="s">
        <v>218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9"/>
      <c r="Y2078" s="9"/>
      <c r="Z2078" s="9"/>
      <c r="AA2078" s="9"/>
    </row>
    <row r="2079" spans="1:27">
      <c r="A2079" s="9" t="s">
        <v>2211</v>
      </c>
      <c r="B2079" s="9" t="s">
        <v>219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9"/>
      <c r="Y2079" s="9"/>
      <c r="Z2079" s="9"/>
      <c r="AA2079" s="9"/>
    </row>
    <row r="2080" spans="1:27">
      <c r="A2080" s="9" t="s">
        <v>2212</v>
      </c>
      <c r="B2080" s="9" t="s">
        <v>220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9"/>
    </row>
    <row r="2081" spans="1:27">
      <c r="A2081" s="9" t="s">
        <v>2213</v>
      </c>
      <c r="B2081" s="9" t="s">
        <v>221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9"/>
      <c r="Y2081" s="9"/>
      <c r="Z2081" s="9"/>
      <c r="AA2081" s="9"/>
    </row>
    <row r="2082" spans="1:27">
      <c r="A2082" s="9" t="s">
        <v>2214</v>
      </c>
      <c r="B2082" s="9" t="s">
        <v>222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9"/>
      <c r="Y2082" s="9"/>
      <c r="Z2082" s="9"/>
      <c r="AA2082" s="9"/>
    </row>
    <row r="2083" spans="1:27">
      <c r="A2083" s="9" t="s">
        <v>2215</v>
      </c>
      <c r="B2083" s="9" t="s">
        <v>223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9"/>
      <c r="Y2083" s="9"/>
      <c r="Z2083" s="9"/>
      <c r="AA2083" s="9"/>
    </row>
    <row r="2084" spans="1:27">
      <c r="A2084" s="9" t="s">
        <v>2216</v>
      </c>
      <c r="B2084" s="9" t="s">
        <v>224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9"/>
    </row>
    <row r="2085" spans="1:27">
      <c r="A2085" s="9" t="s">
        <v>2217</v>
      </c>
      <c r="B2085" s="9" t="s">
        <v>225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9"/>
      <c r="Y2085" s="9"/>
      <c r="Z2085" s="9"/>
      <c r="AA2085" s="9"/>
    </row>
    <row r="2086" spans="1:27">
      <c r="A2086" s="9" t="s">
        <v>2218</v>
      </c>
      <c r="B2086" s="9" t="s">
        <v>226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9"/>
      <c r="Y2086" s="9"/>
      <c r="Z2086" s="9"/>
      <c r="AA2086" s="9"/>
    </row>
    <row r="2087" spans="1:27">
      <c r="A2087" s="9" t="s">
        <v>2219</v>
      </c>
      <c r="B2087" s="9" t="s">
        <v>227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9"/>
      <c r="Y2087" s="9"/>
      <c r="Z2087" s="9"/>
      <c r="AA2087" s="9"/>
    </row>
    <row r="2088" spans="1:27">
      <c r="A2088" s="9" t="s">
        <v>2220</v>
      </c>
      <c r="B2088" s="9" t="s">
        <v>228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9"/>
    </row>
    <row r="2089" spans="1:27">
      <c r="A2089" s="9" t="s">
        <v>2221</v>
      </c>
      <c r="B2089" s="9" t="s">
        <v>2168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9"/>
      <c r="Y2089" s="9"/>
      <c r="Z2089" s="9"/>
      <c r="AA2089" s="9"/>
    </row>
    <row r="2090" spans="1:27">
      <c r="A2090" s="9" t="s">
        <v>2222</v>
      </c>
      <c r="B2090" s="9" t="s">
        <v>229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9"/>
      <c r="Y2090" s="9"/>
      <c r="Z2090" s="9"/>
      <c r="AA2090" s="9"/>
    </row>
    <row r="2091" spans="1:27">
      <c r="A2091" s="9" t="s">
        <v>2223</v>
      </c>
      <c r="B2091" s="9" t="s">
        <v>230</v>
      </c>
      <c r="C2091" s="9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9"/>
      <c r="Y2091" s="9"/>
      <c r="Z2091" s="9"/>
      <c r="AA2091" s="9"/>
    </row>
    <row r="2092" spans="1:27">
      <c r="A2092" s="9" t="s">
        <v>2696</v>
      </c>
      <c r="B2092" s="9" t="s">
        <v>2551</v>
      </c>
      <c r="C2092" s="9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9"/>
    </row>
    <row r="2093" spans="1:27">
      <c r="A2093" s="9" t="s">
        <v>2224</v>
      </c>
      <c r="B2093" s="9" t="s">
        <v>237</v>
      </c>
      <c r="C2093" s="9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9"/>
      <c r="Y2093" s="9"/>
      <c r="Z2093" s="9"/>
      <c r="AA2093" s="9"/>
    </row>
    <row r="2094" spans="1:27">
      <c r="A2094" s="9" t="s">
        <v>2225</v>
      </c>
      <c r="B2094" s="9" t="s">
        <v>238</v>
      </c>
      <c r="C2094" s="9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9"/>
      <c r="Y2094" s="9"/>
      <c r="Z2094" s="9"/>
      <c r="AA2094" s="9"/>
    </row>
    <row r="2095" spans="1:27">
      <c r="A2095" s="9" t="s">
        <v>2226</v>
      </c>
      <c r="B2095" s="9" t="s">
        <v>231</v>
      </c>
      <c r="C2095" s="9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9"/>
      <c r="Y2095" s="9"/>
      <c r="Z2095" s="9"/>
      <c r="AA2095" s="9"/>
    </row>
    <row r="2096" spans="1:27">
      <c r="A2096" s="9" t="s">
        <v>2697</v>
      </c>
      <c r="B2096" s="9" t="s">
        <v>2552</v>
      </c>
      <c r="C2096" s="9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9"/>
    </row>
    <row r="2097" spans="1:27">
      <c r="A2097" s="9" t="s">
        <v>2227</v>
      </c>
      <c r="B2097" s="9" t="s">
        <v>2169</v>
      </c>
      <c r="C2097" s="9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9"/>
      <c r="Y2097" s="9"/>
      <c r="Z2097" s="9"/>
      <c r="AA2097" s="9"/>
    </row>
    <row r="2098" spans="1:27">
      <c r="A2098" s="9" t="s">
        <v>2228</v>
      </c>
      <c r="B2098" s="9" t="s">
        <v>232</v>
      </c>
      <c r="C2098" s="9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9"/>
      <c r="Y2098" s="9"/>
      <c r="Z2098" s="9"/>
      <c r="AA2098" s="9"/>
    </row>
    <row r="2099" spans="1:27">
      <c r="A2099" s="9" t="s">
        <v>2229</v>
      </c>
      <c r="B2099" s="9" t="s">
        <v>2271</v>
      </c>
      <c r="C2099" s="9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9"/>
      <c r="Y2099" s="9"/>
      <c r="Z2099" s="9"/>
      <c r="AA2099" s="9"/>
    </row>
    <row r="2100" spans="1:27">
      <c r="A2100" s="9" t="s">
        <v>2315</v>
      </c>
      <c r="B2100" s="9" t="s">
        <v>243</v>
      </c>
      <c r="C2100" s="9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9"/>
    </row>
    <row r="2101" spans="1:27">
      <c r="A2101" s="9" t="s">
        <v>3</v>
      </c>
      <c r="B2101" s="9" t="s">
        <v>2506</v>
      </c>
      <c r="C2101" s="9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9"/>
      <c r="Y2101" s="9"/>
      <c r="Z2101" s="9"/>
      <c r="AA2101" s="9"/>
    </row>
    <row r="2102" spans="1:27">
      <c r="A2102" s="9" t="s">
        <v>2333</v>
      </c>
      <c r="B2102" s="9" t="s">
        <v>2506</v>
      </c>
      <c r="C2102" s="9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9"/>
      <c r="Y2102" s="9"/>
      <c r="Z2102" s="9"/>
      <c r="AA2102" s="9"/>
    </row>
    <row r="2103" spans="1:27">
      <c r="A2103" s="9" t="s">
        <v>2334</v>
      </c>
      <c r="B2103" s="9" t="s">
        <v>2506</v>
      </c>
      <c r="C2103" s="9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9"/>
      <c r="Y2103" s="9"/>
      <c r="Z2103" s="9"/>
      <c r="AA2103" s="9"/>
    </row>
    <row r="2104" spans="1:27">
      <c r="A2104" s="9" t="s">
        <v>2335</v>
      </c>
      <c r="B2104" s="9" t="s">
        <v>2506</v>
      </c>
      <c r="C2104" s="9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9"/>
    </row>
    <row r="2105" spans="1:27">
      <c r="A2105" s="9" t="s">
        <v>2336</v>
      </c>
      <c r="B2105" s="9" t="s">
        <v>2506</v>
      </c>
      <c r="C2105" s="9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9"/>
      <c r="Y2105" s="9"/>
      <c r="Z2105" s="9"/>
      <c r="AA2105" s="9"/>
    </row>
    <row r="2106" spans="1:27">
      <c r="A2106" s="9" t="s">
        <v>2165</v>
      </c>
      <c r="B2106" s="9" t="s">
        <v>2506</v>
      </c>
      <c r="C2106" s="9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9"/>
      <c r="Y2106" s="9"/>
      <c r="Z2106" s="9"/>
      <c r="AA2106" s="9"/>
    </row>
    <row r="2107" spans="1:27">
      <c r="A2107" s="9" t="s">
        <v>26</v>
      </c>
      <c r="B2107" s="9" t="s">
        <v>2506</v>
      </c>
      <c r="C2107" s="9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9"/>
    </row>
    <row r="2108" spans="1:27">
      <c r="A2108" s="9" t="s">
        <v>4</v>
      </c>
      <c r="B2108" s="9" t="s">
        <v>2506</v>
      </c>
      <c r="C2108" s="9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9"/>
    </row>
    <row r="2109" spans="1:27">
      <c r="A2109" s="9" t="s">
        <v>5</v>
      </c>
      <c r="B2109" s="9" t="s">
        <v>2506</v>
      </c>
      <c r="C2109" s="9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9"/>
    </row>
    <row r="2110" spans="1:27">
      <c r="A2110" s="9" t="s">
        <v>6</v>
      </c>
      <c r="B2110" s="9" t="s">
        <v>2506</v>
      </c>
      <c r="C2110" s="9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9"/>
    </row>
    <row r="2111" spans="1:27">
      <c r="A2111" s="9" t="s">
        <v>7</v>
      </c>
      <c r="B2111" s="9" t="s">
        <v>2506</v>
      </c>
      <c r="C2111" s="9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9"/>
    </row>
    <row r="2112" spans="1:27" ht="13.6">
      <c r="A2112" s="8"/>
      <c r="B2112" s="12"/>
      <c r="C2112" s="9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9"/>
    </row>
    <row r="2113" spans="1:27" ht="13.6">
      <c r="A2113" s="8"/>
      <c r="B2113" s="12"/>
      <c r="C2113" s="9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9"/>
      <c r="Y2113" s="9"/>
      <c r="Z2113" s="9"/>
      <c r="AA2113" s="9"/>
    </row>
    <row r="2114" spans="1:27" ht="13.6">
      <c r="A2114" s="8"/>
      <c r="B2114" s="12"/>
      <c r="C2114" s="9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9"/>
      <c r="Y2114" s="9"/>
      <c r="Z2114" s="9"/>
      <c r="AA2114" s="9"/>
    </row>
    <row r="2115" spans="1:27" ht="13.6">
      <c r="A2115" s="8"/>
      <c r="B2115" s="12"/>
      <c r="C2115" s="9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9"/>
      <c r="Y2115" s="9"/>
      <c r="Z2115" s="9"/>
      <c r="AA2115" s="9"/>
    </row>
    <row r="2116" spans="1:27" ht="13.6">
      <c r="A2116" s="8"/>
      <c r="B2116" s="12"/>
      <c r="C2116" s="9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9"/>
    </row>
    <row r="2117" spans="1:27" ht="13.6">
      <c r="A2117" s="8"/>
      <c r="B2117" s="12"/>
      <c r="C2117" s="9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9"/>
      <c r="Y2117" s="9"/>
      <c r="Z2117" s="9"/>
      <c r="AA2117" s="9"/>
    </row>
    <row r="2118" spans="1:27" ht="13.6">
      <c r="A2118" s="8"/>
      <c r="B2118" s="12"/>
      <c r="C2118" s="9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9"/>
      <c r="Y2118" s="9"/>
      <c r="Z2118" s="9"/>
      <c r="AA2118" s="9"/>
    </row>
    <row r="2119" spans="1:27" ht="13.6">
      <c r="A2119" s="8"/>
      <c r="B2119" s="12"/>
      <c r="C2119" s="9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9"/>
      <c r="Y2119" s="9"/>
      <c r="Z2119" s="9"/>
      <c r="AA2119" s="9"/>
    </row>
    <row r="2120" spans="1:27" ht="13.6">
      <c r="A2120" s="8"/>
      <c r="B2120" s="12"/>
      <c r="C2120" s="9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9"/>
    </row>
    <row r="2121" spans="1:27" ht="13.6">
      <c r="A2121" s="8"/>
      <c r="B2121" s="12"/>
      <c r="C2121" s="9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9"/>
      <c r="Y2121" s="9"/>
      <c r="Z2121" s="9"/>
      <c r="AA2121" s="9"/>
    </row>
    <row r="2122" spans="1:27" ht="13.6">
      <c r="A2122" s="8"/>
      <c r="B2122" s="12"/>
      <c r="C2122" s="9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9"/>
      <c r="Y2122" s="9"/>
      <c r="Z2122" s="9"/>
      <c r="AA2122" s="9"/>
    </row>
    <row r="2123" spans="1:27" ht="13.6">
      <c r="A2123" s="8"/>
      <c r="B2123" s="12"/>
      <c r="C2123" s="9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9"/>
      <c r="Y2123" s="9"/>
      <c r="Z2123" s="9"/>
      <c r="AA2123" s="9"/>
    </row>
    <row r="2124" spans="1:27" ht="13.6">
      <c r="A2124" s="8"/>
      <c r="B2124" s="12"/>
      <c r="C2124" s="9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9"/>
    </row>
    <row r="2125" spans="1:27" ht="13.6">
      <c r="A2125" s="8"/>
      <c r="B2125" s="12"/>
      <c r="C2125" s="9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9"/>
      <c r="Y2125" s="9"/>
      <c r="Z2125" s="9"/>
      <c r="AA2125" s="9"/>
    </row>
    <row r="2126" spans="1:27" ht="13.6">
      <c r="A2126" s="8"/>
      <c r="B2126" s="12"/>
      <c r="C2126" s="9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9"/>
      <c r="Y2126" s="9"/>
      <c r="Z2126" s="9"/>
      <c r="AA2126" s="9"/>
    </row>
    <row r="2127" spans="1:27" ht="13.6">
      <c r="A2127" s="8"/>
      <c r="B2127" s="12"/>
      <c r="C2127" s="9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9"/>
      <c r="Y2127" s="9"/>
      <c r="Z2127" s="9"/>
      <c r="AA2127" s="9"/>
    </row>
    <row r="2128" spans="1:27" ht="13.6">
      <c r="A2128" s="8"/>
      <c r="B2128" s="12"/>
      <c r="C2128" s="9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9"/>
    </row>
    <row r="2129" spans="1:27" ht="13.6">
      <c r="A2129" s="8"/>
      <c r="B2129" s="12"/>
      <c r="C2129" s="9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9"/>
      <c r="Y2129" s="9"/>
      <c r="Z2129" s="9"/>
      <c r="AA2129" s="9"/>
    </row>
    <row r="2130" spans="1:27" ht="13.6">
      <c r="A2130" s="8"/>
      <c r="B2130" s="12"/>
      <c r="C2130" s="9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9"/>
      <c r="Y2130" s="9"/>
      <c r="Z2130" s="9"/>
      <c r="AA2130" s="9"/>
    </row>
    <row r="2131" spans="1:27" ht="13.6">
      <c r="A2131" s="8"/>
      <c r="B2131" s="12"/>
      <c r="C2131" s="9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9"/>
      <c r="Y2131" s="9"/>
      <c r="Z2131" s="9"/>
      <c r="AA2131" s="9"/>
    </row>
    <row r="2132" spans="1:27" ht="13.6">
      <c r="A2132" s="8"/>
      <c r="B2132" s="12"/>
      <c r="C2132" s="9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9"/>
    </row>
    <row r="2133" spans="1:27" ht="13.6">
      <c r="A2133" s="8"/>
      <c r="B2133" s="12"/>
      <c r="C2133" s="9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9"/>
      <c r="U2133" s="9"/>
      <c r="V2133" s="9"/>
      <c r="W2133" s="9"/>
      <c r="X2133" s="9"/>
      <c r="Y2133" s="9"/>
      <c r="Z2133" s="9"/>
      <c r="AA2133" s="9"/>
    </row>
    <row r="2134" spans="1:27" ht="13.6">
      <c r="A2134" s="8"/>
      <c r="B2134" s="12"/>
      <c r="C2134" s="9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9"/>
      <c r="U2134" s="9"/>
      <c r="V2134" s="9"/>
      <c r="W2134" s="9"/>
      <c r="X2134" s="9"/>
      <c r="Y2134" s="9"/>
      <c r="Z2134" s="9"/>
      <c r="AA2134" s="9"/>
    </row>
    <row r="2135" spans="1:27" ht="13.6">
      <c r="A2135" s="8"/>
      <c r="B2135" s="12"/>
      <c r="C2135" s="9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9"/>
      <c r="U2135" s="9"/>
      <c r="V2135" s="9"/>
      <c r="W2135" s="9"/>
      <c r="X2135" s="9"/>
      <c r="Y2135" s="9"/>
      <c r="Z2135" s="9"/>
      <c r="AA2135" s="9"/>
    </row>
    <row r="2136" spans="1:27" ht="13.6">
      <c r="A2136" s="8"/>
      <c r="B2136" s="12"/>
      <c r="C2136" s="9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9"/>
    </row>
    <row r="2137" spans="1:27" ht="13.6">
      <c r="A2137" s="8"/>
      <c r="B2137" s="12"/>
      <c r="C2137" s="9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9"/>
      <c r="U2137" s="9"/>
      <c r="V2137" s="9"/>
      <c r="W2137" s="9"/>
      <c r="X2137" s="9"/>
      <c r="Y2137" s="9"/>
      <c r="Z2137" s="9"/>
      <c r="AA2137" s="9"/>
    </row>
    <row r="2138" spans="1:27" ht="13.6">
      <c r="A2138" s="8"/>
      <c r="B2138" s="12"/>
      <c r="C2138" s="9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9"/>
      <c r="U2138" s="9"/>
      <c r="V2138" s="9"/>
      <c r="W2138" s="9"/>
      <c r="X2138" s="9"/>
      <c r="Y2138" s="9"/>
      <c r="Z2138" s="9"/>
      <c r="AA2138" s="9"/>
    </row>
    <row r="2139" spans="1:27" ht="13.6">
      <c r="A2139" s="8"/>
      <c r="B2139" s="12"/>
      <c r="C2139" s="9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9"/>
      <c r="U2139" s="9"/>
      <c r="V2139" s="9"/>
      <c r="W2139" s="9"/>
      <c r="X2139" s="9"/>
      <c r="Y2139" s="9"/>
      <c r="Z2139" s="9"/>
      <c r="AA2139" s="9"/>
    </row>
    <row r="2140" spans="1:27" ht="13.6">
      <c r="A2140" s="8"/>
      <c r="B2140" s="12"/>
      <c r="C2140" s="9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9"/>
    </row>
    <row r="2141" spans="1:27" ht="13.6">
      <c r="A2141" s="8"/>
      <c r="B2141" s="12"/>
      <c r="C2141" s="9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9"/>
      <c r="U2141" s="9"/>
      <c r="V2141" s="9"/>
      <c r="W2141" s="9"/>
      <c r="X2141" s="9"/>
      <c r="Y2141" s="9"/>
      <c r="Z2141" s="9"/>
      <c r="AA2141" s="9"/>
    </row>
    <row r="2142" spans="1:27" ht="13.6">
      <c r="A2142" s="8"/>
      <c r="B2142" s="12"/>
      <c r="C2142" s="9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9"/>
      <c r="U2142" s="9"/>
      <c r="V2142" s="9"/>
      <c r="W2142" s="9"/>
      <c r="X2142" s="9"/>
      <c r="Y2142" s="9"/>
      <c r="Z2142" s="9"/>
      <c r="AA2142" s="9"/>
    </row>
    <row r="2143" spans="1:27" ht="13.6">
      <c r="A2143" s="8"/>
      <c r="B2143" s="12"/>
      <c r="C2143" s="9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9"/>
      <c r="U2143" s="9"/>
      <c r="V2143" s="9"/>
      <c r="W2143" s="9"/>
      <c r="X2143" s="9"/>
      <c r="Y2143" s="9"/>
      <c r="Z2143" s="9"/>
      <c r="AA2143" s="9"/>
    </row>
    <row r="2144" spans="1:27" ht="13.6">
      <c r="A2144" s="8"/>
      <c r="B2144" s="12"/>
      <c r="C2144" s="9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9"/>
    </row>
    <row r="2145" spans="1:27" ht="13.6">
      <c r="A2145" s="8"/>
      <c r="B2145" s="12"/>
      <c r="C2145" s="9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9"/>
      <c r="U2145" s="9"/>
      <c r="V2145" s="9"/>
      <c r="W2145" s="9"/>
      <c r="X2145" s="9"/>
      <c r="Y2145" s="9"/>
      <c r="Z2145" s="9"/>
      <c r="AA2145" s="9"/>
    </row>
    <row r="2146" spans="1:27" ht="13.6">
      <c r="A2146" s="8"/>
      <c r="B2146" s="12"/>
      <c r="C2146" s="9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9"/>
      <c r="U2146" s="9"/>
      <c r="V2146" s="9"/>
      <c r="W2146" s="9"/>
      <c r="X2146" s="9"/>
      <c r="Y2146" s="9"/>
      <c r="Z2146" s="9"/>
      <c r="AA2146" s="9"/>
    </row>
    <row r="2147" spans="1:27" ht="13.6">
      <c r="A2147" s="8"/>
      <c r="B2147" s="12"/>
      <c r="C2147" s="9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9"/>
      <c r="U2147" s="9"/>
      <c r="V2147" s="9"/>
      <c r="W2147" s="9"/>
      <c r="X2147" s="9"/>
      <c r="Y2147" s="9"/>
      <c r="Z2147" s="9"/>
      <c r="AA2147" s="9"/>
    </row>
    <row r="2148" spans="1:27" ht="13.6">
      <c r="A2148" s="8"/>
      <c r="B2148" s="12"/>
      <c r="C2148" s="9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9"/>
    </row>
    <row r="2149" spans="1:27" ht="13.6">
      <c r="A2149" s="8"/>
      <c r="B2149" s="12"/>
      <c r="C2149" s="9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9"/>
      <c r="U2149" s="9"/>
      <c r="V2149" s="9"/>
      <c r="W2149" s="9"/>
      <c r="X2149" s="9"/>
      <c r="Y2149" s="9"/>
      <c r="Z2149" s="9"/>
      <c r="AA2149" s="9"/>
    </row>
    <row r="2150" spans="1:27" ht="13.6">
      <c r="A2150" s="8"/>
      <c r="B2150" s="12"/>
      <c r="C2150" s="9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9"/>
    </row>
    <row r="2151" spans="1:27" ht="13.6">
      <c r="A2151" s="8"/>
      <c r="B2151" s="12"/>
      <c r="C2151" s="9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9"/>
      <c r="U2151" s="9"/>
      <c r="V2151" s="9"/>
      <c r="W2151" s="9"/>
      <c r="X2151" s="9"/>
      <c r="Y2151" s="9"/>
      <c r="Z2151" s="9"/>
      <c r="AA2151" s="9"/>
    </row>
    <row r="2152" spans="1:27" ht="13.6">
      <c r="A2152" s="8"/>
      <c r="B2152" s="12"/>
      <c r="C2152" s="9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9"/>
    </row>
    <row r="2153" spans="1:27" ht="13.6">
      <c r="A2153" s="8"/>
      <c r="B2153" s="12"/>
      <c r="C2153" s="9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9"/>
      <c r="U2153" s="9"/>
      <c r="V2153" s="9"/>
      <c r="W2153" s="9"/>
      <c r="X2153" s="9"/>
      <c r="Y2153" s="9"/>
      <c r="Z2153" s="9"/>
      <c r="AA2153" s="9"/>
    </row>
    <row r="2154" spans="1:27" ht="13.6">
      <c r="A2154" s="8"/>
      <c r="B2154" s="12"/>
      <c r="C2154" s="9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9"/>
      <c r="U2154" s="9"/>
      <c r="V2154" s="9"/>
      <c r="W2154" s="9"/>
      <c r="X2154" s="9"/>
      <c r="Y2154" s="9"/>
      <c r="Z2154" s="9"/>
      <c r="AA2154" s="9"/>
    </row>
    <row r="2155" spans="1:27" ht="13.6">
      <c r="A2155" s="8"/>
      <c r="B2155" s="12"/>
      <c r="C2155" s="9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9"/>
      <c r="U2155" s="9"/>
      <c r="V2155" s="9"/>
      <c r="W2155" s="9"/>
      <c r="X2155" s="9"/>
      <c r="Y2155" s="9"/>
      <c r="Z2155" s="9"/>
      <c r="AA2155" s="9"/>
    </row>
    <row r="2156" spans="1:27" ht="13.6">
      <c r="A2156" s="8"/>
      <c r="B2156" s="12"/>
      <c r="C2156" s="9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9"/>
    </row>
    <row r="2157" spans="1:27" ht="13.6">
      <c r="A2157" s="8"/>
      <c r="B2157" s="12"/>
      <c r="C2157" s="9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9"/>
      <c r="U2157" s="9"/>
      <c r="V2157" s="9"/>
      <c r="W2157" s="9"/>
      <c r="X2157" s="9"/>
      <c r="Y2157" s="9"/>
      <c r="Z2157" s="9"/>
      <c r="AA2157" s="9"/>
    </row>
    <row r="2158" spans="1:27" ht="13.6">
      <c r="A2158" s="8"/>
      <c r="B2158" s="12"/>
      <c r="C2158" s="9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9"/>
      <c r="U2158" s="9"/>
      <c r="V2158" s="9"/>
      <c r="W2158" s="9"/>
      <c r="X2158" s="9"/>
      <c r="Y2158" s="9"/>
      <c r="Z2158" s="9"/>
      <c r="AA2158" s="9"/>
    </row>
    <row r="2159" spans="1:27" ht="13.6">
      <c r="A2159" s="8"/>
      <c r="B2159" s="12"/>
      <c r="C2159" s="9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9"/>
      <c r="U2159" s="9"/>
      <c r="V2159" s="9"/>
      <c r="W2159" s="9"/>
      <c r="X2159" s="9"/>
      <c r="Y2159" s="9"/>
      <c r="Z2159" s="9"/>
      <c r="AA2159" s="9"/>
    </row>
    <row r="2160" spans="1:27" ht="13.6">
      <c r="A2160" s="8"/>
      <c r="B2160" s="12"/>
      <c r="C2160" s="9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9"/>
    </row>
    <row r="2161" spans="1:27" ht="13.6">
      <c r="A2161" s="8"/>
      <c r="B2161" s="12"/>
      <c r="C2161" s="9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9"/>
      <c r="U2161" s="9"/>
      <c r="V2161" s="9"/>
      <c r="W2161" s="9"/>
      <c r="X2161" s="9"/>
      <c r="Y2161" s="9"/>
      <c r="Z2161" s="9"/>
      <c r="AA2161" s="9"/>
    </row>
    <row r="2162" spans="1:27" ht="13.6">
      <c r="A2162" s="8"/>
      <c r="B2162" s="12"/>
      <c r="C2162" s="9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9"/>
      <c r="U2162" s="9"/>
      <c r="V2162" s="9"/>
      <c r="W2162" s="9"/>
      <c r="X2162" s="9"/>
      <c r="Y2162" s="9"/>
      <c r="Z2162" s="9"/>
      <c r="AA2162" s="9"/>
    </row>
    <row r="2163" spans="1:27" ht="13.6">
      <c r="A2163" s="8"/>
      <c r="B2163" s="12"/>
      <c r="C2163" s="9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9"/>
      <c r="U2163" s="9"/>
      <c r="V2163" s="9"/>
      <c r="W2163" s="9"/>
      <c r="X2163" s="9"/>
      <c r="Y2163" s="9"/>
      <c r="Z2163" s="9"/>
      <c r="AA2163" s="9"/>
    </row>
    <row r="2164" spans="1:27" ht="13.6">
      <c r="A2164" s="8"/>
      <c r="B2164" s="12"/>
      <c r="C2164" s="9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9"/>
    </row>
    <row r="2165" spans="1:27" ht="13.6">
      <c r="A2165" s="8"/>
      <c r="B2165" s="12"/>
      <c r="C2165" s="9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9"/>
      <c r="U2165" s="9"/>
      <c r="V2165" s="9"/>
      <c r="W2165" s="9"/>
      <c r="X2165" s="9"/>
      <c r="Y2165" s="9"/>
      <c r="Z2165" s="9"/>
      <c r="AA2165" s="9"/>
    </row>
    <row r="2166" spans="1:27" ht="13.6">
      <c r="A2166" s="8"/>
      <c r="B2166" s="12"/>
      <c r="C2166" s="9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9"/>
      <c r="U2166" s="9"/>
      <c r="V2166" s="9"/>
      <c r="W2166" s="9"/>
      <c r="X2166" s="9"/>
      <c r="Y2166" s="9"/>
      <c r="Z2166" s="9"/>
      <c r="AA2166" s="9"/>
    </row>
    <row r="2167" spans="1:27" ht="13.6">
      <c r="A2167" s="8"/>
      <c r="B2167" s="12"/>
      <c r="C2167" s="9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9"/>
      <c r="U2167" s="9"/>
      <c r="V2167" s="9"/>
      <c r="W2167" s="9"/>
      <c r="X2167" s="9"/>
      <c r="Y2167" s="9"/>
      <c r="Z2167" s="9"/>
      <c r="AA2167" s="9"/>
    </row>
    <row r="2168" spans="1:27" ht="13.6">
      <c r="A2168" s="8"/>
      <c r="B2168" s="12"/>
      <c r="C2168" s="9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9"/>
    </row>
    <row r="2169" spans="1:27" ht="13.6">
      <c r="A2169" s="8"/>
      <c r="B2169" s="12"/>
      <c r="C2169" s="9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9"/>
      <c r="U2169" s="9"/>
      <c r="V2169" s="9"/>
      <c r="W2169" s="9"/>
      <c r="X2169" s="9"/>
      <c r="Y2169" s="9"/>
      <c r="Z2169" s="9"/>
      <c r="AA2169" s="9"/>
    </row>
    <row r="2170" spans="1:27" ht="13.6">
      <c r="A2170" s="8"/>
      <c r="B2170" s="12"/>
      <c r="C2170" s="9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9"/>
      <c r="U2170" s="9"/>
      <c r="V2170" s="9"/>
      <c r="W2170" s="9"/>
      <c r="X2170" s="9"/>
      <c r="Y2170" s="9"/>
      <c r="Z2170" s="9"/>
      <c r="AA2170" s="9"/>
    </row>
    <row r="2171" spans="1:27" ht="13.6">
      <c r="A2171" s="8"/>
      <c r="B2171" s="12"/>
      <c r="C2171" s="9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9"/>
      <c r="U2171" s="9"/>
      <c r="V2171" s="9"/>
      <c r="W2171" s="9"/>
      <c r="X2171" s="9"/>
      <c r="Y2171" s="9"/>
      <c r="Z2171" s="9"/>
      <c r="AA2171" s="9"/>
    </row>
    <row r="2172" spans="1:27" ht="13.6">
      <c r="A2172" s="8"/>
      <c r="B2172" s="12"/>
      <c r="C2172" s="9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9"/>
    </row>
    <row r="2173" spans="1:27" ht="13.6">
      <c r="A2173" s="8"/>
      <c r="B2173" s="12"/>
      <c r="C2173" s="9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9"/>
      <c r="U2173" s="9"/>
      <c r="V2173" s="9"/>
      <c r="W2173" s="9"/>
      <c r="X2173" s="9"/>
      <c r="Y2173" s="9"/>
      <c r="Z2173" s="9"/>
      <c r="AA2173" s="9"/>
    </row>
    <row r="2174" spans="1:27" ht="13.6">
      <c r="A2174" s="8"/>
      <c r="B2174" s="12"/>
      <c r="C2174" s="9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9"/>
      <c r="U2174" s="9"/>
      <c r="V2174" s="9"/>
      <c r="W2174" s="9"/>
      <c r="X2174" s="9"/>
      <c r="Y2174" s="9"/>
      <c r="Z2174" s="9"/>
      <c r="AA2174" s="9"/>
    </row>
    <row r="2175" spans="1:27" ht="13.6">
      <c r="A2175" s="8"/>
      <c r="B2175" s="12"/>
      <c r="C2175" s="9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9"/>
      <c r="U2175" s="9"/>
      <c r="V2175" s="9"/>
      <c r="W2175" s="9"/>
      <c r="X2175" s="9"/>
      <c r="Y2175" s="9"/>
      <c r="Z2175" s="9"/>
      <c r="AA2175" s="9"/>
    </row>
    <row r="2176" spans="1:27" ht="13.6">
      <c r="A2176" s="8"/>
      <c r="B2176" s="12"/>
      <c r="C2176" s="9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9"/>
    </row>
    <row r="2177" spans="1:27" ht="13.6">
      <c r="A2177" s="8"/>
      <c r="B2177" s="12"/>
      <c r="C2177" s="9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9"/>
      <c r="U2177" s="9"/>
      <c r="V2177" s="9"/>
      <c r="W2177" s="9"/>
      <c r="X2177" s="9"/>
      <c r="Y2177" s="9"/>
      <c r="Z2177" s="9"/>
      <c r="AA2177" s="9"/>
    </row>
    <row r="2178" spans="1:27" ht="13.6">
      <c r="A2178" s="8"/>
      <c r="B2178" s="12"/>
      <c r="C2178" s="9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9"/>
      <c r="U2178" s="9"/>
      <c r="V2178" s="9"/>
      <c r="W2178" s="9"/>
      <c r="X2178" s="9"/>
      <c r="Y2178" s="9"/>
      <c r="Z2178" s="9"/>
      <c r="AA2178" s="9"/>
    </row>
    <row r="2179" spans="1:27" ht="13.6">
      <c r="A2179" s="8"/>
      <c r="B2179" s="12"/>
      <c r="C2179" s="9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9"/>
      <c r="U2179" s="9"/>
      <c r="V2179" s="9"/>
      <c r="W2179" s="9"/>
      <c r="X2179" s="9"/>
      <c r="Y2179" s="9"/>
      <c r="Z2179" s="9"/>
      <c r="AA2179" s="9"/>
    </row>
    <row r="2180" spans="1:27" ht="13.6">
      <c r="A2180" s="8"/>
      <c r="B2180" s="12"/>
      <c r="C2180" s="9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9"/>
    </row>
    <row r="2181" spans="1:27" ht="13.6">
      <c r="A2181" s="8"/>
      <c r="B2181" s="12"/>
      <c r="C2181" s="9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9"/>
      <c r="U2181" s="9"/>
      <c r="V2181" s="9"/>
      <c r="W2181" s="9"/>
      <c r="X2181" s="9"/>
      <c r="Y2181" s="9"/>
      <c r="Z2181" s="9"/>
      <c r="AA2181" s="9"/>
    </row>
    <row r="2182" spans="1:27" ht="13.6">
      <c r="A2182" s="8"/>
      <c r="B2182" s="12"/>
      <c r="C2182" s="9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9"/>
      <c r="U2182" s="9"/>
      <c r="V2182" s="9"/>
      <c r="W2182" s="9"/>
      <c r="X2182" s="9"/>
      <c r="Y2182" s="9"/>
      <c r="Z2182" s="9"/>
      <c r="AA2182" s="9"/>
    </row>
    <row r="2183" spans="1:27" ht="13.6">
      <c r="A2183" s="8"/>
      <c r="B2183" s="12"/>
      <c r="C2183" s="9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9"/>
      <c r="U2183" s="9"/>
      <c r="V2183" s="9"/>
      <c r="W2183" s="9"/>
      <c r="X2183" s="9"/>
      <c r="Y2183" s="9"/>
      <c r="Z2183" s="9"/>
      <c r="AA2183" s="9"/>
    </row>
    <row r="2184" spans="1:27" ht="13.6">
      <c r="A2184" s="8"/>
      <c r="B2184" s="12"/>
      <c r="C2184" s="9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9"/>
    </row>
    <row r="2185" spans="1:27" ht="13.6">
      <c r="A2185" s="8"/>
      <c r="B2185" s="12"/>
      <c r="C2185" s="9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9"/>
      <c r="U2185" s="9"/>
      <c r="V2185" s="9"/>
      <c r="W2185" s="9"/>
      <c r="X2185" s="9"/>
      <c r="Y2185" s="9"/>
      <c r="Z2185" s="9"/>
      <c r="AA2185" s="9"/>
    </row>
    <row r="2186" spans="1:27" ht="13.6">
      <c r="A2186" s="8"/>
      <c r="B2186" s="12"/>
      <c r="C2186" s="9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9"/>
      <c r="U2186" s="9"/>
      <c r="V2186" s="9"/>
      <c r="W2186" s="9"/>
      <c r="X2186" s="9"/>
      <c r="Y2186" s="9"/>
      <c r="Z2186" s="9"/>
      <c r="AA2186" s="9"/>
    </row>
    <row r="2187" spans="1:27" ht="13.6">
      <c r="A2187" s="8"/>
      <c r="B2187" s="12"/>
      <c r="C2187" s="9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9"/>
      <c r="U2187" s="9"/>
      <c r="V2187" s="9"/>
      <c r="W2187" s="9"/>
      <c r="X2187" s="9"/>
      <c r="Y2187" s="9"/>
      <c r="Z2187" s="9"/>
      <c r="AA2187" s="9"/>
    </row>
    <row r="2188" spans="1:27" ht="13.6">
      <c r="A2188" s="8"/>
      <c r="B2188" s="12"/>
      <c r="C2188" s="9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9"/>
    </row>
    <row r="2189" spans="1:27" ht="13.6">
      <c r="A2189" s="8"/>
      <c r="B2189" s="12"/>
      <c r="C2189" s="9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9"/>
      <c r="U2189" s="9"/>
      <c r="V2189" s="9"/>
      <c r="W2189" s="9"/>
      <c r="X2189" s="9"/>
      <c r="Y2189" s="9"/>
      <c r="Z2189" s="9"/>
      <c r="AA2189" s="9"/>
    </row>
    <row r="2190" spans="1:27" ht="13.6">
      <c r="A2190" s="8"/>
      <c r="B2190" s="12"/>
      <c r="C2190" s="9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9"/>
      <c r="U2190" s="9"/>
      <c r="V2190" s="9"/>
      <c r="W2190" s="9"/>
      <c r="X2190" s="9"/>
      <c r="Y2190" s="9"/>
      <c r="Z2190" s="9"/>
      <c r="AA2190" s="9"/>
    </row>
    <row r="2191" spans="1:27" ht="13.6">
      <c r="A2191" s="8"/>
      <c r="B2191" s="12"/>
      <c r="C2191" s="9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9"/>
      <c r="U2191" s="9"/>
      <c r="V2191" s="9"/>
      <c r="W2191" s="9"/>
      <c r="X2191" s="9"/>
      <c r="Y2191" s="9"/>
      <c r="Z2191" s="9"/>
      <c r="AA2191" s="9"/>
    </row>
    <row r="2192" spans="1:27" ht="13.6">
      <c r="A2192" s="8"/>
      <c r="B2192" s="12"/>
      <c r="C2192" s="9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9"/>
    </row>
    <row r="2193" spans="1:27" ht="13.6">
      <c r="A2193" s="8"/>
      <c r="B2193" s="12"/>
      <c r="C2193" s="9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9"/>
      <c r="U2193" s="9"/>
      <c r="V2193" s="9"/>
      <c r="W2193" s="9"/>
      <c r="X2193" s="9"/>
      <c r="Y2193" s="9"/>
      <c r="Z2193" s="9"/>
      <c r="AA2193" s="9"/>
    </row>
    <row r="2194" spans="1:27" ht="13.6">
      <c r="A2194" s="8"/>
      <c r="B2194" s="12"/>
      <c r="C2194" s="9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9"/>
      <c r="U2194" s="9"/>
      <c r="V2194" s="9"/>
      <c r="W2194" s="9"/>
      <c r="X2194" s="9"/>
      <c r="Y2194" s="9"/>
      <c r="Z2194" s="9"/>
      <c r="AA2194" s="9"/>
    </row>
    <row r="2195" spans="1:27" ht="13.6">
      <c r="A2195" s="8"/>
      <c r="B2195" s="12"/>
      <c r="C2195" s="9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9"/>
      <c r="U2195" s="9"/>
      <c r="V2195" s="9"/>
      <c r="W2195" s="9"/>
      <c r="X2195" s="9"/>
      <c r="Y2195" s="9"/>
      <c r="Z2195" s="9"/>
      <c r="AA2195" s="9"/>
    </row>
    <row r="2196" spans="1:27" ht="13.6">
      <c r="A2196" s="8"/>
      <c r="B2196" s="12"/>
      <c r="C2196" s="9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9"/>
    </row>
    <row r="2197" spans="1:27" ht="13.6">
      <c r="A2197" s="8"/>
      <c r="B2197" s="12"/>
      <c r="C2197" s="9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9"/>
      <c r="U2197" s="9"/>
      <c r="V2197" s="9"/>
      <c r="W2197" s="9"/>
      <c r="X2197" s="9"/>
      <c r="Y2197" s="9"/>
      <c r="Z2197" s="9"/>
      <c r="AA2197" s="9"/>
    </row>
    <row r="2198" spans="1:27" ht="13.6">
      <c r="A2198" s="8"/>
      <c r="B2198" s="12"/>
      <c r="C2198" s="9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9"/>
      <c r="U2198" s="9"/>
      <c r="V2198" s="9"/>
      <c r="W2198" s="9"/>
      <c r="X2198" s="9"/>
      <c r="Y2198" s="9"/>
      <c r="Z2198" s="9"/>
      <c r="AA2198" s="9"/>
    </row>
    <row r="2199" spans="1:27" ht="13.6">
      <c r="A2199" s="8"/>
      <c r="B2199" s="12"/>
      <c r="C2199" s="9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9"/>
      <c r="U2199" s="9"/>
      <c r="V2199" s="9"/>
      <c r="W2199" s="9"/>
      <c r="X2199" s="9"/>
      <c r="Y2199" s="9"/>
      <c r="Z2199" s="9"/>
      <c r="AA2199" s="9"/>
    </row>
    <row r="2200" spans="1:27" ht="13.6">
      <c r="A2200" s="8"/>
      <c r="B2200" s="12"/>
      <c r="C2200" s="9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9"/>
    </row>
    <row r="2201" spans="1:27" ht="13.6">
      <c r="A2201" s="8"/>
      <c r="B2201" s="12"/>
      <c r="C2201" s="9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9"/>
      <c r="U2201" s="9"/>
      <c r="V2201" s="9"/>
      <c r="W2201" s="9"/>
      <c r="X2201" s="9"/>
      <c r="Y2201" s="9"/>
      <c r="Z2201" s="9"/>
      <c r="AA2201" s="9"/>
    </row>
    <row r="2202" spans="1:27" ht="13.6">
      <c r="A2202" s="8"/>
      <c r="B2202" s="12"/>
      <c r="C2202" s="9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9"/>
      <c r="U2202" s="9"/>
      <c r="V2202" s="9"/>
      <c r="W2202" s="9"/>
      <c r="X2202" s="9"/>
      <c r="Y2202" s="9"/>
      <c r="Z2202" s="9"/>
      <c r="AA2202" s="9"/>
    </row>
    <row r="2203" spans="1:27" ht="13.6">
      <c r="A2203" s="8"/>
      <c r="B2203" s="12"/>
      <c r="C2203" s="9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9"/>
      <c r="U2203" s="9"/>
      <c r="V2203" s="9"/>
      <c r="W2203" s="9"/>
      <c r="X2203" s="9"/>
      <c r="Y2203" s="9"/>
      <c r="Z2203" s="9"/>
      <c r="AA2203" s="9"/>
    </row>
    <row r="2204" spans="1:27" ht="13.6">
      <c r="A2204" s="8"/>
      <c r="B2204" s="12"/>
      <c r="C2204" s="9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9"/>
    </row>
    <row r="2205" spans="1:27" ht="13.6">
      <c r="A2205" s="8"/>
      <c r="B2205" s="12"/>
      <c r="C2205" s="9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9"/>
      <c r="U2205" s="9"/>
      <c r="V2205" s="9"/>
      <c r="W2205" s="9"/>
      <c r="X2205" s="9"/>
      <c r="Y2205" s="9"/>
      <c r="Z2205" s="9"/>
      <c r="AA2205" s="9"/>
    </row>
    <row r="2206" spans="1:27" ht="13.6">
      <c r="A2206" s="8"/>
      <c r="B2206" s="12"/>
      <c r="C2206" s="9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9"/>
      <c r="U2206" s="9"/>
      <c r="V2206" s="9"/>
      <c r="W2206" s="9"/>
      <c r="X2206" s="9"/>
      <c r="Y2206" s="9"/>
      <c r="Z2206" s="9"/>
      <c r="AA2206" s="9"/>
    </row>
    <row r="2207" spans="1:27" ht="13.6">
      <c r="A2207" s="8"/>
      <c r="B2207" s="12"/>
      <c r="C2207" s="9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9"/>
      <c r="U2207" s="9"/>
      <c r="V2207" s="9"/>
      <c r="W2207" s="9"/>
      <c r="X2207" s="9"/>
      <c r="Y2207" s="9"/>
      <c r="Z2207" s="9"/>
      <c r="AA2207" s="9"/>
    </row>
    <row r="2208" spans="1:27" ht="13.6">
      <c r="A2208" s="8"/>
      <c r="B2208" s="12"/>
      <c r="C2208" s="9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9"/>
    </row>
    <row r="2209" spans="1:27" ht="13.6">
      <c r="A2209" s="8"/>
      <c r="B2209" s="12"/>
      <c r="C2209" s="9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9"/>
      <c r="U2209" s="9"/>
      <c r="V2209" s="9"/>
      <c r="W2209" s="9"/>
      <c r="X2209" s="9"/>
      <c r="Y2209" s="9"/>
      <c r="Z2209" s="9"/>
      <c r="AA2209" s="9"/>
    </row>
    <row r="2210" spans="1:27" ht="13.6">
      <c r="A2210" s="8"/>
      <c r="B2210" s="12"/>
      <c r="C2210" s="9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9"/>
      <c r="U2210" s="9"/>
      <c r="V2210" s="9"/>
      <c r="W2210" s="9"/>
      <c r="X2210" s="9"/>
      <c r="Y2210" s="9"/>
      <c r="Z2210" s="9"/>
      <c r="AA2210" s="9"/>
    </row>
    <row r="2211" spans="1:27" ht="13.6">
      <c r="A2211" s="8"/>
      <c r="B2211" s="12"/>
      <c r="C2211" s="9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9"/>
      <c r="U2211" s="9"/>
      <c r="V2211" s="9"/>
      <c r="W2211" s="9"/>
      <c r="X2211" s="9"/>
      <c r="Y2211" s="9"/>
      <c r="Z2211" s="9"/>
      <c r="AA2211" s="9"/>
    </row>
    <row r="2212" spans="1:27" ht="13.6">
      <c r="A2212" s="8"/>
      <c r="B2212" s="12"/>
      <c r="C2212" s="9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9"/>
    </row>
    <row r="2213" spans="1:27" ht="13.6">
      <c r="A2213" s="8"/>
      <c r="B2213" s="12"/>
      <c r="C2213" s="9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9"/>
      <c r="U2213" s="9"/>
      <c r="V2213" s="9"/>
      <c r="W2213" s="9"/>
      <c r="X2213" s="9"/>
      <c r="Y2213" s="9"/>
      <c r="Z2213" s="9"/>
      <c r="AA2213" s="9"/>
    </row>
    <row r="2214" spans="1:27" ht="13.6">
      <c r="A2214" s="8"/>
      <c r="B2214" s="12"/>
      <c r="C2214" s="9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9"/>
      <c r="U2214" s="9"/>
      <c r="V2214" s="9"/>
      <c r="W2214" s="9"/>
      <c r="X2214" s="9"/>
      <c r="Y2214" s="9"/>
      <c r="Z2214" s="9"/>
      <c r="AA2214" s="9"/>
    </row>
    <row r="2215" spans="1:27" ht="13.6">
      <c r="A2215" s="8"/>
      <c r="B2215" s="12"/>
      <c r="C2215" s="9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9"/>
      <c r="U2215" s="9"/>
      <c r="V2215" s="9"/>
      <c r="W2215" s="9"/>
      <c r="X2215" s="9"/>
      <c r="Y2215" s="9"/>
      <c r="Z2215" s="9"/>
      <c r="AA2215" s="9"/>
    </row>
    <row r="2216" spans="1:27" ht="13.6">
      <c r="A2216" s="8"/>
      <c r="B2216" s="12"/>
      <c r="C2216" s="9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9"/>
    </row>
    <row r="2217" spans="1:27" ht="13.6">
      <c r="A2217" s="8"/>
      <c r="B2217" s="12"/>
      <c r="C2217" s="9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9"/>
      <c r="U2217" s="9"/>
      <c r="V2217" s="9"/>
      <c r="W2217" s="9"/>
      <c r="X2217" s="9"/>
      <c r="Y2217" s="9"/>
      <c r="Z2217" s="9"/>
      <c r="AA2217" s="9"/>
    </row>
    <row r="2218" spans="1:27" ht="13.6">
      <c r="A2218" s="8"/>
      <c r="B2218" s="12"/>
      <c r="C2218" s="9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9"/>
      <c r="U2218" s="9"/>
      <c r="V2218" s="9"/>
      <c r="W2218" s="9"/>
      <c r="X2218" s="9"/>
      <c r="Y2218" s="9"/>
      <c r="Z2218" s="9"/>
      <c r="AA2218" s="9"/>
    </row>
    <row r="2219" spans="1:27" ht="13.6">
      <c r="A2219" s="8"/>
      <c r="B2219" s="12"/>
      <c r="C2219" s="9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9"/>
      <c r="U2219" s="9"/>
      <c r="V2219" s="9"/>
      <c r="W2219" s="9"/>
      <c r="X2219" s="9"/>
      <c r="Y2219" s="9"/>
      <c r="Z2219" s="9"/>
      <c r="AA2219" s="9"/>
    </row>
    <row r="2220" spans="1:27" ht="13.6">
      <c r="A2220" s="8"/>
      <c r="B2220" s="12"/>
      <c r="C2220" s="9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9"/>
    </row>
    <row r="2221" spans="1:27" ht="13.6">
      <c r="A2221" s="8"/>
      <c r="B2221" s="12"/>
      <c r="C2221" s="9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9"/>
      <c r="U2221" s="9"/>
      <c r="V2221" s="9"/>
      <c r="W2221" s="9"/>
      <c r="X2221" s="9"/>
      <c r="Y2221" s="9"/>
      <c r="Z2221" s="9"/>
      <c r="AA2221" s="9"/>
    </row>
    <row r="2222" spans="1:27" ht="13.6">
      <c r="A2222" s="8"/>
      <c r="B2222" s="12"/>
      <c r="C2222" s="9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9"/>
      <c r="U2222" s="9"/>
      <c r="V2222" s="9"/>
      <c r="W2222" s="9"/>
      <c r="X2222" s="9"/>
      <c r="Y2222" s="9"/>
      <c r="Z2222" s="9"/>
      <c r="AA2222" s="9"/>
    </row>
    <row r="2223" spans="1:27" ht="13.6">
      <c r="A2223" s="8"/>
      <c r="B2223" s="12"/>
      <c r="C2223" s="9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9"/>
      <c r="U2223" s="9"/>
      <c r="V2223" s="9"/>
      <c r="W2223" s="9"/>
      <c r="X2223" s="9"/>
      <c r="Y2223" s="9"/>
      <c r="Z2223" s="9"/>
      <c r="AA2223" s="9"/>
    </row>
    <row r="2224" spans="1:27" ht="13.6">
      <c r="A2224" s="8"/>
      <c r="B2224" s="12"/>
      <c r="C2224" s="9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9"/>
    </row>
    <row r="2225" spans="1:27" ht="13.6">
      <c r="A2225" s="8"/>
      <c r="B2225" s="12"/>
      <c r="C2225" s="9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9"/>
      <c r="U2225" s="9"/>
      <c r="V2225" s="9"/>
      <c r="W2225" s="9"/>
      <c r="X2225" s="9"/>
      <c r="Y2225" s="9"/>
      <c r="Z2225" s="9"/>
      <c r="AA2225" s="9"/>
    </row>
    <row r="2226" spans="1:27" ht="13.6">
      <c r="A2226" s="8"/>
      <c r="B2226" s="12"/>
      <c r="C2226" s="9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9"/>
      <c r="U2226" s="9"/>
      <c r="V2226" s="9"/>
      <c r="W2226" s="9"/>
      <c r="X2226" s="9"/>
      <c r="Y2226" s="9"/>
      <c r="Z2226" s="9"/>
      <c r="AA2226" s="9"/>
    </row>
    <row r="2227" spans="1:27" ht="13.6">
      <c r="A2227" s="8"/>
      <c r="B2227" s="12"/>
      <c r="C2227" s="9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9"/>
      <c r="U2227" s="9"/>
      <c r="V2227" s="9"/>
      <c r="W2227" s="9"/>
      <c r="X2227" s="9"/>
      <c r="Y2227" s="9"/>
      <c r="Z2227" s="9"/>
      <c r="AA2227" s="9"/>
    </row>
    <row r="2228" spans="1:27" ht="13.6">
      <c r="A2228" s="8"/>
      <c r="B2228" s="12"/>
      <c r="C2228" s="9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9"/>
    </row>
    <row r="2229" spans="1:27" ht="13.6">
      <c r="A2229" s="8"/>
      <c r="B2229" s="12"/>
      <c r="C2229" s="9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9"/>
      <c r="U2229" s="9"/>
      <c r="V2229" s="9"/>
      <c r="W2229" s="9"/>
      <c r="X2229" s="9"/>
      <c r="Y2229" s="9"/>
      <c r="Z2229" s="9"/>
      <c r="AA2229" s="9"/>
    </row>
    <row r="2230" spans="1:27" ht="13.6">
      <c r="A2230" s="8"/>
      <c r="B2230" s="12"/>
      <c r="C2230" s="9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9"/>
      <c r="U2230" s="9"/>
      <c r="V2230" s="9"/>
      <c r="W2230" s="9"/>
      <c r="X2230" s="9"/>
      <c r="Y2230" s="9"/>
      <c r="Z2230" s="9"/>
      <c r="AA2230" s="9"/>
    </row>
    <row r="2231" spans="1:27" ht="13.6">
      <c r="A2231" s="8"/>
      <c r="B2231" s="12"/>
      <c r="C2231" s="9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9"/>
      <c r="U2231" s="9"/>
      <c r="V2231" s="9"/>
      <c r="W2231" s="9"/>
      <c r="X2231" s="9"/>
      <c r="Y2231" s="9"/>
      <c r="Z2231" s="9"/>
      <c r="AA2231" s="9"/>
    </row>
    <row r="2232" spans="1:27" ht="13.6">
      <c r="A2232" s="8"/>
      <c r="B2232" s="12"/>
      <c r="C2232" s="9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9"/>
    </row>
    <row r="2233" spans="1:27" ht="13.6">
      <c r="A2233" s="8"/>
      <c r="B2233" s="12"/>
      <c r="C2233" s="9"/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9"/>
      <c r="U2233" s="9"/>
      <c r="V2233" s="9"/>
      <c r="W2233" s="9"/>
      <c r="X2233" s="9"/>
      <c r="Y2233" s="9"/>
      <c r="Z2233" s="9"/>
      <c r="AA2233" s="9"/>
    </row>
    <row r="2234" spans="1:27" ht="13.6">
      <c r="A2234" s="8"/>
      <c r="B2234" s="12"/>
      <c r="C2234" s="9"/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9"/>
      <c r="U2234" s="9"/>
      <c r="V2234" s="9"/>
      <c r="W2234" s="9"/>
      <c r="X2234" s="9"/>
      <c r="Y2234" s="9"/>
      <c r="Z2234" s="9"/>
      <c r="AA2234" s="9"/>
    </row>
    <row r="2235" spans="1:27" ht="13.6">
      <c r="A2235" s="8"/>
      <c r="B2235" s="12"/>
      <c r="C2235" s="9"/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9"/>
      <c r="U2235" s="9"/>
      <c r="V2235" s="9"/>
      <c r="W2235" s="9"/>
      <c r="X2235" s="9"/>
      <c r="Y2235" s="9"/>
      <c r="Z2235" s="9"/>
      <c r="AA2235" s="9"/>
    </row>
    <row r="2236" spans="1:27" ht="13.6">
      <c r="A2236" s="8"/>
      <c r="B2236" s="12"/>
      <c r="C2236" s="9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9"/>
    </row>
    <row r="2237" spans="1:27" ht="13.6">
      <c r="A2237" s="8"/>
      <c r="B2237" s="12"/>
      <c r="C2237" s="9"/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9"/>
      <c r="U2237" s="9"/>
      <c r="V2237" s="9"/>
      <c r="W2237" s="9"/>
      <c r="X2237" s="9"/>
      <c r="Y2237" s="9"/>
      <c r="Z2237" s="9"/>
      <c r="AA2237" s="9"/>
    </row>
    <row r="2238" spans="1:27" ht="13.6">
      <c r="A2238" s="8"/>
      <c r="B2238" s="12"/>
      <c r="C2238" s="9"/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9"/>
      <c r="U2238" s="9"/>
      <c r="V2238" s="9"/>
      <c r="W2238" s="9"/>
      <c r="X2238" s="9"/>
      <c r="Y2238" s="9"/>
      <c r="Z2238" s="9"/>
      <c r="AA2238" s="9"/>
    </row>
    <row r="2239" spans="1:27" ht="13.6">
      <c r="A2239" s="8"/>
      <c r="B2239" s="12"/>
      <c r="C2239" s="9"/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9"/>
      <c r="U2239" s="9"/>
      <c r="V2239" s="9"/>
      <c r="W2239" s="9"/>
      <c r="X2239" s="9"/>
      <c r="Y2239" s="9"/>
      <c r="Z2239" s="9"/>
      <c r="AA2239" s="9"/>
    </row>
    <row r="2240" spans="1:27" ht="13.6">
      <c r="A2240" s="8"/>
      <c r="B2240" s="12"/>
      <c r="C2240" s="9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9"/>
    </row>
    <row r="2241" spans="1:27" ht="13.6">
      <c r="A2241" s="8"/>
      <c r="B2241" s="12"/>
      <c r="C2241" s="9"/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9"/>
      <c r="U2241" s="9"/>
      <c r="V2241" s="9"/>
      <c r="W2241" s="9"/>
      <c r="X2241" s="9"/>
      <c r="Y2241" s="9"/>
      <c r="Z2241" s="9"/>
      <c r="AA2241" s="9"/>
    </row>
    <row r="2242" spans="1:27" ht="13.6">
      <c r="A2242" s="8"/>
      <c r="B2242" s="12"/>
      <c r="C2242" s="9"/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9"/>
      <c r="U2242" s="9"/>
      <c r="V2242" s="9"/>
      <c r="W2242" s="9"/>
      <c r="X2242" s="9"/>
      <c r="Y2242" s="9"/>
      <c r="Z2242" s="9"/>
      <c r="AA2242" s="9"/>
    </row>
    <row r="2243" spans="1:27" ht="13.6">
      <c r="A2243" s="8"/>
      <c r="B2243" s="12"/>
      <c r="C2243" s="9"/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9"/>
      <c r="U2243" s="9"/>
      <c r="V2243" s="9"/>
      <c r="W2243" s="9"/>
      <c r="X2243" s="9"/>
      <c r="Y2243" s="9"/>
      <c r="Z2243" s="9"/>
      <c r="AA2243" s="9"/>
    </row>
    <row r="2244" spans="1:27" ht="13.6">
      <c r="A2244" s="8"/>
      <c r="B2244" s="12"/>
      <c r="C2244" s="9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9"/>
    </row>
    <row r="2245" spans="1:27" ht="13.6">
      <c r="A2245" s="8"/>
      <c r="B2245" s="12"/>
      <c r="C2245" s="9"/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9"/>
      <c r="U2245" s="9"/>
      <c r="V2245" s="9"/>
      <c r="W2245" s="9"/>
      <c r="X2245" s="9"/>
      <c r="Y2245" s="9"/>
      <c r="Z2245" s="9"/>
      <c r="AA2245" s="9"/>
    </row>
    <row r="2246" spans="1:27" ht="13.6">
      <c r="A2246" s="8"/>
      <c r="B2246" s="12"/>
      <c r="C2246" s="9"/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9"/>
      <c r="U2246" s="9"/>
      <c r="V2246" s="9"/>
      <c r="W2246" s="9"/>
      <c r="X2246" s="9"/>
      <c r="Y2246" s="9"/>
      <c r="Z2246" s="9"/>
      <c r="AA2246" s="9"/>
    </row>
    <row r="2247" spans="1:27" ht="13.6">
      <c r="A2247" s="8"/>
      <c r="B2247" s="12"/>
      <c r="C2247" s="9"/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9"/>
      <c r="U2247" s="9"/>
      <c r="V2247" s="9"/>
      <c r="W2247" s="9"/>
      <c r="X2247" s="9"/>
      <c r="Y2247" s="9"/>
      <c r="Z2247" s="9"/>
      <c r="AA2247" s="9"/>
    </row>
    <row r="2248" spans="1:27" ht="13.6">
      <c r="A2248" s="8"/>
      <c r="B2248" s="12"/>
      <c r="C2248" s="9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9"/>
    </row>
    <row r="2249" spans="1:27" ht="13.6">
      <c r="A2249" s="8"/>
      <c r="B2249" s="12"/>
      <c r="C2249" s="9"/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9"/>
      <c r="U2249" s="9"/>
      <c r="V2249" s="9"/>
      <c r="W2249" s="9"/>
      <c r="X2249" s="9"/>
      <c r="Y2249" s="9"/>
      <c r="Z2249" s="9"/>
      <c r="AA2249" s="9"/>
    </row>
    <row r="2250" spans="1:27" ht="13.6">
      <c r="A2250" s="8"/>
      <c r="B2250" s="12"/>
      <c r="C2250" s="9"/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9"/>
      <c r="U2250" s="9"/>
      <c r="V2250" s="9"/>
      <c r="W2250" s="9"/>
      <c r="X2250" s="9"/>
      <c r="Y2250" s="9"/>
      <c r="Z2250" s="9"/>
      <c r="AA2250" s="9"/>
    </row>
    <row r="2251" spans="1:27" ht="13.6">
      <c r="A2251" s="8"/>
      <c r="B2251" s="12"/>
      <c r="C2251" s="9"/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9"/>
      <c r="U2251" s="9"/>
      <c r="V2251" s="9"/>
      <c r="W2251" s="9"/>
      <c r="X2251" s="9"/>
      <c r="Y2251" s="9"/>
      <c r="Z2251" s="9"/>
      <c r="AA2251" s="9"/>
    </row>
    <row r="2252" spans="1:27" ht="13.6">
      <c r="A2252" s="8"/>
      <c r="B2252" s="12"/>
      <c r="C2252" s="9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9"/>
    </row>
    <row r="2253" spans="1:27" ht="13.6">
      <c r="A2253" s="8"/>
      <c r="B2253" s="12"/>
      <c r="C2253" s="9"/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9"/>
      <c r="U2253" s="9"/>
      <c r="V2253" s="9"/>
      <c r="W2253" s="9"/>
      <c r="X2253" s="9"/>
      <c r="Y2253" s="9"/>
      <c r="Z2253" s="9"/>
      <c r="AA2253" s="9"/>
    </row>
    <row r="2254" spans="1:27" ht="13.6">
      <c r="A2254" s="8"/>
      <c r="B2254" s="12"/>
      <c r="C2254" s="9"/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9"/>
      <c r="U2254" s="9"/>
      <c r="V2254" s="9"/>
      <c r="W2254" s="9"/>
      <c r="X2254" s="9"/>
      <c r="Y2254" s="9"/>
      <c r="Z2254" s="9"/>
      <c r="AA2254" s="9"/>
    </row>
    <row r="2255" spans="1:27" ht="13.6">
      <c r="A2255" s="8"/>
      <c r="B2255" s="12"/>
      <c r="C2255" s="9"/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9"/>
      <c r="U2255" s="9"/>
      <c r="V2255" s="9"/>
      <c r="W2255" s="9"/>
      <c r="X2255" s="9"/>
      <c r="Y2255" s="9"/>
      <c r="Z2255" s="9"/>
      <c r="AA2255" s="9"/>
    </row>
    <row r="2256" spans="1:27" ht="13.6">
      <c r="A2256" s="8"/>
      <c r="B2256" s="12"/>
      <c r="C2256" s="9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9"/>
    </row>
    <row r="2257" spans="1:27" ht="13.6">
      <c r="A2257" s="8"/>
      <c r="B2257" s="12"/>
      <c r="C2257" s="9"/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9"/>
      <c r="U2257" s="9"/>
      <c r="V2257" s="9"/>
      <c r="W2257" s="9"/>
      <c r="X2257" s="9"/>
      <c r="Y2257" s="9"/>
      <c r="Z2257" s="9"/>
      <c r="AA2257" s="9"/>
    </row>
    <row r="2258" spans="1:27" ht="13.6">
      <c r="A2258" s="8"/>
      <c r="B2258" s="12"/>
      <c r="C2258" s="9"/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9"/>
      <c r="U2258" s="9"/>
      <c r="V2258" s="9"/>
      <c r="W2258" s="9"/>
      <c r="X2258" s="9"/>
      <c r="Y2258" s="9"/>
      <c r="Z2258" s="9"/>
      <c r="AA2258" s="9"/>
    </row>
    <row r="2259" spans="1:27" ht="13.6">
      <c r="A2259" s="8"/>
      <c r="B2259" s="12"/>
      <c r="C2259" s="9"/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9"/>
      <c r="U2259" s="9"/>
      <c r="V2259" s="9"/>
      <c r="W2259" s="9"/>
      <c r="X2259" s="9"/>
      <c r="Y2259" s="9"/>
      <c r="Z2259" s="9"/>
      <c r="AA2259" s="9"/>
    </row>
    <row r="2260" spans="1:27" ht="13.6">
      <c r="A2260" s="8"/>
      <c r="B2260" s="12"/>
      <c r="C2260" s="9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9"/>
    </row>
    <row r="2261" spans="1:27" ht="13.6">
      <c r="A2261" s="8"/>
      <c r="B2261" s="12"/>
      <c r="C2261" s="9"/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9"/>
      <c r="U2261" s="9"/>
      <c r="V2261" s="9"/>
      <c r="W2261" s="9"/>
      <c r="X2261" s="9"/>
      <c r="Y2261" s="9"/>
      <c r="Z2261" s="9"/>
      <c r="AA2261" s="9"/>
    </row>
    <row r="2262" spans="1:27" ht="13.6">
      <c r="A2262" s="8"/>
      <c r="B2262" s="12"/>
      <c r="C2262" s="9"/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9"/>
      <c r="U2262" s="9"/>
      <c r="V2262" s="9"/>
      <c r="W2262" s="9"/>
      <c r="X2262" s="9"/>
      <c r="Y2262" s="9"/>
      <c r="Z2262" s="9"/>
      <c r="AA2262" s="9"/>
    </row>
    <row r="2263" spans="1:27" ht="13.6">
      <c r="A2263" s="8"/>
      <c r="B2263" s="12"/>
      <c r="C2263" s="9"/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9"/>
      <c r="U2263" s="9"/>
      <c r="V2263" s="9"/>
      <c r="W2263" s="9"/>
      <c r="X2263" s="9"/>
      <c r="Y2263" s="9"/>
      <c r="Z2263" s="9"/>
      <c r="AA2263" s="9"/>
    </row>
    <row r="2264" spans="1:27" ht="13.6">
      <c r="A2264" s="8"/>
      <c r="B2264" s="12"/>
      <c r="C2264" s="9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9"/>
    </row>
    <row r="2265" spans="1:27" ht="13.6">
      <c r="A2265" s="8"/>
      <c r="B2265" s="12"/>
      <c r="C2265" s="9"/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9"/>
      <c r="U2265" s="9"/>
      <c r="V2265" s="9"/>
      <c r="W2265" s="9"/>
      <c r="X2265" s="9"/>
      <c r="Y2265" s="9"/>
      <c r="Z2265" s="9"/>
      <c r="AA2265" s="9"/>
    </row>
    <row r="2266" spans="1:27" ht="13.6">
      <c r="A2266" s="8"/>
      <c r="B2266" s="12"/>
      <c r="C2266" s="9"/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9"/>
      <c r="U2266" s="9"/>
      <c r="V2266" s="9"/>
      <c r="W2266" s="9"/>
      <c r="X2266" s="9"/>
      <c r="Y2266" s="9"/>
      <c r="Z2266" s="9"/>
      <c r="AA2266" s="9"/>
    </row>
    <row r="2267" spans="1:27" ht="13.6">
      <c r="A2267" s="8"/>
      <c r="B2267" s="12"/>
      <c r="C2267" s="9"/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9"/>
      <c r="U2267" s="9"/>
      <c r="V2267" s="9"/>
      <c r="W2267" s="9"/>
      <c r="X2267" s="9"/>
      <c r="Y2267" s="9"/>
      <c r="Z2267" s="9"/>
      <c r="AA2267" s="9"/>
    </row>
    <row r="2268" spans="1:27" ht="13.6">
      <c r="A2268" s="8"/>
      <c r="B2268" s="12"/>
      <c r="C2268" s="9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9"/>
    </row>
    <row r="2269" spans="1:27" ht="13.6">
      <c r="A2269" s="8"/>
      <c r="B2269" s="12"/>
      <c r="C2269" s="9"/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9"/>
      <c r="U2269" s="9"/>
      <c r="V2269" s="9"/>
      <c r="W2269" s="9"/>
      <c r="X2269" s="9"/>
      <c r="Y2269" s="9"/>
      <c r="Z2269" s="9"/>
      <c r="AA2269" s="9"/>
    </row>
    <row r="2270" spans="1:27" ht="13.6">
      <c r="A2270" s="8"/>
      <c r="B2270" s="12"/>
      <c r="C2270" s="9"/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9"/>
      <c r="U2270" s="9"/>
      <c r="V2270" s="9"/>
      <c r="W2270" s="9"/>
      <c r="X2270" s="9"/>
      <c r="Y2270" s="9"/>
      <c r="Z2270" s="9"/>
      <c r="AA2270" s="9"/>
    </row>
    <row r="2271" spans="1:27" ht="13.6">
      <c r="A2271" s="8"/>
      <c r="B2271" s="12"/>
      <c r="C2271" s="9"/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9"/>
      <c r="U2271" s="9"/>
      <c r="V2271" s="9"/>
      <c r="W2271" s="9"/>
      <c r="X2271" s="9"/>
      <c r="Y2271" s="9"/>
      <c r="Z2271" s="9"/>
      <c r="AA2271" s="9"/>
    </row>
    <row r="2272" spans="1:27" ht="13.6">
      <c r="A2272" s="8"/>
      <c r="B2272" s="12"/>
      <c r="C2272" s="9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9"/>
    </row>
    <row r="2273" spans="1:27" ht="13.6">
      <c r="A2273" s="8"/>
      <c r="B2273" s="12"/>
      <c r="C2273" s="9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9"/>
      <c r="U2273" s="9"/>
      <c r="V2273" s="9"/>
      <c r="W2273" s="9"/>
      <c r="X2273" s="9"/>
      <c r="Y2273" s="9"/>
      <c r="Z2273" s="9"/>
      <c r="AA2273" s="9"/>
    </row>
    <row r="2274" spans="1:27" ht="13.6">
      <c r="A2274" s="8"/>
      <c r="B2274" s="12"/>
      <c r="C2274" s="9"/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9"/>
      <c r="U2274" s="9"/>
      <c r="V2274" s="9"/>
      <c r="W2274" s="9"/>
      <c r="X2274" s="9"/>
      <c r="Y2274" s="9"/>
      <c r="Z2274" s="9"/>
      <c r="AA2274" s="9"/>
    </row>
    <row r="2275" spans="1:27" ht="13.6">
      <c r="A2275" s="8"/>
      <c r="B2275" s="12"/>
      <c r="C2275" s="9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9"/>
      <c r="U2275" s="9"/>
      <c r="V2275" s="9"/>
      <c r="W2275" s="9"/>
      <c r="X2275" s="9"/>
      <c r="Y2275" s="9"/>
      <c r="Z2275" s="9"/>
      <c r="AA2275" s="9"/>
    </row>
    <row r="2276" spans="1:27" ht="13.6">
      <c r="A2276" s="8"/>
      <c r="B2276" s="12"/>
      <c r="C2276" s="9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9"/>
    </row>
    <row r="2277" spans="1:27" ht="13.6">
      <c r="A2277" s="8"/>
      <c r="B2277" s="12"/>
      <c r="C2277" s="9"/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9"/>
      <c r="U2277" s="9"/>
      <c r="V2277" s="9"/>
      <c r="W2277" s="9"/>
      <c r="X2277" s="9"/>
      <c r="Y2277" s="9"/>
      <c r="Z2277" s="9"/>
      <c r="AA2277" s="9"/>
    </row>
    <row r="2278" spans="1:27" ht="13.6">
      <c r="A2278" s="8"/>
      <c r="B2278" s="12"/>
      <c r="C2278" s="9"/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9"/>
      <c r="U2278" s="9"/>
      <c r="V2278" s="9"/>
      <c r="W2278" s="9"/>
      <c r="X2278" s="9"/>
      <c r="Y2278" s="9"/>
      <c r="Z2278" s="9"/>
      <c r="AA2278" s="9"/>
    </row>
    <row r="2279" spans="1:27" ht="13.6">
      <c r="A2279" s="8"/>
      <c r="B2279" s="12"/>
      <c r="C2279" s="9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9"/>
    </row>
    <row r="2280" spans="1:27" ht="13.6">
      <c r="A2280" s="8"/>
      <c r="B2280" s="12"/>
      <c r="C2280" s="9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9"/>
    </row>
    <row r="2281" spans="1:27" ht="13.6">
      <c r="A2281" s="8"/>
      <c r="B2281" s="12"/>
      <c r="C2281" s="9"/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9"/>
      <c r="U2281" s="9"/>
      <c r="V2281" s="9"/>
      <c r="W2281" s="9"/>
      <c r="X2281" s="9"/>
      <c r="Y2281" s="9"/>
      <c r="Z2281" s="9"/>
      <c r="AA2281" s="9"/>
    </row>
    <row r="2282" spans="1:27" ht="13.6">
      <c r="A2282" s="8"/>
      <c r="B2282" s="12"/>
      <c r="C2282" s="9"/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9"/>
      <c r="U2282" s="9"/>
      <c r="V2282" s="9"/>
      <c r="W2282" s="9"/>
      <c r="X2282" s="9"/>
      <c r="Y2282" s="9"/>
      <c r="Z2282" s="9"/>
      <c r="AA2282" s="9"/>
    </row>
    <row r="2283" spans="1:27" ht="13.6">
      <c r="A2283" s="8"/>
      <c r="B2283" s="12"/>
      <c r="C2283" s="9"/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9"/>
      <c r="U2283" s="9"/>
      <c r="V2283" s="9"/>
      <c r="W2283" s="9"/>
      <c r="X2283" s="9"/>
      <c r="Y2283" s="9"/>
      <c r="Z2283" s="9"/>
      <c r="AA2283" s="9"/>
    </row>
    <row r="2284" spans="1:27" ht="13.6">
      <c r="A2284" s="8"/>
      <c r="B2284" s="12"/>
      <c r="C2284" s="9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9"/>
    </row>
    <row r="2285" spans="1:27" ht="13.6">
      <c r="A2285" s="8"/>
      <c r="B2285" s="12"/>
      <c r="C2285" s="9"/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9"/>
      <c r="U2285" s="9"/>
      <c r="V2285" s="9"/>
      <c r="W2285" s="9"/>
      <c r="X2285" s="9"/>
      <c r="Y2285" s="9"/>
      <c r="Z2285" s="9"/>
      <c r="AA2285" s="9"/>
    </row>
    <row r="2286" spans="1:27" ht="13.6">
      <c r="A2286" s="8"/>
      <c r="B2286" s="12"/>
      <c r="C2286" s="9"/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9"/>
      <c r="U2286" s="9"/>
      <c r="V2286" s="9"/>
      <c r="W2286" s="9"/>
      <c r="X2286" s="9"/>
      <c r="Y2286" s="9"/>
      <c r="Z2286" s="9"/>
      <c r="AA2286" s="9"/>
    </row>
    <row r="2287" spans="1:27" ht="13.6">
      <c r="A2287" s="8"/>
      <c r="B2287" s="12"/>
      <c r="C2287" s="9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9"/>
      <c r="U2287" s="9"/>
      <c r="V2287" s="9"/>
      <c r="W2287" s="9"/>
      <c r="X2287" s="9"/>
      <c r="Y2287" s="9"/>
      <c r="Z2287" s="9"/>
      <c r="AA2287" s="9"/>
    </row>
    <row r="2288" spans="1:27" ht="13.6">
      <c r="A2288" s="8"/>
      <c r="B2288" s="12"/>
      <c r="C2288" s="9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9"/>
    </row>
    <row r="2289" spans="1:27" ht="13.6">
      <c r="A2289" s="8"/>
      <c r="B2289" s="12"/>
      <c r="C2289" s="9"/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9"/>
      <c r="U2289" s="9"/>
      <c r="V2289" s="9"/>
      <c r="W2289" s="9"/>
      <c r="X2289" s="9"/>
      <c r="Y2289" s="9"/>
      <c r="Z2289" s="9"/>
      <c r="AA2289" s="9"/>
    </row>
    <row r="2290" spans="1:27" ht="13.6">
      <c r="A2290" s="8"/>
      <c r="B2290" s="12"/>
      <c r="C2290" s="9"/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9"/>
      <c r="U2290" s="9"/>
      <c r="V2290" s="9"/>
      <c r="W2290" s="9"/>
      <c r="X2290" s="9"/>
      <c r="Y2290" s="9"/>
      <c r="Z2290" s="9"/>
      <c r="AA2290" s="9"/>
    </row>
    <row r="2291" spans="1:27" ht="13.6">
      <c r="A2291" s="8"/>
      <c r="B2291" s="12"/>
      <c r="C2291" s="9"/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9"/>
      <c r="U2291" s="9"/>
      <c r="V2291" s="9"/>
      <c r="W2291" s="9"/>
      <c r="X2291" s="9"/>
      <c r="Y2291" s="9"/>
      <c r="Z2291" s="9"/>
      <c r="AA2291" s="9"/>
    </row>
    <row r="2292" spans="1:27" ht="13.6">
      <c r="A2292" s="8"/>
      <c r="B2292" s="12"/>
      <c r="C2292" s="9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9"/>
    </row>
    <row r="2293" spans="1:27" ht="13.6">
      <c r="A2293" s="8"/>
      <c r="B2293" s="12"/>
      <c r="C2293" s="9"/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9"/>
      <c r="U2293" s="9"/>
      <c r="V2293" s="9"/>
      <c r="W2293" s="9"/>
      <c r="X2293" s="9"/>
      <c r="Y2293" s="9"/>
      <c r="Z2293" s="9"/>
      <c r="AA2293" s="9"/>
    </row>
    <row r="2294" spans="1:27" ht="13.6">
      <c r="A2294" s="8"/>
      <c r="B2294" s="12"/>
      <c r="C2294" s="9"/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9"/>
      <c r="U2294" s="9"/>
      <c r="V2294" s="9"/>
      <c r="W2294" s="9"/>
      <c r="X2294" s="9"/>
      <c r="Y2294" s="9"/>
      <c r="Z2294" s="9"/>
      <c r="AA2294" s="9"/>
    </row>
    <row r="2295" spans="1:27" ht="13.6">
      <c r="A2295" s="8"/>
      <c r="B2295" s="12"/>
      <c r="C2295" s="9"/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9"/>
      <c r="U2295" s="9"/>
      <c r="V2295" s="9"/>
      <c r="W2295" s="9"/>
      <c r="X2295" s="9"/>
      <c r="Y2295" s="9"/>
      <c r="Z2295" s="9"/>
      <c r="AA2295" s="9"/>
    </row>
    <row r="2296" spans="1:27" ht="13.6">
      <c r="A2296" s="8"/>
      <c r="B2296" s="12"/>
      <c r="C2296" s="9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9"/>
    </row>
    <row r="2297" spans="1:27" ht="13.6">
      <c r="A2297" s="8"/>
      <c r="B2297" s="12"/>
      <c r="C2297" s="9"/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9"/>
      <c r="U2297" s="9"/>
      <c r="V2297" s="9"/>
      <c r="W2297" s="9"/>
      <c r="X2297" s="9"/>
      <c r="Y2297" s="9"/>
      <c r="Z2297" s="9"/>
      <c r="AA2297" s="9"/>
    </row>
    <row r="2298" spans="1:27" ht="13.6">
      <c r="A2298" s="8"/>
      <c r="B2298" s="12"/>
      <c r="C2298" s="9"/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9"/>
      <c r="U2298" s="9"/>
      <c r="V2298" s="9"/>
      <c r="W2298" s="9"/>
      <c r="X2298" s="9"/>
      <c r="Y2298" s="9"/>
      <c r="Z2298" s="9"/>
      <c r="AA2298" s="9"/>
    </row>
    <row r="2299" spans="1:27" ht="13.6">
      <c r="A2299" s="8"/>
      <c r="B2299" s="12"/>
      <c r="C2299" s="9"/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9"/>
      <c r="U2299" s="9"/>
      <c r="V2299" s="9"/>
      <c r="W2299" s="9"/>
      <c r="X2299" s="9"/>
      <c r="Y2299" s="9"/>
      <c r="Z2299" s="9"/>
      <c r="AA2299" s="9"/>
    </row>
    <row r="2300" spans="1:27" ht="13.6">
      <c r="A2300" s="8"/>
      <c r="B2300" s="12"/>
      <c r="C2300" s="9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9"/>
    </row>
    <row r="2301" spans="1:27" ht="13.6">
      <c r="A2301" s="8"/>
      <c r="B2301" s="12"/>
      <c r="C2301" s="9"/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9"/>
      <c r="U2301" s="9"/>
      <c r="V2301" s="9"/>
      <c r="W2301" s="9"/>
      <c r="X2301" s="9"/>
      <c r="Y2301" s="9"/>
      <c r="Z2301" s="9"/>
      <c r="AA2301" s="9"/>
    </row>
    <row r="2302" spans="1:27" ht="13.6">
      <c r="A2302" s="8"/>
      <c r="B2302" s="12"/>
      <c r="C2302" s="9"/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9"/>
      <c r="U2302" s="9"/>
      <c r="V2302" s="9"/>
      <c r="W2302" s="9"/>
      <c r="X2302" s="9"/>
      <c r="Y2302" s="9"/>
      <c r="Z2302" s="9"/>
      <c r="AA2302" s="9"/>
    </row>
    <row r="2303" spans="1:27" ht="13.6">
      <c r="A2303" s="8"/>
      <c r="B2303" s="12"/>
      <c r="C2303" s="9"/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9"/>
      <c r="U2303" s="9"/>
      <c r="V2303" s="9"/>
      <c r="W2303" s="9"/>
      <c r="X2303" s="9"/>
      <c r="Y2303" s="9"/>
      <c r="Z2303" s="9"/>
      <c r="AA2303" s="9"/>
    </row>
    <row r="2304" spans="1:27" ht="13.6">
      <c r="A2304" s="8"/>
      <c r="B2304" s="12"/>
      <c r="C2304" s="9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9"/>
    </row>
    <row r="2305" spans="1:27" ht="13.6">
      <c r="A2305" s="8"/>
      <c r="B2305" s="12"/>
      <c r="C2305" s="9"/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9"/>
      <c r="U2305" s="9"/>
      <c r="V2305" s="9"/>
      <c r="W2305" s="9"/>
      <c r="X2305" s="9"/>
      <c r="Y2305" s="9"/>
      <c r="Z2305" s="9"/>
      <c r="AA2305" s="9"/>
    </row>
    <row r="2306" spans="1:27" ht="13.6">
      <c r="A2306" s="8"/>
      <c r="B2306" s="12"/>
      <c r="C2306" s="9"/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9"/>
      <c r="U2306" s="9"/>
      <c r="V2306" s="9"/>
      <c r="W2306" s="9"/>
      <c r="X2306" s="9"/>
      <c r="Y2306" s="9"/>
      <c r="Z2306" s="9"/>
      <c r="AA2306" s="9"/>
    </row>
    <row r="2307" spans="1:27" ht="13.6">
      <c r="A2307" s="8"/>
      <c r="B2307" s="12"/>
      <c r="C2307" s="9"/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9"/>
      <c r="U2307" s="9"/>
      <c r="V2307" s="9"/>
      <c r="W2307" s="9"/>
      <c r="X2307" s="9"/>
      <c r="Y2307" s="9"/>
      <c r="Z2307" s="9"/>
      <c r="AA2307" s="9"/>
    </row>
    <row r="2308" spans="1:27" ht="13.6">
      <c r="A2308" s="8"/>
      <c r="B2308" s="12"/>
      <c r="C2308" s="9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9"/>
    </row>
    <row r="2309" spans="1:27" ht="13.6">
      <c r="A2309" s="8"/>
      <c r="B2309" s="12"/>
      <c r="C2309" s="9"/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9"/>
      <c r="U2309" s="9"/>
      <c r="V2309" s="9"/>
      <c r="W2309" s="9"/>
      <c r="X2309" s="9"/>
      <c r="Y2309" s="9"/>
      <c r="Z2309" s="9"/>
      <c r="AA2309" s="9"/>
    </row>
    <row r="2310" spans="1:27" ht="13.6">
      <c r="A2310" s="8"/>
      <c r="B2310" s="12"/>
      <c r="C2310" s="9"/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9"/>
      <c r="U2310" s="9"/>
      <c r="V2310" s="9"/>
      <c r="W2310" s="9"/>
      <c r="X2310" s="9"/>
      <c r="Y2310" s="9"/>
      <c r="Z2310" s="9"/>
      <c r="AA2310" s="9"/>
    </row>
    <row r="2311" spans="1:27" ht="13.6">
      <c r="A2311" s="8"/>
      <c r="B2311" s="12"/>
      <c r="C2311" s="9"/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9"/>
      <c r="U2311" s="9"/>
      <c r="V2311" s="9"/>
      <c r="W2311" s="9"/>
      <c r="X2311" s="9"/>
      <c r="Y2311" s="9"/>
      <c r="Z2311" s="9"/>
      <c r="AA2311" s="9"/>
    </row>
    <row r="2312" spans="1:27" ht="13.6">
      <c r="A2312" s="8"/>
      <c r="B2312" s="12"/>
      <c r="C2312" s="9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9"/>
    </row>
    <row r="2313" spans="1:27" ht="13.6">
      <c r="A2313" s="8"/>
      <c r="B2313" s="12"/>
      <c r="C2313" s="9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9"/>
      <c r="U2313" s="9"/>
      <c r="V2313" s="9"/>
      <c r="W2313" s="9"/>
      <c r="X2313" s="9"/>
      <c r="Y2313" s="9"/>
      <c r="Z2313" s="9"/>
      <c r="AA2313" s="9"/>
    </row>
    <row r="2314" spans="1:27" ht="13.6">
      <c r="A2314" s="8"/>
      <c r="B2314" s="12"/>
      <c r="C2314" s="9"/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9"/>
      <c r="U2314" s="9"/>
      <c r="V2314" s="9"/>
      <c r="W2314" s="9"/>
      <c r="X2314" s="9"/>
      <c r="Y2314" s="9"/>
      <c r="Z2314" s="9"/>
      <c r="AA2314" s="9"/>
    </row>
    <row r="2315" spans="1:27" ht="13.6">
      <c r="A2315" s="8"/>
      <c r="B2315" s="12"/>
      <c r="C2315" s="9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9"/>
      <c r="U2315" s="9"/>
      <c r="V2315" s="9"/>
      <c r="W2315" s="9"/>
      <c r="X2315" s="9"/>
      <c r="Y2315" s="9"/>
      <c r="Z2315" s="9"/>
      <c r="AA2315" s="9"/>
    </row>
    <row r="2316" spans="1:27" ht="13.6">
      <c r="A2316" s="8"/>
      <c r="B2316" s="12"/>
      <c r="C2316" s="9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9"/>
    </row>
    <row r="2317" spans="1:27" ht="13.6">
      <c r="A2317" s="8"/>
      <c r="B2317" s="12"/>
      <c r="C2317" s="9"/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9"/>
      <c r="U2317" s="9"/>
      <c r="V2317" s="9"/>
      <c r="W2317" s="9"/>
      <c r="X2317" s="9"/>
      <c r="Y2317" s="9"/>
      <c r="Z2317" s="9"/>
      <c r="AA2317" s="9"/>
    </row>
    <row r="2318" spans="1:27" ht="13.6">
      <c r="A2318" s="8"/>
      <c r="B2318" s="12"/>
      <c r="C2318" s="9"/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9"/>
      <c r="U2318" s="9"/>
      <c r="V2318" s="9"/>
      <c r="W2318" s="9"/>
      <c r="X2318" s="9"/>
      <c r="Y2318" s="9"/>
      <c r="Z2318" s="9"/>
      <c r="AA2318" s="9"/>
    </row>
    <row r="2319" spans="1:27" ht="13.6">
      <c r="A2319" s="8"/>
      <c r="B2319" s="12"/>
      <c r="C2319" s="9"/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9"/>
      <c r="U2319" s="9"/>
      <c r="V2319" s="9"/>
      <c r="W2319" s="9"/>
      <c r="X2319" s="9"/>
      <c r="Y2319" s="9"/>
      <c r="Z2319" s="9"/>
      <c r="AA2319" s="9"/>
    </row>
    <row r="2320" spans="1:27" ht="13.6">
      <c r="A2320" s="8"/>
      <c r="B2320" s="12"/>
      <c r="C2320" s="9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9"/>
    </row>
    <row r="2321" spans="1:27" ht="13.6">
      <c r="A2321" s="8"/>
      <c r="B2321" s="12"/>
      <c r="C2321" s="9"/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9"/>
      <c r="U2321" s="9"/>
      <c r="V2321" s="9"/>
      <c r="W2321" s="9"/>
      <c r="X2321" s="9"/>
      <c r="Y2321" s="9"/>
      <c r="Z2321" s="9"/>
      <c r="AA2321" s="9"/>
    </row>
    <row r="2322" spans="1:27" ht="13.6">
      <c r="A2322" s="8"/>
      <c r="B2322" s="12"/>
      <c r="C2322" s="9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9"/>
    </row>
    <row r="2323" spans="1:27" ht="13.6">
      <c r="A2323" s="8"/>
      <c r="B2323" s="12"/>
      <c r="C2323" s="9"/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9"/>
      <c r="U2323" s="9"/>
      <c r="V2323" s="9"/>
      <c r="W2323" s="9"/>
      <c r="X2323" s="9"/>
      <c r="Y2323" s="9"/>
      <c r="Z2323" s="9"/>
      <c r="AA2323" s="9"/>
    </row>
    <row r="2324" spans="1:27" ht="13.6">
      <c r="A2324" s="8"/>
      <c r="B2324" s="12"/>
      <c r="C2324" s="9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9"/>
    </row>
    <row r="2325" spans="1:27" ht="13.6">
      <c r="A2325" s="8"/>
      <c r="B2325" s="12"/>
      <c r="C2325" s="9"/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9"/>
      <c r="U2325" s="9"/>
      <c r="V2325" s="9"/>
      <c r="W2325" s="9"/>
      <c r="X2325" s="9"/>
      <c r="Y2325" s="9"/>
      <c r="Z2325" s="9"/>
      <c r="AA2325" s="9"/>
    </row>
    <row r="2326" spans="1:27" ht="13.6">
      <c r="A2326" s="8"/>
      <c r="B2326" s="12"/>
      <c r="C2326" s="9"/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9"/>
      <c r="U2326" s="9"/>
      <c r="V2326" s="9"/>
      <c r="W2326" s="9"/>
      <c r="X2326" s="9"/>
      <c r="Y2326" s="9"/>
      <c r="Z2326" s="9"/>
      <c r="AA2326" s="9"/>
    </row>
    <row r="2327" spans="1:27" ht="13.6">
      <c r="A2327" s="8"/>
      <c r="B2327" s="12"/>
      <c r="C2327" s="9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9"/>
      <c r="U2327" s="9"/>
      <c r="V2327" s="9"/>
      <c r="W2327" s="9"/>
      <c r="X2327" s="9"/>
      <c r="Y2327" s="9"/>
      <c r="Z2327" s="9"/>
      <c r="AA2327" s="9"/>
    </row>
    <row r="2328" spans="1:27" ht="13.6">
      <c r="A2328" s="8"/>
      <c r="B2328" s="12"/>
      <c r="C2328" s="9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9"/>
    </row>
    <row r="2329" spans="1:27" ht="13.6">
      <c r="A2329" s="8"/>
      <c r="B2329" s="12"/>
      <c r="C2329" s="9"/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9"/>
      <c r="U2329" s="9"/>
      <c r="V2329" s="9"/>
      <c r="W2329" s="9"/>
      <c r="X2329" s="9"/>
      <c r="Y2329" s="9"/>
      <c r="Z2329" s="9"/>
      <c r="AA2329" s="9"/>
    </row>
    <row r="2330" spans="1:27" ht="13.6">
      <c r="A2330" s="8"/>
      <c r="B2330" s="12"/>
      <c r="C2330" s="9"/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9"/>
      <c r="U2330" s="9"/>
      <c r="V2330" s="9"/>
      <c r="W2330" s="9"/>
      <c r="X2330" s="9"/>
      <c r="Y2330" s="9"/>
      <c r="Z2330" s="9"/>
      <c r="AA2330" s="9"/>
    </row>
    <row r="2331" spans="1:27" ht="13.6">
      <c r="A2331" s="8"/>
      <c r="B2331" s="12"/>
      <c r="C2331" s="9"/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9"/>
      <c r="U2331" s="9"/>
      <c r="V2331" s="9"/>
      <c r="W2331" s="9"/>
      <c r="X2331" s="9"/>
      <c r="Y2331" s="9"/>
      <c r="Z2331" s="9"/>
      <c r="AA2331" s="9"/>
    </row>
    <row r="2332" spans="1:27" ht="13.6">
      <c r="A2332" s="8"/>
      <c r="B2332" s="12"/>
      <c r="C2332" s="9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9"/>
    </row>
    <row r="2333" spans="1:27" ht="13.6">
      <c r="A2333" s="8"/>
      <c r="B2333" s="12"/>
      <c r="C2333" s="9"/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9"/>
      <c r="U2333" s="9"/>
      <c r="V2333" s="9"/>
      <c r="W2333" s="9"/>
      <c r="X2333" s="9"/>
      <c r="Y2333" s="9"/>
      <c r="Z2333" s="9"/>
      <c r="AA2333" s="9"/>
    </row>
    <row r="2334" spans="1:27" ht="13.6">
      <c r="A2334" s="8"/>
      <c r="B2334" s="12"/>
      <c r="C2334" s="9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9"/>
      <c r="U2334" s="9"/>
      <c r="V2334" s="9"/>
      <c r="W2334" s="9"/>
      <c r="X2334" s="9"/>
      <c r="Y2334" s="9"/>
      <c r="Z2334" s="9"/>
      <c r="AA2334" s="9"/>
    </row>
    <row r="2335" spans="1:27" ht="13.6">
      <c r="A2335" s="8"/>
      <c r="B2335" s="12"/>
      <c r="C2335" s="9"/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9"/>
      <c r="U2335" s="9"/>
      <c r="V2335" s="9"/>
      <c r="W2335" s="9"/>
      <c r="X2335" s="9"/>
      <c r="Y2335" s="9"/>
      <c r="Z2335" s="9"/>
      <c r="AA2335" s="9"/>
    </row>
    <row r="2336" spans="1:27" ht="13.6">
      <c r="A2336" s="8"/>
      <c r="B2336" s="12"/>
      <c r="C2336" s="9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9"/>
    </row>
    <row r="2337" spans="1:27" ht="13.6">
      <c r="A2337" s="8"/>
      <c r="B2337" s="12"/>
      <c r="C2337" s="9"/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9"/>
      <c r="U2337" s="9"/>
      <c r="V2337" s="9"/>
      <c r="W2337" s="9"/>
      <c r="X2337" s="9"/>
      <c r="Y2337" s="9"/>
      <c r="Z2337" s="9"/>
      <c r="AA2337" s="9"/>
    </row>
    <row r="2338" spans="1:27" ht="13.6">
      <c r="A2338" s="8"/>
      <c r="B2338" s="12"/>
      <c r="C2338" s="9"/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9"/>
      <c r="U2338" s="9"/>
      <c r="V2338" s="9"/>
      <c r="W2338" s="9"/>
      <c r="X2338" s="9"/>
      <c r="Y2338" s="9"/>
      <c r="Z2338" s="9"/>
      <c r="AA2338" s="9"/>
    </row>
    <row r="2339" spans="1:27" ht="13.6">
      <c r="A2339" s="8"/>
      <c r="B2339" s="12"/>
      <c r="C2339" s="9"/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9"/>
      <c r="U2339" s="9"/>
      <c r="V2339" s="9"/>
      <c r="W2339" s="9"/>
      <c r="X2339" s="9"/>
      <c r="Y2339" s="9"/>
      <c r="Z2339" s="9"/>
      <c r="AA2339" s="9"/>
    </row>
    <row r="2340" spans="1:27" ht="13.6">
      <c r="A2340" s="8"/>
      <c r="B2340" s="12"/>
      <c r="C2340" s="9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9"/>
    </row>
    <row r="2341" spans="1:27" ht="13.6">
      <c r="A2341" s="8"/>
      <c r="B2341" s="12"/>
      <c r="C2341" s="9"/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9"/>
      <c r="U2341" s="9"/>
      <c r="V2341" s="9"/>
      <c r="W2341" s="9"/>
      <c r="X2341" s="9"/>
      <c r="Y2341" s="9"/>
      <c r="Z2341" s="9"/>
      <c r="AA2341" s="9"/>
    </row>
    <row r="2342" spans="1:27" ht="13.6">
      <c r="A2342" s="8"/>
      <c r="B2342" s="12"/>
      <c r="C2342" s="9"/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9"/>
      <c r="U2342" s="9"/>
      <c r="V2342" s="9"/>
      <c r="W2342" s="9"/>
      <c r="X2342" s="9"/>
      <c r="Y2342" s="9"/>
      <c r="Z2342" s="9"/>
      <c r="AA2342" s="9"/>
    </row>
    <row r="2343" spans="1:27" ht="13.6">
      <c r="A2343" s="8"/>
      <c r="B2343" s="12"/>
      <c r="C2343" s="9"/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9"/>
      <c r="U2343" s="9"/>
      <c r="V2343" s="9"/>
      <c r="W2343" s="9"/>
      <c r="X2343" s="9"/>
      <c r="Y2343" s="9"/>
      <c r="Z2343" s="9"/>
      <c r="AA2343" s="9"/>
    </row>
    <row r="2344" spans="1:27" ht="13.6">
      <c r="A2344" s="8"/>
      <c r="B2344" s="12"/>
      <c r="C2344" s="9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9"/>
    </row>
    <row r="2345" spans="1:27" ht="13.6">
      <c r="A2345" s="8"/>
      <c r="B2345" s="12"/>
      <c r="C2345" s="9"/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9"/>
      <c r="U2345" s="9"/>
      <c r="V2345" s="9"/>
      <c r="W2345" s="9"/>
      <c r="X2345" s="9"/>
      <c r="Y2345" s="9"/>
      <c r="Z2345" s="9"/>
      <c r="AA2345" s="9"/>
    </row>
    <row r="2346" spans="1:27" ht="13.6">
      <c r="A2346" s="8"/>
      <c r="B2346" s="12"/>
      <c r="C2346" s="9"/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9"/>
      <c r="U2346" s="9"/>
      <c r="V2346" s="9"/>
      <c r="W2346" s="9"/>
      <c r="X2346" s="9"/>
      <c r="Y2346" s="9"/>
      <c r="Z2346" s="9"/>
      <c r="AA2346" s="9"/>
    </row>
    <row r="2347" spans="1:27" ht="13.6">
      <c r="A2347" s="8"/>
      <c r="B2347" s="12"/>
      <c r="C2347" s="9"/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9"/>
      <c r="U2347" s="9"/>
      <c r="V2347" s="9"/>
      <c r="W2347" s="9"/>
      <c r="X2347" s="9"/>
      <c r="Y2347" s="9"/>
      <c r="Z2347" s="9"/>
      <c r="AA2347" s="9"/>
    </row>
    <row r="2348" spans="1:27" ht="13.6">
      <c r="A2348" s="8"/>
      <c r="B2348" s="12"/>
      <c r="C2348" s="9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9"/>
    </row>
    <row r="2349" spans="1:27" ht="13.6">
      <c r="A2349" s="8"/>
      <c r="B2349" s="12"/>
      <c r="C2349" s="9"/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9"/>
      <c r="U2349" s="9"/>
      <c r="V2349" s="9"/>
      <c r="W2349" s="9"/>
      <c r="X2349" s="9"/>
      <c r="Y2349" s="9"/>
      <c r="Z2349" s="9"/>
      <c r="AA2349" s="9"/>
    </row>
    <row r="2350" spans="1:27" ht="13.6">
      <c r="A2350" s="8"/>
      <c r="B2350" s="12"/>
      <c r="C2350" s="9"/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9"/>
      <c r="U2350" s="9"/>
      <c r="V2350" s="9"/>
      <c r="W2350" s="9"/>
      <c r="X2350" s="9"/>
      <c r="Y2350" s="9"/>
      <c r="Z2350" s="9"/>
      <c r="AA2350" s="9"/>
    </row>
    <row r="2351" spans="1:27" ht="13.6">
      <c r="A2351" s="8"/>
      <c r="B2351" s="12"/>
      <c r="C2351" s="9"/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9"/>
      <c r="U2351" s="9"/>
      <c r="V2351" s="9"/>
      <c r="W2351" s="9"/>
      <c r="X2351" s="9"/>
      <c r="Y2351" s="9"/>
      <c r="Z2351" s="9"/>
      <c r="AA2351" s="9"/>
    </row>
    <row r="2352" spans="1:27" ht="13.6">
      <c r="A2352" s="8"/>
      <c r="B2352" s="12"/>
      <c r="C2352" s="9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9"/>
    </row>
    <row r="2353" spans="1:27" ht="13.6">
      <c r="A2353" s="8"/>
      <c r="B2353" s="12"/>
      <c r="C2353" s="9"/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9"/>
      <c r="U2353" s="9"/>
      <c r="V2353" s="9"/>
      <c r="W2353" s="9"/>
      <c r="X2353" s="9"/>
      <c r="Y2353" s="9"/>
      <c r="Z2353" s="9"/>
      <c r="AA2353" s="9"/>
    </row>
    <row r="2354" spans="1:27" ht="13.6">
      <c r="A2354" s="8"/>
      <c r="B2354" s="12"/>
      <c r="C2354" s="9"/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9"/>
      <c r="U2354" s="9"/>
      <c r="V2354" s="9"/>
      <c r="W2354" s="9"/>
      <c r="X2354" s="9"/>
      <c r="Y2354" s="9"/>
      <c r="Z2354" s="9"/>
      <c r="AA2354" s="9"/>
    </row>
    <row r="2355" spans="1:27" ht="13.6">
      <c r="A2355" s="8"/>
      <c r="B2355" s="12"/>
      <c r="C2355" s="9"/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9"/>
      <c r="U2355" s="9"/>
      <c r="V2355" s="9"/>
      <c r="W2355" s="9"/>
      <c r="X2355" s="9"/>
      <c r="Y2355" s="9"/>
      <c r="Z2355" s="9"/>
      <c r="AA2355" s="9"/>
    </row>
    <row r="2356" spans="1:27" ht="13.6">
      <c r="A2356" s="8"/>
      <c r="B2356" s="12"/>
      <c r="C2356" s="9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9"/>
    </row>
    <row r="2357" spans="1:27" ht="13.6">
      <c r="A2357" s="8"/>
      <c r="B2357" s="12"/>
      <c r="C2357" s="9"/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9"/>
      <c r="U2357" s="9"/>
      <c r="V2357" s="9"/>
      <c r="W2357" s="9"/>
      <c r="X2357" s="9"/>
      <c r="Y2357" s="9"/>
      <c r="Z2357" s="9"/>
      <c r="AA2357" s="9"/>
    </row>
    <row r="2358" spans="1:27" ht="13.6">
      <c r="A2358" s="8"/>
      <c r="B2358" s="12"/>
      <c r="C2358" s="9"/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9"/>
      <c r="U2358" s="9"/>
      <c r="V2358" s="9"/>
      <c r="W2358" s="9"/>
      <c r="X2358" s="9"/>
      <c r="Y2358" s="9"/>
      <c r="Z2358" s="9"/>
      <c r="AA2358" s="9"/>
    </row>
    <row r="2359" spans="1:27" ht="13.6">
      <c r="A2359" s="8"/>
      <c r="B2359" s="12"/>
      <c r="C2359" s="9"/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9"/>
      <c r="U2359" s="9"/>
      <c r="V2359" s="9"/>
      <c r="W2359" s="9"/>
      <c r="X2359" s="9"/>
      <c r="Y2359" s="9"/>
      <c r="Z2359" s="9"/>
      <c r="AA2359" s="9"/>
    </row>
    <row r="2360" spans="1:27" ht="13.6">
      <c r="A2360" s="8"/>
      <c r="B2360" s="12"/>
      <c r="C2360" s="9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9"/>
    </row>
    <row r="2361" spans="1:27" ht="13.6">
      <c r="A2361" s="8"/>
      <c r="B2361" s="12"/>
      <c r="C2361" s="9"/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9"/>
      <c r="U2361" s="9"/>
      <c r="V2361" s="9"/>
      <c r="W2361" s="9"/>
      <c r="X2361" s="9"/>
      <c r="Y2361" s="9"/>
      <c r="Z2361" s="9"/>
      <c r="AA2361" s="9"/>
    </row>
    <row r="2362" spans="1:27" ht="13.6">
      <c r="A2362" s="8"/>
      <c r="B2362" s="12"/>
      <c r="C2362" s="9"/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9"/>
      <c r="U2362" s="9"/>
      <c r="V2362" s="9"/>
      <c r="W2362" s="9"/>
      <c r="X2362" s="9"/>
      <c r="Y2362" s="9"/>
      <c r="Z2362" s="9"/>
      <c r="AA2362" s="9"/>
    </row>
    <row r="2363" spans="1:27" ht="13.6">
      <c r="A2363" s="8"/>
      <c r="B2363" s="12"/>
      <c r="C2363" s="9"/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9"/>
      <c r="U2363" s="9"/>
      <c r="V2363" s="9"/>
      <c r="W2363" s="9"/>
      <c r="X2363" s="9"/>
      <c r="Y2363" s="9"/>
      <c r="Z2363" s="9"/>
      <c r="AA2363" s="9"/>
    </row>
    <row r="2364" spans="1:27" ht="13.6">
      <c r="A2364" s="8"/>
      <c r="B2364" s="12"/>
      <c r="C2364" s="9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9"/>
    </row>
    <row r="2365" spans="1:27" ht="13.6">
      <c r="A2365" s="8"/>
      <c r="B2365" s="12"/>
      <c r="C2365" s="9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9"/>
    </row>
    <row r="2366" spans="1:27" ht="13.6">
      <c r="A2366" s="8"/>
      <c r="B2366" s="12"/>
      <c r="C2366" s="9"/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9"/>
      <c r="U2366" s="9"/>
      <c r="V2366" s="9"/>
      <c r="W2366" s="9"/>
      <c r="X2366" s="9"/>
      <c r="Y2366" s="9"/>
      <c r="Z2366" s="9"/>
      <c r="AA2366" s="9"/>
    </row>
    <row r="2367" spans="1:27" ht="13.6">
      <c r="A2367" s="8"/>
      <c r="B2367" s="12"/>
      <c r="C2367" s="9"/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9"/>
      <c r="U2367" s="9"/>
      <c r="V2367" s="9"/>
      <c r="W2367" s="9"/>
      <c r="X2367" s="9"/>
      <c r="Y2367" s="9"/>
      <c r="Z2367" s="9"/>
      <c r="AA2367" s="9"/>
    </row>
    <row r="2368" spans="1:27" ht="13.6">
      <c r="A2368" s="8"/>
      <c r="B2368" s="12"/>
      <c r="C2368" s="9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9"/>
    </row>
    <row r="2369" spans="1:27" ht="13.6">
      <c r="A2369" s="8"/>
      <c r="B2369" s="12"/>
      <c r="C2369" s="9"/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9"/>
      <c r="U2369" s="9"/>
      <c r="V2369" s="9"/>
      <c r="W2369" s="9"/>
      <c r="X2369" s="9"/>
      <c r="Y2369" s="9"/>
      <c r="Z2369" s="9"/>
      <c r="AA2369" s="9"/>
    </row>
    <row r="2370" spans="1:27" ht="13.6">
      <c r="A2370" s="8"/>
      <c r="B2370" s="12"/>
      <c r="C2370" s="9"/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9"/>
      <c r="U2370" s="9"/>
      <c r="V2370" s="9"/>
      <c r="W2370" s="9"/>
      <c r="X2370" s="9"/>
      <c r="Y2370" s="9"/>
      <c r="Z2370" s="9"/>
      <c r="AA2370" s="9"/>
    </row>
    <row r="2371" spans="1:27" ht="13.6">
      <c r="A2371" s="8"/>
      <c r="B2371" s="12"/>
      <c r="C2371" s="9"/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9"/>
      <c r="U2371" s="9"/>
      <c r="V2371" s="9"/>
      <c r="W2371" s="9"/>
      <c r="X2371" s="9"/>
      <c r="Y2371" s="9"/>
      <c r="Z2371" s="9"/>
      <c r="AA2371" s="9"/>
    </row>
    <row r="2372" spans="1:27" ht="13.6">
      <c r="A2372" s="8"/>
      <c r="B2372" s="12"/>
      <c r="C2372" s="9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9"/>
    </row>
    <row r="2373" spans="1:27" ht="13.6">
      <c r="A2373" s="8"/>
      <c r="B2373" s="12"/>
      <c r="C2373" s="9"/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9"/>
      <c r="U2373" s="9"/>
      <c r="V2373" s="9"/>
      <c r="W2373" s="9"/>
      <c r="X2373" s="9"/>
      <c r="Y2373" s="9"/>
      <c r="Z2373" s="9"/>
      <c r="AA2373" s="9"/>
    </row>
    <row r="2374" spans="1:27" ht="13.6">
      <c r="A2374" s="8"/>
      <c r="B2374" s="12"/>
      <c r="C2374" s="9"/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9"/>
      <c r="U2374" s="9"/>
      <c r="V2374" s="9"/>
      <c r="W2374" s="9"/>
      <c r="X2374" s="9"/>
      <c r="Y2374" s="9"/>
      <c r="Z2374" s="9"/>
      <c r="AA2374" s="9"/>
    </row>
    <row r="2375" spans="1:27" ht="13.6">
      <c r="A2375" s="8"/>
      <c r="B2375" s="12"/>
      <c r="C2375" s="9"/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9"/>
      <c r="U2375" s="9"/>
      <c r="V2375" s="9"/>
      <c r="W2375" s="9"/>
      <c r="X2375" s="9"/>
      <c r="Y2375" s="9"/>
      <c r="Z2375" s="9"/>
      <c r="AA2375" s="9"/>
    </row>
    <row r="2376" spans="1:27" ht="13.6">
      <c r="A2376" s="8"/>
      <c r="B2376" s="12"/>
      <c r="C2376" s="9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9"/>
    </row>
    <row r="2377" spans="1:27" ht="13.6">
      <c r="A2377" s="8"/>
      <c r="B2377" s="12"/>
      <c r="C2377" s="9"/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9"/>
      <c r="U2377" s="9"/>
      <c r="V2377" s="9"/>
      <c r="W2377" s="9"/>
      <c r="X2377" s="9"/>
      <c r="Y2377" s="9"/>
      <c r="Z2377" s="9"/>
      <c r="AA2377" s="9"/>
    </row>
    <row r="2378" spans="1:27" ht="13.6">
      <c r="A2378" s="8"/>
      <c r="B2378" s="12"/>
      <c r="C2378" s="9"/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9"/>
      <c r="U2378" s="9"/>
      <c r="V2378" s="9"/>
      <c r="W2378" s="9"/>
      <c r="X2378" s="9"/>
      <c r="Y2378" s="9"/>
      <c r="Z2378" s="9"/>
      <c r="AA2378" s="9"/>
    </row>
    <row r="2379" spans="1:27" ht="13.6">
      <c r="A2379" s="8"/>
      <c r="B2379" s="12"/>
      <c r="C2379" s="9"/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9"/>
      <c r="U2379" s="9"/>
      <c r="V2379" s="9"/>
      <c r="W2379" s="9"/>
      <c r="X2379" s="9"/>
      <c r="Y2379" s="9"/>
      <c r="Z2379" s="9"/>
      <c r="AA2379" s="9"/>
    </row>
    <row r="2380" spans="1:27" ht="13.6">
      <c r="A2380" s="8"/>
      <c r="B2380" s="12"/>
      <c r="C2380" s="9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9"/>
    </row>
    <row r="2381" spans="1:27" ht="13.6">
      <c r="A2381" s="8"/>
      <c r="B2381" s="12"/>
      <c r="C2381" s="9"/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9"/>
      <c r="U2381" s="9"/>
      <c r="V2381" s="9"/>
      <c r="W2381" s="9"/>
      <c r="X2381" s="9"/>
      <c r="Y2381" s="9"/>
      <c r="Z2381" s="9"/>
      <c r="AA2381" s="9"/>
    </row>
    <row r="2382" spans="1:27" ht="13.6">
      <c r="A2382" s="8"/>
      <c r="B2382" s="12"/>
      <c r="C2382" s="9"/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9"/>
      <c r="U2382" s="9"/>
      <c r="V2382" s="9"/>
      <c r="W2382" s="9"/>
      <c r="X2382" s="9"/>
      <c r="Y2382" s="9"/>
      <c r="Z2382" s="9"/>
      <c r="AA2382" s="9"/>
    </row>
    <row r="2383" spans="1:27" ht="13.6">
      <c r="A2383" s="8"/>
      <c r="B2383" s="12"/>
      <c r="C2383" s="9"/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9"/>
      <c r="U2383" s="9"/>
      <c r="V2383" s="9"/>
      <c r="W2383" s="9"/>
      <c r="X2383" s="9"/>
      <c r="Y2383" s="9"/>
      <c r="Z2383" s="9"/>
      <c r="AA2383" s="9"/>
    </row>
    <row r="2384" spans="1:27" ht="13.6">
      <c r="A2384" s="8"/>
      <c r="B2384" s="12"/>
      <c r="C2384" s="9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9"/>
    </row>
    <row r="2385" spans="1:27" ht="13.6">
      <c r="A2385" s="8"/>
      <c r="B2385" s="12"/>
      <c r="C2385" s="9"/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9"/>
      <c r="U2385" s="9"/>
      <c r="V2385" s="9"/>
      <c r="W2385" s="9"/>
      <c r="X2385" s="9"/>
      <c r="Y2385" s="9"/>
      <c r="Z2385" s="9"/>
      <c r="AA2385" s="9"/>
    </row>
    <row r="2386" spans="1:27" ht="13.6">
      <c r="A2386" s="8"/>
      <c r="B2386" s="12"/>
      <c r="C2386" s="9"/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9"/>
      <c r="U2386" s="9"/>
      <c r="V2386" s="9"/>
      <c r="W2386" s="9"/>
      <c r="X2386" s="9"/>
      <c r="Y2386" s="9"/>
      <c r="Z2386" s="9"/>
      <c r="AA2386" s="9"/>
    </row>
    <row r="2387" spans="1:27" ht="13.6">
      <c r="A2387" s="8"/>
      <c r="B2387" s="12"/>
      <c r="C2387" s="9"/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9"/>
      <c r="U2387" s="9"/>
      <c r="V2387" s="9"/>
      <c r="W2387" s="9"/>
      <c r="X2387" s="9"/>
      <c r="Y2387" s="9"/>
      <c r="Z2387" s="9"/>
      <c r="AA2387" s="9"/>
    </row>
    <row r="2388" spans="1:27" ht="13.6">
      <c r="A2388" s="8"/>
      <c r="B2388" s="12"/>
      <c r="C2388" s="9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9"/>
    </row>
    <row r="2389" spans="1:27" ht="13.6">
      <c r="A2389" s="8"/>
      <c r="B2389" s="12"/>
      <c r="C2389" s="9"/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9"/>
      <c r="U2389" s="9"/>
      <c r="V2389" s="9"/>
      <c r="W2389" s="9"/>
      <c r="X2389" s="9"/>
      <c r="Y2389" s="9"/>
      <c r="Z2389" s="9"/>
      <c r="AA2389" s="9"/>
    </row>
    <row r="2390" spans="1:27" ht="13.6">
      <c r="A2390" s="8"/>
      <c r="B2390" s="12"/>
      <c r="C2390" s="9"/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9"/>
      <c r="U2390" s="9"/>
      <c r="V2390" s="9"/>
      <c r="W2390" s="9"/>
      <c r="X2390" s="9"/>
      <c r="Y2390" s="9"/>
      <c r="Z2390" s="9"/>
      <c r="AA2390" s="9"/>
    </row>
    <row r="2391" spans="1:27" ht="13.6">
      <c r="A2391" s="8"/>
      <c r="B2391" s="12"/>
      <c r="C2391" s="9"/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9"/>
      <c r="U2391" s="9"/>
      <c r="V2391" s="9"/>
      <c r="W2391" s="9"/>
      <c r="X2391" s="9"/>
      <c r="Y2391" s="9"/>
      <c r="Z2391" s="9"/>
      <c r="AA2391" s="9"/>
    </row>
    <row r="2392" spans="1:27" ht="13.6">
      <c r="A2392" s="8"/>
      <c r="B2392" s="12"/>
      <c r="C2392" s="9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9"/>
    </row>
    <row r="2393" spans="1:27" ht="13.6">
      <c r="A2393" s="8"/>
      <c r="B2393" s="12"/>
      <c r="C2393" s="9"/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9"/>
      <c r="U2393" s="9"/>
      <c r="V2393" s="9"/>
      <c r="W2393" s="9"/>
      <c r="X2393" s="9"/>
      <c r="Y2393" s="9"/>
      <c r="Z2393" s="9"/>
      <c r="AA2393" s="9"/>
    </row>
    <row r="2394" spans="1:27" ht="13.6">
      <c r="A2394" s="8"/>
      <c r="B2394" s="12"/>
      <c r="C2394" s="9"/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9"/>
      <c r="U2394" s="9"/>
      <c r="V2394" s="9"/>
      <c r="W2394" s="9"/>
      <c r="X2394" s="9"/>
      <c r="Y2394" s="9"/>
      <c r="Z2394" s="9"/>
      <c r="AA2394" s="9"/>
    </row>
    <row r="2395" spans="1:27" ht="13.6">
      <c r="A2395" s="8"/>
      <c r="B2395" s="12"/>
      <c r="C2395" s="9"/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9"/>
      <c r="U2395" s="9"/>
      <c r="V2395" s="9"/>
      <c r="W2395" s="9"/>
      <c r="X2395" s="9"/>
      <c r="Y2395" s="9"/>
      <c r="Z2395" s="9"/>
      <c r="AA2395" s="9"/>
    </row>
    <row r="2396" spans="1:27" ht="13.6">
      <c r="A2396" s="8"/>
      <c r="B2396" s="12"/>
      <c r="C2396" s="9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9"/>
    </row>
    <row r="2397" spans="1:27" ht="13.6">
      <c r="A2397" s="8"/>
      <c r="B2397" s="12"/>
      <c r="C2397" s="9"/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9"/>
      <c r="U2397" s="9"/>
      <c r="V2397" s="9"/>
      <c r="W2397" s="9"/>
      <c r="X2397" s="9"/>
      <c r="Y2397" s="9"/>
      <c r="Z2397" s="9"/>
      <c r="AA2397" s="9"/>
    </row>
    <row r="2398" spans="1:27" ht="13.6">
      <c r="A2398" s="8"/>
      <c r="B2398" s="12"/>
      <c r="C2398" s="9"/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9"/>
      <c r="U2398" s="9"/>
      <c r="V2398" s="9"/>
      <c r="W2398" s="9"/>
      <c r="X2398" s="9"/>
      <c r="Y2398" s="9"/>
      <c r="Z2398" s="9"/>
      <c r="AA2398" s="9"/>
    </row>
    <row r="2399" spans="1:27" ht="13.6">
      <c r="A2399" s="8"/>
      <c r="B2399" s="12"/>
      <c r="C2399" s="9"/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9"/>
      <c r="U2399" s="9"/>
      <c r="V2399" s="9"/>
      <c r="W2399" s="9"/>
      <c r="X2399" s="9"/>
      <c r="Y2399" s="9"/>
      <c r="Z2399" s="9"/>
      <c r="AA2399" s="9"/>
    </row>
    <row r="2400" spans="1:27" ht="13.6">
      <c r="A2400" s="8"/>
      <c r="B2400" s="12"/>
      <c r="C2400" s="9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9"/>
    </row>
    <row r="2401" spans="1:27" ht="13.6">
      <c r="A2401" s="8"/>
      <c r="B2401" s="12"/>
      <c r="C2401" s="9"/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9"/>
      <c r="U2401" s="9"/>
      <c r="V2401" s="9"/>
      <c r="W2401" s="9"/>
      <c r="X2401" s="9"/>
      <c r="Y2401" s="9"/>
      <c r="Z2401" s="9"/>
      <c r="AA2401" s="9"/>
    </row>
    <row r="2402" spans="1:27" ht="13.6">
      <c r="A2402" s="8"/>
      <c r="B2402" s="12"/>
      <c r="C2402" s="9"/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9"/>
      <c r="U2402" s="9"/>
      <c r="V2402" s="9"/>
      <c r="W2402" s="9"/>
      <c r="X2402" s="9"/>
      <c r="Y2402" s="9"/>
      <c r="Z2402" s="9"/>
      <c r="AA2402" s="9"/>
    </row>
    <row r="2403" spans="1:27" ht="13.6">
      <c r="A2403" s="8"/>
      <c r="B2403" s="12"/>
      <c r="C2403" s="9"/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9"/>
      <c r="U2403" s="9"/>
      <c r="V2403" s="9"/>
      <c r="W2403" s="9"/>
      <c r="X2403" s="9"/>
      <c r="Y2403" s="9"/>
      <c r="Z2403" s="9"/>
      <c r="AA2403" s="9"/>
    </row>
    <row r="2404" spans="1:27" ht="13.6">
      <c r="A2404" s="8"/>
      <c r="B2404" s="12"/>
      <c r="C2404" s="9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9"/>
    </row>
    <row r="2405" spans="1:27" ht="13.6">
      <c r="A2405" s="8"/>
      <c r="B2405" s="12"/>
      <c r="C2405" s="9"/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9"/>
      <c r="U2405" s="9"/>
      <c r="V2405" s="9"/>
      <c r="W2405" s="9"/>
      <c r="X2405" s="9"/>
      <c r="Y2405" s="9"/>
      <c r="Z2405" s="9"/>
      <c r="AA2405" s="9"/>
    </row>
    <row r="2406" spans="1:27" ht="13.6">
      <c r="A2406" s="8"/>
      <c r="B2406" s="12"/>
      <c r="C2406" s="9"/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9"/>
      <c r="U2406" s="9"/>
      <c r="V2406" s="9"/>
      <c r="W2406" s="9"/>
      <c r="X2406" s="9"/>
      <c r="Y2406" s="9"/>
      <c r="Z2406" s="9"/>
      <c r="AA2406" s="9"/>
    </row>
    <row r="2407" spans="1:27" ht="13.6">
      <c r="A2407" s="8"/>
      <c r="B2407" s="12"/>
      <c r="C2407" s="9"/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9"/>
      <c r="U2407" s="9"/>
      <c r="V2407" s="9"/>
      <c r="W2407" s="9"/>
      <c r="X2407" s="9"/>
      <c r="Y2407" s="9"/>
      <c r="Z2407" s="9"/>
      <c r="AA2407" s="9"/>
    </row>
    <row r="2408" spans="1:27" ht="13.6">
      <c r="A2408" s="8"/>
      <c r="B2408" s="12"/>
      <c r="C2408" s="9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9"/>
    </row>
    <row r="2409" spans="1:27" ht="13.6">
      <c r="A2409" s="8"/>
      <c r="B2409" s="12"/>
      <c r="C2409" s="9"/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9"/>
      <c r="U2409" s="9"/>
      <c r="V2409" s="9"/>
      <c r="W2409" s="9"/>
      <c r="X2409" s="9"/>
      <c r="Y2409" s="9"/>
      <c r="Z2409" s="9"/>
      <c r="AA2409" s="9"/>
    </row>
    <row r="2410" spans="1:27" ht="13.6">
      <c r="A2410" s="8"/>
      <c r="B2410" s="12"/>
      <c r="C2410" s="9"/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9"/>
      <c r="U2410" s="9"/>
      <c r="V2410" s="9"/>
      <c r="W2410" s="9"/>
      <c r="X2410" s="9"/>
      <c r="Y2410" s="9"/>
      <c r="Z2410" s="9"/>
      <c r="AA2410" s="9"/>
    </row>
    <row r="2411" spans="1:27" ht="13.6">
      <c r="A2411" s="8"/>
      <c r="B2411" s="12"/>
      <c r="C2411" s="9"/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9"/>
      <c r="U2411" s="9"/>
      <c r="V2411" s="9"/>
      <c r="W2411" s="9"/>
      <c r="X2411" s="9"/>
      <c r="Y2411" s="9"/>
      <c r="Z2411" s="9"/>
      <c r="AA2411" s="9"/>
    </row>
    <row r="2412" spans="1:27" ht="13.6">
      <c r="A2412" s="8"/>
      <c r="B2412" s="12"/>
      <c r="C2412" s="9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9"/>
    </row>
    <row r="2413" spans="1:27" ht="13.6">
      <c r="A2413" s="8"/>
      <c r="B2413" s="12"/>
      <c r="C2413" s="9"/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9"/>
      <c r="U2413" s="9"/>
      <c r="V2413" s="9"/>
      <c r="W2413" s="9"/>
      <c r="X2413" s="9"/>
      <c r="Y2413" s="9"/>
      <c r="Z2413" s="9"/>
      <c r="AA2413" s="9"/>
    </row>
    <row r="2414" spans="1:27" ht="13.6">
      <c r="A2414" s="8"/>
      <c r="B2414" s="12"/>
      <c r="C2414" s="9"/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9"/>
      <c r="U2414" s="9"/>
      <c r="V2414" s="9"/>
      <c r="W2414" s="9"/>
      <c r="X2414" s="9"/>
      <c r="Y2414" s="9"/>
      <c r="Z2414" s="9"/>
      <c r="AA2414" s="9"/>
    </row>
    <row r="2415" spans="1:27" ht="13.6">
      <c r="A2415" s="8"/>
      <c r="B2415" s="12"/>
      <c r="C2415" s="9"/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9"/>
      <c r="U2415" s="9"/>
      <c r="V2415" s="9"/>
      <c r="W2415" s="9"/>
      <c r="X2415" s="9"/>
      <c r="Y2415" s="9"/>
      <c r="Z2415" s="9"/>
      <c r="AA2415" s="9"/>
    </row>
    <row r="2416" spans="1:27" ht="13.6">
      <c r="A2416" s="8"/>
      <c r="B2416" s="12"/>
      <c r="C2416" s="9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9"/>
    </row>
    <row r="2417" spans="1:27" ht="13.6">
      <c r="A2417" s="8"/>
      <c r="B2417" s="12"/>
      <c r="C2417" s="9"/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9"/>
      <c r="U2417" s="9"/>
      <c r="V2417" s="9"/>
      <c r="W2417" s="9"/>
      <c r="X2417" s="9"/>
      <c r="Y2417" s="9"/>
      <c r="Z2417" s="9"/>
      <c r="AA2417" s="9"/>
    </row>
    <row r="2418" spans="1:27" ht="13.6">
      <c r="A2418" s="8"/>
      <c r="B2418" s="12"/>
      <c r="C2418" s="9"/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9"/>
      <c r="U2418" s="9"/>
      <c r="V2418" s="9"/>
      <c r="W2418" s="9"/>
      <c r="X2418" s="9"/>
      <c r="Y2418" s="9"/>
      <c r="Z2418" s="9"/>
      <c r="AA2418" s="9"/>
    </row>
    <row r="2419" spans="1:27" ht="13.6">
      <c r="A2419" s="8"/>
      <c r="B2419" s="12"/>
      <c r="C2419" s="9"/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9"/>
      <c r="U2419" s="9"/>
      <c r="V2419" s="9"/>
      <c r="W2419" s="9"/>
      <c r="X2419" s="9"/>
      <c r="Y2419" s="9"/>
      <c r="Z2419" s="9"/>
      <c r="AA2419" s="9"/>
    </row>
    <row r="2420" spans="1:27" ht="13.6">
      <c r="A2420" s="8"/>
      <c r="B2420" s="12"/>
      <c r="C2420" s="9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9"/>
    </row>
    <row r="2421" spans="1:27" ht="13.6">
      <c r="A2421" s="8"/>
      <c r="B2421" s="12"/>
      <c r="C2421" s="9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9"/>
      <c r="U2421" s="9"/>
      <c r="V2421" s="9"/>
      <c r="W2421" s="9"/>
      <c r="X2421" s="9"/>
      <c r="Y2421" s="9"/>
      <c r="Z2421" s="9"/>
      <c r="AA2421" s="9"/>
    </row>
    <row r="2422" spans="1:27" ht="13.6">
      <c r="A2422" s="8"/>
      <c r="B2422" s="12"/>
      <c r="C2422" s="9"/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9"/>
      <c r="U2422" s="9"/>
      <c r="V2422" s="9"/>
      <c r="W2422" s="9"/>
      <c r="X2422" s="9"/>
      <c r="Y2422" s="9"/>
      <c r="Z2422" s="9"/>
      <c r="AA2422" s="9"/>
    </row>
    <row r="2423" spans="1:27" ht="13.6">
      <c r="A2423" s="8"/>
      <c r="B2423" s="12"/>
      <c r="C2423" s="9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9"/>
      <c r="U2423" s="9"/>
      <c r="V2423" s="9"/>
      <c r="W2423" s="9"/>
      <c r="X2423" s="9"/>
      <c r="Y2423" s="9"/>
      <c r="Z2423" s="9"/>
      <c r="AA2423" s="9"/>
    </row>
    <row r="2424" spans="1:27" ht="13.6">
      <c r="A2424" s="8"/>
      <c r="B2424" s="12"/>
      <c r="C2424" s="9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9"/>
    </row>
    <row r="2425" spans="1:27" ht="13.6">
      <c r="A2425" s="8"/>
      <c r="B2425" s="12"/>
      <c r="C2425" s="9"/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9"/>
      <c r="U2425" s="9"/>
      <c r="V2425" s="9"/>
      <c r="W2425" s="9"/>
      <c r="X2425" s="9"/>
      <c r="Y2425" s="9"/>
      <c r="Z2425" s="9"/>
      <c r="AA2425" s="9"/>
    </row>
    <row r="2426" spans="1:27" ht="13.6">
      <c r="A2426" s="8"/>
      <c r="B2426" s="12"/>
      <c r="C2426" s="9"/>
      <c r="D2426" s="9"/>
      <c r="E2426" s="9"/>
      <c r="F2426" s="9"/>
      <c r="G2426" s="9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9"/>
      <c r="U2426" s="9"/>
      <c r="V2426" s="9"/>
      <c r="W2426" s="9"/>
      <c r="X2426" s="9"/>
      <c r="Y2426" s="9"/>
      <c r="Z2426" s="9"/>
      <c r="AA2426" s="9"/>
    </row>
    <row r="2427" spans="1:27" ht="13.6">
      <c r="A2427" s="8"/>
      <c r="B2427" s="12"/>
      <c r="C2427" s="9"/>
      <c r="D2427" s="9"/>
      <c r="E2427" s="9"/>
      <c r="F2427" s="9"/>
      <c r="G2427" s="9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9"/>
      <c r="U2427" s="9"/>
      <c r="V2427" s="9"/>
      <c r="W2427" s="9"/>
      <c r="X2427" s="9"/>
      <c r="Y2427" s="9"/>
      <c r="Z2427" s="9"/>
      <c r="AA2427" s="9"/>
    </row>
    <row r="2428" spans="1:27" ht="13.6">
      <c r="A2428" s="8"/>
      <c r="B2428" s="12"/>
      <c r="C2428" s="9"/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9"/>
    </row>
    <row r="2429" spans="1:27" ht="13.6">
      <c r="A2429" s="8"/>
      <c r="B2429" s="12"/>
      <c r="C2429" s="9"/>
      <c r="D2429" s="9"/>
      <c r="E2429" s="9"/>
      <c r="F2429" s="9"/>
      <c r="G2429" s="9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9"/>
      <c r="U2429" s="9"/>
      <c r="V2429" s="9"/>
      <c r="W2429" s="9"/>
      <c r="X2429" s="9"/>
      <c r="Y2429" s="9"/>
      <c r="Z2429" s="9"/>
      <c r="AA2429" s="9"/>
    </row>
    <row r="2430" spans="1:27" ht="13.6">
      <c r="A2430" s="8"/>
      <c r="B2430" s="12"/>
      <c r="C2430" s="9"/>
      <c r="D2430" s="9"/>
      <c r="E2430" s="9"/>
      <c r="F2430" s="9"/>
      <c r="G2430" s="9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9"/>
      <c r="U2430" s="9"/>
      <c r="V2430" s="9"/>
      <c r="W2430" s="9"/>
      <c r="X2430" s="9"/>
      <c r="Y2430" s="9"/>
      <c r="Z2430" s="9"/>
      <c r="AA2430" s="9"/>
    </row>
    <row r="2431" spans="1:27" ht="13.6">
      <c r="A2431" s="8"/>
      <c r="B2431" s="12"/>
      <c r="C2431" s="9"/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9"/>
      <c r="U2431" s="9"/>
      <c r="V2431" s="9"/>
      <c r="W2431" s="9"/>
      <c r="X2431" s="9"/>
      <c r="Y2431" s="9"/>
      <c r="Z2431" s="9"/>
      <c r="AA2431" s="9"/>
    </row>
    <row r="2432" spans="1:27" ht="13.6">
      <c r="A2432" s="8"/>
      <c r="B2432" s="12"/>
      <c r="C2432" s="9"/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9"/>
    </row>
    <row r="2433" spans="1:27" ht="13.6">
      <c r="A2433" s="8"/>
      <c r="B2433" s="12"/>
      <c r="C2433" s="9"/>
      <c r="D2433" s="9"/>
      <c r="E2433" s="9"/>
      <c r="F2433" s="9"/>
      <c r="G2433" s="9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9"/>
      <c r="U2433" s="9"/>
      <c r="V2433" s="9"/>
      <c r="W2433" s="9"/>
      <c r="X2433" s="9"/>
      <c r="Y2433" s="9"/>
      <c r="Z2433" s="9"/>
      <c r="AA2433" s="9"/>
    </row>
    <row r="2434" spans="1:27" ht="13.6">
      <c r="A2434" s="8"/>
      <c r="B2434" s="12"/>
      <c r="C2434" s="9"/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9"/>
      <c r="U2434" s="9"/>
      <c r="V2434" s="9"/>
      <c r="W2434" s="9"/>
      <c r="X2434" s="9"/>
      <c r="Y2434" s="9"/>
      <c r="Z2434" s="9"/>
      <c r="AA2434" s="9"/>
    </row>
    <row r="2435" spans="1:27" ht="13.6">
      <c r="A2435" s="8"/>
      <c r="B2435" s="12"/>
      <c r="C2435" s="9"/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9"/>
      <c r="U2435" s="9"/>
      <c r="V2435" s="9"/>
      <c r="W2435" s="9"/>
      <c r="X2435" s="9"/>
      <c r="Y2435" s="9"/>
      <c r="Z2435" s="9"/>
      <c r="AA2435" s="9"/>
    </row>
    <row r="2436" spans="1:27" ht="13.6">
      <c r="A2436" s="8"/>
      <c r="B2436" s="12"/>
      <c r="C2436" s="9"/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9"/>
    </row>
    <row r="2437" spans="1:27" ht="13.6">
      <c r="A2437" s="8"/>
      <c r="B2437" s="12"/>
      <c r="C2437" s="9"/>
      <c r="D2437" s="9"/>
      <c r="E2437" s="9"/>
      <c r="F2437" s="9"/>
      <c r="G2437" s="9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9"/>
      <c r="U2437" s="9"/>
      <c r="V2437" s="9"/>
      <c r="W2437" s="9"/>
      <c r="X2437" s="9"/>
      <c r="Y2437" s="9"/>
      <c r="Z2437" s="9"/>
      <c r="AA2437" s="9"/>
    </row>
    <row r="2438" spans="1:27" ht="13.6">
      <c r="A2438" s="8"/>
      <c r="B2438" s="12"/>
      <c r="C2438" s="9"/>
      <c r="D2438" s="9"/>
      <c r="E2438" s="9"/>
      <c r="F2438" s="9"/>
      <c r="G2438" s="9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9"/>
      <c r="U2438" s="9"/>
      <c r="V2438" s="9"/>
      <c r="W2438" s="9"/>
      <c r="X2438" s="9"/>
      <c r="Y2438" s="9"/>
      <c r="Z2438" s="9"/>
      <c r="AA2438" s="9"/>
    </row>
    <row r="2439" spans="1:27" ht="13.6">
      <c r="A2439" s="8"/>
      <c r="B2439" s="12"/>
      <c r="C2439" s="9"/>
      <c r="D2439" s="9"/>
      <c r="E2439" s="9"/>
      <c r="F2439" s="9"/>
      <c r="G2439" s="9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9"/>
      <c r="U2439" s="9"/>
      <c r="V2439" s="9"/>
      <c r="W2439" s="9"/>
      <c r="X2439" s="9"/>
      <c r="Y2439" s="9"/>
      <c r="Z2439" s="9"/>
      <c r="AA2439" s="9"/>
    </row>
    <row r="2440" spans="1:27" ht="13.6">
      <c r="A2440" s="8"/>
      <c r="B2440" s="12"/>
      <c r="C2440" s="9"/>
      <c r="D2440" s="9"/>
      <c r="E2440" s="9"/>
      <c r="F2440" s="9"/>
      <c r="G2440" s="9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9"/>
    </row>
    <row r="2441" spans="1:27" ht="13.6">
      <c r="A2441" s="8"/>
      <c r="B2441" s="12"/>
      <c r="C2441" s="9"/>
      <c r="D2441" s="9"/>
      <c r="E2441" s="9"/>
      <c r="F2441" s="9"/>
      <c r="G2441" s="9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9"/>
      <c r="U2441" s="9"/>
      <c r="V2441" s="9"/>
      <c r="W2441" s="9"/>
      <c r="X2441" s="9"/>
      <c r="Y2441" s="9"/>
      <c r="Z2441" s="9"/>
      <c r="AA2441" s="9"/>
    </row>
    <row r="2442" spans="1:27" ht="13.6">
      <c r="A2442" s="8"/>
      <c r="B2442" s="12"/>
      <c r="C2442" s="9"/>
      <c r="D2442" s="9"/>
      <c r="E2442" s="9"/>
      <c r="F2442" s="9"/>
      <c r="G2442" s="9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9"/>
      <c r="U2442" s="9"/>
      <c r="V2442" s="9"/>
      <c r="W2442" s="9"/>
      <c r="X2442" s="9"/>
      <c r="Y2442" s="9"/>
      <c r="Z2442" s="9"/>
      <c r="AA2442" s="9"/>
    </row>
    <row r="2443" spans="1:27" ht="13.6">
      <c r="A2443" s="8"/>
      <c r="B2443" s="12"/>
      <c r="C2443" s="9"/>
      <c r="D2443" s="9"/>
      <c r="E2443" s="9"/>
      <c r="F2443" s="9"/>
      <c r="G2443" s="9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9"/>
      <c r="U2443" s="9"/>
      <c r="V2443" s="9"/>
      <c r="W2443" s="9"/>
      <c r="X2443" s="9"/>
      <c r="Y2443" s="9"/>
      <c r="Z2443" s="9"/>
      <c r="AA2443" s="9"/>
    </row>
    <row r="2444" spans="1:27" ht="13.6">
      <c r="A2444" s="8"/>
      <c r="B2444" s="12"/>
      <c r="C2444" s="9"/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9"/>
    </row>
    <row r="2445" spans="1:27" ht="13.6">
      <c r="A2445" s="8"/>
      <c r="B2445" s="12"/>
      <c r="C2445" s="9"/>
      <c r="D2445" s="9"/>
      <c r="E2445" s="9"/>
      <c r="F2445" s="9"/>
      <c r="G2445" s="9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9"/>
      <c r="U2445" s="9"/>
      <c r="V2445" s="9"/>
      <c r="W2445" s="9"/>
      <c r="X2445" s="9"/>
      <c r="Y2445" s="9"/>
      <c r="Z2445" s="9"/>
      <c r="AA2445" s="9"/>
    </row>
    <row r="2446" spans="1:27" ht="13.6">
      <c r="A2446" s="8"/>
      <c r="B2446" s="12"/>
      <c r="C2446" s="9"/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9"/>
      <c r="U2446" s="9"/>
      <c r="V2446" s="9"/>
      <c r="W2446" s="9"/>
      <c r="X2446" s="9"/>
      <c r="Y2446" s="9"/>
      <c r="Z2446" s="9"/>
      <c r="AA2446" s="9"/>
    </row>
    <row r="2447" spans="1:27" ht="13.6">
      <c r="A2447" s="8"/>
      <c r="B2447" s="12"/>
      <c r="C2447" s="9"/>
      <c r="D2447" s="9"/>
      <c r="E2447" s="9"/>
      <c r="F2447" s="9"/>
      <c r="G2447" s="9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9"/>
      <c r="U2447" s="9"/>
      <c r="V2447" s="9"/>
      <c r="W2447" s="9"/>
      <c r="X2447" s="9"/>
      <c r="Y2447" s="9"/>
      <c r="Z2447" s="9"/>
      <c r="AA2447" s="9"/>
    </row>
    <row r="2448" spans="1:27" ht="13.6">
      <c r="A2448" s="8"/>
      <c r="B2448" s="12"/>
      <c r="C2448" s="9"/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9"/>
    </row>
    <row r="2449" spans="1:27" ht="13.6">
      <c r="A2449" s="8"/>
      <c r="B2449" s="12"/>
      <c r="C2449" s="9"/>
      <c r="D2449" s="9"/>
      <c r="E2449" s="9"/>
      <c r="F2449" s="9"/>
      <c r="G2449" s="9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9"/>
      <c r="U2449" s="9"/>
      <c r="V2449" s="9"/>
      <c r="W2449" s="9"/>
      <c r="X2449" s="9"/>
      <c r="Y2449" s="9"/>
      <c r="Z2449" s="9"/>
      <c r="AA2449" s="9"/>
    </row>
    <row r="2450" spans="1:27" ht="13.6">
      <c r="A2450" s="8"/>
      <c r="B2450" s="12"/>
      <c r="C2450" s="9"/>
      <c r="D2450" s="9"/>
      <c r="E2450" s="9"/>
      <c r="F2450" s="9"/>
      <c r="G2450" s="9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9"/>
      <c r="U2450" s="9"/>
      <c r="V2450" s="9"/>
      <c r="W2450" s="9"/>
      <c r="X2450" s="9"/>
      <c r="Y2450" s="9"/>
      <c r="Z2450" s="9"/>
      <c r="AA2450" s="9"/>
    </row>
    <row r="2451" spans="1:27" ht="13.6">
      <c r="A2451" s="8"/>
      <c r="B2451" s="12"/>
      <c r="C2451" s="9"/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9"/>
    </row>
    <row r="2452" spans="1:27" ht="13.6">
      <c r="A2452" s="8"/>
      <c r="B2452" s="12"/>
      <c r="C2452" s="9"/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9"/>
    </row>
    <row r="2453" spans="1:27" ht="13.6">
      <c r="A2453" s="8"/>
      <c r="B2453" s="12"/>
      <c r="C2453" s="9"/>
      <c r="D2453" s="9"/>
      <c r="E2453" s="9"/>
      <c r="F2453" s="9"/>
      <c r="G2453" s="9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9"/>
      <c r="U2453" s="9"/>
      <c r="V2453" s="9"/>
      <c r="W2453" s="9"/>
      <c r="X2453" s="9"/>
      <c r="Y2453" s="9"/>
      <c r="Z2453" s="9"/>
      <c r="AA2453" s="9"/>
    </row>
    <row r="2454" spans="1:27" ht="13.6">
      <c r="A2454" s="8"/>
      <c r="B2454" s="12"/>
      <c r="C2454" s="9"/>
      <c r="D2454" s="9"/>
      <c r="E2454" s="9"/>
      <c r="F2454" s="9"/>
      <c r="G2454" s="9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9"/>
      <c r="U2454" s="9"/>
      <c r="V2454" s="9"/>
      <c r="W2454" s="9"/>
      <c r="X2454" s="9"/>
      <c r="Y2454" s="9"/>
      <c r="Z2454" s="9"/>
      <c r="AA2454" s="9"/>
    </row>
    <row r="2455" spans="1:27" ht="13.6">
      <c r="A2455" s="8"/>
      <c r="B2455" s="12"/>
      <c r="C2455" s="9"/>
      <c r="D2455" s="9"/>
      <c r="E2455" s="9"/>
      <c r="F2455" s="9"/>
      <c r="G2455" s="9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9"/>
      <c r="U2455" s="9"/>
      <c r="V2455" s="9"/>
      <c r="W2455" s="9"/>
      <c r="X2455" s="9"/>
      <c r="Y2455" s="9"/>
      <c r="Z2455" s="9"/>
      <c r="AA2455" s="9"/>
    </row>
    <row r="2456" spans="1:27" ht="13.6">
      <c r="A2456" s="8"/>
      <c r="B2456" s="12"/>
      <c r="C2456" s="9"/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9"/>
    </row>
    <row r="2457" spans="1:27" ht="13.6">
      <c r="A2457" s="8"/>
      <c r="B2457" s="12"/>
      <c r="C2457" s="9"/>
      <c r="D2457" s="9"/>
      <c r="E2457" s="9"/>
      <c r="F2457" s="9"/>
      <c r="G2457" s="9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9"/>
      <c r="U2457" s="9"/>
      <c r="V2457" s="9"/>
      <c r="W2457" s="9"/>
      <c r="X2457" s="9"/>
      <c r="Y2457" s="9"/>
      <c r="Z2457" s="9"/>
      <c r="AA2457" s="9"/>
    </row>
    <row r="2458" spans="1:27" ht="13.6">
      <c r="A2458" s="8"/>
      <c r="B2458" s="12"/>
      <c r="C2458" s="9"/>
      <c r="D2458" s="9"/>
      <c r="E2458" s="9"/>
      <c r="F2458" s="9"/>
      <c r="G2458" s="9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9"/>
      <c r="U2458" s="9"/>
      <c r="V2458" s="9"/>
      <c r="W2458" s="9"/>
      <c r="X2458" s="9"/>
      <c r="Y2458" s="9"/>
      <c r="Z2458" s="9"/>
      <c r="AA2458" s="9"/>
    </row>
    <row r="2459" spans="1:27" ht="13.6">
      <c r="A2459" s="8"/>
      <c r="B2459" s="12"/>
      <c r="C2459" s="9"/>
      <c r="D2459" s="9"/>
      <c r="E2459" s="9"/>
      <c r="F2459" s="9"/>
      <c r="G2459" s="9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9"/>
      <c r="U2459" s="9"/>
      <c r="V2459" s="9"/>
      <c r="W2459" s="9"/>
      <c r="X2459" s="9"/>
      <c r="Y2459" s="9"/>
      <c r="Z2459" s="9"/>
      <c r="AA2459" s="9"/>
    </row>
    <row r="2460" spans="1:27" ht="13.6">
      <c r="A2460" s="8"/>
      <c r="B2460" s="12"/>
      <c r="C2460" s="9"/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9"/>
    </row>
    <row r="2461" spans="1:27" ht="13.6">
      <c r="A2461" s="8"/>
      <c r="B2461" s="12"/>
      <c r="C2461" s="9"/>
      <c r="D2461" s="9"/>
      <c r="E2461" s="9"/>
      <c r="F2461" s="9"/>
      <c r="G2461" s="9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9"/>
      <c r="U2461" s="9"/>
      <c r="V2461" s="9"/>
      <c r="W2461" s="9"/>
      <c r="X2461" s="9"/>
      <c r="Y2461" s="9"/>
      <c r="Z2461" s="9"/>
      <c r="AA2461" s="9"/>
    </row>
    <row r="2462" spans="1:27" ht="13.6">
      <c r="A2462" s="8"/>
      <c r="B2462" s="12"/>
      <c r="C2462" s="9"/>
      <c r="D2462" s="9"/>
      <c r="E2462" s="9"/>
      <c r="F2462" s="9"/>
      <c r="G2462" s="9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9"/>
      <c r="U2462" s="9"/>
      <c r="V2462" s="9"/>
      <c r="W2462" s="9"/>
      <c r="X2462" s="9"/>
      <c r="Y2462" s="9"/>
      <c r="Z2462" s="9"/>
      <c r="AA2462" s="9"/>
    </row>
    <row r="2463" spans="1:27" ht="13.6">
      <c r="A2463" s="8"/>
      <c r="B2463" s="12"/>
      <c r="C2463" s="9"/>
      <c r="D2463" s="9"/>
      <c r="E2463" s="9"/>
      <c r="F2463" s="9"/>
      <c r="G2463" s="9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9"/>
      <c r="U2463" s="9"/>
      <c r="V2463" s="9"/>
      <c r="W2463" s="9"/>
      <c r="X2463" s="9"/>
      <c r="Y2463" s="9"/>
      <c r="Z2463" s="9"/>
      <c r="AA2463" s="9"/>
    </row>
    <row r="2464" spans="1:27" ht="13.6">
      <c r="A2464" s="8"/>
      <c r="B2464" s="12"/>
      <c r="C2464" s="9"/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9"/>
    </row>
    <row r="2465" spans="1:27" ht="13.6">
      <c r="A2465" s="8"/>
      <c r="B2465" s="12"/>
      <c r="C2465" s="9"/>
      <c r="D2465" s="9"/>
      <c r="E2465" s="9"/>
      <c r="F2465" s="9"/>
      <c r="G2465" s="9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9"/>
      <c r="U2465" s="9"/>
      <c r="V2465" s="9"/>
      <c r="W2465" s="9"/>
      <c r="X2465" s="9"/>
      <c r="Y2465" s="9"/>
      <c r="Z2465" s="9"/>
      <c r="AA2465" s="9"/>
    </row>
    <row r="2466" spans="1:27" ht="13.6">
      <c r="A2466" s="8"/>
      <c r="B2466" s="12"/>
      <c r="C2466" s="9"/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9"/>
      <c r="U2466" s="9"/>
      <c r="V2466" s="9"/>
      <c r="W2466" s="9"/>
      <c r="X2466" s="9"/>
      <c r="Y2466" s="9"/>
      <c r="Z2466" s="9"/>
      <c r="AA2466" s="9"/>
    </row>
    <row r="2467" spans="1:27" ht="13.6">
      <c r="A2467" s="8"/>
      <c r="B2467" s="12"/>
      <c r="C2467" s="9"/>
      <c r="D2467" s="9"/>
      <c r="E2467" s="9"/>
      <c r="F2467" s="9"/>
      <c r="G2467" s="9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9"/>
      <c r="U2467" s="9"/>
      <c r="V2467" s="9"/>
      <c r="W2467" s="9"/>
      <c r="X2467" s="9"/>
      <c r="Y2467" s="9"/>
      <c r="Z2467" s="9"/>
      <c r="AA2467" s="9"/>
    </row>
    <row r="2468" spans="1:27" ht="13.6">
      <c r="A2468" s="8"/>
      <c r="B2468" s="12"/>
      <c r="C2468" s="9"/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9"/>
    </row>
    <row r="2469" spans="1:27" ht="13.6">
      <c r="A2469" s="8"/>
      <c r="B2469" s="12"/>
      <c r="C2469" s="9"/>
      <c r="D2469" s="9"/>
      <c r="E2469" s="9"/>
      <c r="F2469" s="9"/>
      <c r="G2469" s="9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9"/>
      <c r="U2469" s="9"/>
      <c r="V2469" s="9"/>
      <c r="W2469" s="9"/>
      <c r="X2469" s="9"/>
      <c r="Y2469" s="9"/>
      <c r="Z2469" s="9"/>
      <c r="AA2469" s="9"/>
    </row>
    <row r="2470" spans="1:27" ht="13.6">
      <c r="A2470" s="8"/>
      <c r="B2470" s="12"/>
      <c r="C2470" s="9"/>
      <c r="D2470" s="9"/>
      <c r="E2470" s="9"/>
      <c r="F2470" s="9"/>
      <c r="G2470" s="9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9"/>
      <c r="U2470" s="9"/>
      <c r="V2470" s="9"/>
      <c r="W2470" s="9"/>
      <c r="X2470" s="9"/>
      <c r="Y2470" s="9"/>
      <c r="Z2470" s="9"/>
      <c r="AA2470" s="9"/>
    </row>
    <row r="2471" spans="1:27" ht="13.6">
      <c r="A2471" s="8"/>
      <c r="B2471" s="12"/>
      <c r="C2471" s="9"/>
      <c r="D2471" s="9"/>
      <c r="E2471" s="9"/>
      <c r="F2471" s="9"/>
      <c r="G2471" s="9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9"/>
      <c r="U2471" s="9"/>
      <c r="V2471" s="9"/>
      <c r="W2471" s="9"/>
      <c r="X2471" s="9"/>
      <c r="Y2471" s="9"/>
      <c r="Z2471" s="9"/>
      <c r="AA2471" s="9"/>
    </row>
    <row r="2472" spans="1:27" ht="13.6">
      <c r="A2472" s="8"/>
      <c r="B2472" s="12"/>
      <c r="C2472" s="9"/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9"/>
    </row>
    <row r="2473" spans="1:27" ht="13.6">
      <c r="A2473" s="8"/>
      <c r="B2473" s="12"/>
      <c r="C2473" s="9"/>
      <c r="D2473" s="9"/>
      <c r="E2473" s="9"/>
      <c r="F2473" s="9"/>
      <c r="G2473" s="9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9"/>
    </row>
    <row r="2474" spans="1:27" ht="13.6">
      <c r="A2474" s="8"/>
      <c r="B2474" s="12"/>
      <c r="C2474" s="9"/>
      <c r="D2474" s="9"/>
      <c r="E2474" s="9"/>
      <c r="F2474" s="9"/>
      <c r="G2474" s="9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9"/>
    </row>
    <row r="2475" spans="1:27" ht="13.6">
      <c r="A2475" s="8"/>
      <c r="B2475" s="12"/>
      <c r="C2475" s="9"/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9"/>
    </row>
    <row r="2476" spans="1:27" ht="13.6">
      <c r="A2476" s="8"/>
      <c r="B2476" s="12"/>
      <c r="C2476" s="9"/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9"/>
    </row>
    <row r="2477" spans="1:27" ht="13.6">
      <c r="A2477" s="8"/>
      <c r="B2477" s="12"/>
      <c r="C2477" s="9"/>
      <c r="D2477" s="9"/>
      <c r="E2477" s="9"/>
      <c r="F2477" s="9"/>
      <c r="G2477" s="9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9"/>
    </row>
    <row r="2478" spans="1:27" ht="13.6">
      <c r="A2478" s="8"/>
      <c r="B2478" s="12"/>
      <c r="C2478" s="9"/>
      <c r="D2478" s="9"/>
      <c r="E2478" s="9"/>
      <c r="F2478" s="9"/>
      <c r="G2478" s="9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9"/>
    </row>
    <row r="2479" spans="1:27" ht="13.6">
      <c r="A2479" s="8"/>
      <c r="B2479" s="12"/>
      <c r="C2479" s="9"/>
      <c r="D2479" s="9"/>
      <c r="E2479" s="9"/>
      <c r="F2479" s="9"/>
      <c r="G2479" s="9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9"/>
    </row>
    <row r="2480" spans="1:27" ht="13.6">
      <c r="A2480" s="8"/>
      <c r="B2480" s="12"/>
      <c r="C2480" s="9"/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9"/>
    </row>
    <row r="2481" spans="1:27" ht="13.6">
      <c r="A2481" s="8"/>
      <c r="B2481" s="12"/>
      <c r="C2481" s="9"/>
      <c r="D2481" s="9"/>
      <c r="E2481" s="9"/>
      <c r="F2481" s="9"/>
      <c r="G2481" s="9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9"/>
    </row>
    <row r="2482" spans="1:27" ht="13.6">
      <c r="A2482" s="8"/>
      <c r="B2482" s="12"/>
      <c r="C2482" s="9"/>
      <c r="D2482" s="9"/>
      <c r="E2482" s="9"/>
      <c r="F2482" s="9"/>
      <c r="G2482" s="9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9"/>
    </row>
    <row r="2483" spans="1:27" ht="13.6">
      <c r="A2483" s="8"/>
      <c r="B2483" s="12"/>
      <c r="C2483" s="9"/>
      <c r="D2483" s="9"/>
      <c r="E2483" s="9"/>
      <c r="F2483" s="9"/>
      <c r="G2483" s="9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9"/>
    </row>
    <row r="2484" spans="1:27" ht="13.6">
      <c r="A2484" s="8"/>
      <c r="B2484" s="12"/>
      <c r="C2484" s="9"/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9"/>
    </row>
    <row r="2485" spans="1:27" ht="13.6">
      <c r="A2485" s="8"/>
      <c r="B2485" s="12"/>
      <c r="C2485" s="9"/>
      <c r="D2485" s="9"/>
      <c r="E2485" s="9"/>
      <c r="F2485" s="9"/>
      <c r="G2485" s="9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9"/>
    </row>
    <row r="2486" spans="1:27" ht="13.6">
      <c r="A2486" s="8"/>
      <c r="B2486" s="12"/>
      <c r="C2486" s="9"/>
      <c r="D2486" s="9"/>
      <c r="E2486" s="9"/>
      <c r="F2486" s="9"/>
      <c r="G2486" s="9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9"/>
    </row>
    <row r="2487" spans="1:27" ht="13.6">
      <c r="A2487" s="8"/>
      <c r="B2487" s="12"/>
      <c r="C2487" s="9"/>
      <c r="D2487" s="9"/>
      <c r="E2487" s="9"/>
      <c r="F2487" s="9"/>
      <c r="G2487" s="9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9"/>
    </row>
    <row r="2488" spans="1:27" ht="13.6">
      <c r="A2488" s="8"/>
      <c r="B2488" s="12"/>
      <c r="C2488" s="9"/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9"/>
    </row>
    <row r="2489" spans="1:27" ht="13.6">
      <c r="A2489" s="8"/>
      <c r="B2489" s="12"/>
      <c r="C2489" s="9"/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9"/>
    </row>
    <row r="2490" spans="1:27" ht="13.6">
      <c r="A2490" s="8"/>
      <c r="B2490" s="12"/>
      <c r="C2490" s="9"/>
      <c r="D2490" s="9"/>
      <c r="E2490" s="9"/>
      <c r="F2490" s="9"/>
      <c r="G2490" s="9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9"/>
    </row>
    <row r="2491" spans="1:27" ht="13.6">
      <c r="A2491" s="8"/>
      <c r="B2491" s="12"/>
      <c r="C2491" s="9"/>
      <c r="D2491" s="9"/>
      <c r="E2491" s="9"/>
      <c r="F2491" s="9"/>
      <c r="G2491" s="9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9"/>
    </row>
    <row r="2492" spans="1:27" ht="13.6">
      <c r="A2492" s="8"/>
      <c r="B2492" s="12"/>
      <c r="C2492" s="9"/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9"/>
    </row>
    <row r="2493" spans="1:27" ht="13.6">
      <c r="A2493" s="8"/>
      <c r="B2493" s="12"/>
      <c r="C2493" s="9"/>
      <c r="D2493" s="9"/>
      <c r="E2493" s="9"/>
      <c r="F2493" s="9"/>
      <c r="G2493" s="9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9"/>
    </row>
    <row r="2494" spans="1:27" ht="13.6">
      <c r="A2494" s="8"/>
      <c r="B2494" s="12"/>
      <c r="C2494" s="9"/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</row>
    <row r="2495" spans="1:27" ht="13.6">
      <c r="A2495" s="8"/>
      <c r="B2495" s="12"/>
      <c r="C2495" s="9"/>
      <c r="D2495" s="9"/>
      <c r="E2495" s="9"/>
      <c r="F2495" s="9"/>
      <c r="G2495" s="9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9"/>
    </row>
    <row r="2496" spans="1:27" ht="13.6">
      <c r="A2496" s="8"/>
      <c r="B2496" s="12"/>
      <c r="C2496" s="9"/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9"/>
    </row>
    <row r="2497" spans="1:27" ht="13.6">
      <c r="A2497" s="8"/>
      <c r="B2497" s="12"/>
      <c r="C2497" s="9"/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9"/>
    </row>
    <row r="2498" spans="1:27" ht="13.6">
      <c r="A2498" s="8"/>
      <c r="B2498" s="12"/>
      <c r="C2498" s="9"/>
      <c r="D2498" s="9"/>
      <c r="E2498" s="9"/>
      <c r="F2498" s="9"/>
      <c r="G2498" s="9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9"/>
    </row>
    <row r="2499" spans="1:27" ht="13.6">
      <c r="A2499" s="8"/>
      <c r="B2499" s="12"/>
      <c r="C2499" s="9"/>
      <c r="D2499" s="9"/>
      <c r="E2499" s="9"/>
      <c r="F2499" s="9"/>
      <c r="G2499" s="9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9"/>
    </row>
    <row r="2500" spans="1:27" ht="13.6">
      <c r="A2500" s="8"/>
      <c r="B2500" s="12"/>
      <c r="C2500" s="9"/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9"/>
    </row>
    <row r="2501" spans="1:27" ht="13.6">
      <c r="A2501" s="8"/>
      <c r="B2501" s="12"/>
      <c r="C2501" s="9"/>
      <c r="D2501" s="9"/>
      <c r="E2501" s="9"/>
      <c r="F2501" s="9"/>
      <c r="G2501" s="9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9"/>
    </row>
    <row r="2502" spans="1:27" ht="13.6">
      <c r="A2502" s="8"/>
      <c r="B2502" s="12"/>
      <c r="C2502" s="9"/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9"/>
    </row>
    <row r="2503" spans="1:27" ht="13.6">
      <c r="A2503" s="8"/>
      <c r="B2503" s="12"/>
      <c r="C2503" s="9"/>
      <c r="D2503" s="9"/>
      <c r="E2503" s="9"/>
      <c r="F2503" s="9"/>
      <c r="G2503" s="9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9"/>
    </row>
    <row r="2504" spans="1:27" ht="13.6">
      <c r="A2504" s="8"/>
      <c r="B2504" s="12"/>
      <c r="C2504" s="9"/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9"/>
    </row>
    <row r="2505" spans="1:27" ht="13.6">
      <c r="A2505" s="8"/>
      <c r="B2505" s="12"/>
      <c r="C2505" s="9"/>
      <c r="D2505" s="9"/>
      <c r="E2505" s="9"/>
      <c r="F2505" s="9"/>
      <c r="G2505" s="9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9"/>
    </row>
    <row r="2506" spans="1:27" ht="13.6">
      <c r="A2506" s="8"/>
      <c r="B2506" s="12"/>
      <c r="C2506" s="9"/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9"/>
    </row>
    <row r="2507" spans="1:27" ht="13.6">
      <c r="A2507" s="8"/>
      <c r="B2507" s="12"/>
      <c r="C2507" s="9"/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9"/>
    </row>
    <row r="2508" spans="1:27" ht="13.6">
      <c r="A2508" s="8"/>
      <c r="B2508" s="12"/>
      <c r="C2508" s="9"/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9"/>
    </row>
    <row r="2509" spans="1:27" ht="13.6">
      <c r="A2509" s="8"/>
      <c r="B2509" s="12"/>
      <c r="C2509" s="9"/>
      <c r="D2509" s="9"/>
      <c r="E2509" s="9"/>
      <c r="F2509" s="9"/>
      <c r="G2509" s="9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9"/>
    </row>
    <row r="2510" spans="1:27" ht="13.6">
      <c r="A2510" s="8"/>
      <c r="B2510" s="12"/>
      <c r="C2510" s="9"/>
      <c r="D2510" s="9"/>
      <c r="E2510" s="9"/>
      <c r="F2510" s="9"/>
      <c r="G2510" s="9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9"/>
    </row>
    <row r="2511" spans="1:27" ht="13.6">
      <c r="A2511" s="8"/>
      <c r="B2511" s="12"/>
      <c r="C2511" s="9"/>
      <c r="D2511" s="9"/>
      <c r="E2511" s="9"/>
      <c r="F2511" s="9"/>
      <c r="G2511" s="9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9"/>
    </row>
    <row r="2512" spans="1:27" ht="13.6">
      <c r="A2512" s="8"/>
      <c r="B2512" s="12"/>
      <c r="C2512" s="9"/>
      <c r="D2512" s="9"/>
      <c r="E2512" s="9"/>
      <c r="F2512" s="9"/>
      <c r="G2512" s="9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9"/>
    </row>
    <row r="2513" spans="1:27" ht="13.6">
      <c r="A2513" s="8"/>
      <c r="B2513" s="12"/>
      <c r="C2513" s="9"/>
      <c r="D2513" s="9"/>
      <c r="E2513" s="9"/>
      <c r="F2513" s="9"/>
      <c r="G2513" s="9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9"/>
    </row>
    <row r="2514" spans="1:27" ht="13.6">
      <c r="A2514" s="8"/>
      <c r="B2514" s="12"/>
      <c r="C2514" s="9"/>
      <c r="D2514" s="9"/>
      <c r="E2514" s="9"/>
      <c r="F2514" s="9"/>
      <c r="G2514" s="9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9"/>
    </row>
    <row r="2515" spans="1:27" ht="13.6">
      <c r="A2515" s="8"/>
      <c r="B2515" s="12"/>
      <c r="C2515" s="9"/>
      <c r="D2515" s="9"/>
      <c r="E2515" s="9"/>
      <c r="F2515" s="9"/>
      <c r="G2515" s="9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9"/>
    </row>
    <row r="2516" spans="1:27" ht="13.6">
      <c r="A2516" s="8"/>
      <c r="B2516" s="12"/>
      <c r="C2516" s="9"/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9"/>
    </row>
    <row r="2517" spans="1:27" ht="13.6">
      <c r="A2517" s="8"/>
      <c r="B2517" s="12"/>
      <c r="C2517" s="9"/>
      <c r="D2517" s="9"/>
      <c r="E2517" s="9"/>
      <c r="F2517" s="9"/>
      <c r="G2517" s="9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9"/>
    </row>
    <row r="2518" spans="1:27" ht="13.6">
      <c r="A2518" s="8"/>
      <c r="B2518" s="12"/>
      <c r="C2518" s="9"/>
      <c r="D2518" s="9"/>
      <c r="E2518" s="9"/>
      <c r="F2518" s="9"/>
      <c r="G2518" s="9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9"/>
    </row>
    <row r="2519" spans="1:27" ht="13.6">
      <c r="A2519" s="8"/>
      <c r="B2519" s="12"/>
      <c r="C2519" s="9"/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9"/>
    </row>
    <row r="2520" spans="1:27" ht="13.6">
      <c r="A2520" s="8"/>
      <c r="B2520" s="12"/>
      <c r="C2520" s="9"/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9"/>
    </row>
    <row r="2521" spans="1:27" ht="13.6">
      <c r="A2521" s="8"/>
      <c r="B2521" s="12"/>
      <c r="C2521" s="9"/>
      <c r="D2521" s="9"/>
      <c r="E2521" s="9"/>
      <c r="F2521" s="9"/>
      <c r="G2521" s="9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9"/>
    </row>
    <row r="2522" spans="1:27" ht="13.6">
      <c r="A2522" s="8"/>
      <c r="B2522" s="12"/>
      <c r="C2522" s="9"/>
      <c r="D2522" s="9"/>
      <c r="E2522" s="9"/>
      <c r="F2522" s="9"/>
      <c r="G2522" s="9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9"/>
    </row>
    <row r="2523" spans="1:27" ht="13.6">
      <c r="A2523" s="8"/>
      <c r="B2523" s="12"/>
      <c r="C2523" s="9"/>
      <c r="D2523" s="9"/>
      <c r="E2523" s="9"/>
      <c r="F2523" s="9"/>
      <c r="G2523" s="9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9"/>
    </row>
    <row r="2524" spans="1:27" ht="13.6">
      <c r="A2524" s="8"/>
      <c r="B2524" s="12"/>
      <c r="C2524" s="9"/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9"/>
    </row>
    <row r="2525" spans="1:27" ht="13.6">
      <c r="A2525" s="8"/>
      <c r="B2525" s="12"/>
      <c r="C2525" s="9"/>
      <c r="D2525" s="9"/>
      <c r="E2525" s="9"/>
      <c r="F2525" s="9"/>
      <c r="G2525" s="9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9"/>
    </row>
    <row r="2526" spans="1:27" ht="13.6">
      <c r="A2526" s="8"/>
      <c r="B2526" s="12"/>
      <c r="C2526" s="9"/>
      <c r="D2526" s="9"/>
      <c r="E2526" s="9"/>
      <c r="F2526" s="9"/>
      <c r="G2526" s="9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9"/>
    </row>
    <row r="2527" spans="1:27" ht="13.6">
      <c r="A2527" s="8"/>
      <c r="B2527" s="12"/>
      <c r="C2527" s="9"/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9"/>
    </row>
    <row r="2528" spans="1:27" ht="13.6">
      <c r="A2528" s="8"/>
      <c r="B2528" s="12"/>
      <c r="C2528" s="9"/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9"/>
    </row>
    <row r="2529" spans="1:27" ht="13.6">
      <c r="A2529" s="8"/>
      <c r="B2529" s="12"/>
      <c r="C2529" s="9"/>
      <c r="D2529" s="9"/>
      <c r="E2529" s="9"/>
      <c r="F2529" s="9"/>
      <c r="G2529" s="9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9"/>
    </row>
    <row r="2530" spans="1:27" ht="13.6">
      <c r="A2530" s="8"/>
      <c r="B2530" s="12"/>
      <c r="C2530" s="9"/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9"/>
    </row>
    <row r="2531" spans="1:27" ht="13.6">
      <c r="A2531" s="8"/>
      <c r="B2531" s="12"/>
      <c r="C2531" s="9"/>
      <c r="D2531" s="9"/>
      <c r="E2531" s="9"/>
      <c r="F2531" s="9"/>
      <c r="G2531" s="9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9"/>
    </row>
    <row r="2532" spans="1:27" ht="13.6">
      <c r="A2532" s="8"/>
      <c r="B2532" s="12"/>
      <c r="C2532" s="9"/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9"/>
    </row>
    <row r="2533" spans="1:27" ht="13.6">
      <c r="A2533" s="8"/>
      <c r="B2533" s="12"/>
      <c r="C2533" s="9"/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9"/>
    </row>
    <row r="2534" spans="1:27" ht="13.6">
      <c r="A2534" s="8"/>
      <c r="B2534" s="12"/>
      <c r="C2534" s="9"/>
      <c r="D2534" s="9"/>
      <c r="E2534" s="9"/>
      <c r="F2534" s="9"/>
      <c r="G2534" s="9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9"/>
    </row>
    <row r="2535" spans="1:27" ht="13.6">
      <c r="A2535" s="8"/>
      <c r="B2535" s="12"/>
      <c r="C2535" s="9"/>
      <c r="D2535" s="9"/>
      <c r="E2535" s="9"/>
      <c r="F2535" s="9"/>
      <c r="G2535" s="9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9"/>
    </row>
    <row r="2536" spans="1:27" ht="13.6">
      <c r="A2536" s="8"/>
      <c r="B2536" s="12"/>
      <c r="C2536" s="9"/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9"/>
    </row>
    <row r="2537" spans="1:27" ht="13.6">
      <c r="A2537" s="8"/>
      <c r="B2537" s="12"/>
      <c r="C2537" s="9"/>
      <c r="D2537" s="9"/>
      <c r="E2537" s="9"/>
      <c r="F2537" s="9"/>
      <c r="G2537" s="9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</row>
    <row r="2538" spans="1:27" ht="13.6">
      <c r="A2538" s="8"/>
      <c r="B2538" s="12"/>
      <c r="C2538" s="9"/>
      <c r="D2538" s="9"/>
      <c r="E2538" s="9"/>
      <c r="F2538" s="9"/>
      <c r="G2538" s="9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9"/>
    </row>
    <row r="2539" spans="1:27" ht="13.6">
      <c r="A2539" s="8"/>
      <c r="B2539" s="12"/>
      <c r="C2539" s="9"/>
      <c r="D2539" s="9"/>
      <c r="E2539" s="9"/>
      <c r="F2539" s="9"/>
      <c r="G2539" s="9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9"/>
    </row>
    <row r="2540" spans="1:27" ht="13.6">
      <c r="A2540" s="8"/>
      <c r="B2540" s="12"/>
      <c r="C2540" s="9"/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9"/>
    </row>
    <row r="2541" spans="1:27" ht="13.6">
      <c r="A2541" s="8"/>
      <c r="B2541" s="12"/>
      <c r="C2541" s="9"/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9"/>
    </row>
    <row r="2542" spans="1:27" ht="13.6">
      <c r="A2542" s="8"/>
      <c r="B2542" s="12"/>
      <c r="C2542" s="9"/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9"/>
    </row>
    <row r="2543" spans="1:27" ht="13.6">
      <c r="A2543" s="8"/>
      <c r="B2543" s="12"/>
      <c r="C2543" s="9"/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9"/>
    </row>
    <row r="2544" spans="1:27" ht="13.6">
      <c r="A2544" s="8"/>
      <c r="B2544" s="12"/>
      <c r="C2544" s="9"/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9"/>
    </row>
    <row r="2545" spans="1:27" ht="13.6">
      <c r="A2545" s="8"/>
      <c r="B2545" s="12"/>
      <c r="C2545" s="9"/>
      <c r="D2545" s="9"/>
      <c r="E2545" s="9"/>
      <c r="F2545" s="9"/>
      <c r="G2545" s="9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9"/>
    </row>
    <row r="2546" spans="1:27" ht="13.6">
      <c r="A2546" s="8"/>
      <c r="B2546" s="12"/>
      <c r="C2546" s="9"/>
      <c r="D2546" s="9"/>
      <c r="E2546" s="9"/>
      <c r="F2546" s="9"/>
      <c r="G2546" s="9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9"/>
    </row>
    <row r="2547" spans="1:27" ht="13.6">
      <c r="A2547" s="8"/>
      <c r="B2547" s="12"/>
      <c r="C2547" s="9"/>
      <c r="D2547" s="9"/>
      <c r="E2547" s="9"/>
      <c r="F2547" s="9"/>
      <c r="G2547" s="9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9"/>
    </row>
    <row r="2548" spans="1:27" ht="13.6">
      <c r="A2548" s="8"/>
      <c r="B2548" s="12"/>
      <c r="C2548" s="9"/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9"/>
    </row>
    <row r="2549" spans="1:27" ht="13.6">
      <c r="A2549" s="8"/>
      <c r="B2549" s="12"/>
      <c r="C2549" s="9"/>
      <c r="D2549" s="9"/>
      <c r="E2549" s="9"/>
      <c r="F2549" s="9"/>
      <c r="G2549" s="9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9"/>
    </row>
    <row r="2550" spans="1:27" ht="13.6">
      <c r="A2550" s="8"/>
      <c r="B2550" s="12"/>
      <c r="C2550" s="9"/>
      <c r="D2550" s="9"/>
      <c r="E2550" s="9"/>
      <c r="F2550" s="9"/>
      <c r="G2550" s="9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9"/>
    </row>
    <row r="2551" spans="1:27" ht="13.6">
      <c r="A2551" s="8"/>
      <c r="B2551" s="12"/>
      <c r="C2551" s="9"/>
      <c r="D2551" s="9"/>
      <c r="E2551" s="9"/>
      <c r="F2551" s="9"/>
      <c r="G2551" s="9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9"/>
    </row>
    <row r="2552" spans="1:27" ht="13.6">
      <c r="A2552" s="8"/>
      <c r="B2552" s="12"/>
      <c r="C2552" s="9"/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9"/>
    </row>
    <row r="2553" spans="1:27" ht="13.6">
      <c r="A2553" s="8"/>
      <c r="B2553" s="12"/>
      <c r="C2553" s="9"/>
      <c r="D2553" s="9"/>
      <c r="E2553" s="9"/>
      <c r="F2553" s="9"/>
      <c r="G2553" s="9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9"/>
    </row>
    <row r="2554" spans="1:27" ht="13.6">
      <c r="A2554" s="8"/>
      <c r="B2554" s="12"/>
      <c r="C2554" s="9"/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9"/>
    </row>
    <row r="2555" spans="1:27" ht="13.6">
      <c r="A2555" s="8"/>
      <c r="B2555" s="12"/>
      <c r="C2555" s="9"/>
      <c r="D2555" s="9"/>
      <c r="E2555" s="9"/>
      <c r="F2555" s="9"/>
      <c r="G2555" s="9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9"/>
    </row>
    <row r="2556" spans="1:27" ht="13.6">
      <c r="A2556" s="8"/>
      <c r="B2556" s="12"/>
      <c r="C2556" s="9"/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9"/>
    </row>
    <row r="2557" spans="1:27" ht="13.6">
      <c r="A2557" s="8"/>
      <c r="B2557" s="12"/>
      <c r="C2557" s="9"/>
      <c r="D2557" s="9"/>
      <c r="E2557" s="9"/>
      <c r="F2557" s="9"/>
      <c r="G2557" s="9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9"/>
    </row>
    <row r="2558" spans="1:27" ht="13.6">
      <c r="A2558" s="8"/>
      <c r="B2558" s="12"/>
      <c r="C2558" s="9"/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9"/>
    </row>
    <row r="2559" spans="1:27" ht="13.6">
      <c r="A2559" s="8"/>
      <c r="B2559" s="12"/>
      <c r="C2559" s="9"/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9"/>
    </row>
    <row r="2560" spans="1:27" ht="13.6">
      <c r="A2560" s="8"/>
      <c r="B2560" s="12"/>
      <c r="C2560" s="9"/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9"/>
    </row>
    <row r="2561" spans="1:27" ht="13.6">
      <c r="A2561" s="8"/>
      <c r="B2561" s="12"/>
      <c r="C2561" s="9"/>
      <c r="D2561" s="9"/>
      <c r="E2561" s="9"/>
      <c r="F2561" s="9"/>
      <c r="G2561" s="9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9"/>
    </row>
    <row r="2562" spans="1:27" ht="13.6">
      <c r="A2562" s="8"/>
      <c r="B2562" s="12"/>
      <c r="C2562" s="9"/>
      <c r="D2562" s="9"/>
      <c r="E2562" s="9"/>
      <c r="F2562" s="9"/>
      <c r="G2562" s="9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9"/>
    </row>
    <row r="2563" spans="1:27" ht="13.6">
      <c r="A2563" s="8"/>
      <c r="B2563" s="12"/>
      <c r="C2563" s="9"/>
      <c r="D2563" s="9"/>
      <c r="E2563" s="9"/>
      <c r="F2563" s="9"/>
      <c r="G2563" s="9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9"/>
    </row>
    <row r="2564" spans="1:27" ht="13.6">
      <c r="A2564" s="8"/>
      <c r="B2564" s="12"/>
      <c r="C2564" s="9"/>
      <c r="D2564" s="9"/>
      <c r="E2564" s="9"/>
      <c r="F2564" s="9"/>
      <c r="G2564" s="9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9"/>
    </row>
    <row r="2565" spans="1:27" ht="13.6">
      <c r="A2565" s="8"/>
      <c r="B2565" s="12"/>
      <c r="C2565" s="9"/>
      <c r="D2565" s="9"/>
      <c r="E2565" s="9"/>
      <c r="F2565" s="9"/>
      <c r="G2565" s="9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9"/>
    </row>
    <row r="2566" spans="1:27" ht="13.6">
      <c r="A2566" s="8"/>
      <c r="B2566" s="12"/>
      <c r="C2566" s="9"/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9"/>
    </row>
    <row r="2567" spans="1:27" ht="13.6">
      <c r="A2567" s="8"/>
      <c r="B2567" s="12"/>
      <c r="C2567" s="9"/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9"/>
    </row>
    <row r="2568" spans="1:27" ht="13.6">
      <c r="A2568" s="8"/>
      <c r="B2568" s="12"/>
      <c r="C2568" s="9"/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9"/>
    </row>
    <row r="2569" spans="1:27" ht="13.6">
      <c r="A2569" s="8"/>
      <c r="B2569" s="12"/>
      <c r="C2569" s="9"/>
      <c r="D2569" s="9"/>
      <c r="E2569" s="9"/>
      <c r="F2569" s="9"/>
      <c r="G2569" s="9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9"/>
    </row>
    <row r="2570" spans="1:27" ht="13.6">
      <c r="A2570" s="8"/>
      <c r="B2570" s="12"/>
      <c r="C2570" s="9"/>
      <c r="D2570" s="9"/>
      <c r="E2570" s="9"/>
      <c r="F2570" s="9"/>
      <c r="G2570" s="9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9"/>
    </row>
    <row r="2571" spans="1:27" ht="13.6">
      <c r="A2571" s="8"/>
      <c r="B2571" s="12"/>
      <c r="C2571" s="9"/>
      <c r="D2571" s="9"/>
      <c r="E2571" s="9"/>
      <c r="F2571" s="9"/>
      <c r="G2571" s="9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9"/>
    </row>
    <row r="2572" spans="1:27" ht="13.6">
      <c r="A2572" s="8"/>
      <c r="B2572" s="12"/>
      <c r="C2572" s="9"/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9"/>
    </row>
    <row r="2573" spans="1:27" ht="13.6">
      <c r="A2573" s="8"/>
      <c r="B2573" s="12"/>
      <c r="C2573" s="9"/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9"/>
    </row>
    <row r="2574" spans="1:27" ht="13.6">
      <c r="A2574" s="8"/>
      <c r="B2574" s="12"/>
      <c r="C2574" s="9"/>
      <c r="D2574" s="9"/>
      <c r="E2574" s="9"/>
      <c r="F2574" s="9"/>
      <c r="G2574" s="9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9"/>
    </row>
    <row r="2575" spans="1:27" ht="13.6">
      <c r="A2575" s="8"/>
      <c r="B2575" s="12"/>
      <c r="C2575" s="9"/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9"/>
    </row>
    <row r="2576" spans="1:27" ht="13.6">
      <c r="A2576" s="8"/>
      <c r="B2576" s="12"/>
      <c r="C2576" s="9"/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9"/>
    </row>
    <row r="2577" spans="1:27" ht="13.6">
      <c r="A2577" s="8"/>
      <c r="B2577" s="12"/>
      <c r="C2577" s="9"/>
      <c r="D2577" s="9"/>
      <c r="E2577" s="9"/>
      <c r="F2577" s="9"/>
      <c r="G2577" s="9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9"/>
    </row>
    <row r="2578" spans="1:27" ht="13.6">
      <c r="A2578" s="8"/>
      <c r="B2578" s="12"/>
      <c r="C2578" s="9"/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9"/>
    </row>
    <row r="2579" spans="1:27" ht="13.6">
      <c r="A2579" s="8"/>
      <c r="B2579" s="12"/>
      <c r="C2579" s="9"/>
      <c r="D2579" s="9"/>
      <c r="E2579" s="9"/>
      <c r="F2579" s="9"/>
      <c r="G2579" s="9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9"/>
    </row>
    <row r="2580" spans="1:27" ht="13.6">
      <c r="A2580" s="8"/>
      <c r="B2580" s="12"/>
      <c r="C2580" s="9"/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</row>
    <row r="2581" spans="1:27" ht="13.6">
      <c r="A2581" s="8"/>
      <c r="B2581" s="12"/>
      <c r="C2581" s="9"/>
      <c r="D2581" s="9"/>
      <c r="E2581" s="9"/>
      <c r="F2581" s="9"/>
      <c r="G2581" s="9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9"/>
    </row>
    <row r="2582" spans="1:27" ht="13.6">
      <c r="A2582" s="8"/>
      <c r="B2582" s="12"/>
      <c r="C2582" s="9"/>
      <c r="D2582" s="9"/>
      <c r="E2582" s="9"/>
      <c r="F2582" s="9"/>
      <c r="G2582" s="9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9"/>
    </row>
    <row r="2583" spans="1:27" ht="13.6">
      <c r="A2583" s="8"/>
      <c r="B2583" s="12"/>
      <c r="C2583" s="9"/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9"/>
    </row>
    <row r="2584" spans="1:27" ht="13.6">
      <c r="A2584" s="8"/>
      <c r="B2584" s="12"/>
      <c r="C2584" s="9"/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9"/>
    </row>
    <row r="2585" spans="1:27" ht="13.6">
      <c r="A2585" s="8"/>
      <c r="B2585" s="12"/>
      <c r="C2585" s="9"/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9"/>
    </row>
    <row r="2586" spans="1:27" ht="13.6">
      <c r="A2586" s="8"/>
      <c r="B2586" s="12"/>
      <c r="C2586" s="9"/>
      <c r="D2586" s="9"/>
      <c r="E2586" s="9"/>
      <c r="F2586" s="9"/>
      <c r="G2586" s="9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9"/>
    </row>
    <row r="2587" spans="1:27" ht="13.6">
      <c r="A2587" s="8"/>
      <c r="B2587" s="12"/>
      <c r="C2587" s="9"/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9"/>
    </row>
    <row r="2588" spans="1:27" ht="13.6">
      <c r="A2588" s="8"/>
      <c r="B2588" s="12"/>
      <c r="C2588" s="9"/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9"/>
    </row>
    <row r="2589" spans="1:27" ht="13.6">
      <c r="A2589" s="8"/>
      <c r="B2589" s="12"/>
      <c r="C2589" s="9"/>
      <c r="D2589" s="9"/>
      <c r="E2589" s="9"/>
      <c r="F2589" s="9"/>
      <c r="G2589" s="9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9"/>
    </row>
    <row r="2590" spans="1:27" ht="13.6">
      <c r="A2590" s="8"/>
      <c r="B2590" s="12"/>
      <c r="C2590" s="9"/>
      <c r="D2590" s="9"/>
      <c r="E2590" s="9"/>
      <c r="F2590" s="9"/>
      <c r="G2590" s="9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9"/>
    </row>
    <row r="2591" spans="1:27" ht="13.6">
      <c r="A2591" s="8"/>
      <c r="B2591" s="12"/>
      <c r="C2591" s="9"/>
      <c r="D2591" s="9"/>
      <c r="E2591" s="9"/>
      <c r="F2591" s="9"/>
      <c r="G2591" s="9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9"/>
    </row>
    <row r="2592" spans="1:27" ht="13.6">
      <c r="A2592" s="8"/>
      <c r="B2592" s="12"/>
      <c r="C2592" s="9"/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9"/>
    </row>
    <row r="2593" spans="1:27" ht="13.6">
      <c r="A2593" s="8"/>
      <c r="B2593" s="12"/>
      <c r="C2593" s="9"/>
      <c r="D2593" s="9"/>
      <c r="E2593" s="9"/>
      <c r="F2593" s="9"/>
      <c r="G2593" s="9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9"/>
    </row>
    <row r="2594" spans="1:27" ht="13.6">
      <c r="A2594" s="8"/>
      <c r="B2594" s="12"/>
      <c r="C2594" s="9"/>
      <c r="D2594" s="9"/>
      <c r="E2594" s="9"/>
      <c r="F2594" s="9"/>
      <c r="G2594" s="9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9"/>
    </row>
    <row r="2595" spans="1:27" ht="13.6">
      <c r="A2595" s="8"/>
      <c r="B2595" s="12"/>
      <c r="C2595" s="9"/>
      <c r="D2595" s="9"/>
      <c r="E2595" s="9"/>
      <c r="F2595" s="9"/>
      <c r="G2595" s="9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9"/>
    </row>
    <row r="2596" spans="1:27" ht="13.6">
      <c r="A2596" s="8"/>
      <c r="B2596" s="12"/>
      <c r="C2596" s="9"/>
      <c r="D2596" s="9"/>
      <c r="E2596" s="9"/>
      <c r="F2596" s="9"/>
      <c r="G2596" s="9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9"/>
    </row>
    <row r="2597" spans="1:27" ht="13.6">
      <c r="A2597" s="8"/>
      <c r="B2597" s="12"/>
      <c r="C2597" s="9"/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9"/>
    </row>
    <row r="2598" spans="1:27" ht="13.6">
      <c r="A2598" s="8"/>
      <c r="B2598" s="12"/>
      <c r="C2598" s="9"/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9"/>
    </row>
    <row r="2599" spans="1:27" ht="13.6">
      <c r="A2599" s="8"/>
      <c r="B2599" s="12"/>
      <c r="C2599" s="9"/>
      <c r="D2599" s="9"/>
      <c r="E2599" s="9"/>
      <c r="F2599" s="9"/>
      <c r="G2599" s="9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9"/>
    </row>
    <row r="2600" spans="1:27" ht="13.6">
      <c r="A2600" s="8"/>
      <c r="B2600" s="12"/>
      <c r="C2600" s="9"/>
      <c r="D2600" s="9"/>
      <c r="E2600" s="9"/>
      <c r="F2600" s="9"/>
      <c r="G2600" s="9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9"/>
    </row>
    <row r="2601" spans="1:27" ht="13.6">
      <c r="A2601" s="8"/>
      <c r="B2601" s="12"/>
      <c r="C2601" s="9"/>
      <c r="D2601" s="9"/>
      <c r="E2601" s="9"/>
      <c r="F2601" s="9"/>
      <c r="G2601" s="9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9"/>
    </row>
    <row r="2602" spans="1:27" ht="13.6">
      <c r="A2602" s="8"/>
      <c r="B2602" s="12"/>
      <c r="C2602" s="9"/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9"/>
    </row>
    <row r="2603" spans="1:27" ht="13.6">
      <c r="A2603" s="8"/>
      <c r="B2603" s="12"/>
      <c r="C2603" s="9"/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9"/>
    </row>
    <row r="2604" spans="1:27" ht="13.6">
      <c r="A2604" s="8"/>
      <c r="B2604" s="12"/>
      <c r="C2604" s="9"/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9"/>
    </row>
    <row r="2605" spans="1:27" ht="13.6">
      <c r="A2605" s="8"/>
      <c r="B2605" s="12"/>
      <c r="C2605" s="9"/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9"/>
    </row>
    <row r="2606" spans="1:27" ht="13.6">
      <c r="A2606" s="8"/>
      <c r="B2606" s="12"/>
      <c r="C2606" s="9"/>
      <c r="D2606" s="9"/>
      <c r="E2606" s="9"/>
      <c r="F2606" s="9"/>
      <c r="G2606" s="9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</row>
    <row r="2607" spans="1:27" ht="13.6">
      <c r="A2607" s="8"/>
      <c r="B2607" s="12"/>
      <c r="C2607" s="9"/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</row>
    <row r="2608" spans="1:27" ht="13.6">
      <c r="A2608" s="8"/>
      <c r="B2608" s="12"/>
      <c r="C2608" s="9"/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</row>
    <row r="2609" spans="1:27" ht="13.6">
      <c r="A2609" s="8"/>
      <c r="B2609" s="12"/>
      <c r="C2609" s="9"/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</row>
    <row r="2610" spans="1:27" ht="13.6">
      <c r="A2610" s="8"/>
      <c r="B2610" s="12"/>
      <c r="C2610" s="9"/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9"/>
    </row>
    <row r="2611" spans="1:27" ht="13.6">
      <c r="A2611" s="8"/>
      <c r="B2611" s="12"/>
      <c r="C2611" s="9"/>
      <c r="D2611" s="9"/>
      <c r="E2611" s="9"/>
      <c r="F2611" s="9"/>
      <c r="G2611" s="9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9"/>
    </row>
    <row r="2612" spans="1:27" ht="13.6">
      <c r="A2612" s="8"/>
      <c r="B2612" s="12"/>
      <c r="C2612" s="9"/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9"/>
    </row>
    <row r="2613" spans="1:27" ht="13.6">
      <c r="A2613" s="8"/>
      <c r="B2613" s="12"/>
      <c r="C2613" s="9"/>
      <c r="D2613" s="9"/>
      <c r="E2613" s="9"/>
      <c r="F2613" s="9"/>
      <c r="G2613" s="9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9"/>
    </row>
    <row r="2614" spans="1:27" ht="13.6">
      <c r="A2614" s="8"/>
      <c r="B2614" s="12"/>
      <c r="C2614" s="9"/>
      <c r="D2614" s="9"/>
      <c r="E2614" s="9"/>
      <c r="F2614" s="9"/>
      <c r="G2614" s="9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9"/>
    </row>
    <row r="2615" spans="1:27" ht="13.6">
      <c r="A2615" s="8"/>
      <c r="B2615" s="12"/>
      <c r="C2615" s="9"/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9"/>
    </row>
    <row r="2616" spans="1:27" ht="13.6">
      <c r="A2616" s="8"/>
      <c r="B2616" s="12"/>
      <c r="C2616" s="9"/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9"/>
    </row>
    <row r="2617" spans="1:27" ht="13.6">
      <c r="A2617" s="8"/>
      <c r="B2617" s="12"/>
      <c r="C2617" s="9"/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9"/>
    </row>
    <row r="2618" spans="1:27" ht="13.6">
      <c r="A2618" s="8"/>
      <c r="B2618" s="12"/>
      <c r="C2618" s="9"/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9"/>
    </row>
    <row r="2619" spans="1:27" ht="13.6">
      <c r="A2619" s="8"/>
      <c r="B2619" s="12"/>
      <c r="C2619" s="9"/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9"/>
    </row>
    <row r="2620" spans="1:27" ht="13.6">
      <c r="A2620" s="8"/>
      <c r="B2620" s="12"/>
      <c r="C2620" s="9"/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9"/>
    </row>
    <row r="2621" spans="1:27" ht="13.6">
      <c r="A2621" s="8"/>
      <c r="B2621" s="12"/>
      <c r="C2621" s="9"/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9"/>
    </row>
    <row r="2622" spans="1:27" ht="13.6">
      <c r="A2622" s="8"/>
      <c r="B2622" s="12"/>
      <c r="C2622" s="9"/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9"/>
    </row>
    <row r="2623" spans="1:27" ht="13.6">
      <c r="A2623" s="8"/>
      <c r="B2623" s="12"/>
      <c r="C2623" s="9"/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</row>
    <row r="2624" spans="1:27" ht="13.6">
      <c r="A2624" s="8"/>
      <c r="B2624" s="12"/>
      <c r="C2624" s="9"/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9"/>
    </row>
    <row r="2625" spans="1:27" ht="13.6">
      <c r="A2625" s="8"/>
      <c r="B2625" s="12"/>
      <c r="C2625" s="9"/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9"/>
    </row>
    <row r="2626" spans="1:27" ht="13.6">
      <c r="A2626" s="8"/>
      <c r="B2626" s="12"/>
      <c r="C2626" s="9"/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9"/>
    </row>
    <row r="2627" spans="1:27" ht="13.6">
      <c r="A2627" s="8"/>
      <c r="B2627" s="12"/>
      <c r="C2627" s="9"/>
      <c r="D2627" s="9"/>
      <c r="E2627" s="9"/>
      <c r="F2627" s="9"/>
      <c r="G2627" s="9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9"/>
    </row>
    <row r="2628" spans="1:27" ht="13.6">
      <c r="A2628" s="8"/>
      <c r="B2628" s="12"/>
      <c r="C2628" s="9"/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9"/>
    </row>
    <row r="2629" spans="1:27" ht="13.6">
      <c r="A2629" s="8"/>
      <c r="B2629" s="12"/>
      <c r="C2629" s="9"/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9"/>
    </row>
    <row r="2630" spans="1:27" ht="13.6">
      <c r="A2630" s="8"/>
      <c r="B2630" s="12"/>
      <c r="C2630" s="9"/>
      <c r="D2630" s="9"/>
      <c r="E2630" s="9"/>
      <c r="F2630" s="9"/>
      <c r="G2630" s="9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9"/>
    </row>
    <row r="2631" spans="1:27" ht="13.6">
      <c r="A2631" s="8"/>
      <c r="B2631" s="12"/>
      <c r="C2631" s="9"/>
      <c r="D2631" s="9"/>
      <c r="E2631" s="9"/>
      <c r="F2631" s="9"/>
      <c r="G2631" s="9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9"/>
    </row>
    <row r="2632" spans="1:27" ht="13.6">
      <c r="A2632" s="8"/>
      <c r="B2632" s="12"/>
      <c r="C2632" s="9"/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9"/>
    </row>
    <row r="2633" spans="1:27" ht="13.6">
      <c r="A2633" s="8"/>
      <c r="B2633" s="12"/>
      <c r="C2633" s="9"/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9"/>
    </row>
    <row r="2634" spans="1:27" ht="13.6">
      <c r="A2634" s="8"/>
      <c r="B2634" s="12"/>
      <c r="C2634" s="9"/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9"/>
    </row>
    <row r="2635" spans="1:27" ht="13.6">
      <c r="A2635" s="8"/>
      <c r="B2635" s="12"/>
      <c r="C2635" s="9"/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9"/>
    </row>
    <row r="2636" spans="1:27" ht="13.6">
      <c r="A2636" s="8"/>
      <c r="B2636" s="12"/>
      <c r="C2636" s="9"/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9"/>
    </row>
    <row r="2637" spans="1:27" ht="13.6">
      <c r="A2637" s="8"/>
      <c r="B2637" s="12"/>
      <c r="C2637" s="9"/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9"/>
    </row>
    <row r="2638" spans="1:27" ht="13.6">
      <c r="A2638" s="8"/>
      <c r="B2638" s="12"/>
      <c r="C2638" s="9"/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9"/>
    </row>
    <row r="2639" spans="1:27" ht="13.6">
      <c r="A2639" s="8"/>
      <c r="B2639" s="12"/>
      <c r="C2639" s="9"/>
      <c r="D2639" s="9"/>
      <c r="E2639" s="9"/>
      <c r="F2639" s="9"/>
      <c r="G2639" s="9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9"/>
    </row>
    <row r="2640" spans="1:27" ht="13.6">
      <c r="A2640" s="8"/>
      <c r="B2640" s="12"/>
      <c r="C2640" s="9"/>
      <c r="D2640" s="9"/>
      <c r="E2640" s="9"/>
      <c r="F2640" s="9"/>
      <c r="G2640" s="9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9"/>
    </row>
    <row r="2641" spans="1:27" ht="13.6">
      <c r="A2641" s="8"/>
      <c r="B2641" s="12"/>
      <c r="C2641" s="9"/>
      <c r="D2641" s="9"/>
      <c r="E2641" s="9"/>
      <c r="F2641" s="9"/>
      <c r="G2641" s="9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9"/>
    </row>
    <row r="2642" spans="1:27" ht="13.6">
      <c r="A2642" s="8"/>
      <c r="B2642" s="12"/>
      <c r="C2642" s="9"/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9"/>
    </row>
    <row r="2643" spans="1:27" ht="13.6">
      <c r="A2643" s="8"/>
      <c r="B2643" s="12"/>
      <c r="C2643" s="9"/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</row>
    <row r="2644" spans="1:27" ht="13.6">
      <c r="A2644" s="8"/>
      <c r="B2644" s="12"/>
      <c r="C2644" s="9"/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</row>
    <row r="2645" spans="1:27" ht="13.6">
      <c r="A2645" s="8"/>
      <c r="B2645" s="12"/>
      <c r="C2645" s="9"/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</row>
    <row r="2646" spans="1:27" ht="13.6">
      <c r="A2646" s="8"/>
      <c r="B2646" s="12"/>
      <c r="C2646" s="9"/>
      <c r="D2646" s="9"/>
      <c r="E2646" s="9"/>
      <c r="F2646" s="9"/>
      <c r="G2646" s="9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</row>
    <row r="2647" spans="1:27" ht="13.6">
      <c r="A2647" s="8"/>
      <c r="B2647" s="12"/>
      <c r="C2647" s="9"/>
      <c r="D2647" s="9"/>
      <c r="E2647" s="9"/>
      <c r="F2647" s="9"/>
      <c r="G2647" s="9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</row>
    <row r="2648" spans="1:27" ht="13.6">
      <c r="A2648" s="8"/>
      <c r="B2648" s="12"/>
      <c r="C2648" s="9"/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</row>
    <row r="2649" spans="1:27" ht="13.6">
      <c r="A2649" s="8"/>
      <c r="B2649" s="12"/>
      <c r="C2649" s="9"/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</row>
    <row r="2650" spans="1:27" ht="13.6">
      <c r="A2650" s="8"/>
      <c r="B2650" s="12"/>
      <c r="C2650" s="9"/>
      <c r="D2650" s="9"/>
      <c r="E2650" s="9"/>
      <c r="F2650" s="9"/>
      <c r="G2650" s="9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</row>
    <row r="2651" spans="1:27" ht="13.6">
      <c r="A2651" s="8"/>
      <c r="B2651" s="12"/>
      <c r="C2651" s="9"/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</row>
    <row r="2652" spans="1:27" ht="13.6">
      <c r="A2652" s="8"/>
      <c r="B2652" s="12"/>
      <c r="C2652" s="9"/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</row>
    <row r="2653" spans="1:27" ht="13.6">
      <c r="A2653" s="8"/>
      <c r="B2653" s="12"/>
      <c r="C2653" s="9"/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</row>
    <row r="2654" spans="1:27" ht="13.6">
      <c r="A2654" s="8"/>
      <c r="B2654" s="12"/>
      <c r="C2654" s="9"/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</row>
    <row r="2655" spans="1:27" ht="13.6">
      <c r="A2655" s="8"/>
      <c r="B2655" s="12"/>
      <c r="C2655" s="9"/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</row>
    <row r="2656" spans="1:27" ht="13.6">
      <c r="A2656" s="8"/>
      <c r="B2656" s="12"/>
      <c r="C2656" s="9"/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</row>
    <row r="2657" spans="1:27" ht="13.6">
      <c r="A2657" s="8"/>
      <c r="B2657" s="12"/>
      <c r="C2657" s="9"/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</row>
    <row r="2658" spans="1:27" ht="13.6">
      <c r="A2658" s="8"/>
      <c r="B2658" s="12"/>
      <c r="C2658" s="9"/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</row>
    <row r="2659" spans="1:27" ht="13.6">
      <c r="A2659" s="8"/>
      <c r="B2659" s="12"/>
      <c r="C2659" s="9"/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</row>
    <row r="2660" spans="1:27" ht="13.6">
      <c r="A2660" s="8"/>
      <c r="B2660" s="12"/>
      <c r="C2660" s="9"/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</row>
    <row r="2661" spans="1:27" ht="13.6">
      <c r="A2661" s="8"/>
      <c r="B2661" s="12"/>
      <c r="C2661" s="9"/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</row>
    <row r="2662" spans="1:27" ht="13.6">
      <c r="A2662" s="8"/>
      <c r="B2662" s="12"/>
      <c r="C2662" s="9"/>
      <c r="D2662" s="9"/>
      <c r="E2662" s="9"/>
      <c r="F2662" s="9"/>
      <c r="G2662" s="9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</row>
    <row r="2663" spans="1:27" ht="13.6">
      <c r="A2663" s="8"/>
      <c r="B2663" s="12"/>
      <c r="C2663" s="9"/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</row>
    <row r="2664" spans="1:27" ht="13.6">
      <c r="A2664" s="8"/>
      <c r="B2664" s="12"/>
      <c r="C2664" s="9"/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</row>
    <row r="2665" spans="1:27" ht="13.6">
      <c r="A2665" s="8"/>
      <c r="B2665" s="12"/>
      <c r="C2665" s="9"/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</row>
    <row r="2666" spans="1:27" ht="13.6">
      <c r="A2666" s="8"/>
      <c r="B2666" s="12"/>
      <c r="C2666" s="9"/>
      <c r="D2666" s="9"/>
      <c r="E2666" s="9"/>
      <c r="F2666" s="9"/>
      <c r="G2666" s="9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</row>
    <row r="2667" spans="1:27" ht="13.6">
      <c r="A2667" s="8"/>
      <c r="B2667" s="12"/>
      <c r="C2667" s="9"/>
      <c r="D2667" s="9"/>
      <c r="E2667" s="9"/>
      <c r="F2667" s="9"/>
      <c r="G2667" s="9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</row>
    <row r="2668" spans="1:27" ht="13.6">
      <c r="A2668" s="8"/>
      <c r="B2668" s="12"/>
      <c r="C2668" s="9"/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</row>
    <row r="2669" spans="1:27" ht="13.6">
      <c r="A2669" s="8"/>
      <c r="B2669" s="12"/>
      <c r="C2669" s="9"/>
      <c r="D2669" s="9"/>
      <c r="E2669" s="9"/>
      <c r="F2669" s="9"/>
      <c r="G2669" s="9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</row>
    <row r="2670" spans="1:27" ht="13.6">
      <c r="A2670" s="8"/>
      <c r="B2670" s="12"/>
      <c r="C2670" s="9"/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</row>
    <row r="2671" spans="1:27" ht="13.6">
      <c r="A2671" s="8"/>
      <c r="B2671" s="12"/>
      <c r="C2671" s="9"/>
      <c r="D2671" s="9"/>
      <c r="E2671" s="9"/>
      <c r="F2671" s="9"/>
      <c r="G2671" s="9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</row>
    <row r="2672" spans="1:27" ht="13.6">
      <c r="A2672" s="8"/>
      <c r="B2672" s="12"/>
      <c r="C2672" s="9"/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</row>
    <row r="2673" spans="1:27" ht="13.6">
      <c r="A2673" s="8"/>
      <c r="B2673" s="12"/>
      <c r="C2673" s="9"/>
      <c r="D2673" s="9"/>
      <c r="E2673" s="9"/>
      <c r="F2673" s="9"/>
      <c r="G2673" s="9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</row>
    <row r="2674" spans="1:27" ht="13.6">
      <c r="A2674" s="8"/>
      <c r="B2674" s="12"/>
      <c r="C2674" s="9"/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</row>
    <row r="2675" spans="1:27" ht="13.6">
      <c r="A2675" s="8"/>
      <c r="B2675" s="12"/>
      <c r="C2675" s="9"/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</row>
    <row r="2676" spans="1:27" ht="13.6">
      <c r="A2676" s="8"/>
      <c r="B2676" s="12"/>
      <c r="C2676" s="9"/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</row>
    <row r="2677" spans="1:27" ht="13.6">
      <c r="A2677" s="8"/>
      <c r="B2677" s="12"/>
      <c r="C2677" s="9"/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</row>
    <row r="2678" spans="1:27" ht="13.6">
      <c r="A2678" s="8"/>
      <c r="B2678" s="12"/>
      <c r="C2678" s="9"/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</row>
    <row r="2679" spans="1:27" ht="13.6">
      <c r="A2679" s="8"/>
      <c r="B2679" s="12"/>
      <c r="C2679" s="9"/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</row>
    <row r="2680" spans="1:27" ht="13.6">
      <c r="A2680" s="8"/>
      <c r="B2680" s="12"/>
      <c r="C2680" s="9"/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</row>
    <row r="2681" spans="1:27" ht="13.6">
      <c r="A2681" s="8"/>
      <c r="B2681" s="12"/>
      <c r="C2681" s="9"/>
      <c r="D2681" s="9"/>
      <c r="E2681" s="9"/>
      <c r="F2681" s="9"/>
      <c r="G2681" s="9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</row>
    <row r="2682" spans="1:27" ht="13.6">
      <c r="A2682" s="8"/>
      <c r="B2682" s="12"/>
      <c r="C2682" s="9"/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</row>
    <row r="2683" spans="1:27" ht="13.6">
      <c r="A2683" s="8"/>
      <c r="B2683" s="12"/>
      <c r="C2683" s="9"/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</row>
    <row r="2684" spans="1:27" ht="13.6">
      <c r="A2684" s="8"/>
      <c r="B2684" s="12"/>
      <c r="C2684" s="9"/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</row>
    <row r="2685" spans="1:27" ht="13.6">
      <c r="A2685" s="8"/>
      <c r="B2685" s="12"/>
      <c r="C2685" s="9"/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</row>
    <row r="2686" spans="1:27" ht="13.6">
      <c r="A2686" s="8"/>
      <c r="B2686" s="12"/>
      <c r="C2686" s="9"/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</row>
    <row r="2687" spans="1:27" ht="13.6">
      <c r="A2687" s="8"/>
      <c r="B2687" s="12"/>
      <c r="C2687" s="9"/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</row>
    <row r="2688" spans="1:27" ht="13.6">
      <c r="A2688" s="8"/>
      <c r="B2688" s="12"/>
      <c r="C2688" s="9"/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</row>
    <row r="2689" spans="1:27" ht="13.6">
      <c r="A2689" s="8"/>
      <c r="B2689" s="12"/>
      <c r="C2689" s="9"/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</row>
    <row r="2690" spans="1:27" ht="13.6">
      <c r="A2690" s="8"/>
      <c r="B2690" s="12"/>
      <c r="C2690" s="9"/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</row>
    <row r="2691" spans="1:27" ht="13.6">
      <c r="A2691" s="8"/>
      <c r="B2691" s="12"/>
      <c r="C2691" s="9"/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</row>
    <row r="2692" spans="1:27" ht="13.6">
      <c r="A2692" s="8"/>
      <c r="B2692" s="12"/>
      <c r="C2692" s="9"/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</row>
    <row r="2693" spans="1:27" ht="13.6">
      <c r="A2693" s="8"/>
      <c r="B2693" s="12"/>
      <c r="C2693" s="9"/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</row>
    <row r="2694" spans="1:27" ht="13.6">
      <c r="A2694" s="8"/>
      <c r="B2694" s="12"/>
      <c r="C2694" s="9"/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9"/>
    </row>
    <row r="2695" spans="1:27" ht="13.6">
      <c r="A2695" s="8"/>
      <c r="B2695" s="12"/>
      <c r="C2695" s="9"/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9"/>
    </row>
    <row r="2696" spans="1:27" ht="13.6">
      <c r="A2696" s="8"/>
      <c r="B2696" s="12"/>
      <c r="C2696" s="9"/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9"/>
    </row>
    <row r="2697" spans="1:27" ht="13.6">
      <c r="A2697" s="8"/>
      <c r="B2697" s="12"/>
      <c r="C2697" s="9"/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9"/>
    </row>
    <row r="2698" spans="1:27" ht="13.6">
      <c r="A2698" s="8"/>
      <c r="B2698" s="12"/>
      <c r="C2698" s="9"/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9"/>
    </row>
    <row r="2699" spans="1:27" ht="13.6">
      <c r="A2699" s="8"/>
      <c r="B2699" s="12"/>
      <c r="C2699" s="9"/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9"/>
    </row>
    <row r="2700" spans="1:27" ht="13.6">
      <c r="A2700" s="8"/>
      <c r="B2700" s="12"/>
      <c r="C2700" s="9"/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9"/>
    </row>
    <row r="2701" spans="1:27" ht="13.6">
      <c r="A2701" s="8"/>
      <c r="B2701" s="12"/>
      <c r="C2701" s="9"/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9"/>
    </row>
    <row r="2702" spans="1:27" ht="13.6">
      <c r="A2702" s="8"/>
      <c r="B2702" s="12"/>
      <c r="C2702" s="9"/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9"/>
    </row>
    <row r="2703" spans="1:27" ht="13.6">
      <c r="A2703" s="8"/>
      <c r="B2703" s="12"/>
      <c r="C2703" s="9"/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9"/>
    </row>
    <row r="2704" spans="1:27" ht="13.6">
      <c r="A2704" s="8"/>
      <c r="B2704" s="12"/>
      <c r="C2704" s="9"/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9"/>
    </row>
    <row r="2705" spans="1:27" ht="13.6">
      <c r="A2705" s="8"/>
      <c r="B2705" s="12"/>
      <c r="C2705" s="9"/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9"/>
    </row>
    <row r="2706" spans="1:27" ht="13.6">
      <c r="A2706" s="8"/>
      <c r="B2706" s="12"/>
      <c r="C2706" s="9"/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9"/>
    </row>
    <row r="2707" spans="1:27" ht="13.6">
      <c r="A2707" s="8"/>
      <c r="B2707" s="12"/>
      <c r="C2707" s="9"/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9"/>
    </row>
    <row r="2708" spans="1:27" ht="13.6">
      <c r="A2708" s="8"/>
      <c r="B2708" s="12"/>
      <c r="C2708" s="9"/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9"/>
    </row>
    <row r="2709" spans="1:27" ht="13.6">
      <c r="A2709" s="8"/>
      <c r="B2709" s="12"/>
      <c r="C2709" s="9"/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</row>
    <row r="2710" spans="1:27" ht="13.6">
      <c r="A2710" s="8"/>
      <c r="B2710" s="12"/>
      <c r="C2710" s="9"/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9"/>
    </row>
    <row r="2711" spans="1:27" ht="13.6">
      <c r="A2711" s="8"/>
      <c r="B2711" s="12"/>
      <c r="C2711" s="9"/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9"/>
    </row>
    <row r="2712" spans="1:27" ht="13.6">
      <c r="A2712" s="8"/>
      <c r="B2712" s="12"/>
      <c r="C2712" s="9"/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9"/>
    </row>
    <row r="2713" spans="1:27" ht="13.6">
      <c r="A2713" s="8"/>
      <c r="B2713" s="12"/>
      <c r="C2713" s="9"/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9"/>
    </row>
    <row r="2714" spans="1:27" ht="13.6">
      <c r="A2714" s="8"/>
      <c r="B2714" s="12"/>
      <c r="C2714" s="9"/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9"/>
    </row>
    <row r="2715" spans="1:27" ht="13.6">
      <c r="A2715" s="8"/>
      <c r="B2715" s="12"/>
      <c r="C2715" s="9"/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9"/>
    </row>
    <row r="2716" spans="1:27" ht="13.6">
      <c r="A2716" s="8"/>
      <c r="B2716" s="12"/>
      <c r="C2716" s="9"/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9"/>
    </row>
    <row r="2717" spans="1:27" ht="13.6">
      <c r="A2717" s="8"/>
      <c r="B2717" s="12"/>
      <c r="C2717" s="9"/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9"/>
    </row>
    <row r="2718" spans="1:27" ht="13.6">
      <c r="A2718" s="8"/>
      <c r="B2718" s="12"/>
      <c r="C2718" s="9"/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9"/>
    </row>
    <row r="2719" spans="1:27" ht="13.6">
      <c r="A2719" s="8"/>
      <c r="B2719" s="12"/>
      <c r="C2719" s="9"/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9"/>
    </row>
    <row r="2720" spans="1:27" ht="13.6">
      <c r="A2720" s="8"/>
      <c r="B2720" s="12"/>
      <c r="C2720" s="9"/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9"/>
    </row>
    <row r="2721" spans="1:27" ht="13.6">
      <c r="A2721" s="8"/>
      <c r="B2721" s="12"/>
      <c r="C2721" s="9"/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9"/>
    </row>
    <row r="2722" spans="1:27" ht="13.6">
      <c r="A2722" s="8"/>
      <c r="B2722" s="12"/>
      <c r="C2722" s="9"/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9"/>
    </row>
    <row r="2723" spans="1:27" ht="13.6">
      <c r="A2723" s="8"/>
      <c r="B2723" s="12"/>
      <c r="C2723" s="9"/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9"/>
    </row>
    <row r="2724" spans="1:27" ht="13.6">
      <c r="A2724" s="8"/>
      <c r="B2724" s="12"/>
      <c r="C2724" s="9"/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9"/>
    </row>
    <row r="2725" spans="1:27" ht="13.6">
      <c r="A2725" s="8"/>
      <c r="B2725" s="12"/>
      <c r="C2725" s="9"/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9"/>
    </row>
    <row r="2726" spans="1:27" ht="13.6">
      <c r="A2726" s="8"/>
      <c r="B2726" s="12"/>
      <c r="C2726" s="9"/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9"/>
    </row>
    <row r="2727" spans="1:27" ht="13.6">
      <c r="A2727" s="8"/>
      <c r="B2727" s="12"/>
      <c r="C2727" s="9"/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9"/>
    </row>
    <row r="2728" spans="1:27" ht="13.6">
      <c r="A2728" s="8"/>
      <c r="B2728" s="12"/>
      <c r="C2728" s="9"/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9"/>
    </row>
    <row r="2729" spans="1:27" ht="13.6">
      <c r="A2729" s="8"/>
      <c r="B2729" s="12"/>
      <c r="C2729" s="9"/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9"/>
    </row>
    <row r="2730" spans="1:27" ht="13.6">
      <c r="A2730" s="8"/>
      <c r="B2730" s="12"/>
      <c r="C2730" s="9"/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9"/>
    </row>
    <row r="2731" spans="1:27" ht="13.6">
      <c r="A2731" s="8"/>
      <c r="B2731" s="12"/>
      <c r="C2731" s="9"/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9"/>
    </row>
    <row r="2732" spans="1:27" ht="13.6">
      <c r="A2732" s="8"/>
      <c r="B2732" s="12"/>
      <c r="C2732" s="9"/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9"/>
    </row>
    <row r="2733" spans="1:27" ht="13.6">
      <c r="A2733" s="8"/>
      <c r="B2733" s="12"/>
      <c r="C2733" s="9"/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9"/>
    </row>
    <row r="2734" spans="1:27" ht="13.6">
      <c r="A2734" s="8"/>
      <c r="B2734" s="12"/>
      <c r="C2734" s="9"/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9"/>
    </row>
    <row r="2735" spans="1:27" ht="13.6">
      <c r="A2735" s="8"/>
      <c r="B2735" s="12"/>
      <c r="C2735" s="9"/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9"/>
    </row>
    <row r="2736" spans="1:27" ht="13.6">
      <c r="A2736" s="8"/>
      <c r="B2736" s="12"/>
      <c r="C2736" s="9"/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9"/>
    </row>
    <row r="2737" spans="1:27" ht="13.6">
      <c r="A2737" s="8"/>
      <c r="B2737" s="12"/>
      <c r="C2737" s="9"/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9"/>
    </row>
    <row r="2738" spans="1:27" ht="13.6">
      <c r="A2738" s="8"/>
      <c r="B2738" s="12"/>
      <c r="C2738" s="9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9"/>
    </row>
    <row r="2739" spans="1:27" ht="13.6">
      <c r="A2739" s="8"/>
      <c r="B2739" s="12"/>
      <c r="C2739" s="9"/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9"/>
    </row>
    <row r="2740" spans="1:27" ht="13.6">
      <c r="A2740" s="8"/>
      <c r="B2740" s="12"/>
      <c r="C2740" s="9"/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9"/>
    </row>
    <row r="2741" spans="1:27" ht="13.6">
      <c r="A2741" s="8"/>
      <c r="B2741" s="12"/>
      <c r="C2741" s="9"/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9"/>
    </row>
    <row r="2742" spans="1:27" ht="13.6">
      <c r="A2742" s="8"/>
      <c r="B2742" s="12"/>
      <c r="C2742" s="9"/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9"/>
    </row>
    <row r="2743" spans="1:27" ht="13.6">
      <c r="A2743" s="8"/>
      <c r="B2743" s="12"/>
      <c r="C2743" s="9"/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9"/>
    </row>
    <row r="2744" spans="1:27" ht="13.6">
      <c r="A2744" s="8"/>
      <c r="B2744" s="12"/>
      <c r="C2744" s="9"/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9"/>
    </row>
    <row r="2745" spans="1:27" ht="13.6">
      <c r="A2745" s="8"/>
      <c r="B2745" s="12"/>
      <c r="C2745" s="9"/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9"/>
    </row>
    <row r="2746" spans="1:27" ht="13.6">
      <c r="A2746" s="8"/>
      <c r="B2746" s="12"/>
      <c r="C2746" s="9"/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9"/>
    </row>
    <row r="2747" spans="1:27" ht="13.6">
      <c r="A2747" s="8"/>
      <c r="B2747" s="12"/>
      <c r="C2747" s="9"/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9"/>
    </row>
    <row r="2748" spans="1:27" ht="13.6">
      <c r="A2748" s="8"/>
      <c r="B2748" s="12"/>
      <c r="C2748" s="9"/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9"/>
    </row>
    <row r="2749" spans="1:27" ht="13.6">
      <c r="A2749" s="8"/>
      <c r="B2749" s="12"/>
      <c r="C2749" s="9"/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9"/>
    </row>
    <row r="2750" spans="1:27" ht="13.6">
      <c r="A2750" s="8"/>
      <c r="B2750" s="12"/>
      <c r="C2750" s="9"/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9"/>
    </row>
    <row r="2751" spans="1:27" ht="13.6">
      <c r="A2751" s="8"/>
      <c r="B2751" s="12"/>
      <c r="C2751" s="9"/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9"/>
    </row>
    <row r="2752" spans="1:27" ht="13.6">
      <c r="A2752" s="8"/>
      <c r="B2752" s="12"/>
      <c r="C2752" s="9"/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</row>
    <row r="2753" spans="1:27" ht="13.6">
      <c r="A2753" s="8"/>
      <c r="B2753" s="12"/>
      <c r="C2753" s="9"/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9"/>
    </row>
    <row r="2754" spans="1:27" ht="13.6">
      <c r="A2754" s="8"/>
      <c r="B2754" s="12"/>
      <c r="C2754" s="9"/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9"/>
    </row>
    <row r="2755" spans="1:27" ht="13.6">
      <c r="A2755" s="8"/>
      <c r="B2755" s="12"/>
      <c r="C2755" s="9"/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9"/>
    </row>
    <row r="2756" spans="1:27" ht="13.6">
      <c r="A2756" s="8"/>
      <c r="B2756" s="12"/>
      <c r="C2756" s="9"/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9"/>
    </row>
    <row r="2757" spans="1:27" ht="13.6">
      <c r="A2757" s="8"/>
      <c r="B2757" s="12"/>
      <c r="C2757" s="9"/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9"/>
    </row>
    <row r="2758" spans="1:27" ht="13.6">
      <c r="A2758" s="8"/>
      <c r="B2758" s="12"/>
      <c r="C2758" s="9"/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9"/>
    </row>
    <row r="2759" spans="1:27" ht="13.6">
      <c r="A2759" s="8"/>
      <c r="B2759" s="12"/>
      <c r="C2759" s="9"/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9"/>
    </row>
    <row r="2760" spans="1:27" ht="13.6">
      <c r="A2760" s="8"/>
      <c r="B2760" s="12"/>
      <c r="C2760" s="9"/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9"/>
    </row>
    <row r="2761" spans="1:27" ht="13.6">
      <c r="A2761" s="8"/>
      <c r="B2761" s="12"/>
      <c r="C2761" s="9"/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9"/>
    </row>
    <row r="2762" spans="1:27" ht="13.6">
      <c r="A2762" s="8"/>
      <c r="B2762" s="12"/>
      <c r="C2762" s="9"/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9"/>
    </row>
    <row r="2763" spans="1:27" ht="13.6">
      <c r="A2763" s="8"/>
      <c r="B2763" s="12"/>
      <c r="C2763" s="9"/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9"/>
    </row>
    <row r="2764" spans="1:27" ht="13.6">
      <c r="A2764" s="8"/>
      <c r="B2764" s="12"/>
      <c r="C2764" s="9"/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9"/>
    </row>
    <row r="2765" spans="1:27" ht="13.6">
      <c r="A2765" s="8"/>
      <c r="B2765" s="12"/>
      <c r="C2765" s="9"/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9"/>
    </row>
    <row r="2766" spans="1:27" ht="13.6">
      <c r="A2766" s="8"/>
      <c r="B2766" s="12"/>
      <c r="C2766" s="9"/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9"/>
    </row>
    <row r="2767" spans="1:27" ht="13.6">
      <c r="A2767" s="8"/>
      <c r="B2767" s="12"/>
      <c r="C2767" s="9"/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9"/>
    </row>
    <row r="2768" spans="1:27" ht="13.6">
      <c r="A2768" s="8"/>
      <c r="B2768" s="12"/>
      <c r="C2768" s="9"/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9"/>
    </row>
    <row r="2769" spans="1:27" ht="13.6">
      <c r="A2769" s="8"/>
      <c r="B2769" s="12"/>
      <c r="C2769" s="9"/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9"/>
    </row>
    <row r="2770" spans="1:27" ht="13.6">
      <c r="A2770" s="8"/>
      <c r="B2770" s="12"/>
      <c r="C2770" s="9"/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9"/>
    </row>
    <row r="2771" spans="1:27" ht="13.6">
      <c r="A2771" s="8"/>
      <c r="B2771" s="12"/>
      <c r="C2771" s="9"/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9"/>
    </row>
    <row r="2772" spans="1:27" ht="13.6">
      <c r="A2772" s="8"/>
      <c r="B2772" s="12"/>
      <c r="C2772" s="9"/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9"/>
    </row>
    <row r="2773" spans="1:27" ht="13.6">
      <c r="A2773" s="8"/>
      <c r="B2773" s="12"/>
      <c r="C2773" s="9"/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9"/>
    </row>
    <row r="2774" spans="1:27" ht="13.6">
      <c r="A2774" s="8"/>
      <c r="B2774" s="12"/>
      <c r="C2774" s="9"/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9"/>
    </row>
    <row r="2775" spans="1:27" ht="13.6">
      <c r="A2775" s="8"/>
      <c r="B2775" s="12"/>
      <c r="C2775" s="9"/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9"/>
    </row>
    <row r="2776" spans="1:27" ht="13.6">
      <c r="A2776" s="8"/>
      <c r="B2776" s="12"/>
      <c r="C2776" s="9"/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9"/>
    </row>
    <row r="2777" spans="1:27" ht="13.6">
      <c r="A2777" s="8"/>
      <c r="B2777" s="12"/>
      <c r="C2777" s="9"/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9"/>
    </row>
    <row r="2778" spans="1:27" ht="13.6">
      <c r="A2778" s="8"/>
      <c r="B2778" s="12"/>
      <c r="C2778" s="9"/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9"/>
    </row>
    <row r="2779" spans="1:27" ht="13.6">
      <c r="A2779" s="8"/>
      <c r="B2779" s="12"/>
      <c r="C2779" s="9"/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9"/>
    </row>
    <row r="2780" spans="1:27" ht="13.6">
      <c r="A2780" s="8"/>
      <c r="B2780" s="12"/>
      <c r="C2780" s="9"/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9"/>
    </row>
    <row r="2781" spans="1:27" ht="13.6">
      <c r="A2781" s="8"/>
      <c r="B2781" s="12"/>
      <c r="C2781" s="9"/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9"/>
    </row>
    <row r="2782" spans="1:27" ht="13.6">
      <c r="A2782" s="8"/>
      <c r="B2782" s="12"/>
      <c r="C2782" s="9"/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9"/>
    </row>
    <row r="2783" spans="1:27" ht="13.6">
      <c r="A2783" s="8"/>
      <c r="B2783" s="12"/>
      <c r="C2783" s="9"/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9"/>
    </row>
    <row r="2784" spans="1:27" ht="13.6">
      <c r="A2784" s="8"/>
      <c r="B2784" s="12"/>
      <c r="C2784" s="9"/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9"/>
    </row>
    <row r="2785" spans="1:27" ht="13.6">
      <c r="A2785" s="8"/>
      <c r="B2785" s="12"/>
      <c r="C2785" s="9"/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9"/>
    </row>
    <row r="2786" spans="1:27" ht="13.6">
      <c r="A2786" s="8"/>
      <c r="B2786" s="12"/>
      <c r="C2786" s="9"/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9"/>
    </row>
    <row r="2787" spans="1:27" ht="13.6">
      <c r="A2787" s="8"/>
      <c r="B2787" s="12"/>
      <c r="C2787" s="9"/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9"/>
    </row>
    <row r="2788" spans="1:27" ht="13.6">
      <c r="A2788" s="8"/>
      <c r="B2788" s="12"/>
      <c r="C2788" s="9"/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9"/>
    </row>
    <row r="2789" spans="1:27" ht="13.6">
      <c r="A2789" s="8"/>
      <c r="B2789" s="12"/>
      <c r="C2789" s="9"/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9"/>
    </row>
    <row r="2790" spans="1:27" ht="13.6">
      <c r="A2790" s="8"/>
      <c r="B2790" s="12"/>
      <c r="C2790" s="9"/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9"/>
    </row>
    <row r="2791" spans="1:27" ht="13.6">
      <c r="A2791" s="8"/>
      <c r="B2791" s="12"/>
      <c r="C2791" s="9"/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9"/>
    </row>
    <row r="2792" spans="1:27" ht="13.6">
      <c r="A2792" s="8"/>
      <c r="B2792" s="12"/>
      <c r="C2792" s="9"/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9"/>
    </row>
    <row r="2793" spans="1:27" ht="13.6">
      <c r="A2793" s="8"/>
      <c r="B2793" s="12"/>
      <c r="C2793" s="9"/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9"/>
    </row>
    <row r="2794" spans="1:27" ht="13.6">
      <c r="A2794" s="8"/>
      <c r="B2794" s="12"/>
      <c r="C2794" s="9"/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9"/>
    </row>
    <row r="2795" spans="1:27" ht="13.6">
      <c r="A2795" s="8"/>
      <c r="B2795" s="12"/>
      <c r="C2795" s="9"/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</row>
    <row r="2796" spans="1:27" ht="13.6">
      <c r="A2796" s="8"/>
      <c r="B2796" s="12"/>
      <c r="C2796" s="9"/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9"/>
    </row>
    <row r="2797" spans="1:27" ht="13.6">
      <c r="A2797" s="8"/>
      <c r="B2797" s="12"/>
      <c r="C2797" s="9"/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9"/>
    </row>
    <row r="2798" spans="1:27" ht="13.6">
      <c r="A2798" s="8"/>
      <c r="B2798" s="12"/>
      <c r="C2798" s="9"/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9"/>
    </row>
    <row r="2799" spans="1:27" ht="13.6">
      <c r="A2799" s="8"/>
      <c r="B2799" s="12"/>
      <c r="C2799" s="9"/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9"/>
    </row>
    <row r="2800" spans="1:27" ht="13.6">
      <c r="A2800" s="8"/>
      <c r="B2800" s="12"/>
      <c r="C2800" s="9"/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9"/>
    </row>
    <row r="2801" spans="1:27" ht="13.6">
      <c r="A2801" s="8"/>
      <c r="B2801" s="12"/>
      <c r="C2801" s="9"/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9"/>
    </row>
    <row r="2802" spans="1:27" ht="13.6">
      <c r="A2802" s="8"/>
      <c r="B2802" s="12"/>
      <c r="C2802" s="9"/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9"/>
    </row>
    <row r="2803" spans="1:27" ht="13.6">
      <c r="A2803" s="8"/>
      <c r="B2803" s="12"/>
      <c r="C2803" s="9"/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9"/>
    </row>
    <row r="2804" spans="1:27" ht="13.6">
      <c r="A2804" s="8"/>
      <c r="B2804" s="12"/>
      <c r="C2804" s="9"/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9"/>
    </row>
    <row r="2805" spans="1:27" ht="13.6">
      <c r="A2805" s="8"/>
      <c r="B2805" s="12"/>
      <c r="C2805" s="9"/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9"/>
    </row>
    <row r="2806" spans="1:27" ht="13.6">
      <c r="A2806" s="8"/>
      <c r="B2806" s="12"/>
      <c r="C2806" s="9"/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9"/>
    </row>
    <row r="2807" spans="1:27" ht="13.6">
      <c r="A2807" s="8"/>
      <c r="B2807" s="12"/>
      <c r="C2807" s="9"/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9"/>
    </row>
    <row r="2808" spans="1:27" ht="13.6">
      <c r="A2808" s="8"/>
      <c r="B2808" s="12"/>
      <c r="C2808" s="9"/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9"/>
    </row>
    <row r="2809" spans="1:27" ht="13.6">
      <c r="A2809" s="8"/>
      <c r="B2809" s="12"/>
      <c r="C2809" s="9"/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9"/>
    </row>
    <row r="2810" spans="1:27" ht="13.6">
      <c r="A2810" s="8"/>
      <c r="B2810" s="12"/>
      <c r="C2810" s="9"/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9"/>
    </row>
    <row r="2811" spans="1:27" ht="13.6">
      <c r="A2811" s="8"/>
      <c r="B2811" s="12"/>
      <c r="C2811" s="9"/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9"/>
    </row>
    <row r="2812" spans="1:27" ht="13.6">
      <c r="A2812" s="8"/>
      <c r="B2812" s="12"/>
      <c r="C2812" s="9"/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9"/>
    </row>
    <row r="2813" spans="1:27" ht="13.6">
      <c r="A2813" s="8"/>
      <c r="B2813" s="12"/>
      <c r="C2813" s="9"/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9"/>
    </row>
    <row r="2814" spans="1:27" ht="13.6">
      <c r="A2814" s="8"/>
      <c r="B2814" s="12"/>
      <c r="C2814" s="9"/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9"/>
    </row>
    <row r="2815" spans="1:27" ht="13.6">
      <c r="A2815" s="8"/>
      <c r="B2815" s="12"/>
      <c r="C2815" s="9"/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9"/>
    </row>
    <row r="2816" spans="1:27" ht="13.6">
      <c r="A2816" s="8"/>
      <c r="B2816" s="12"/>
      <c r="C2816" s="9"/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9"/>
    </row>
    <row r="2817" spans="1:27" ht="13.6">
      <c r="A2817" s="8"/>
      <c r="B2817" s="12"/>
      <c r="C2817" s="9"/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9"/>
    </row>
    <row r="2818" spans="1:27" ht="13.6">
      <c r="A2818" s="8"/>
      <c r="B2818" s="12"/>
      <c r="C2818" s="9"/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9"/>
    </row>
    <row r="2819" spans="1:27" ht="13.6">
      <c r="A2819" s="8"/>
      <c r="B2819" s="12"/>
      <c r="C2819" s="9"/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9"/>
    </row>
    <row r="2820" spans="1:27" ht="13.6">
      <c r="A2820" s="8"/>
      <c r="B2820" s="12"/>
      <c r="C2820" s="9"/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9"/>
    </row>
    <row r="2821" spans="1:27" ht="13.6">
      <c r="A2821" s="8"/>
      <c r="B2821" s="12"/>
      <c r="C2821" s="9"/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9"/>
    </row>
    <row r="2822" spans="1:27" ht="13.6">
      <c r="A2822" s="8"/>
      <c r="B2822" s="12"/>
      <c r="C2822" s="9"/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9"/>
    </row>
    <row r="2823" spans="1:27" ht="13.6">
      <c r="A2823" s="8"/>
      <c r="B2823" s="12"/>
      <c r="C2823" s="9"/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9"/>
    </row>
    <row r="2824" spans="1:27" ht="13.6">
      <c r="A2824" s="8"/>
      <c r="B2824" s="12"/>
      <c r="C2824" s="9"/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9"/>
    </row>
    <row r="2825" spans="1:27" ht="13.6">
      <c r="A2825" s="8"/>
      <c r="B2825" s="12"/>
      <c r="C2825" s="9"/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9"/>
    </row>
    <row r="2826" spans="1:27" ht="13.6">
      <c r="A2826" s="8"/>
      <c r="B2826" s="12"/>
      <c r="C2826" s="9"/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9"/>
    </row>
    <row r="2827" spans="1:27" ht="13.6">
      <c r="A2827" s="8"/>
      <c r="B2827" s="12"/>
      <c r="C2827" s="9"/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9"/>
    </row>
    <row r="2828" spans="1:27" ht="13.6">
      <c r="A2828" s="8"/>
      <c r="B2828" s="12"/>
      <c r="C2828" s="9"/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9"/>
    </row>
    <row r="2829" spans="1:27" ht="13.6">
      <c r="A2829" s="8"/>
      <c r="B2829" s="12"/>
      <c r="C2829" s="9"/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9"/>
    </row>
    <row r="2830" spans="1:27" ht="13.6">
      <c r="A2830" s="8"/>
      <c r="B2830" s="12"/>
      <c r="C2830" s="9"/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9"/>
    </row>
    <row r="2831" spans="1:27" ht="13.6">
      <c r="A2831" s="8"/>
      <c r="B2831" s="12"/>
      <c r="C2831" s="9"/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9"/>
    </row>
    <row r="2832" spans="1:27" ht="13.6">
      <c r="A2832" s="8"/>
      <c r="B2832" s="12"/>
      <c r="C2832" s="9"/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9"/>
    </row>
    <row r="2833" spans="1:27" ht="13.6">
      <c r="A2833" s="8"/>
      <c r="B2833" s="12"/>
      <c r="C2833" s="9"/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9"/>
    </row>
    <row r="2834" spans="1:27" ht="13.6">
      <c r="A2834" s="8"/>
      <c r="B2834" s="12"/>
      <c r="C2834" s="9"/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9"/>
    </row>
    <row r="2835" spans="1:27" ht="13.6">
      <c r="A2835" s="8"/>
      <c r="B2835" s="12"/>
      <c r="C2835" s="9"/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9"/>
    </row>
    <row r="2836" spans="1:27" ht="13.6">
      <c r="A2836" s="8"/>
      <c r="B2836" s="12"/>
      <c r="C2836" s="9"/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9"/>
    </row>
    <row r="2837" spans="1:27" ht="13.6">
      <c r="A2837" s="8"/>
      <c r="B2837" s="12"/>
      <c r="C2837" s="9"/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9"/>
    </row>
    <row r="2838" spans="1:27" ht="13.6">
      <c r="A2838" s="8"/>
      <c r="B2838" s="12"/>
      <c r="C2838" s="9"/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</row>
    <row r="2839" spans="1:27" ht="13.6">
      <c r="A2839" s="8"/>
      <c r="B2839" s="12"/>
      <c r="C2839" s="9"/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9"/>
    </row>
    <row r="2840" spans="1:27" ht="13.6">
      <c r="A2840" s="8"/>
      <c r="B2840" s="12"/>
      <c r="C2840" s="9"/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9"/>
    </row>
    <row r="2841" spans="1:27" ht="13.6">
      <c r="A2841" s="8"/>
      <c r="B2841" s="12"/>
      <c r="C2841" s="9"/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9"/>
    </row>
    <row r="2842" spans="1:27" ht="13.6">
      <c r="A2842" s="8"/>
      <c r="B2842" s="12"/>
      <c r="C2842" s="9"/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9"/>
    </row>
    <row r="2843" spans="1:27" ht="13.6">
      <c r="A2843" s="8"/>
      <c r="B2843" s="12"/>
      <c r="C2843" s="9"/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9"/>
    </row>
    <row r="2844" spans="1:27" ht="13.6">
      <c r="A2844" s="8"/>
      <c r="B2844" s="12"/>
      <c r="C2844" s="9"/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9"/>
    </row>
    <row r="2845" spans="1:27" ht="13.6">
      <c r="A2845" s="8"/>
      <c r="B2845" s="12"/>
      <c r="C2845" s="9"/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9"/>
    </row>
    <row r="2846" spans="1:27" ht="13.6">
      <c r="A2846" s="8"/>
      <c r="B2846" s="12"/>
      <c r="C2846" s="9"/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9"/>
    </row>
    <row r="2847" spans="1:27" ht="13.6">
      <c r="A2847" s="8"/>
      <c r="B2847" s="12"/>
      <c r="C2847" s="9"/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9"/>
    </row>
    <row r="2848" spans="1:27" ht="13.6">
      <c r="A2848" s="8"/>
      <c r="B2848" s="12"/>
      <c r="C2848" s="9"/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9"/>
    </row>
    <row r="2849" spans="1:27" ht="13.6">
      <c r="A2849" s="8"/>
      <c r="B2849" s="12"/>
      <c r="C2849" s="9"/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9"/>
    </row>
    <row r="2850" spans="1:27" ht="13.6">
      <c r="A2850" s="8"/>
      <c r="B2850" s="12"/>
      <c r="C2850" s="9"/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9"/>
    </row>
    <row r="2851" spans="1:27" ht="13.6">
      <c r="A2851" s="8"/>
      <c r="B2851" s="12"/>
      <c r="C2851" s="9"/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9"/>
    </row>
    <row r="2852" spans="1:27" ht="13.6">
      <c r="A2852" s="8"/>
      <c r="B2852" s="12"/>
      <c r="C2852" s="9"/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9"/>
    </row>
    <row r="2853" spans="1:27" ht="13.6">
      <c r="A2853" s="8"/>
      <c r="B2853" s="12"/>
      <c r="C2853" s="9"/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9"/>
    </row>
    <row r="2854" spans="1:27" ht="13.6">
      <c r="A2854" s="8"/>
      <c r="B2854" s="12"/>
      <c r="C2854" s="9"/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9"/>
    </row>
    <row r="2855" spans="1:27" ht="13.6">
      <c r="A2855" s="8"/>
      <c r="B2855" s="12"/>
      <c r="C2855" s="9"/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9"/>
    </row>
    <row r="2856" spans="1:27" ht="13.6">
      <c r="A2856" s="8"/>
      <c r="B2856" s="12"/>
      <c r="C2856" s="9"/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9"/>
    </row>
    <row r="2857" spans="1:27" ht="13.6">
      <c r="A2857" s="8"/>
      <c r="B2857" s="12"/>
      <c r="C2857" s="9"/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9"/>
    </row>
    <row r="2858" spans="1:27" ht="13.6">
      <c r="A2858" s="8"/>
      <c r="B2858" s="12"/>
      <c r="C2858" s="9"/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9"/>
    </row>
    <row r="2859" spans="1:27" ht="13.6">
      <c r="A2859" s="8"/>
      <c r="B2859" s="12"/>
      <c r="C2859" s="9"/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9"/>
    </row>
    <row r="2860" spans="1:27" ht="13.6">
      <c r="A2860" s="8"/>
      <c r="B2860" s="12"/>
      <c r="C2860" s="9"/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9"/>
    </row>
    <row r="2861" spans="1:27" ht="13.6">
      <c r="A2861" s="8"/>
      <c r="B2861" s="12"/>
      <c r="C2861" s="9"/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9"/>
    </row>
    <row r="2862" spans="1:27" ht="13.6">
      <c r="A2862" s="8"/>
      <c r="B2862" s="12"/>
      <c r="C2862" s="9"/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9"/>
    </row>
    <row r="2863" spans="1:27" ht="13.6">
      <c r="A2863" s="8"/>
      <c r="B2863" s="12"/>
      <c r="C2863" s="9"/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9"/>
    </row>
    <row r="2864" spans="1:27" ht="13.6">
      <c r="A2864" s="8"/>
      <c r="B2864" s="12"/>
      <c r="C2864" s="9"/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9"/>
    </row>
    <row r="2865" spans="1:27" ht="13.6">
      <c r="A2865" s="8"/>
      <c r="B2865" s="12"/>
      <c r="C2865" s="9"/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9"/>
    </row>
    <row r="2866" spans="1:27" ht="13.6">
      <c r="A2866" s="8"/>
      <c r="B2866" s="12"/>
      <c r="C2866" s="9"/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9"/>
    </row>
    <row r="2867" spans="1:27" ht="13.6">
      <c r="A2867" s="8"/>
      <c r="B2867" s="12"/>
      <c r="C2867" s="9"/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9"/>
    </row>
    <row r="2868" spans="1:27" ht="13.6">
      <c r="A2868" s="8"/>
      <c r="B2868" s="12"/>
      <c r="C2868" s="9"/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9"/>
    </row>
    <row r="2869" spans="1:27" ht="13.6">
      <c r="A2869" s="8"/>
      <c r="B2869" s="12"/>
      <c r="C2869" s="9"/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9"/>
    </row>
    <row r="2870" spans="1:27" ht="13.6">
      <c r="A2870" s="8"/>
      <c r="B2870" s="12"/>
      <c r="C2870" s="9"/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9"/>
    </row>
    <row r="2871" spans="1:27" ht="13.6">
      <c r="A2871" s="8"/>
      <c r="B2871" s="12"/>
      <c r="C2871" s="9"/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9"/>
    </row>
    <row r="2872" spans="1:27" ht="13.6">
      <c r="A2872" s="8"/>
      <c r="B2872" s="12"/>
      <c r="C2872" s="9"/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9"/>
    </row>
    <row r="2873" spans="1:27" ht="13.6">
      <c r="A2873" s="8"/>
      <c r="B2873" s="12"/>
      <c r="C2873" s="9"/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9"/>
    </row>
    <row r="2874" spans="1:27" ht="13.6">
      <c r="A2874" s="8"/>
      <c r="B2874" s="12"/>
      <c r="C2874" s="9"/>
      <c r="D2874" s="9"/>
      <c r="E2874" s="9"/>
      <c r="F2874" s="9"/>
      <c r="G2874" s="9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9"/>
    </row>
    <row r="2875" spans="1:27" ht="13.6">
      <c r="A2875" s="8"/>
      <c r="B2875" s="12"/>
      <c r="C2875" s="9"/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9"/>
    </row>
    <row r="2876" spans="1:27" ht="13.6">
      <c r="A2876" s="8"/>
      <c r="B2876" s="12"/>
      <c r="C2876" s="9"/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9"/>
    </row>
    <row r="2877" spans="1:27" ht="13.6">
      <c r="A2877" s="8"/>
      <c r="B2877" s="12"/>
      <c r="C2877" s="9"/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9"/>
    </row>
    <row r="2878" spans="1:27" ht="13.6">
      <c r="A2878" s="8"/>
      <c r="B2878" s="12"/>
      <c r="C2878" s="9"/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9"/>
    </row>
    <row r="2879" spans="1:27" ht="13.6">
      <c r="A2879" s="8"/>
      <c r="B2879" s="12"/>
      <c r="C2879" s="9"/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9"/>
    </row>
    <row r="2880" spans="1:27" ht="13.6">
      <c r="A2880" s="8"/>
      <c r="B2880" s="12"/>
      <c r="C2880" s="9"/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9"/>
    </row>
    <row r="2881" spans="1:27" ht="13.6">
      <c r="A2881" s="8"/>
      <c r="B2881" s="12"/>
      <c r="C2881" s="9"/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</row>
    <row r="2882" spans="1:27" ht="13.6">
      <c r="A2882" s="8"/>
      <c r="B2882" s="12"/>
      <c r="C2882" s="9"/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9"/>
    </row>
    <row r="2883" spans="1:27" ht="13.6">
      <c r="A2883" s="8"/>
      <c r="B2883" s="12"/>
      <c r="C2883" s="9"/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9"/>
    </row>
    <row r="2884" spans="1:27" ht="13.6">
      <c r="A2884" s="8"/>
      <c r="B2884" s="12"/>
      <c r="C2884" s="9"/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9"/>
    </row>
    <row r="2885" spans="1:27" ht="13.6">
      <c r="A2885" s="8"/>
      <c r="B2885" s="12"/>
      <c r="C2885" s="9"/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9"/>
    </row>
    <row r="2886" spans="1:27" ht="13.6">
      <c r="A2886" s="8"/>
      <c r="B2886" s="12"/>
      <c r="C2886" s="9"/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9"/>
    </row>
    <row r="2887" spans="1:27" ht="13.6">
      <c r="A2887" s="8"/>
      <c r="B2887" s="12"/>
      <c r="C2887" s="9"/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9"/>
    </row>
    <row r="2888" spans="1:27" ht="13.6">
      <c r="A2888" s="8"/>
      <c r="B2888" s="12"/>
      <c r="C2888" s="9"/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9"/>
    </row>
    <row r="2889" spans="1:27" ht="13.6">
      <c r="A2889" s="8"/>
      <c r="B2889" s="12"/>
      <c r="C2889" s="9"/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9"/>
    </row>
    <row r="2890" spans="1:27" ht="13.6">
      <c r="A2890" s="8"/>
      <c r="B2890" s="12"/>
      <c r="C2890" s="9"/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9"/>
    </row>
    <row r="2891" spans="1:27" ht="13.6">
      <c r="A2891" s="8"/>
      <c r="B2891" s="12"/>
      <c r="C2891" s="9"/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9"/>
    </row>
    <row r="2892" spans="1:27" ht="13.6">
      <c r="A2892" s="8"/>
      <c r="B2892" s="12"/>
      <c r="C2892" s="9"/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9"/>
    </row>
    <row r="2893" spans="1:27" ht="13.6">
      <c r="A2893" s="8"/>
      <c r="B2893" s="12"/>
      <c r="C2893" s="9"/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9"/>
    </row>
    <row r="2894" spans="1:27" ht="13.6">
      <c r="A2894" s="8"/>
      <c r="B2894" s="12"/>
      <c r="C2894" s="9"/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9"/>
    </row>
    <row r="2895" spans="1:27" ht="13.6">
      <c r="A2895" s="8"/>
      <c r="B2895" s="12"/>
      <c r="C2895" s="9"/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9"/>
    </row>
    <row r="2896" spans="1:27" ht="13.6">
      <c r="A2896" s="8"/>
      <c r="B2896" s="12"/>
      <c r="C2896" s="9"/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9"/>
    </row>
    <row r="2897" spans="1:27" ht="13.6">
      <c r="A2897" s="8"/>
      <c r="B2897" s="12"/>
      <c r="C2897" s="9"/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9"/>
    </row>
    <row r="2898" spans="1:27" ht="13.6">
      <c r="A2898" s="8"/>
      <c r="B2898" s="12"/>
      <c r="C2898" s="9"/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9"/>
    </row>
    <row r="2899" spans="1:27" ht="13.6">
      <c r="A2899" s="8"/>
      <c r="B2899" s="12"/>
      <c r="C2899" s="9"/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9"/>
    </row>
    <row r="2900" spans="1:27" ht="13.6">
      <c r="A2900" s="8"/>
      <c r="B2900" s="12"/>
      <c r="C2900" s="9"/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9"/>
    </row>
    <row r="2901" spans="1:27" ht="13.6">
      <c r="A2901" s="8"/>
      <c r="B2901" s="12"/>
      <c r="C2901" s="9"/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9"/>
    </row>
    <row r="2902" spans="1:27" ht="13.6">
      <c r="A2902" s="8"/>
      <c r="B2902" s="12"/>
      <c r="C2902" s="9"/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9"/>
    </row>
    <row r="2903" spans="1:27" ht="13.6">
      <c r="A2903" s="8"/>
      <c r="B2903" s="12"/>
      <c r="C2903" s="9"/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9"/>
    </row>
    <row r="2904" spans="1:27" ht="13.6">
      <c r="A2904" s="8"/>
      <c r="B2904" s="12"/>
      <c r="C2904" s="9"/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9"/>
    </row>
    <row r="2905" spans="1:27" ht="13.6">
      <c r="A2905" s="8"/>
      <c r="B2905" s="12"/>
      <c r="C2905" s="9"/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9"/>
    </row>
    <row r="2906" spans="1:27" ht="13.6">
      <c r="A2906" s="8"/>
      <c r="B2906" s="12"/>
      <c r="C2906" s="9"/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9"/>
    </row>
    <row r="2907" spans="1:27" ht="13.6">
      <c r="A2907" s="8"/>
      <c r="B2907" s="12"/>
      <c r="C2907" s="9"/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9"/>
    </row>
    <row r="2908" spans="1:27" ht="13.6">
      <c r="A2908" s="8"/>
      <c r="B2908" s="12"/>
      <c r="C2908" s="9"/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9"/>
    </row>
    <row r="2909" spans="1:27" ht="13.6">
      <c r="A2909" s="8"/>
      <c r="B2909" s="12"/>
      <c r="C2909" s="9"/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9"/>
    </row>
    <row r="2910" spans="1:27" ht="13.6">
      <c r="A2910" s="8"/>
      <c r="B2910" s="12"/>
      <c r="C2910" s="9"/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9"/>
    </row>
    <row r="2911" spans="1:27" ht="13.6">
      <c r="A2911" s="8"/>
      <c r="B2911" s="12"/>
      <c r="C2911" s="9"/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9"/>
    </row>
    <row r="2912" spans="1:27" ht="13.6">
      <c r="A2912" s="8"/>
      <c r="B2912" s="12"/>
      <c r="C2912" s="9"/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9"/>
    </row>
    <row r="2913" spans="1:27" ht="13.6">
      <c r="A2913" s="8"/>
      <c r="B2913" s="12"/>
      <c r="C2913" s="9"/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9"/>
    </row>
    <row r="2914" spans="1:27" ht="13.6">
      <c r="A2914" s="8"/>
      <c r="B2914" s="12"/>
      <c r="C2914" s="9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9"/>
    </row>
    <row r="2915" spans="1:27" ht="13.6">
      <c r="A2915" s="8"/>
      <c r="B2915" s="12"/>
      <c r="C2915" s="9"/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9"/>
    </row>
    <row r="2916" spans="1:27" ht="13.6">
      <c r="A2916" s="8"/>
      <c r="B2916" s="12"/>
      <c r="C2916" s="9"/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9"/>
    </row>
    <row r="2917" spans="1:27" ht="13.6">
      <c r="A2917" s="8"/>
      <c r="B2917" s="12"/>
      <c r="C2917" s="9"/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9"/>
    </row>
    <row r="2918" spans="1:27" ht="13.6">
      <c r="A2918" s="8"/>
      <c r="B2918" s="12"/>
      <c r="C2918" s="9"/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9"/>
    </row>
    <row r="2919" spans="1:27" ht="13.6">
      <c r="A2919" s="8"/>
      <c r="B2919" s="12"/>
      <c r="C2919" s="9"/>
      <c r="D2919" s="9"/>
      <c r="E2919" s="9"/>
      <c r="F2919" s="9"/>
      <c r="G2919" s="9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9"/>
    </row>
    <row r="2920" spans="1:27" ht="13.6">
      <c r="A2920" s="8"/>
      <c r="B2920" s="12"/>
      <c r="C2920" s="9"/>
      <c r="D2920" s="9"/>
      <c r="E2920" s="9"/>
      <c r="F2920" s="9"/>
      <c r="G2920" s="9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9"/>
    </row>
    <row r="2921" spans="1:27" ht="13.6">
      <c r="A2921" s="8"/>
      <c r="B2921" s="12"/>
      <c r="C2921" s="9"/>
      <c r="D2921" s="9"/>
      <c r="E2921" s="9"/>
      <c r="F2921" s="9"/>
      <c r="G2921" s="9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9"/>
    </row>
    <row r="2922" spans="1:27" ht="13.6">
      <c r="A2922" s="8"/>
      <c r="B2922" s="12"/>
      <c r="C2922" s="9"/>
      <c r="D2922" s="9"/>
      <c r="E2922" s="9"/>
      <c r="F2922" s="9"/>
      <c r="G2922" s="9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9"/>
    </row>
    <row r="2923" spans="1:27" ht="13.6">
      <c r="A2923" s="8"/>
      <c r="B2923" s="12"/>
      <c r="C2923" s="9"/>
      <c r="D2923" s="9"/>
      <c r="E2923" s="9"/>
      <c r="F2923" s="9"/>
      <c r="G2923" s="9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9"/>
    </row>
    <row r="2924" spans="1:27" ht="13.6">
      <c r="A2924" s="8"/>
      <c r="B2924" s="12"/>
      <c r="C2924" s="9"/>
      <c r="D2924" s="9"/>
      <c r="E2924" s="9"/>
      <c r="F2924" s="9"/>
      <c r="G2924" s="9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</row>
    <row r="2925" spans="1:27" ht="13.6">
      <c r="A2925" s="8"/>
      <c r="B2925" s="12"/>
      <c r="C2925" s="9"/>
      <c r="D2925" s="9"/>
      <c r="E2925" s="9"/>
      <c r="F2925" s="9"/>
      <c r="G2925" s="9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9"/>
    </row>
    <row r="2926" spans="1:27" ht="13.6">
      <c r="A2926" s="8"/>
      <c r="B2926" s="12"/>
      <c r="C2926" s="9"/>
      <c r="D2926" s="9"/>
      <c r="E2926" s="9"/>
      <c r="F2926" s="9"/>
      <c r="G2926" s="9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9"/>
    </row>
    <row r="2927" spans="1:27" ht="13.6">
      <c r="A2927" s="8"/>
      <c r="B2927" s="12"/>
      <c r="C2927" s="9"/>
      <c r="D2927" s="9"/>
      <c r="E2927" s="9"/>
      <c r="F2927" s="9"/>
      <c r="G2927" s="9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9"/>
    </row>
    <row r="2928" spans="1:27" ht="13.6">
      <c r="A2928" s="8"/>
      <c r="B2928" s="12"/>
      <c r="C2928" s="9"/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9"/>
    </row>
    <row r="2929" spans="1:27" ht="13.6">
      <c r="A2929" s="8"/>
      <c r="B2929" s="12"/>
      <c r="C2929" s="9"/>
      <c r="D2929" s="9"/>
      <c r="E2929" s="9"/>
      <c r="F2929" s="9"/>
      <c r="G2929" s="9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9"/>
    </row>
    <row r="2930" spans="1:27" ht="13.6">
      <c r="A2930" s="8"/>
      <c r="B2930" s="12"/>
      <c r="C2930" s="9"/>
      <c r="D2930" s="9"/>
      <c r="E2930" s="9"/>
      <c r="F2930" s="9"/>
      <c r="G2930" s="9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9"/>
    </row>
    <row r="2931" spans="1:27" ht="13.6">
      <c r="A2931" s="8"/>
      <c r="B2931" s="12"/>
      <c r="C2931" s="9"/>
      <c r="D2931" s="9"/>
      <c r="E2931" s="9"/>
      <c r="F2931" s="9"/>
      <c r="G2931" s="9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9"/>
    </row>
    <row r="2932" spans="1:27" ht="13.6">
      <c r="A2932" s="8"/>
      <c r="B2932" s="12"/>
      <c r="C2932" s="9"/>
      <c r="D2932" s="9"/>
      <c r="E2932" s="9"/>
      <c r="F2932" s="9"/>
      <c r="G2932" s="9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9"/>
    </row>
    <row r="2933" spans="1:27" ht="13.6">
      <c r="A2933" s="8"/>
      <c r="B2933" s="12"/>
      <c r="C2933" s="9"/>
      <c r="D2933" s="9"/>
      <c r="E2933" s="9"/>
      <c r="F2933" s="9"/>
      <c r="G2933" s="9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9"/>
    </row>
    <row r="2934" spans="1:27" ht="13.6">
      <c r="A2934" s="8"/>
      <c r="B2934" s="12"/>
      <c r="C2934" s="9"/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9"/>
    </row>
    <row r="2935" spans="1:27" ht="13.6">
      <c r="A2935" s="8"/>
      <c r="B2935" s="12"/>
      <c r="C2935" s="9"/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9"/>
    </row>
    <row r="2936" spans="1:27" ht="13.6">
      <c r="A2936" s="8"/>
      <c r="B2936" s="12"/>
      <c r="C2936" s="9"/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9"/>
    </row>
    <row r="2937" spans="1:27" ht="13.6">
      <c r="A2937" s="8"/>
      <c r="B2937" s="12"/>
      <c r="C2937" s="9"/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9"/>
    </row>
    <row r="2938" spans="1:27" ht="13.6">
      <c r="A2938" s="8"/>
      <c r="B2938" s="12"/>
      <c r="C2938" s="9"/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9"/>
    </row>
    <row r="2939" spans="1:27" ht="13.6">
      <c r="A2939" s="8"/>
      <c r="B2939" s="12"/>
      <c r="C2939" s="9"/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9"/>
    </row>
    <row r="2940" spans="1:27" ht="13.6">
      <c r="A2940" s="8"/>
      <c r="B2940" s="12"/>
      <c r="C2940" s="9"/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9"/>
    </row>
    <row r="2941" spans="1:27" ht="13.6">
      <c r="A2941" s="8"/>
      <c r="B2941" s="12"/>
      <c r="C2941" s="9"/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9"/>
    </row>
    <row r="2942" spans="1:27" ht="13.6">
      <c r="A2942" s="8"/>
      <c r="B2942" s="12"/>
      <c r="C2942" s="9"/>
      <c r="D2942" s="9"/>
      <c r="E2942" s="9"/>
      <c r="F2942" s="9"/>
      <c r="G2942" s="9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9"/>
    </row>
    <row r="2943" spans="1:27" ht="13.6">
      <c r="A2943" s="8"/>
      <c r="B2943" s="12"/>
      <c r="C2943" s="9"/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9"/>
    </row>
    <row r="2944" spans="1:27" ht="13.6">
      <c r="A2944" s="8"/>
      <c r="B2944" s="12"/>
      <c r="C2944" s="9"/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9"/>
    </row>
    <row r="2945" spans="1:27" ht="13.6">
      <c r="A2945" s="8"/>
      <c r="B2945" s="12"/>
      <c r="C2945" s="9"/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9"/>
    </row>
    <row r="2946" spans="1:27" ht="13.6">
      <c r="A2946" s="8"/>
      <c r="B2946" s="12"/>
      <c r="C2946" s="9"/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9"/>
    </row>
    <row r="2947" spans="1:27" ht="13.6">
      <c r="A2947" s="8"/>
      <c r="B2947" s="12"/>
      <c r="C2947" s="9"/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9"/>
    </row>
    <row r="2948" spans="1:27" ht="13.6">
      <c r="A2948" s="8"/>
      <c r="B2948" s="12"/>
      <c r="C2948" s="9"/>
      <c r="D2948" s="9"/>
      <c r="E2948" s="9"/>
      <c r="F2948" s="9"/>
      <c r="G2948" s="9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9"/>
    </row>
    <row r="2949" spans="1:27" ht="13.6">
      <c r="A2949" s="8"/>
      <c r="B2949" s="12"/>
      <c r="C2949" s="9"/>
      <c r="D2949" s="9"/>
      <c r="E2949" s="9"/>
      <c r="F2949" s="9"/>
      <c r="G2949" s="9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9"/>
    </row>
    <row r="2950" spans="1:27" ht="13.6">
      <c r="A2950" s="8"/>
      <c r="B2950" s="12"/>
      <c r="C2950" s="9"/>
      <c r="D2950" s="9"/>
      <c r="E2950" s="9"/>
      <c r="F2950" s="9"/>
      <c r="G2950" s="9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9"/>
    </row>
    <row r="2951" spans="1:27" ht="13.6">
      <c r="A2951" s="8"/>
      <c r="B2951" s="12"/>
      <c r="C2951" s="9"/>
      <c r="D2951" s="9"/>
      <c r="E2951" s="9"/>
      <c r="F2951" s="9"/>
      <c r="G2951" s="9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9"/>
    </row>
    <row r="2952" spans="1:27" ht="13.6">
      <c r="A2952" s="8"/>
      <c r="B2952" s="12"/>
      <c r="C2952" s="9"/>
      <c r="D2952" s="9"/>
      <c r="E2952" s="9"/>
      <c r="F2952" s="9"/>
      <c r="G2952" s="9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9"/>
    </row>
    <row r="2953" spans="1:27" ht="13.6">
      <c r="A2953" s="8"/>
      <c r="B2953" s="12"/>
      <c r="C2953" s="9"/>
      <c r="D2953" s="9"/>
      <c r="E2953" s="9"/>
      <c r="F2953" s="9"/>
      <c r="G2953" s="9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9"/>
    </row>
    <row r="2954" spans="1:27" ht="13.6">
      <c r="A2954" s="8"/>
      <c r="B2954" s="12"/>
      <c r="C2954" s="9"/>
      <c r="D2954" s="9"/>
      <c r="E2954" s="9"/>
      <c r="F2954" s="9"/>
      <c r="G2954" s="9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9"/>
    </row>
    <row r="2955" spans="1:27" ht="13.6">
      <c r="A2955" s="8"/>
      <c r="B2955" s="12"/>
      <c r="C2955" s="9"/>
      <c r="D2955" s="9"/>
      <c r="E2955" s="9"/>
      <c r="F2955" s="9"/>
      <c r="G2955" s="9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9"/>
    </row>
    <row r="2956" spans="1:27" ht="13.6">
      <c r="A2956" s="8"/>
      <c r="B2956" s="12"/>
      <c r="C2956" s="9"/>
      <c r="D2956" s="9"/>
      <c r="E2956" s="9"/>
      <c r="F2956" s="9"/>
      <c r="G2956" s="9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9"/>
    </row>
    <row r="2957" spans="1:27" ht="13.6">
      <c r="A2957" s="8"/>
      <c r="B2957" s="12"/>
      <c r="C2957" s="9"/>
      <c r="D2957" s="9"/>
      <c r="E2957" s="9"/>
      <c r="F2957" s="9"/>
      <c r="G2957" s="9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9"/>
    </row>
    <row r="2958" spans="1:27" ht="13.6">
      <c r="A2958" s="8"/>
      <c r="B2958" s="12"/>
      <c r="C2958" s="9"/>
      <c r="D2958" s="9"/>
      <c r="E2958" s="9"/>
      <c r="F2958" s="9"/>
      <c r="G2958" s="9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9"/>
    </row>
    <row r="2959" spans="1:27" ht="13.6">
      <c r="A2959" s="8"/>
      <c r="B2959" s="12"/>
      <c r="C2959" s="9"/>
      <c r="D2959" s="9"/>
      <c r="E2959" s="9"/>
      <c r="F2959" s="9"/>
      <c r="G2959" s="9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9"/>
    </row>
    <row r="2960" spans="1:27" ht="13.6">
      <c r="A2960" s="8"/>
      <c r="B2960" s="12"/>
      <c r="C2960" s="9"/>
      <c r="D2960" s="9"/>
      <c r="E2960" s="9"/>
      <c r="F2960" s="9"/>
      <c r="G2960" s="9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9"/>
    </row>
    <row r="2961" spans="1:27" ht="13.6">
      <c r="A2961" s="8"/>
      <c r="B2961" s="12"/>
      <c r="C2961" s="9"/>
      <c r="D2961" s="9"/>
      <c r="E2961" s="9"/>
      <c r="F2961" s="9"/>
      <c r="G2961" s="9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9"/>
    </row>
    <row r="2962" spans="1:27" ht="13.6">
      <c r="A2962" s="8"/>
      <c r="B2962" s="12"/>
      <c r="C2962" s="9"/>
      <c r="D2962" s="9"/>
      <c r="E2962" s="9"/>
      <c r="F2962" s="9"/>
      <c r="G2962" s="9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9"/>
    </row>
    <row r="2963" spans="1:27" ht="13.6">
      <c r="A2963" s="8"/>
      <c r="B2963" s="12"/>
      <c r="C2963" s="9"/>
      <c r="D2963" s="9"/>
      <c r="E2963" s="9"/>
      <c r="F2963" s="9"/>
      <c r="G2963" s="9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9"/>
    </row>
    <row r="2964" spans="1:27" ht="13.6">
      <c r="A2964" s="8"/>
      <c r="B2964" s="12"/>
      <c r="C2964" s="9"/>
      <c r="D2964" s="9"/>
      <c r="E2964" s="9"/>
      <c r="F2964" s="9"/>
      <c r="G2964" s="9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9"/>
    </row>
    <row r="2965" spans="1:27" ht="13.6">
      <c r="A2965" s="8"/>
      <c r="B2965" s="12"/>
      <c r="C2965" s="9"/>
      <c r="D2965" s="9"/>
      <c r="E2965" s="9"/>
      <c r="F2965" s="9"/>
      <c r="G2965" s="9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9"/>
    </row>
    <row r="2966" spans="1:27" ht="13.6">
      <c r="A2966" s="8"/>
      <c r="B2966" s="12"/>
      <c r="C2966" s="9"/>
      <c r="D2966" s="9"/>
      <c r="E2966" s="9"/>
      <c r="F2966" s="9"/>
      <c r="G2966" s="9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9"/>
    </row>
    <row r="2967" spans="1:27" ht="13.6">
      <c r="A2967" s="8"/>
      <c r="B2967" s="12"/>
      <c r="C2967" s="9"/>
      <c r="D2967" s="9"/>
      <c r="E2967" s="9"/>
      <c r="F2967" s="9"/>
      <c r="G2967" s="9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</row>
    <row r="2968" spans="1:27" ht="13.6">
      <c r="A2968" s="8"/>
      <c r="B2968" s="12"/>
      <c r="C2968" s="9"/>
      <c r="D2968" s="9"/>
      <c r="E2968" s="9"/>
      <c r="F2968" s="9"/>
      <c r="G2968" s="9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9"/>
    </row>
    <row r="2969" spans="1:27" ht="13.6">
      <c r="A2969" s="8"/>
      <c r="B2969" s="12"/>
      <c r="C2969" s="9"/>
      <c r="D2969" s="9"/>
      <c r="E2969" s="9"/>
      <c r="F2969" s="9"/>
      <c r="G2969" s="9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9"/>
    </row>
    <row r="2970" spans="1:27" ht="13.6">
      <c r="A2970" s="8"/>
      <c r="B2970" s="12"/>
      <c r="C2970" s="9"/>
      <c r="D2970" s="9"/>
      <c r="E2970" s="9"/>
      <c r="F2970" s="9"/>
      <c r="G2970" s="9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9"/>
    </row>
    <row r="2971" spans="1:27" ht="13.6">
      <c r="A2971" s="8"/>
      <c r="B2971" s="12"/>
      <c r="C2971" s="9"/>
      <c r="D2971" s="9"/>
      <c r="E2971" s="9"/>
      <c r="F2971" s="9"/>
      <c r="G2971" s="9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9"/>
    </row>
    <row r="2972" spans="1:27" ht="13.6">
      <c r="A2972" s="8"/>
      <c r="B2972" s="12"/>
      <c r="C2972" s="9"/>
      <c r="D2972" s="9"/>
      <c r="E2972" s="9"/>
      <c r="F2972" s="9"/>
      <c r="G2972" s="9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9"/>
    </row>
    <row r="2973" spans="1:27" ht="13.6">
      <c r="A2973" s="8"/>
      <c r="B2973" s="12"/>
      <c r="C2973" s="9"/>
      <c r="D2973" s="9"/>
      <c r="E2973" s="9"/>
      <c r="F2973" s="9"/>
      <c r="G2973" s="9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9"/>
    </row>
    <row r="2974" spans="1:27" ht="13.6">
      <c r="A2974" s="8"/>
      <c r="B2974" s="12"/>
      <c r="C2974" s="9"/>
      <c r="D2974" s="9"/>
      <c r="E2974" s="9"/>
      <c r="F2974" s="9"/>
      <c r="G2974" s="9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9"/>
    </row>
    <row r="2975" spans="1:27" ht="13.6">
      <c r="A2975" s="8"/>
      <c r="B2975" s="12"/>
      <c r="C2975" s="9"/>
      <c r="D2975" s="9"/>
      <c r="E2975" s="9"/>
      <c r="F2975" s="9"/>
      <c r="G2975" s="9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9"/>
    </row>
    <row r="2976" spans="1:27" ht="13.6">
      <c r="A2976" s="8"/>
      <c r="B2976" s="12"/>
      <c r="C2976" s="9"/>
      <c r="D2976" s="9"/>
      <c r="E2976" s="9"/>
      <c r="F2976" s="9"/>
      <c r="G2976" s="9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9"/>
    </row>
    <row r="2977" spans="1:27" ht="13.6">
      <c r="A2977" s="8"/>
      <c r="B2977" s="12"/>
      <c r="C2977" s="9"/>
      <c r="D2977" s="9"/>
      <c r="E2977" s="9"/>
      <c r="F2977" s="9"/>
      <c r="G2977" s="9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9"/>
    </row>
    <row r="2978" spans="1:27" ht="13.6">
      <c r="A2978" s="8"/>
      <c r="B2978" s="12"/>
      <c r="C2978" s="9"/>
      <c r="D2978" s="9"/>
      <c r="E2978" s="9"/>
      <c r="F2978" s="9"/>
      <c r="G2978" s="9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9"/>
    </row>
    <row r="2979" spans="1:27" ht="13.6">
      <c r="A2979" s="8"/>
      <c r="B2979" s="12"/>
      <c r="C2979" s="9"/>
      <c r="D2979" s="9"/>
      <c r="E2979" s="9"/>
      <c r="F2979" s="9"/>
      <c r="G2979" s="9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9"/>
    </row>
    <row r="2980" spans="1:27" ht="13.6">
      <c r="A2980" s="8"/>
      <c r="B2980" s="12"/>
      <c r="C2980" s="9"/>
      <c r="D2980" s="9"/>
      <c r="E2980" s="9"/>
      <c r="F2980" s="9"/>
      <c r="G2980" s="9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9"/>
    </row>
    <row r="2981" spans="1:27" ht="13.6">
      <c r="A2981" s="8"/>
      <c r="B2981" s="12"/>
      <c r="C2981" s="9"/>
      <c r="D2981" s="9"/>
      <c r="E2981" s="9"/>
      <c r="F2981" s="9"/>
      <c r="G2981" s="9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9"/>
    </row>
    <row r="2982" spans="1:27" ht="13.6">
      <c r="A2982" s="8"/>
      <c r="B2982" s="12"/>
      <c r="C2982" s="9"/>
      <c r="D2982" s="9"/>
      <c r="E2982" s="9"/>
      <c r="F2982" s="9"/>
      <c r="G2982" s="9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9"/>
    </row>
    <row r="2983" spans="1:27" ht="13.6">
      <c r="A2983" s="8"/>
      <c r="B2983" s="12"/>
      <c r="C2983" s="9"/>
      <c r="D2983" s="9"/>
      <c r="E2983" s="9"/>
      <c r="F2983" s="9"/>
      <c r="G2983" s="9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9"/>
    </row>
    <row r="2984" spans="1:27" ht="13.6">
      <c r="A2984" s="8"/>
      <c r="B2984" s="12"/>
      <c r="C2984" s="9"/>
      <c r="D2984" s="9"/>
      <c r="E2984" s="9"/>
      <c r="F2984" s="9"/>
      <c r="G2984" s="9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9"/>
    </row>
    <row r="2985" spans="1:27" ht="13.6">
      <c r="A2985" s="8"/>
      <c r="B2985" s="12"/>
      <c r="C2985" s="9"/>
      <c r="D2985" s="9"/>
      <c r="E2985" s="9"/>
      <c r="F2985" s="9"/>
      <c r="G2985" s="9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9"/>
    </row>
    <row r="2986" spans="1:27" ht="13.6">
      <c r="A2986" s="8"/>
      <c r="B2986" s="12"/>
      <c r="C2986" s="9"/>
      <c r="D2986" s="9"/>
      <c r="E2986" s="9"/>
      <c r="F2986" s="9"/>
      <c r="G2986" s="9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9"/>
    </row>
    <row r="2987" spans="1:27" ht="13.6">
      <c r="A2987" s="8"/>
      <c r="B2987" s="12"/>
      <c r="C2987" s="9"/>
      <c r="D2987" s="9"/>
      <c r="E2987" s="9"/>
      <c r="F2987" s="9"/>
      <c r="G2987" s="9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9"/>
    </row>
    <row r="2988" spans="1:27" ht="13.6">
      <c r="A2988" s="8"/>
      <c r="B2988" s="12"/>
      <c r="C2988" s="9"/>
      <c r="D2988" s="9"/>
      <c r="E2988" s="9"/>
      <c r="F2988" s="9"/>
      <c r="G2988" s="9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9"/>
    </row>
    <row r="2989" spans="1:27" ht="13.6">
      <c r="A2989" s="8"/>
      <c r="B2989" s="12"/>
      <c r="C2989" s="9"/>
      <c r="D2989" s="9"/>
      <c r="E2989" s="9"/>
      <c r="F2989" s="9"/>
      <c r="G2989" s="9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9"/>
    </row>
    <row r="2990" spans="1:27" ht="13.6">
      <c r="A2990" s="8"/>
      <c r="B2990" s="12"/>
      <c r="C2990" s="9"/>
      <c r="D2990" s="9"/>
      <c r="E2990" s="9"/>
      <c r="F2990" s="9"/>
      <c r="G2990" s="9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9"/>
    </row>
    <row r="2991" spans="1:27" ht="13.6">
      <c r="A2991" s="8"/>
      <c r="B2991" s="12"/>
      <c r="C2991" s="9"/>
      <c r="D2991" s="9"/>
      <c r="E2991" s="9"/>
      <c r="F2991" s="9"/>
      <c r="G2991" s="9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9"/>
    </row>
    <row r="2992" spans="1:27" ht="13.6">
      <c r="A2992" s="8"/>
      <c r="B2992" s="12"/>
      <c r="C2992" s="9"/>
      <c r="D2992" s="9"/>
      <c r="E2992" s="9"/>
      <c r="F2992" s="9"/>
      <c r="G2992" s="9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9"/>
    </row>
    <row r="2993" spans="1:27" ht="13.6">
      <c r="A2993" s="8"/>
      <c r="B2993" s="12"/>
      <c r="C2993" s="9"/>
      <c r="D2993" s="9"/>
      <c r="E2993" s="9"/>
      <c r="F2993" s="9"/>
      <c r="G2993" s="9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9"/>
    </row>
    <row r="2994" spans="1:27" ht="13.6">
      <c r="A2994" s="8"/>
      <c r="B2994" s="12"/>
      <c r="C2994" s="9"/>
      <c r="D2994" s="9"/>
      <c r="E2994" s="9"/>
      <c r="F2994" s="9"/>
      <c r="G2994" s="9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9"/>
    </row>
    <row r="2995" spans="1:27" ht="13.6">
      <c r="A2995" s="8"/>
      <c r="B2995" s="12"/>
      <c r="C2995" s="9"/>
      <c r="D2995" s="9"/>
      <c r="E2995" s="9"/>
      <c r="F2995" s="9"/>
      <c r="G2995" s="9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9"/>
    </row>
    <row r="2996" spans="1:27" ht="13.6">
      <c r="A2996" s="8"/>
      <c r="B2996" s="12"/>
      <c r="C2996" s="9"/>
      <c r="D2996" s="9"/>
      <c r="E2996" s="9"/>
      <c r="F2996" s="9"/>
      <c r="G2996" s="9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9"/>
    </row>
    <row r="2997" spans="1:27" ht="13.6">
      <c r="A2997" s="8"/>
      <c r="B2997" s="12"/>
      <c r="C2997" s="9"/>
      <c r="D2997" s="9"/>
      <c r="E2997" s="9"/>
      <c r="F2997" s="9"/>
      <c r="G2997" s="9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9"/>
    </row>
    <row r="2998" spans="1:27" ht="13.6">
      <c r="A2998" s="8"/>
      <c r="B2998" s="12"/>
      <c r="C2998" s="9"/>
      <c r="D2998" s="9"/>
      <c r="E2998" s="9"/>
      <c r="F2998" s="9"/>
      <c r="G2998" s="9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9"/>
    </row>
    <row r="2999" spans="1:27" ht="13.6">
      <c r="A2999" s="8"/>
      <c r="B2999" s="12"/>
      <c r="C2999" s="9"/>
      <c r="D2999" s="9"/>
      <c r="E2999" s="9"/>
      <c r="F2999" s="9"/>
      <c r="G2999" s="9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9"/>
    </row>
    <row r="3000" spans="1:27" ht="13.6">
      <c r="A3000" s="8"/>
      <c r="B3000" s="12"/>
      <c r="C3000" s="9"/>
      <c r="D3000" s="9"/>
      <c r="E3000" s="9"/>
      <c r="F3000" s="9"/>
      <c r="G3000" s="9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9"/>
    </row>
    <row r="3001" spans="1:27" ht="13.6">
      <c r="A3001" s="8"/>
      <c r="B3001" s="12"/>
      <c r="C3001" s="9"/>
      <c r="D3001" s="9"/>
      <c r="E3001" s="9"/>
      <c r="F3001" s="9"/>
      <c r="G3001" s="9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9"/>
    </row>
    <row r="3002" spans="1:27" ht="13.6">
      <c r="A3002" s="8"/>
      <c r="B3002" s="12"/>
      <c r="C3002" s="9"/>
      <c r="D3002" s="9"/>
      <c r="E3002" s="9"/>
      <c r="F3002" s="9"/>
      <c r="G3002" s="9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9"/>
    </row>
    <row r="3003" spans="1:27" ht="13.6">
      <c r="A3003" s="8"/>
      <c r="B3003" s="12"/>
      <c r="C3003" s="9"/>
      <c r="D3003" s="9"/>
      <c r="E3003" s="9"/>
      <c r="F3003" s="9"/>
      <c r="G3003" s="9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9"/>
    </row>
    <row r="3004" spans="1:27" ht="13.6">
      <c r="A3004" s="8"/>
      <c r="B3004" s="12"/>
      <c r="C3004" s="9"/>
      <c r="D3004" s="9"/>
      <c r="E3004" s="9"/>
      <c r="F3004" s="9"/>
      <c r="G3004" s="9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9"/>
    </row>
    <row r="3005" spans="1:27" ht="13.6">
      <c r="A3005" s="8"/>
      <c r="B3005" s="12"/>
      <c r="C3005" s="9"/>
      <c r="D3005" s="9"/>
      <c r="E3005" s="9"/>
      <c r="F3005" s="9"/>
      <c r="G3005" s="9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9"/>
    </row>
    <row r="3006" spans="1:27" ht="13.6">
      <c r="A3006" s="8"/>
      <c r="B3006" s="12"/>
      <c r="C3006" s="9"/>
      <c r="D3006" s="9"/>
      <c r="E3006" s="9"/>
      <c r="F3006" s="9"/>
      <c r="G3006" s="9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9"/>
    </row>
    <row r="3007" spans="1:27" ht="13.6">
      <c r="A3007" s="8"/>
      <c r="B3007" s="12"/>
      <c r="C3007" s="9"/>
      <c r="D3007" s="9"/>
      <c r="E3007" s="9"/>
      <c r="F3007" s="9"/>
      <c r="G3007" s="9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9"/>
    </row>
    <row r="3008" spans="1:27" ht="13.6">
      <c r="A3008" s="8"/>
      <c r="B3008" s="12"/>
      <c r="C3008" s="9"/>
      <c r="D3008" s="9"/>
      <c r="E3008" s="9"/>
      <c r="F3008" s="9"/>
      <c r="G3008" s="9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9"/>
    </row>
    <row r="3009" spans="1:27" ht="13.6">
      <c r="A3009" s="8"/>
      <c r="B3009" s="12"/>
      <c r="C3009" s="9"/>
      <c r="D3009" s="9"/>
      <c r="E3009" s="9"/>
      <c r="F3009" s="9"/>
      <c r="G3009" s="9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9"/>
    </row>
    <row r="3010" spans="1:27" ht="13.6">
      <c r="A3010" s="8"/>
      <c r="B3010" s="12"/>
      <c r="C3010" s="9"/>
      <c r="D3010" s="9"/>
      <c r="E3010" s="9"/>
      <c r="F3010" s="9"/>
      <c r="G3010" s="9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</row>
    <row r="3011" spans="1:27" ht="13.6">
      <c r="A3011" s="8"/>
      <c r="B3011" s="12"/>
      <c r="C3011" s="9"/>
      <c r="D3011" s="9"/>
      <c r="E3011" s="9"/>
      <c r="F3011" s="9"/>
      <c r="G3011" s="9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9"/>
    </row>
    <row r="3012" spans="1:27" ht="13.6">
      <c r="A3012" s="8"/>
      <c r="B3012" s="12"/>
      <c r="C3012" s="9"/>
      <c r="D3012" s="9"/>
      <c r="E3012" s="9"/>
      <c r="F3012" s="9"/>
      <c r="G3012" s="9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9"/>
    </row>
    <row r="3013" spans="1:27" ht="13.6">
      <c r="A3013" s="8"/>
      <c r="B3013" s="12"/>
      <c r="C3013" s="9"/>
      <c r="D3013" s="9"/>
      <c r="E3013" s="9"/>
      <c r="F3013" s="9"/>
      <c r="G3013" s="9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9"/>
    </row>
    <row r="3014" spans="1:27" ht="13.6">
      <c r="A3014" s="8"/>
      <c r="B3014" s="12"/>
      <c r="C3014" s="9"/>
      <c r="D3014" s="9"/>
      <c r="E3014" s="9"/>
      <c r="F3014" s="9"/>
      <c r="G3014" s="9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9"/>
    </row>
    <row r="3015" spans="1:27" ht="13.6">
      <c r="A3015" s="8"/>
      <c r="B3015" s="12"/>
      <c r="C3015" s="9"/>
      <c r="D3015" s="9"/>
      <c r="E3015" s="9"/>
      <c r="F3015" s="9"/>
      <c r="G3015" s="9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9"/>
    </row>
    <row r="3016" spans="1:27" ht="13.6">
      <c r="A3016" s="8"/>
      <c r="B3016" s="12"/>
      <c r="C3016" s="9"/>
      <c r="D3016" s="9"/>
      <c r="E3016" s="9"/>
      <c r="F3016" s="9"/>
      <c r="G3016" s="9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9"/>
    </row>
    <row r="3017" spans="1:27" ht="13.6">
      <c r="A3017" s="8"/>
      <c r="B3017" s="12"/>
      <c r="C3017" s="9"/>
      <c r="D3017" s="9"/>
      <c r="E3017" s="9"/>
      <c r="F3017" s="9"/>
      <c r="G3017" s="9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9"/>
    </row>
    <row r="3018" spans="1:27" ht="13.6">
      <c r="A3018" s="8"/>
      <c r="B3018" s="12"/>
      <c r="C3018" s="9"/>
      <c r="D3018" s="9"/>
      <c r="E3018" s="9"/>
      <c r="F3018" s="9"/>
      <c r="G3018" s="9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9"/>
    </row>
    <row r="3019" spans="1:27" ht="13.6">
      <c r="A3019" s="8"/>
      <c r="B3019" s="12"/>
      <c r="C3019" s="9"/>
      <c r="D3019" s="9"/>
      <c r="E3019" s="9"/>
      <c r="F3019" s="9"/>
      <c r="G3019" s="9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9"/>
    </row>
    <row r="3020" spans="1:27" ht="13.6">
      <c r="A3020" s="8"/>
      <c r="B3020" s="12"/>
      <c r="C3020" s="9"/>
      <c r="D3020" s="9"/>
      <c r="E3020" s="9"/>
      <c r="F3020" s="9"/>
      <c r="G3020" s="9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9"/>
    </row>
    <row r="3021" spans="1:27" ht="13.6">
      <c r="A3021" s="8"/>
      <c r="B3021" s="12"/>
      <c r="C3021" s="9"/>
      <c r="D3021" s="9"/>
      <c r="E3021" s="9"/>
      <c r="F3021" s="9"/>
      <c r="G3021" s="9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9"/>
    </row>
    <row r="3022" spans="1:27" ht="13.6">
      <c r="A3022" s="8"/>
      <c r="B3022" s="12"/>
      <c r="C3022" s="9"/>
      <c r="D3022" s="9"/>
      <c r="E3022" s="9"/>
      <c r="F3022" s="9"/>
      <c r="G3022" s="9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9"/>
    </row>
    <row r="3023" spans="1:27" ht="13.6">
      <c r="A3023" s="8"/>
      <c r="B3023" s="12"/>
      <c r="C3023" s="9"/>
      <c r="D3023" s="9"/>
      <c r="E3023" s="9"/>
      <c r="F3023" s="9"/>
      <c r="G3023" s="9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9"/>
    </row>
    <row r="3024" spans="1:27" ht="13.6">
      <c r="A3024" s="8"/>
      <c r="B3024" s="12"/>
      <c r="C3024" s="9"/>
      <c r="D3024" s="9"/>
      <c r="E3024" s="9"/>
      <c r="F3024" s="9"/>
      <c r="G3024" s="9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9"/>
    </row>
    <row r="3025" spans="1:27" ht="13.6">
      <c r="A3025" s="8"/>
      <c r="B3025" s="12"/>
      <c r="C3025" s="9"/>
      <c r="D3025" s="9"/>
      <c r="E3025" s="9"/>
      <c r="F3025" s="9"/>
      <c r="G3025" s="9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9"/>
    </row>
    <row r="3026" spans="1:27" ht="13.6">
      <c r="A3026" s="8"/>
      <c r="B3026" s="12"/>
      <c r="C3026" s="9"/>
      <c r="D3026" s="9"/>
      <c r="E3026" s="9"/>
      <c r="F3026" s="9"/>
      <c r="G3026" s="9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9"/>
    </row>
    <row r="3027" spans="1:27" ht="13.6">
      <c r="A3027" s="8"/>
      <c r="B3027" s="12"/>
      <c r="C3027" s="9"/>
      <c r="D3027" s="9"/>
      <c r="E3027" s="9"/>
      <c r="F3027" s="9"/>
      <c r="G3027" s="9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9"/>
    </row>
    <row r="3028" spans="1:27" ht="13.6">
      <c r="A3028" s="8"/>
      <c r="B3028" s="12"/>
      <c r="C3028" s="9"/>
      <c r="D3028" s="9"/>
      <c r="E3028" s="9"/>
      <c r="F3028" s="9"/>
      <c r="G3028" s="9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9"/>
    </row>
    <row r="3029" spans="1:27" ht="13.6">
      <c r="A3029" s="8"/>
      <c r="B3029" s="12"/>
      <c r="C3029" s="9"/>
      <c r="D3029" s="9"/>
      <c r="E3029" s="9"/>
      <c r="F3029" s="9"/>
      <c r="G3029" s="9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9"/>
    </row>
    <row r="3030" spans="1:27" ht="13.6">
      <c r="A3030" s="8"/>
      <c r="B3030" s="12"/>
      <c r="C3030" s="9"/>
      <c r="D3030" s="9"/>
      <c r="E3030" s="9"/>
      <c r="F3030" s="9"/>
      <c r="G3030" s="9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9"/>
    </row>
    <row r="3031" spans="1:27" ht="13.6">
      <c r="A3031" s="8"/>
      <c r="B3031" s="12"/>
      <c r="C3031" s="9"/>
      <c r="D3031" s="9"/>
      <c r="E3031" s="9"/>
      <c r="F3031" s="9"/>
      <c r="G3031" s="9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9"/>
    </row>
    <row r="3032" spans="1:27" ht="13.6">
      <c r="A3032" s="8"/>
      <c r="B3032" s="12"/>
      <c r="C3032" s="9"/>
      <c r="D3032" s="9"/>
      <c r="E3032" s="9"/>
      <c r="F3032" s="9"/>
      <c r="G3032" s="9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9"/>
    </row>
    <row r="3033" spans="1:27" ht="13.6">
      <c r="A3033" s="8"/>
      <c r="B3033" s="12"/>
      <c r="C3033" s="9"/>
      <c r="D3033" s="9"/>
      <c r="E3033" s="9"/>
      <c r="F3033" s="9"/>
      <c r="G3033" s="9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9"/>
    </row>
    <row r="3034" spans="1:27" ht="13.6">
      <c r="A3034" s="8"/>
      <c r="B3034" s="12"/>
      <c r="C3034" s="9"/>
      <c r="D3034" s="9"/>
      <c r="E3034" s="9"/>
      <c r="F3034" s="9"/>
      <c r="G3034" s="9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9"/>
    </row>
    <row r="3035" spans="1:27" ht="13.6">
      <c r="A3035" s="8"/>
      <c r="B3035" s="12"/>
      <c r="C3035" s="9"/>
      <c r="D3035" s="9"/>
      <c r="E3035" s="9"/>
      <c r="F3035" s="9"/>
      <c r="G3035" s="9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9"/>
    </row>
    <row r="3036" spans="1:27" ht="13.6">
      <c r="A3036" s="8"/>
      <c r="B3036" s="12"/>
      <c r="C3036" s="9"/>
      <c r="D3036" s="9"/>
      <c r="E3036" s="9"/>
      <c r="F3036" s="9"/>
      <c r="G3036" s="9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9"/>
    </row>
    <row r="3037" spans="1:27" ht="13.6">
      <c r="A3037" s="8"/>
      <c r="B3037" s="12"/>
      <c r="C3037" s="9"/>
      <c r="D3037" s="9"/>
      <c r="E3037" s="9"/>
      <c r="F3037" s="9"/>
      <c r="G3037" s="9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9"/>
    </row>
    <row r="3038" spans="1:27" ht="13.6">
      <c r="A3038" s="8"/>
      <c r="B3038" s="12"/>
      <c r="C3038" s="9"/>
      <c r="D3038" s="9"/>
      <c r="E3038" s="9"/>
      <c r="F3038" s="9"/>
      <c r="G3038" s="9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9"/>
    </row>
    <row r="3039" spans="1:27" ht="13.6">
      <c r="A3039" s="8"/>
      <c r="B3039" s="12"/>
      <c r="C3039" s="9"/>
      <c r="D3039" s="9"/>
      <c r="E3039" s="9"/>
      <c r="F3039" s="9"/>
      <c r="G3039" s="9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9"/>
    </row>
    <row r="3040" spans="1:27" ht="13.6">
      <c r="A3040" s="8"/>
      <c r="B3040" s="12"/>
      <c r="C3040" s="9"/>
      <c r="D3040" s="9"/>
      <c r="E3040" s="9"/>
      <c r="F3040" s="9"/>
      <c r="G3040" s="9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9"/>
    </row>
    <row r="3041" spans="1:27" ht="13.6">
      <c r="A3041" s="8"/>
      <c r="B3041" s="12"/>
      <c r="C3041" s="9"/>
      <c r="D3041" s="9"/>
      <c r="E3041" s="9"/>
      <c r="F3041" s="9"/>
      <c r="G3041" s="9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9"/>
    </row>
    <row r="3042" spans="1:27" ht="13.6">
      <c r="A3042" s="8"/>
      <c r="B3042" s="12"/>
      <c r="C3042" s="9"/>
      <c r="D3042" s="9"/>
      <c r="E3042" s="9"/>
      <c r="F3042" s="9"/>
      <c r="G3042" s="9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9"/>
    </row>
    <row r="3043" spans="1:27" ht="13.6">
      <c r="A3043" s="8"/>
      <c r="B3043" s="12"/>
      <c r="C3043" s="9"/>
      <c r="D3043" s="9"/>
      <c r="E3043" s="9"/>
      <c r="F3043" s="9"/>
      <c r="G3043" s="9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9"/>
    </row>
    <row r="3044" spans="1:27" ht="13.6">
      <c r="A3044" s="8"/>
      <c r="B3044" s="12"/>
      <c r="C3044" s="9"/>
      <c r="D3044" s="9"/>
      <c r="E3044" s="9"/>
      <c r="F3044" s="9"/>
      <c r="G3044" s="9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9"/>
    </row>
    <row r="3045" spans="1:27" ht="13.6">
      <c r="A3045" s="8"/>
      <c r="B3045" s="12"/>
      <c r="C3045" s="9"/>
      <c r="D3045" s="9"/>
      <c r="E3045" s="9"/>
      <c r="F3045" s="9"/>
      <c r="G3045" s="9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9"/>
    </row>
    <row r="3046" spans="1:27" ht="13.6">
      <c r="A3046" s="8"/>
      <c r="B3046" s="12"/>
      <c r="C3046" s="9"/>
      <c r="D3046" s="9"/>
      <c r="E3046" s="9"/>
      <c r="F3046" s="9"/>
      <c r="G3046" s="9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9"/>
    </row>
    <row r="3047" spans="1:27" ht="13.6">
      <c r="A3047" s="8"/>
      <c r="B3047" s="12"/>
      <c r="C3047" s="9"/>
      <c r="D3047" s="9"/>
      <c r="E3047" s="9"/>
      <c r="F3047" s="9"/>
      <c r="G3047" s="9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9"/>
    </row>
    <row r="3048" spans="1:27" ht="13.6">
      <c r="A3048" s="8"/>
      <c r="B3048" s="12"/>
      <c r="C3048" s="9"/>
      <c r="D3048" s="9"/>
      <c r="E3048" s="9"/>
      <c r="F3048" s="9"/>
      <c r="G3048" s="9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9"/>
    </row>
    <row r="3049" spans="1:27" ht="13.6">
      <c r="A3049" s="8"/>
      <c r="B3049" s="12"/>
      <c r="C3049" s="9"/>
      <c r="D3049" s="9"/>
      <c r="E3049" s="9"/>
      <c r="F3049" s="9"/>
      <c r="G3049" s="9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9"/>
    </row>
    <row r="3050" spans="1:27" ht="13.6">
      <c r="A3050" s="8"/>
      <c r="B3050" s="12"/>
      <c r="C3050" s="9"/>
      <c r="D3050" s="9"/>
      <c r="E3050" s="9"/>
      <c r="F3050" s="9"/>
      <c r="G3050" s="9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9"/>
    </row>
    <row r="3051" spans="1:27" ht="13.6">
      <c r="A3051" s="8"/>
      <c r="B3051" s="12"/>
      <c r="C3051" s="9"/>
      <c r="D3051" s="9"/>
      <c r="E3051" s="9"/>
      <c r="F3051" s="9"/>
      <c r="G3051" s="9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9"/>
    </row>
    <row r="3052" spans="1:27" ht="13.6">
      <c r="A3052" s="8"/>
      <c r="B3052" s="12"/>
      <c r="C3052" s="9"/>
      <c r="D3052" s="9"/>
      <c r="E3052" s="9"/>
      <c r="F3052" s="9"/>
      <c r="G3052" s="9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9"/>
    </row>
    <row r="3053" spans="1:27" ht="13.6">
      <c r="A3053" s="8"/>
      <c r="B3053" s="12"/>
      <c r="C3053" s="9"/>
      <c r="D3053" s="9"/>
      <c r="E3053" s="9"/>
      <c r="F3053" s="9"/>
      <c r="G3053" s="9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</row>
    <row r="3054" spans="1:27" ht="13.6">
      <c r="A3054" s="8"/>
      <c r="B3054" s="12"/>
      <c r="C3054" s="9"/>
      <c r="D3054" s="9"/>
      <c r="E3054" s="9"/>
      <c r="F3054" s="9"/>
      <c r="G3054" s="9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9"/>
    </row>
    <row r="3055" spans="1:27" ht="13.6">
      <c r="A3055" s="8"/>
      <c r="B3055" s="12"/>
      <c r="C3055" s="9"/>
      <c r="D3055" s="9"/>
      <c r="E3055" s="9"/>
      <c r="F3055" s="9"/>
      <c r="G3055" s="9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9"/>
    </row>
    <row r="3056" spans="1:27" ht="13.6">
      <c r="A3056" s="8"/>
      <c r="B3056" s="12"/>
      <c r="C3056" s="9"/>
      <c r="D3056" s="9"/>
      <c r="E3056" s="9"/>
      <c r="F3056" s="9"/>
      <c r="G3056" s="9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9"/>
    </row>
    <row r="3057" spans="1:27" ht="13.6">
      <c r="A3057" s="8"/>
      <c r="B3057" s="12"/>
      <c r="C3057" s="9"/>
      <c r="D3057" s="9"/>
      <c r="E3057" s="9"/>
      <c r="F3057" s="9"/>
      <c r="G3057" s="9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9"/>
    </row>
    <row r="3058" spans="1:27" ht="13.6">
      <c r="A3058" s="8"/>
      <c r="B3058" s="12"/>
      <c r="C3058" s="9"/>
      <c r="D3058" s="9"/>
      <c r="E3058" s="9"/>
      <c r="F3058" s="9"/>
      <c r="G3058" s="9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9"/>
    </row>
    <row r="3059" spans="1:27" ht="13.6">
      <c r="A3059" s="8"/>
      <c r="B3059" s="12"/>
      <c r="C3059" s="9"/>
      <c r="D3059" s="9"/>
      <c r="E3059" s="9"/>
      <c r="F3059" s="9"/>
      <c r="G3059" s="9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9"/>
    </row>
    <row r="3060" spans="1:27" ht="13.6">
      <c r="A3060" s="8"/>
      <c r="B3060" s="12"/>
      <c r="C3060" s="9"/>
      <c r="D3060" s="9"/>
      <c r="E3060" s="9"/>
      <c r="F3060" s="9"/>
      <c r="G3060" s="9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9"/>
    </row>
    <row r="3061" spans="1:27" ht="13.6">
      <c r="A3061" s="8"/>
      <c r="B3061" s="12"/>
      <c r="C3061" s="9"/>
      <c r="D3061" s="9"/>
      <c r="E3061" s="9"/>
      <c r="F3061" s="9"/>
      <c r="G3061" s="9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9"/>
    </row>
    <row r="3062" spans="1:27" ht="13.6">
      <c r="A3062" s="8"/>
      <c r="B3062" s="12"/>
      <c r="C3062" s="9"/>
      <c r="D3062" s="9"/>
      <c r="E3062" s="9"/>
      <c r="F3062" s="9"/>
      <c r="G3062" s="9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9"/>
    </row>
    <row r="3063" spans="1:27" ht="13.6">
      <c r="A3063" s="8"/>
      <c r="B3063" s="12"/>
      <c r="C3063" s="9"/>
      <c r="D3063" s="9"/>
      <c r="E3063" s="9"/>
      <c r="F3063" s="9"/>
      <c r="G3063" s="9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9"/>
    </row>
    <row r="3064" spans="1:27" ht="13.6">
      <c r="A3064" s="8"/>
      <c r="B3064" s="12"/>
      <c r="C3064" s="9"/>
      <c r="D3064" s="9"/>
      <c r="E3064" s="9"/>
      <c r="F3064" s="9"/>
      <c r="G3064" s="9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9"/>
    </row>
    <row r="3065" spans="1:27" ht="13.6">
      <c r="A3065" s="8"/>
      <c r="B3065" s="12"/>
      <c r="C3065" s="9"/>
      <c r="D3065" s="9"/>
      <c r="E3065" s="9"/>
      <c r="F3065" s="9"/>
      <c r="G3065" s="9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9"/>
    </row>
    <row r="3066" spans="1:27" ht="13.6">
      <c r="A3066" s="8"/>
      <c r="B3066" s="12"/>
      <c r="C3066" s="9"/>
      <c r="D3066" s="9"/>
      <c r="E3066" s="9"/>
      <c r="F3066" s="9"/>
      <c r="G3066" s="9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9"/>
    </row>
    <row r="3067" spans="1:27" ht="13.6">
      <c r="A3067" s="8"/>
      <c r="B3067" s="12"/>
      <c r="C3067" s="9"/>
      <c r="D3067" s="9"/>
      <c r="E3067" s="9"/>
      <c r="F3067" s="9"/>
      <c r="G3067" s="9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9"/>
    </row>
    <row r="3068" spans="1:27" ht="13.6">
      <c r="A3068" s="8"/>
      <c r="B3068" s="12"/>
      <c r="C3068" s="9"/>
      <c r="D3068" s="9"/>
      <c r="E3068" s="9"/>
      <c r="F3068" s="9"/>
      <c r="G3068" s="9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9"/>
    </row>
    <row r="3069" spans="1:27" ht="13.6">
      <c r="A3069" s="8"/>
      <c r="B3069" s="12"/>
      <c r="C3069" s="9"/>
      <c r="D3069" s="9"/>
      <c r="E3069" s="9"/>
      <c r="F3069" s="9"/>
      <c r="G3069" s="9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9"/>
    </row>
    <row r="3070" spans="1:27" ht="13.6">
      <c r="A3070" s="8"/>
      <c r="B3070" s="12"/>
      <c r="C3070" s="9"/>
      <c r="D3070" s="9"/>
      <c r="E3070" s="9"/>
      <c r="F3070" s="9"/>
      <c r="G3070" s="9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9"/>
    </row>
    <row r="3071" spans="1:27" ht="13.6">
      <c r="A3071" s="8"/>
      <c r="B3071" s="12"/>
      <c r="C3071" s="9"/>
      <c r="D3071" s="9"/>
      <c r="E3071" s="9"/>
      <c r="F3071" s="9"/>
      <c r="G3071" s="9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9"/>
    </row>
    <row r="3072" spans="1:27" ht="13.6">
      <c r="A3072" s="8"/>
      <c r="B3072" s="12"/>
      <c r="C3072" s="9"/>
      <c r="D3072" s="9"/>
      <c r="E3072" s="9"/>
      <c r="F3072" s="9"/>
      <c r="G3072" s="9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9"/>
    </row>
    <row r="3073" spans="1:27" ht="13.6">
      <c r="A3073" s="8"/>
      <c r="B3073" s="12"/>
      <c r="C3073" s="9"/>
      <c r="D3073" s="9"/>
      <c r="E3073" s="9"/>
      <c r="F3073" s="9"/>
      <c r="G3073" s="9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9"/>
    </row>
    <row r="3074" spans="1:27" ht="13.6">
      <c r="A3074" s="8"/>
      <c r="B3074" s="12"/>
      <c r="C3074" s="9"/>
      <c r="D3074" s="9"/>
      <c r="E3074" s="9"/>
      <c r="F3074" s="9"/>
      <c r="G3074" s="9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9"/>
    </row>
    <row r="3075" spans="1:27" ht="13.6">
      <c r="A3075" s="8"/>
      <c r="B3075" s="12"/>
      <c r="C3075" s="9"/>
      <c r="D3075" s="9"/>
      <c r="E3075" s="9"/>
      <c r="F3075" s="9"/>
      <c r="G3075" s="9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9"/>
    </row>
    <row r="3076" spans="1:27" ht="13.6">
      <c r="A3076" s="8"/>
      <c r="B3076" s="12"/>
      <c r="C3076" s="9"/>
      <c r="D3076" s="9"/>
      <c r="E3076" s="9"/>
      <c r="F3076" s="9"/>
      <c r="G3076" s="9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9"/>
    </row>
    <row r="3077" spans="1:27" ht="13.6">
      <c r="A3077" s="8"/>
      <c r="B3077" s="12"/>
      <c r="C3077" s="9"/>
      <c r="D3077" s="9"/>
      <c r="E3077" s="9"/>
      <c r="F3077" s="9"/>
      <c r="G3077" s="9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9"/>
    </row>
    <row r="3078" spans="1:27" ht="13.6">
      <c r="A3078" s="8"/>
      <c r="B3078" s="12"/>
      <c r="C3078" s="9"/>
      <c r="D3078" s="9"/>
      <c r="E3078" s="9"/>
      <c r="F3078" s="9"/>
      <c r="G3078" s="9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9"/>
    </row>
    <row r="3079" spans="1:27" ht="13.6">
      <c r="A3079" s="8"/>
      <c r="B3079" s="12"/>
      <c r="C3079" s="9"/>
      <c r="D3079" s="9"/>
      <c r="E3079" s="9"/>
      <c r="F3079" s="9"/>
      <c r="G3079" s="9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9"/>
    </row>
    <row r="3080" spans="1:27" ht="13.6">
      <c r="A3080" s="8"/>
      <c r="B3080" s="12"/>
      <c r="C3080" s="9"/>
      <c r="D3080" s="9"/>
      <c r="E3080" s="9"/>
      <c r="F3080" s="9"/>
      <c r="G3080" s="9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9"/>
    </row>
    <row r="3081" spans="1:27" ht="13.6">
      <c r="A3081" s="8"/>
      <c r="B3081" s="12"/>
      <c r="C3081" s="9"/>
      <c r="D3081" s="9"/>
      <c r="E3081" s="9"/>
      <c r="F3081" s="9"/>
      <c r="G3081" s="9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9"/>
    </row>
    <row r="3082" spans="1:27" ht="13.6">
      <c r="A3082" s="8"/>
      <c r="B3082" s="12"/>
      <c r="C3082" s="9"/>
      <c r="D3082" s="9"/>
      <c r="E3082" s="9"/>
      <c r="F3082" s="9"/>
      <c r="G3082" s="9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9"/>
    </row>
    <row r="3083" spans="1:27" ht="13.6">
      <c r="A3083" s="8"/>
      <c r="B3083" s="12"/>
      <c r="C3083" s="9"/>
      <c r="D3083" s="9"/>
      <c r="E3083" s="9"/>
      <c r="F3083" s="9"/>
      <c r="G3083" s="9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9"/>
    </row>
    <row r="3084" spans="1:27" ht="13.6">
      <c r="A3084" s="8"/>
      <c r="B3084" s="12"/>
      <c r="C3084" s="9"/>
      <c r="D3084" s="9"/>
      <c r="E3084" s="9"/>
      <c r="F3084" s="9"/>
      <c r="G3084" s="9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9"/>
    </row>
    <row r="3085" spans="1:27" ht="13.6">
      <c r="A3085" s="8"/>
      <c r="B3085" s="12"/>
      <c r="C3085" s="9"/>
      <c r="D3085" s="9"/>
      <c r="E3085" s="9"/>
      <c r="F3085" s="9"/>
      <c r="G3085" s="9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9"/>
    </row>
    <row r="3086" spans="1:27" ht="13.6">
      <c r="A3086" s="8"/>
      <c r="B3086" s="12"/>
      <c r="C3086" s="9"/>
      <c r="D3086" s="9"/>
      <c r="E3086" s="9"/>
      <c r="F3086" s="9"/>
      <c r="G3086" s="9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9"/>
    </row>
    <row r="3087" spans="1:27" ht="13.6">
      <c r="A3087" s="8"/>
      <c r="B3087" s="12"/>
      <c r="C3087" s="9"/>
      <c r="D3087" s="9"/>
      <c r="E3087" s="9"/>
      <c r="F3087" s="9"/>
      <c r="G3087" s="9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9"/>
    </row>
    <row r="3088" spans="1:27" ht="13.6">
      <c r="A3088" s="8"/>
      <c r="B3088" s="12"/>
      <c r="C3088" s="9"/>
      <c r="D3088" s="9"/>
      <c r="E3088" s="9"/>
      <c r="F3088" s="9"/>
      <c r="G3088" s="9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9"/>
    </row>
    <row r="3089" spans="1:27" ht="13.6">
      <c r="A3089" s="8"/>
      <c r="B3089" s="12"/>
      <c r="C3089" s="9"/>
      <c r="D3089" s="9"/>
      <c r="E3089" s="9"/>
      <c r="F3089" s="9"/>
      <c r="G3089" s="9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9"/>
    </row>
    <row r="3090" spans="1:27" ht="13.6">
      <c r="A3090" s="8"/>
      <c r="B3090" s="12"/>
      <c r="C3090" s="9"/>
      <c r="D3090" s="9"/>
      <c r="E3090" s="9"/>
      <c r="F3090" s="9"/>
      <c r="G3090" s="9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9"/>
    </row>
    <row r="3091" spans="1:27" ht="13.6">
      <c r="A3091" s="8"/>
      <c r="B3091" s="12"/>
      <c r="C3091" s="9"/>
      <c r="D3091" s="9"/>
      <c r="E3091" s="9"/>
      <c r="F3091" s="9"/>
      <c r="G3091" s="9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9"/>
    </row>
    <row r="3092" spans="1:27" ht="13.6">
      <c r="A3092" s="8"/>
      <c r="B3092" s="12"/>
      <c r="C3092" s="9"/>
      <c r="D3092" s="9"/>
      <c r="E3092" s="9"/>
      <c r="F3092" s="9"/>
      <c r="G3092" s="9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9"/>
    </row>
    <row r="3093" spans="1:27" ht="13.6">
      <c r="A3093" s="8"/>
      <c r="B3093" s="12"/>
      <c r="C3093" s="9"/>
      <c r="D3093" s="9"/>
      <c r="E3093" s="9"/>
      <c r="F3093" s="9"/>
      <c r="G3093" s="9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9"/>
    </row>
    <row r="3094" spans="1:27" ht="13.6">
      <c r="A3094" s="8"/>
      <c r="B3094" s="12"/>
      <c r="C3094" s="9"/>
      <c r="D3094" s="9"/>
      <c r="E3094" s="9"/>
      <c r="F3094" s="9"/>
      <c r="G3094" s="9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9"/>
    </row>
    <row r="3095" spans="1:27" ht="13.6">
      <c r="A3095" s="8"/>
      <c r="B3095" s="12"/>
      <c r="C3095" s="9"/>
      <c r="D3095" s="9"/>
      <c r="E3095" s="9"/>
      <c r="F3095" s="9"/>
      <c r="G3095" s="9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9"/>
    </row>
    <row r="3096" spans="1:27" ht="13.6">
      <c r="A3096" s="8"/>
      <c r="B3096" s="12"/>
      <c r="C3096" s="9"/>
      <c r="D3096" s="9"/>
      <c r="E3096" s="9"/>
      <c r="F3096" s="9"/>
      <c r="G3096" s="9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</row>
    <row r="3097" spans="1:27" ht="13.6">
      <c r="A3097" s="8"/>
      <c r="B3097" s="12"/>
      <c r="C3097" s="9"/>
      <c r="D3097" s="9"/>
      <c r="E3097" s="9"/>
      <c r="F3097" s="9"/>
      <c r="G3097" s="9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9"/>
    </row>
    <row r="3098" spans="1:27" ht="13.6">
      <c r="A3098" s="8"/>
      <c r="B3098" s="12"/>
      <c r="C3098" s="9"/>
      <c r="D3098" s="9"/>
      <c r="E3098" s="9"/>
      <c r="F3098" s="9"/>
      <c r="G3098" s="9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9"/>
    </row>
    <row r="3099" spans="1:27" ht="13.6">
      <c r="A3099" s="8"/>
      <c r="B3099" s="12"/>
      <c r="C3099" s="9"/>
      <c r="D3099" s="9"/>
      <c r="E3099" s="9"/>
      <c r="F3099" s="9"/>
      <c r="G3099" s="9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9"/>
    </row>
    <row r="3100" spans="1:27" ht="13.6">
      <c r="A3100" s="8"/>
      <c r="B3100" s="12"/>
      <c r="C3100" s="9"/>
      <c r="D3100" s="9"/>
      <c r="E3100" s="9"/>
      <c r="F3100" s="9"/>
      <c r="G3100" s="9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9"/>
    </row>
    <row r="3101" spans="1:27" ht="13.6">
      <c r="A3101" s="8"/>
      <c r="B3101" s="12"/>
      <c r="C3101" s="9"/>
      <c r="D3101" s="9"/>
      <c r="E3101" s="9"/>
      <c r="F3101" s="9"/>
      <c r="G3101" s="9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9"/>
      <c r="U3101" s="9"/>
      <c r="V3101" s="9"/>
      <c r="W3101" s="9"/>
      <c r="X3101" s="9"/>
      <c r="Y3101" s="9"/>
      <c r="Z3101" s="9"/>
      <c r="AA3101" s="9"/>
    </row>
    <row r="3102" spans="1:27" ht="13.6">
      <c r="A3102" s="8"/>
      <c r="B3102" s="12"/>
      <c r="C3102" s="9"/>
      <c r="D3102" s="9"/>
      <c r="E3102" s="9"/>
      <c r="F3102" s="9"/>
      <c r="G3102" s="9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9"/>
      <c r="U3102" s="9"/>
      <c r="V3102" s="9"/>
      <c r="W3102" s="9"/>
      <c r="X3102" s="9"/>
      <c r="Y3102" s="9"/>
      <c r="Z3102" s="9"/>
      <c r="AA3102" s="9"/>
    </row>
    <row r="3103" spans="1:27" ht="13.6">
      <c r="A3103" s="8"/>
      <c r="B3103" s="12"/>
      <c r="C3103" s="9"/>
      <c r="D3103" s="9"/>
      <c r="E3103" s="9"/>
      <c r="F3103" s="9"/>
      <c r="G3103" s="9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9"/>
      <c r="U3103" s="9"/>
      <c r="V3103" s="9"/>
      <c r="W3103" s="9"/>
      <c r="X3103" s="9"/>
      <c r="Y3103" s="9"/>
      <c r="Z3103" s="9"/>
      <c r="AA3103" s="9"/>
    </row>
    <row r="3104" spans="1:27" ht="13.6">
      <c r="A3104" s="8"/>
      <c r="B3104" s="12"/>
      <c r="C3104" s="9"/>
      <c r="D3104" s="9"/>
      <c r="E3104" s="9"/>
      <c r="F3104" s="9"/>
      <c r="G3104" s="9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9"/>
    </row>
    <row r="3105" spans="1:27" ht="13.6">
      <c r="A3105" s="8"/>
      <c r="B3105" s="12"/>
      <c r="C3105" s="9"/>
      <c r="D3105" s="9"/>
      <c r="E3105" s="9"/>
      <c r="F3105" s="9"/>
      <c r="G3105" s="9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9"/>
      <c r="U3105" s="9"/>
      <c r="V3105" s="9"/>
      <c r="W3105" s="9"/>
      <c r="X3105" s="9"/>
      <c r="Y3105" s="9"/>
      <c r="Z3105" s="9"/>
      <c r="AA3105" s="9"/>
    </row>
    <row r="3106" spans="1:27" ht="13.6">
      <c r="A3106" s="8"/>
      <c r="B3106" s="12"/>
      <c r="C3106" s="9"/>
      <c r="D3106" s="9"/>
      <c r="E3106" s="9"/>
      <c r="F3106" s="9"/>
      <c r="G3106" s="9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9"/>
      <c r="U3106" s="9"/>
      <c r="V3106" s="9"/>
      <c r="W3106" s="9"/>
      <c r="X3106" s="9"/>
      <c r="Y3106" s="9"/>
      <c r="Z3106" s="9"/>
      <c r="AA3106" s="9"/>
    </row>
    <row r="3107" spans="1:27" ht="13.6">
      <c r="A3107" s="8"/>
      <c r="B3107" s="12"/>
      <c r="C3107" s="9"/>
      <c r="D3107" s="9"/>
      <c r="E3107" s="9"/>
      <c r="F3107" s="9"/>
      <c r="G3107" s="9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9"/>
      <c r="U3107" s="9"/>
      <c r="V3107" s="9"/>
      <c r="W3107" s="9"/>
      <c r="X3107" s="9"/>
      <c r="Y3107" s="9"/>
      <c r="Z3107" s="9"/>
      <c r="AA3107" s="9"/>
    </row>
    <row r="3108" spans="1:27" ht="13.6">
      <c r="A3108" s="8"/>
      <c r="B3108" s="12"/>
      <c r="C3108" s="9"/>
      <c r="D3108" s="9"/>
      <c r="E3108" s="9"/>
      <c r="F3108" s="9"/>
      <c r="G3108" s="9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9"/>
    </row>
    <row r="3109" spans="1:27" ht="13.6">
      <c r="A3109" s="8"/>
      <c r="B3109" s="12"/>
      <c r="C3109" s="9"/>
      <c r="D3109" s="9"/>
      <c r="E3109" s="9"/>
      <c r="F3109" s="9"/>
      <c r="G3109" s="9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9"/>
      <c r="U3109" s="9"/>
      <c r="V3109" s="9"/>
      <c r="W3109" s="9"/>
      <c r="X3109" s="9"/>
      <c r="Y3109" s="9"/>
      <c r="Z3109" s="9"/>
      <c r="AA3109" s="9"/>
    </row>
    <row r="3110" spans="1:27" ht="13.6">
      <c r="A3110" s="8"/>
      <c r="B3110" s="12"/>
      <c r="C3110" s="9"/>
      <c r="D3110" s="9"/>
      <c r="E3110" s="9"/>
      <c r="F3110" s="9"/>
      <c r="G3110" s="9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9"/>
      <c r="U3110" s="9"/>
      <c r="V3110" s="9"/>
      <c r="W3110" s="9"/>
      <c r="X3110" s="9"/>
      <c r="Y3110" s="9"/>
      <c r="Z3110" s="9"/>
      <c r="AA3110" s="9"/>
    </row>
    <row r="3111" spans="1:27" ht="13.6">
      <c r="A3111" s="8"/>
      <c r="B3111" s="12"/>
      <c r="C3111" s="9"/>
      <c r="D3111" s="9"/>
      <c r="E3111" s="9"/>
      <c r="F3111" s="9"/>
      <c r="G3111" s="9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9"/>
      <c r="U3111" s="9"/>
      <c r="V3111" s="9"/>
      <c r="W3111" s="9"/>
      <c r="X3111" s="9"/>
      <c r="Y3111" s="9"/>
      <c r="Z3111" s="9"/>
      <c r="AA3111" s="9"/>
    </row>
    <row r="3112" spans="1:27" ht="13.6">
      <c r="A3112" s="8"/>
      <c r="B3112" s="12"/>
      <c r="C3112" s="9"/>
      <c r="D3112" s="9"/>
      <c r="E3112" s="9"/>
      <c r="F3112" s="9"/>
      <c r="G3112" s="9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9"/>
    </row>
    <row r="3113" spans="1:27" ht="13.6">
      <c r="A3113" s="8"/>
      <c r="B3113" s="12"/>
      <c r="C3113" s="9"/>
      <c r="D3113" s="9"/>
      <c r="E3113" s="9"/>
      <c r="F3113" s="9"/>
      <c r="G3113" s="9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9"/>
      <c r="U3113" s="9"/>
      <c r="V3113" s="9"/>
      <c r="W3113" s="9"/>
      <c r="X3113" s="9"/>
      <c r="Y3113" s="9"/>
      <c r="Z3113" s="9"/>
      <c r="AA3113" s="9"/>
    </row>
    <row r="3114" spans="1:27" ht="13.6">
      <c r="A3114" s="8"/>
      <c r="B3114" s="12"/>
      <c r="C3114" s="9"/>
      <c r="D3114" s="9"/>
      <c r="E3114" s="9"/>
      <c r="F3114" s="9"/>
      <c r="G3114" s="9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9"/>
      <c r="U3114" s="9"/>
      <c r="V3114" s="9"/>
      <c r="W3114" s="9"/>
      <c r="X3114" s="9"/>
      <c r="Y3114" s="9"/>
      <c r="Z3114" s="9"/>
      <c r="AA3114" s="9"/>
    </row>
    <row r="3115" spans="1:27" ht="13.6">
      <c r="A3115" s="8"/>
      <c r="B3115" s="12"/>
      <c r="C3115" s="9"/>
      <c r="D3115" s="9"/>
      <c r="E3115" s="9"/>
      <c r="F3115" s="9"/>
      <c r="G3115" s="9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9"/>
      <c r="U3115" s="9"/>
      <c r="V3115" s="9"/>
      <c r="W3115" s="9"/>
      <c r="X3115" s="9"/>
      <c r="Y3115" s="9"/>
      <c r="Z3115" s="9"/>
      <c r="AA3115" s="9"/>
    </row>
    <row r="3116" spans="1:27" ht="13.6">
      <c r="A3116" s="8"/>
      <c r="B3116" s="12"/>
      <c r="C3116" s="9"/>
      <c r="D3116" s="9"/>
      <c r="E3116" s="9"/>
      <c r="F3116" s="9"/>
      <c r="G3116" s="9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9"/>
    </row>
    <row r="3117" spans="1:27" ht="13.6">
      <c r="A3117" s="8"/>
      <c r="B3117" s="12"/>
      <c r="C3117" s="9"/>
      <c r="D3117" s="9"/>
      <c r="E3117" s="9"/>
      <c r="F3117" s="9"/>
      <c r="G3117" s="9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9"/>
      <c r="U3117" s="9"/>
      <c r="V3117" s="9"/>
      <c r="W3117" s="9"/>
      <c r="X3117" s="9"/>
      <c r="Y3117" s="9"/>
      <c r="Z3117" s="9"/>
      <c r="AA3117" s="9"/>
    </row>
    <row r="3118" spans="1:27" ht="13.6">
      <c r="A3118" s="8"/>
      <c r="B3118" s="12"/>
      <c r="C3118" s="9"/>
      <c r="D3118" s="9"/>
      <c r="E3118" s="9"/>
      <c r="F3118" s="9"/>
      <c r="G3118" s="9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9"/>
      <c r="U3118" s="9"/>
      <c r="V3118" s="9"/>
      <c r="W3118" s="9"/>
      <c r="X3118" s="9"/>
      <c r="Y3118" s="9"/>
      <c r="Z3118" s="9"/>
      <c r="AA3118" s="9"/>
    </row>
    <row r="3119" spans="1:27" ht="13.6">
      <c r="A3119" s="8"/>
      <c r="B3119" s="12"/>
      <c r="C3119" s="9"/>
      <c r="D3119" s="9"/>
      <c r="E3119" s="9"/>
      <c r="F3119" s="9"/>
      <c r="G3119" s="9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9"/>
      <c r="U3119" s="9"/>
      <c r="V3119" s="9"/>
      <c r="W3119" s="9"/>
      <c r="X3119" s="9"/>
      <c r="Y3119" s="9"/>
      <c r="Z3119" s="9"/>
      <c r="AA3119" s="9"/>
    </row>
    <row r="3120" spans="1:27" ht="13.6">
      <c r="A3120" s="8"/>
      <c r="B3120" s="12"/>
      <c r="C3120" s="9"/>
      <c r="D3120" s="9"/>
      <c r="E3120" s="9"/>
      <c r="F3120" s="9"/>
      <c r="G3120" s="9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9"/>
    </row>
    <row r="3121" spans="1:27" ht="13.6">
      <c r="A3121" s="8"/>
      <c r="B3121" s="12"/>
      <c r="C3121" s="9"/>
      <c r="D3121" s="9"/>
      <c r="E3121" s="9"/>
      <c r="F3121" s="9"/>
      <c r="G3121" s="9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9"/>
      <c r="U3121" s="9"/>
      <c r="V3121" s="9"/>
      <c r="W3121" s="9"/>
      <c r="X3121" s="9"/>
      <c r="Y3121" s="9"/>
      <c r="Z3121" s="9"/>
      <c r="AA3121" s="9"/>
    </row>
    <row r="3122" spans="1:27" ht="13.6">
      <c r="A3122" s="8"/>
      <c r="B3122" s="12"/>
      <c r="C3122" s="9"/>
      <c r="D3122" s="9"/>
      <c r="E3122" s="9"/>
      <c r="F3122" s="9"/>
      <c r="G3122" s="9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9"/>
      <c r="U3122" s="9"/>
      <c r="V3122" s="9"/>
      <c r="W3122" s="9"/>
      <c r="X3122" s="9"/>
      <c r="Y3122" s="9"/>
      <c r="Z3122" s="9"/>
      <c r="AA3122" s="9"/>
    </row>
    <row r="3123" spans="1:27" ht="13.6">
      <c r="A3123" s="8"/>
      <c r="B3123" s="12"/>
      <c r="C3123" s="9"/>
      <c r="D3123" s="9"/>
      <c r="E3123" s="9"/>
      <c r="F3123" s="9"/>
      <c r="G3123" s="9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9"/>
      <c r="U3123" s="9"/>
      <c r="V3123" s="9"/>
      <c r="W3123" s="9"/>
      <c r="X3123" s="9"/>
      <c r="Y3123" s="9"/>
      <c r="Z3123" s="9"/>
      <c r="AA3123" s="9"/>
    </row>
    <row r="3124" spans="1:27" ht="13.6">
      <c r="A3124" s="8"/>
      <c r="B3124" s="12"/>
      <c r="C3124" s="9"/>
      <c r="D3124" s="9"/>
      <c r="E3124" s="9"/>
      <c r="F3124" s="9"/>
      <c r="G3124" s="9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9"/>
    </row>
    <row r="3125" spans="1:27" ht="13.6">
      <c r="A3125" s="8"/>
      <c r="B3125" s="12"/>
      <c r="C3125" s="9"/>
      <c r="D3125" s="9"/>
      <c r="E3125" s="9"/>
      <c r="F3125" s="9"/>
      <c r="G3125" s="9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9"/>
      <c r="U3125" s="9"/>
      <c r="V3125" s="9"/>
      <c r="W3125" s="9"/>
      <c r="X3125" s="9"/>
      <c r="Y3125" s="9"/>
      <c r="Z3125" s="9"/>
      <c r="AA3125" s="9"/>
    </row>
    <row r="3126" spans="1:27" ht="13.6">
      <c r="A3126" s="8"/>
      <c r="B3126" s="12"/>
      <c r="C3126" s="9"/>
      <c r="D3126" s="9"/>
      <c r="E3126" s="9"/>
      <c r="F3126" s="9"/>
      <c r="G3126" s="9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9"/>
      <c r="U3126" s="9"/>
      <c r="V3126" s="9"/>
      <c r="W3126" s="9"/>
      <c r="X3126" s="9"/>
      <c r="Y3126" s="9"/>
      <c r="Z3126" s="9"/>
      <c r="AA3126" s="9"/>
    </row>
    <row r="3127" spans="1:27" ht="13.6">
      <c r="A3127" s="8"/>
      <c r="B3127" s="12"/>
      <c r="C3127" s="9"/>
      <c r="D3127" s="9"/>
      <c r="E3127" s="9"/>
      <c r="F3127" s="9"/>
      <c r="G3127" s="9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9"/>
      <c r="U3127" s="9"/>
      <c r="V3127" s="9"/>
      <c r="W3127" s="9"/>
      <c r="X3127" s="9"/>
      <c r="Y3127" s="9"/>
      <c r="Z3127" s="9"/>
      <c r="AA3127" s="9"/>
    </row>
    <row r="3128" spans="1:27" ht="13.6">
      <c r="A3128" s="8"/>
      <c r="B3128" s="12"/>
      <c r="C3128" s="9"/>
      <c r="D3128" s="9"/>
      <c r="E3128" s="9"/>
      <c r="F3128" s="9"/>
      <c r="G3128" s="9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9"/>
    </row>
    <row r="3129" spans="1:27" ht="13.6">
      <c r="A3129" s="8"/>
      <c r="B3129" s="12"/>
      <c r="C3129" s="9"/>
      <c r="D3129" s="9"/>
      <c r="E3129" s="9"/>
      <c r="F3129" s="9"/>
      <c r="G3129" s="9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9"/>
      <c r="U3129" s="9"/>
      <c r="V3129" s="9"/>
      <c r="W3129" s="9"/>
      <c r="X3129" s="9"/>
      <c r="Y3129" s="9"/>
      <c r="Z3129" s="9"/>
      <c r="AA3129" s="9"/>
    </row>
    <row r="3130" spans="1:27" ht="13.6">
      <c r="A3130" s="8"/>
      <c r="B3130" s="12"/>
      <c r="C3130" s="9"/>
      <c r="D3130" s="9"/>
      <c r="E3130" s="9"/>
      <c r="F3130" s="9"/>
      <c r="G3130" s="9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9"/>
      <c r="U3130" s="9"/>
      <c r="V3130" s="9"/>
      <c r="W3130" s="9"/>
      <c r="X3130" s="9"/>
      <c r="Y3130" s="9"/>
      <c r="Z3130" s="9"/>
      <c r="AA3130" s="9"/>
    </row>
    <row r="3131" spans="1:27" ht="13.6">
      <c r="A3131" s="8"/>
      <c r="B3131" s="12"/>
      <c r="C3131" s="9"/>
      <c r="D3131" s="9"/>
      <c r="E3131" s="9"/>
      <c r="F3131" s="9"/>
      <c r="G3131" s="9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9"/>
      <c r="U3131" s="9"/>
      <c r="V3131" s="9"/>
      <c r="W3131" s="9"/>
      <c r="X3131" s="9"/>
      <c r="Y3131" s="9"/>
      <c r="Z3131" s="9"/>
      <c r="AA3131" s="9"/>
    </row>
    <row r="3132" spans="1:27" ht="13.6">
      <c r="A3132" s="8"/>
      <c r="B3132" s="12"/>
      <c r="C3132" s="9"/>
      <c r="D3132" s="9"/>
      <c r="E3132" s="9"/>
      <c r="F3132" s="9"/>
      <c r="G3132" s="9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9"/>
    </row>
    <row r="3133" spans="1:27" ht="13.6">
      <c r="A3133" s="8"/>
      <c r="B3133" s="12"/>
      <c r="C3133" s="9"/>
      <c r="D3133" s="9"/>
      <c r="E3133" s="9"/>
      <c r="F3133" s="9"/>
      <c r="G3133" s="9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9"/>
      <c r="U3133" s="9"/>
      <c r="V3133" s="9"/>
      <c r="W3133" s="9"/>
      <c r="X3133" s="9"/>
      <c r="Y3133" s="9"/>
      <c r="Z3133" s="9"/>
      <c r="AA3133" s="9"/>
    </row>
    <row r="3134" spans="1:27" ht="13.6">
      <c r="A3134" s="8"/>
      <c r="B3134" s="12"/>
      <c r="C3134" s="9"/>
      <c r="D3134" s="9"/>
      <c r="E3134" s="9"/>
      <c r="F3134" s="9"/>
      <c r="G3134" s="9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9"/>
      <c r="U3134" s="9"/>
      <c r="V3134" s="9"/>
      <c r="W3134" s="9"/>
      <c r="X3134" s="9"/>
      <c r="Y3134" s="9"/>
      <c r="Z3134" s="9"/>
      <c r="AA3134" s="9"/>
    </row>
    <row r="3135" spans="1:27" ht="13.6">
      <c r="A3135" s="8"/>
      <c r="B3135" s="12"/>
      <c r="C3135" s="9"/>
      <c r="D3135" s="9"/>
      <c r="E3135" s="9"/>
      <c r="F3135" s="9"/>
      <c r="G3135" s="9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9"/>
      <c r="U3135" s="9"/>
      <c r="V3135" s="9"/>
      <c r="W3135" s="9"/>
      <c r="X3135" s="9"/>
      <c r="Y3135" s="9"/>
      <c r="Z3135" s="9"/>
      <c r="AA3135" s="9"/>
    </row>
    <row r="3136" spans="1:27" ht="13.6">
      <c r="A3136" s="8"/>
      <c r="B3136" s="12"/>
      <c r="C3136" s="9"/>
      <c r="D3136" s="9"/>
      <c r="E3136" s="9"/>
      <c r="F3136" s="9"/>
      <c r="G3136" s="9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9"/>
    </row>
    <row r="3137" spans="1:27" ht="13.6">
      <c r="A3137" s="8"/>
      <c r="B3137" s="12"/>
      <c r="C3137" s="9"/>
      <c r="D3137" s="9"/>
      <c r="E3137" s="9"/>
      <c r="F3137" s="9"/>
      <c r="G3137" s="9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9"/>
      <c r="U3137" s="9"/>
      <c r="V3137" s="9"/>
      <c r="W3137" s="9"/>
      <c r="X3137" s="9"/>
      <c r="Y3137" s="9"/>
      <c r="Z3137" s="9"/>
      <c r="AA3137" s="9"/>
    </row>
    <row r="3138" spans="1:27" ht="13.6">
      <c r="A3138" s="8"/>
      <c r="B3138" s="12"/>
      <c r="C3138" s="9"/>
      <c r="D3138" s="9"/>
      <c r="E3138" s="9"/>
      <c r="F3138" s="9"/>
      <c r="G3138" s="9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9"/>
      <c r="U3138" s="9"/>
      <c r="V3138" s="9"/>
      <c r="W3138" s="9"/>
      <c r="X3138" s="9"/>
      <c r="Y3138" s="9"/>
      <c r="Z3138" s="9"/>
      <c r="AA3138" s="9"/>
    </row>
    <row r="3139" spans="1:27" ht="13.6">
      <c r="A3139" s="8"/>
      <c r="B3139" s="12"/>
      <c r="C3139" s="9"/>
      <c r="D3139" s="9"/>
      <c r="E3139" s="9"/>
      <c r="F3139" s="9"/>
      <c r="G3139" s="9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9"/>
    </row>
    <row r="3140" spans="1:27" ht="13.6">
      <c r="A3140" s="8"/>
      <c r="B3140" s="12"/>
      <c r="C3140" s="9"/>
      <c r="D3140" s="9"/>
      <c r="E3140" s="9"/>
      <c r="F3140" s="9"/>
      <c r="G3140" s="9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9"/>
    </row>
    <row r="3141" spans="1:27" ht="13.6">
      <c r="A3141" s="8"/>
      <c r="B3141" s="12"/>
      <c r="C3141" s="9"/>
      <c r="D3141" s="9"/>
      <c r="E3141" s="9"/>
      <c r="F3141" s="9"/>
      <c r="G3141" s="9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9"/>
      <c r="U3141" s="9"/>
      <c r="V3141" s="9"/>
      <c r="W3141" s="9"/>
      <c r="X3141" s="9"/>
      <c r="Y3141" s="9"/>
      <c r="Z3141" s="9"/>
      <c r="AA3141" s="9"/>
    </row>
    <row r="3142" spans="1:27" ht="13.6">
      <c r="A3142" s="8"/>
      <c r="B3142" s="12"/>
      <c r="C3142" s="9"/>
      <c r="D3142" s="9"/>
      <c r="E3142" s="9"/>
      <c r="F3142" s="9"/>
      <c r="G3142" s="9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9"/>
      <c r="U3142" s="9"/>
      <c r="V3142" s="9"/>
      <c r="W3142" s="9"/>
      <c r="X3142" s="9"/>
      <c r="Y3142" s="9"/>
      <c r="Z3142" s="9"/>
      <c r="AA3142" s="9"/>
    </row>
    <row r="3143" spans="1:27" ht="13.6">
      <c r="A3143" s="8"/>
      <c r="B3143" s="12"/>
      <c r="C3143" s="9"/>
      <c r="D3143" s="9"/>
      <c r="E3143" s="9"/>
      <c r="F3143" s="9"/>
      <c r="G3143" s="9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9"/>
      <c r="U3143" s="9"/>
      <c r="V3143" s="9"/>
      <c r="W3143" s="9"/>
      <c r="X3143" s="9"/>
      <c r="Y3143" s="9"/>
      <c r="Z3143" s="9"/>
      <c r="AA3143" s="9"/>
    </row>
    <row r="3144" spans="1:27" ht="13.6">
      <c r="A3144" s="8"/>
      <c r="B3144" s="12"/>
      <c r="C3144" s="9"/>
      <c r="D3144" s="9"/>
      <c r="E3144" s="9"/>
      <c r="F3144" s="9"/>
      <c r="G3144" s="9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9"/>
    </row>
    <row r="3145" spans="1:27" ht="13.6">
      <c r="A3145" s="8"/>
      <c r="B3145" s="12"/>
      <c r="C3145" s="9"/>
      <c r="D3145" s="9"/>
      <c r="E3145" s="9"/>
      <c r="F3145" s="9"/>
      <c r="G3145" s="9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9"/>
      <c r="U3145" s="9"/>
      <c r="V3145" s="9"/>
      <c r="W3145" s="9"/>
      <c r="X3145" s="9"/>
      <c r="Y3145" s="9"/>
      <c r="Z3145" s="9"/>
      <c r="AA3145" s="9"/>
    </row>
    <row r="3146" spans="1:27" ht="13.6">
      <c r="A3146" s="8"/>
      <c r="B3146" s="12"/>
      <c r="C3146" s="9"/>
      <c r="D3146" s="9"/>
      <c r="E3146" s="9"/>
      <c r="F3146" s="9"/>
      <c r="G3146" s="9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9"/>
      <c r="U3146" s="9"/>
      <c r="V3146" s="9"/>
      <c r="W3146" s="9"/>
      <c r="X3146" s="9"/>
      <c r="Y3146" s="9"/>
      <c r="Z3146" s="9"/>
      <c r="AA3146" s="9"/>
    </row>
    <row r="3147" spans="1:27" ht="13.6">
      <c r="A3147" s="8"/>
      <c r="B3147" s="12"/>
      <c r="C3147" s="9"/>
      <c r="D3147" s="9"/>
      <c r="E3147" s="9"/>
      <c r="F3147" s="9"/>
      <c r="G3147" s="9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9"/>
      <c r="U3147" s="9"/>
      <c r="V3147" s="9"/>
      <c r="W3147" s="9"/>
      <c r="X3147" s="9"/>
      <c r="Y3147" s="9"/>
      <c r="Z3147" s="9"/>
      <c r="AA3147" s="9"/>
    </row>
    <row r="3148" spans="1:27" ht="13.6">
      <c r="A3148" s="8"/>
      <c r="B3148" s="12"/>
      <c r="C3148" s="9"/>
      <c r="D3148" s="9"/>
      <c r="E3148" s="9"/>
      <c r="F3148" s="9"/>
      <c r="G3148" s="9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9"/>
    </row>
    <row r="3149" spans="1:27" ht="13.6">
      <c r="A3149" s="8"/>
      <c r="B3149" s="12"/>
      <c r="C3149" s="9"/>
      <c r="D3149" s="9"/>
      <c r="E3149" s="9"/>
      <c r="F3149" s="9"/>
      <c r="G3149" s="9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9"/>
      <c r="U3149" s="9"/>
      <c r="V3149" s="9"/>
      <c r="W3149" s="9"/>
      <c r="X3149" s="9"/>
      <c r="Y3149" s="9"/>
      <c r="Z3149" s="9"/>
      <c r="AA3149" s="9"/>
    </row>
    <row r="3150" spans="1:27" ht="13.6">
      <c r="A3150" s="8"/>
      <c r="B3150" s="12"/>
      <c r="C3150" s="9"/>
      <c r="D3150" s="9"/>
      <c r="E3150" s="9"/>
      <c r="F3150" s="9"/>
      <c r="G3150" s="9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9"/>
      <c r="U3150" s="9"/>
      <c r="V3150" s="9"/>
      <c r="W3150" s="9"/>
      <c r="X3150" s="9"/>
      <c r="Y3150" s="9"/>
      <c r="Z3150" s="9"/>
      <c r="AA3150" s="9"/>
    </row>
    <row r="3151" spans="1:27" ht="13.6">
      <c r="A3151" s="8"/>
      <c r="B3151" s="12"/>
      <c r="C3151" s="9"/>
      <c r="D3151" s="9"/>
      <c r="E3151" s="9"/>
      <c r="F3151" s="9"/>
      <c r="G3151" s="9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9"/>
      <c r="U3151" s="9"/>
      <c r="V3151" s="9"/>
      <c r="W3151" s="9"/>
      <c r="X3151" s="9"/>
      <c r="Y3151" s="9"/>
      <c r="Z3151" s="9"/>
      <c r="AA3151" s="9"/>
    </row>
    <row r="3152" spans="1:27" ht="13.6">
      <c r="A3152" s="8"/>
      <c r="B3152" s="12"/>
      <c r="C3152" s="9"/>
      <c r="D3152" s="9"/>
      <c r="E3152" s="9"/>
      <c r="F3152" s="9"/>
      <c r="G3152" s="9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9"/>
    </row>
    <row r="3153" spans="1:27" ht="13.6">
      <c r="A3153" s="8"/>
      <c r="B3153" s="12"/>
      <c r="C3153" s="9"/>
      <c r="D3153" s="9"/>
      <c r="E3153" s="9"/>
      <c r="F3153" s="9"/>
      <c r="G3153" s="9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9"/>
      <c r="U3153" s="9"/>
      <c r="V3153" s="9"/>
      <c r="W3153" s="9"/>
      <c r="X3153" s="9"/>
      <c r="Y3153" s="9"/>
      <c r="Z3153" s="9"/>
      <c r="AA3153" s="9"/>
    </row>
    <row r="3154" spans="1:27" ht="13.6">
      <c r="A3154" s="8"/>
      <c r="B3154" s="12"/>
      <c r="C3154" s="9"/>
      <c r="D3154" s="9"/>
      <c r="E3154" s="9"/>
      <c r="F3154" s="9"/>
      <c r="G3154" s="9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9"/>
      <c r="U3154" s="9"/>
      <c r="V3154" s="9"/>
      <c r="W3154" s="9"/>
      <c r="X3154" s="9"/>
      <c r="Y3154" s="9"/>
      <c r="Z3154" s="9"/>
      <c r="AA3154" s="9"/>
    </row>
    <row r="3155" spans="1:27" ht="13.6">
      <c r="A3155" s="8"/>
      <c r="B3155" s="12"/>
      <c r="C3155" s="9"/>
      <c r="D3155" s="9"/>
      <c r="E3155" s="9"/>
      <c r="F3155" s="9"/>
      <c r="G3155" s="9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9"/>
      <c r="U3155" s="9"/>
      <c r="V3155" s="9"/>
      <c r="W3155" s="9"/>
      <c r="X3155" s="9"/>
      <c r="Y3155" s="9"/>
      <c r="Z3155" s="9"/>
      <c r="AA3155" s="9"/>
    </row>
    <row r="3156" spans="1:27" ht="13.6">
      <c r="A3156" s="8"/>
      <c r="B3156" s="12"/>
      <c r="C3156" s="9"/>
      <c r="D3156" s="9"/>
      <c r="E3156" s="9"/>
      <c r="F3156" s="9"/>
      <c r="G3156" s="9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9"/>
    </row>
    <row r="3157" spans="1:27" ht="13.6">
      <c r="A3157" s="8"/>
      <c r="B3157" s="12"/>
      <c r="C3157" s="9"/>
      <c r="D3157" s="9"/>
      <c r="E3157" s="9"/>
      <c r="F3157" s="9"/>
      <c r="G3157" s="9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9"/>
      <c r="U3157" s="9"/>
      <c r="V3157" s="9"/>
      <c r="W3157" s="9"/>
      <c r="X3157" s="9"/>
      <c r="Y3157" s="9"/>
      <c r="Z3157" s="9"/>
      <c r="AA3157" s="9"/>
    </row>
    <row r="3158" spans="1:27" ht="13.6">
      <c r="A3158" s="8"/>
      <c r="B3158" s="12"/>
      <c r="C3158" s="9"/>
      <c r="D3158" s="9"/>
      <c r="E3158" s="9"/>
      <c r="F3158" s="9"/>
      <c r="G3158" s="9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9"/>
      <c r="U3158" s="9"/>
      <c r="V3158" s="9"/>
      <c r="W3158" s="9"/>
      <c r="X3158" s="9"/>
      <c r="Y3158" s="9"/>
      <c r="Z3158" s="9"/>
      <c r="AA3158" s="9"/>
    </row>
    <row r="3159" spans="1:27" ht="13.6">
      <c r="A3159" s="8"/>
      <c r="B3159" s="12"/>
      <c r="C3159" s="9"/>
      <c r="D3159" s="9"/>
      <c r="E3159" s="9"/>
      <c r="F3159" s="9"/>
      <c r="G3159" s="9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9"/>
      <c r="U3159" s="9"/>
      <c r="V3159" s="9"/>
      <c r="W3159" s="9"/>
      <c r="X3159" s="9"/>
      <c r="Y3159" s="9"/>
      <c r="Z3159" s="9"/>
      <c r="AA3159" s="9"/>
    </row>
    <row r="3160" spans="1:27" ht="13.6">
      <c r="A3160" s="8"/>
      <c r="B3160" s="12"/>
      <c r="C3160" s="9"/>
      <c r="D3160" s="9"/>
      <c r="E3160" s="9"/>
      <c r="F3160" s="9"/>
      <c r="G3160" s="9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9"/>
    </row>
    <row r="3161" spans="1:27" ht="13.6">
      <c r="A3161" s="8"/>
      <c r="B3161" s="12"/>
      <c r="C3161" s="9"/>
      <c r="D3161" s="9"/>
      <c r="E3161" s="9"/>
      <c r="F3161" s="9"/>
      <c r="G3161" s="9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9"/>
      <c r="U3161" s="9"/>
      <c r="V3161" s="9"/>
      <c r="W3161" s="9"/>
      <c r="X3161" s="9"/>
      <c r="Y3161" s="9"/>
      <c r="Z3161" s="9"/>
      <c r="AA3161" s="9"/>
    </row>
    <row r="3162" spans="1:27" ht="13.6">
      <c r="A3162" s="8"/>
      <c r="B3162" s="12"/>
      <c r="C3162" s="9"/>
      <c r="D3162" s="9"/>
      <c r="E3162" s="9"/>
      <c r="F3162" s="9"/>
      <c r="G3162" s="9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9"/>
      <c r="U3162" s="9"/>
      <c r="V3162" s="9"/>
      <c r="W3162" s="9"/>
      <c r="X3162" s="9"/>
      <c r="Y3162" s="9"/>
      <c r="Z3162" s="9"/>
      <c r="AA3162" s="9"/>
    </row>
    <row r="3163" spans="1:27" ht="13.6">
      <c r="A3163" s="8"/>
      <c r="B3163" s="12"/>
      <c r="C3163" s="9"/>
      <c r="D3163" s="9"/>
      <c r="E3163" s="9"/>
      <c r="F3163" s="9"/>
      <c r="G3163" s="9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9"/>
      <c r="U3163" s="9"/>
      <c r="V3163" s="9"/>
      <c r="W3163" s="9"/>
      <c r="X3163" s="9"/>
      <c r="Y3163" s="9"/>
      <c r="Z3163" s="9"/>
      <c r="AA3163" s="9"/>
    </row>
    <row r="3164" spans="1:27" ht="13.6">
      <c r="A3164" s="8"/>
      <c r="B3164" s="12"/>
      <c r="C3164" s="9"/>
      <c r="D3164" s="9"/>
      <c r="E3164" s="9"/>
      <c r="F3164" s="9"/>
      <c r="G3164" s="9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9"/>
    </row>
    <row r="3165" spans="1:27" ht="13.6">
      <c r="A3165" s="8"/>
      <c r="B3165" s="12"/>
      <c r="C3165" s="9"/>
      <c r="D3165" s="9"/>
      <c r="E3165" s="9"/>
      <c r="F3165" s="9"/>
      <c r="G3165" s="9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9"/>
      <c r="U3165" s="9"/>
      <c r="V3165" s="9"/>
      <c r="W3165" s="9"/>
      <c r="X3165" s="9"/>
      <c r="Y3165" s="9"/>
      <c r="Z3165" s="9"/>
      <c r="AA3165" s="9"/>
    </row>
    <row r="3166" spans="1:27" ht="13.6">
      <c r="A3166" s="8"/>
      <c r="B3166" s="12"/>
      <c r="C3166" s="9"/>
      <c r="D3166" s="9"/>
      <c r="E3166" s="9"/>
      <c r="F3166" s="9"/>
      <c r="G3166" s="9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9"/>
      <c r="U3166" s="9"/>
      <c r="V3166" s="9"/>
      <c r="W3166" s="9"/>
      <c r="X3166" s="9"/>
      <c r="Y3166" s="9"/>
      <c r="Z3166" s="9"/>
      <c r="AA3166" s="9"/>
    </row>
    <row r="3167" spans="1:27" ht="13.6">
      <c r="A3167" s="8"/>
      <c r="B3167" s="12"/>
      <c r="C3167" s="9"/>
      <c r="D3167" s="9"/>
      <c r="E3167" s="9"/>
      <c r="F3167" s="9"/>
      <c r="G3167" s="9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9"/>
      <c r="U3167" s="9"/>
      <c r="V3167" s="9"/>
      <c r="W3167" s="9"/>
      <c r="X3167" s="9"/>
      <c r="Y3167" s="9"/>
      <c r="Z3167" s="9"/>
      <c r="AA3167" s="9"/>
    </row>
    <row r="3168" spans="1:27" ht="13.6">
      <c r="A3168" s="8"/>
      <c r="B3168" s="12"/>
      <c r="C3168" s="9"/>
      <c r="D3168" s="9"/>
      <c r="E3168" s="9"/>
      <c r="F3168" s="9"/>
      <c r="G3168" s="9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9"/>
    </row>
    <row r="3169" spans="1:27" ht="13.6">
      <c r="A3169" s="8"/>
      <c r="B3169" s="12"/>
      <c r="C3169" s="9"/>
      <c r="D3169" s="9"/>
      <c r="E3169" s="9"/>
      <c r="F3169" s="9"/>
      <c r="G3169" s="9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9"/>
      <c r="U3169" s="9"/>
      <c r="V3169" s="9"/>
      <c r="W3169" s="9"/>
      <c r="X3169" s="9"/>
      <c r="Y3169" s="9"/>
      <c r="Z3169" s="9"/>
      <c r="AA3169" s="9"/>
    </row>
    <row r="3170" spans="1:27" ht="13.6">
      <c r="A3170" s="8"/>
      <c r="B3170" s="12"/>
      <c r="C3170" s="9"/>
      <c r="D3170" s="9"/>
      <c r="E3170" s="9"/>
      <c r="F3170" s="9"/>
      <c r="G3170" s="9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9"/>
      <c r="U3170" s="9"/>
      <c r="V3170" s="9"/>
      <c r="W3170" s="9"/>
      <c r="X3170" s="9"/>
      <c r="Y3170" s="9"/>
      <c r="Z3170" s="9"/>
      <c r="AA3170" s="9"/>
    </row>
    <row r="3171" spans="1:27" ht="13.6">
      <c r="A3171" s="8"/>
      <c r="B3171" s="12"/>
      <c r="C3171" s="9"/>
      <c r="D3171" s="9"/>
      <c r="E3171" s="9"/>
      <c r="F3171" s="9"/>
      <c r="G3171" s="9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9"/>
      <c r="U3171" s="9"/>
      <c r="V3171" s="9"/>
      <c r="W3171" s="9"/>
      <c r="X3171" s="9"/>
      <c r="Y3171" s="9"/>
      <c r="Z3171" s="9"/>
      <c r="AA3171" s="9"/>
    </row>
    <row r="3172" spans="1:27" ht="13.6">
      <c r="A3172" s="8"/>
      <c r="B3172" s="12"/>
      <c r="C3172" s="9"/>
      <c r="D3172" s="9"/>
      <c r="E3172" s="9"/>
      <c r="F3172" s="9"/>
      <c r="G3172" s="9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9"/>
    </row>
    <row r="3173" spans="1:27" ht="13.6">
      <c r="A3173" s="8"/>
      <c r="B3173" s="12"/>
      <c r="C3173" s="9"/>
      <c r="D3173" s="9"/>
      <c r="E3173" s="9"/>
      <c r="F3173" s="9"/>
      <c r="G3173" s="9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9"/>
      <c r="U3173" s="9"/>
      <c r="V3173" s="9"/>
      <c r="W3173" s="9"/>
      <c r="X3173" s="9"/>
      <c r="Y3173" s="9"/>
      <c r="Z3173" s="9"/>
      <c r="AA3173" s="9"/>
    </row>
    <row r="3174" spans="1:27" ht="13.6">
      <c r="A3174" s="8"/>
      <c r="B3174" s="12"/>
      <c r="C3174" s="9"/>
      <c r="D3174" s="9"/>
      <c r="E3174" s="9"/>
      <c r="F3174" s="9"/>
      <c r="G3174" s="9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9"/>
      <c r="U3174" s="9"/>
      <c r="V3174" s="9"/>
      <c r="W3174" s="9"/>
      <c r="X3174" s="9"/>
      <c r="Y3174" s="9"/>
      <c r="Z3174" s="9"/>
      <c r="AA3174" s="9"/>
    </row>
    <row r="3175" spans="1:27" ht="13.6">
      <c r="A3175" s="8"/>
      <c r="B3175" s="12"/>
      <c r="C3175" s="9"/>
      <c r="D3175" s="9"/>
      <c r="E3175" s="9"/>
      <c r="F3175" s="9"/>
      <c r="G3175" s="9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9"/>
      <c r="U3175" s="9"/>
      <c r="V3175" s="9"/>
      <c r="W3175" s="9"/>
      <c r="X3175" s="9"/>
      <c r="Y3175" s="9"/>
      <c r="Z3175" s="9"/>
      <c r="AA3175" s="9"/>
    </row>
    <row r="3176" spans="1:27" ht="13.6">
      <c r="A3176" s="8"/>
      <c r="B3176" s="12"/>
      <c r="C3176" s="9"/>
      <c r="D3176" s="9"/>
      <c r="E3176" s="9"/>
      <c r="F3176" s="9"/>
      <c r="G3176" s="9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9"/>
    </row>
    <row r="3177" spans="1:27" ht="13.6">
      <c r="A3177" s="8"/>
      <c r="B3177" s="12"/>
      <c r="C3177" s="9"/>
      <c r="D3177" s="9"/>
      <c r="E3177" s="9"/>
      <c r="F3177" s="9"/>
      <c r="G3177" s="9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9"/>
      <c r="U3177" s="9"/>
      <c r="V3177" s="9"/>
      <c r="W3177" s="9"/>
      <c r="X3177" s="9"/>
      <c r="Y3177" s="9"/>
      <c r="Z3177" s="9"/>
      <c r="AA3177" s="9"/>
    </row>
    <row r="3178" spans="1:27" ht="13.6">
      <c r="A3178" s="8"/>
      <c r="B3178" s="12"/>
      <c r="C3178" s="9"/>
      <c r="D3178" s="9"/>
      <c r="E3178" s="9"/>
      <c r="F3178" s="9"/>
      <c r="G3178" s="9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9"/>
      <c r="U3178" s="9"/>
      <c r="V3178" s="9"/>
      <c r="W3178" s="9"/>
      <c r="X3178" s="9"/>
      <c r="Y3178" s="9"/>
      <c r="Z3178" s="9"/>
      <c r="AA3178" s="9"/>
    </row>
    <row r="3179" spans="1:27" ht="13.6">
      <c r="A3179" s="8"/>
      <c r="B3179" s="12"/>
      <c r="C3179" s="9"/>
      <c r="D3179" s="9"/>
      <c r="E3179" s="9"/>
      <c r="F3179" s="9"/>
      <c r="G3179" s="9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9"/>
      <c r="U3179" s="9"/>
      <c r="V3179" s="9"/>
      <c r="W3179" s="9"/>
      <c r="X3179" s="9"/>
      <c r="Y3179" s="9"/>
      <c r="Z3179" s="9"/>
      <c r="AA3179" s="9"/>
    </row>
    <row r="3180" spans="1:27" ht="13.6">
      <c r="A3180" s="8"/>
      <c r="B3180" s="12"/>
      <c r="C3180" s="9"/>
      <c r="D3180" s="9"/>
      <c r="E3180" s="9"/>
      <c r="F3180" s="9"/>
      <c r="G3180" s="9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9"/>
    </row>
    <row r="3181" spans="1:27" ht="13.6">
      <c r="A3181" s="8"/>
      <c r="B3181" s="12"/>
      <c r="C3181" s="9"/>
      <c r="D3181" s="9"/>
      <c r="E3181" s="9"/>
      <c r="F3181" s="9"/>
      <c r="G3181" s="9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9"/>
      <c r="U3181" s="9"/>
      <c r="V3181" s="9"/>
      <c r="W3181" s="9"/>
      <c r="X3181" s="9"/>
      <c r="Y3181" s="9"/>
      <c r="Z3181" s="9"/>
      <c r="AA3181" s="9"/>
    </row>
    <row r="3182" spans="1:27" ht="13.6">
      <c r="A3182" s="8"/>
      <c r="B3182" s="12"/>
      <c r="C3182" s="9"/>
      <c r="D3182" s="9"/>
      <c r="E3182" s="9"/>
      <c r="F3182" s="9"/>
      <c r="G3182" s="9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9"/>
    </row>
    <row r="3183" spans="1:27" ht="13.6">
      <c r="A3183" s="8"/>
      <c r="B3183" s="12"/>
      <c r="C3183" s="9"/>
      <c r="D3183" s="9"/>
      <c r="E3183" s="9"/>
      <c r="F3183" s="9"/>
      <c r="G3183" s="9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9"/>
      <c r="U3183" s="9"/>
      <c r="V3183" s="9"/>
      <c r="W3183" s="9"/>
      <c r="X3183" s="9"/>
      <c r="Y3183" s="9"/>
      <c r="Z3183" s="9"/>
      <c r="AA3183" s="9"/>
    </row>
    <row r="3184" spans="1:27" ht="13.6">
      <c r="A3184" s="8"/>
      <c r="B3184" s="12"/>
      <c r="C3184" s="9"/>
      <c r="D3184" s="9"/>
      <c r="E3184" s="9"/>
      <c r="F3184" s="9"/>
      <c r="G3184" s="9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9"/>
    </row>
    <row r="3185" spans="1:27" ht="13.6">
      <c r="A3185" s="8"/>
      <c r="B3185" s="12"/>
      <c r="C3185" s="9"/>
      <c r="D3185" s="9"/>
      <c r="E3185" s="9"/>
      <c r="F3185" s="9"/>
      <c r="G3185" s="9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9"/>
      <c r="U3185" s="9"/>
      <c r="V3185" s="9"/>
      <c r="W3185" s="9"/>
      <c r="X3185" s="9"/>
      <c r="Y3185" s="9"/>
      <c r="Z3185" s="9"/>
      <c r="AA3185" s="9"/>
    </row>
    <row r="3186" spans="1:27" ht="13.6">
      <c r="A3186" s="8"/>
      <c r="B3186" s="12"/>
      <c r="C3186" s="9"/>
      <c r="D3186" s="9"/>
      <c r="E3186" s="9"/>
      <c r="F3186" s="9"/>
      <c r="G3186" s="9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9"/>
      <c r="U3186" s="9"/>
      <c r="V3186" s="9"/>
      <c r="W3186" s="9"/>
      <c r="X3186" s="9"/>
      <c r="Y3186" s="9"/>
      <c r="Z3186" s="9"/>
      <c r="AA3186" s="9"/>
    </row>
    <row r="3187" spans="1:27" ht="13.6">
      <c r="A3187" s="8"/>
      <c r="B3187" s="12"/>
      <c r="C3187" s="9"/>
      <c r="D3187" s="9"/>
      <c r="E3187" s="9"/>
      <c r="F3187" s="9"/>
      <c r="G3187" s="9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9"/>
      <c r="U3187" s="9"/>
      <c r="V3187" s="9"/>
      <c r="W3187" s="9"/>
      <c r="X3187" s="9"/>
      <c r="Y3187" s="9"/>
      <c r="Z3187" s="9"/>
      <c r="AA3187" s="9"/>
    </row>
    <row r="3188" spans="1:27" ht="13.6">
      <c r="A3188" s="8"/>
      <c r="B3188" s="12"/>
      <c r="C3188" s="9"/>
      <c r="D3188" s="9"/>
      <c r="E3188" s="9"/>
      <c r="F3188" s="9"/>
      <c r="G3188" s="9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9"/>
    </row>
    <row r="3189" spans="1:27" ht="13.6">
      <c r="A3189" s="8"/>
      <c r="B3189" s="12"/>
      <c r="C3189" s="9"/>
      <c r="D3189" s="9"/>
      <c r="E3189" s="9"/>
      <c r="F3189" s="9"/>
      <c r="G3189" s="9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9"/>
      <c r="U3189" s="9"/>
      <c r="V3189" s="9"/>
      <c r="W3189" s="9"/>
      <c r="X3189" s="9"/>
      <c r="Y3189" s="9"/>
      <c r="Z3189" s="9"/>
      <c r="AA3189" s="9"/>
    </row>
    <row r="3190" spans="1:27" ht="13.6">
      <c r="A3190" s="8"/>
      <c r="B3190" s="12"/>
      <c r="C3190" s="9"/>
      <c r="D3190" s="9"/>
      <c r="E3190" s="9"/>
      <c r="F3190" s="9"/>
      <c r="G3190" s="9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9"/>
      <c r="U3190" s="9"/>
      <c r="V3190" s="9"/>
      <c r="W3190" s="9"/>
      <c r="X3190" s="9"/>
      <c r="Y3190" s="9"/>
      <c r="Z3190" s="9"/>
      <c r="AA3190" s="9"/>
    </row>
    <row r="3191" spans="1:27" ht="13.6">
      <c r="A3191" s="8"/>
      <c r="B3191" s="12"/>
      <c r="C3191" s="9"/>
      <c r="D3191" s="9"/>
      <c r="E3191" s="9"/>
      <c r="F3191" s="9"/>
      <c r="G3191" s="9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9"/>
      <c r="U3191" s="9"/>
      <c r="V3191" s="9"/>
      <c r="W3191" s="9"/>
      <c r="X3191" s="9"/>
      <c r="Y3191" s="9"/>
      <c r="Z3191" s="9"/>
      <c r="AA3191" s="9"/>
    </row>
    <row r="3192" spans="1:27" ht="13.6">
      <c r="A3192" s="8"/>
      <c r="B3192" s="12"/>
      <c r="C3192" s="9"/>
      <c r="D3192" s="9"/>
      <c r="E3192" s="9"/>
      <c r="F3192" s="9"/>
      <c r="G3192" s="9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9"/>
    </row>
    <row r="3193" spans="1:27" ht="13.6">
      <c r="A3193" s="8"/>
      <c r="B3193" s="12"/>
      <c r="C3193" s="9"/>
      <c r="D3193" s="9"/>
      <c r="E3193" s="9"/>
      <c r="F3193" s="9"/>
      <c r="G3193" s="9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9"/>
      <c r="U3193" s="9"/>
      <c r="V3193" s="9"/>
      <c r="W3193" s="9"/>
      <c r="X3193" s="9"/>
      <c r="Y3193" s="9"/>
      <c r="Z3193" s="9"/>
      <c r="AA3193" s="9"/>
    </row>
    <row r="3194" spans="1:27" ht="13.6">
      <c r="A3194" s="8"/>
      <c r="B3194" s="12"/>
      <c r="C3194" s="9"/>
      <c r="D3194" s="9"/>
      <c r="E3194" s="9"/>
      <c r="F3194" s="9"/>
      <c r="G3194" s="9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9"/>
      <c r="U3194" s="9"/>
      <c r="V3194" s="9"/>
      <c r="W3194" s="9"/>
      <c r="X3194" s="9"/>
      <c r="Y3194" s="9"/>
      <c r="Z3194" s="9"/>
      <c r="AA3194" s="9"/>
    </row>
    <row r="3195" spans="1:27" ht="13.6">
      <c r="A3195" s="8"/>
      <c r="B3195" s="12"/>
      <c r="C3195" s="9"/>
      <c r="D3195" s="9"/>
      <c r="E3195" s="9"/>
      <c r="F3195" s="9"/>
      <c r="G3195" s="9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9"/>
      <c r="U3195" s="9"/>
      <c r="V3195" s="9"/>
      <c r="W3195" s="9"/>
      <c r="X3195" s="9"/>
      <c r="Y3195" s="9"/>
      <c r="Z3195" s="9"/>
      <c r="AA3195" s="9"/>
    </row>
    <row r="3196" spans="1:27" ht="13.6">
      <c r="A3196" s="8"/>
      <c r="B3196" s="12"/>
      <c r="C3196" s="9"/>
      <c r="D3196" s="9"/>
      <c r="E3196" s="9"/>
      <c r="F3196" s="9"/>
      <c r="G3196" s="9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9"/>
    </row>
    <row r="3197" spans="1:27" ht="13.6">
      <c r="A3197" s="8"/>
      <c r="B3197" s="12"/>
      <c r="C3197" s="9"/>
      <c r="D3197" s="9"/>
      <c r="E3197" s="9"/>
      <c r="F3197" s="9"/>
      <c r="G3197" s="9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9"/>
      <c r="U3197" s="9"/>
      <c r="V3197" s="9"/>
      <c r="W3197" s="9"/>
      <c r="X3197" s="9"/>
      <c r="Y3197" s="9"/>
      <c r="Z3197" s="9"/>
      <c r="AA3197" s="9"/>
    </row>
    <row r="3198" spans="1:27" ht="13.6">
      <c r="A3198" s="8"/>
      <c r="B3198" s="12"/>
      <c r="C3198" s="9"/>
      <c r="D3198" s="9"/>
      <c r="E3198" s="9"/>
      <c r="F3198" s="9"/>
      <c r="G3198" s="9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9"/>
      <c r="U3198" s="9"/>
      <c r="V3198" s="9"/>
      <c r="W3198" s="9"/>
      <c r="X3198" s="9"/>
      <c r="Y3198" s="9"/>
      <c r="Z3198" s="9"/>
      <c r="AA3198" s="9"/>
    </row>
    <row r="3199" spans="1:27" ht="13.6">
      <c r="A3199" s="8"/>
      <c r="B3199" s="12"/>
      <c r="C3199" s="9"/>
      <c r="D3199" s="9"/>
      <c r="E3199" s="9"/>
      <c r="F3199" s="9"/>
      <c r="G3199" s="9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9"/>
      <c r="U3199" s="9"/>
      <c r="V3199" s="9"/>
      <c r="W3199" s="9"/>
      <c r="X3199" s="9"/>
      <c r="Y3199" s="9"/>
      <c r="Z3199" s="9"/>
      <c r="AA3199" s="9"/>
    </row>
    <row r="3200" spans="1:27" ht="13.6">
      <c r="A3200" s="8"/>
      <c r="B3200" s="12"/>
      <c r="C3200" s="9"/>
      <c r="D3200" s="9"/>
      <c r="E3200" s="9"/>
      <c r="F3200" s="9"/>
      <c r="G3200" s="9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9"/>
    </row>
    <row r="3201" spans="1:27" ht="13.6">
      <c r="A3201" s="8"/>
      <c r="B3201" s="12"/>
      <c r="C3201" s="9"/>
      <c r="D3201" s="9"/>
      <c r="E3201" s="9"/>
      <c r="F3201" s="9"/>
      <c r="G3201" s="9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9"/>
      <c r="U3201" s="9"/>
      <c r="V3201" s="9"/>
      <c r="W3201" s="9"/>
      <c r="X3201" s="9"/>
      <c r="Y3201" s="9"/>
      <c r="Z3201" s="9"/>
      <c r="AA3201" s="9"/>
    </row>
    <row r="3202" spans="1:27" ht="13.6">
      <c r="A3202" s="8"/>
      <c r="B3202" s="12"/>
      <c r="C3202" s="9"/>
      <c r="D3202" s="9"/>
      <c r="E3202" s="9"/>
      <c r="F3202" s="9"/>
      <c r="G3202" s="9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9"/>
      <c r="U3202" s="9"/>
      <c r="V3202" s="9"/>
      <c r="W3202" s="9"/>
      <c r="X3202" s="9"/>
      <c r="Y3202" s="9"/>
      <c r="Z3202" s="9"/>
      <c r="AA3202" s="9"/>
    </row>
    <row r="3203" spans="1:27" ht="13.6">
      <c r="A3203" s="8"/>
      <c r="B3203" s="12"/>
      <c r="C3203" s="9"/>
      <c r="D3203" s="9"/>
      <c r="E3203" s="9"/>
      <c r="F3203" s="9"/>
      <c r="G3203" s="9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9"/>
      <c r="U3203" s="9"/>
      <c r="V3203" s="9"/>
      <c r="W3203" s="9"/>
      <c r="X3203" s="9"/>
      <c r="Y3203" s="9"/>
      <c r="Z3203" s="9"/>
      <c r="AA3203" s="9"/>
    </row>
    <row r="3204" spans="1:27" ht="13.6">
      <c r="A3204" s="8"/>
      <c r="B3204" s="12"/>
      <c r="C3204" s="9"/>
      <c r="D3204" s="9"/>
      <c r="E3204" s="9"/>
      <c r="F3204" s="9"/>
      <c r="G3204" s="9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9"/>
    </row>
    <row r="3205" spans="1:27" ht="13.6">
      <c r="A3205" s="8"/>
      <c r="B3205" s="12"/>
      <c r="C3205" s="9"/>
      <c r="D3205" s="9"/>
      <c r="E3205" s="9"/>
      <c r="F3205" s="9"/>
      <c r="G3205" s="9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9"/>
      <c r="U3205" s="9"/>
      <c r="V3205" s="9"/>
      <c r="W3205" s="9"/>
      <c r="X3205" s="9"/>
      <c r="Y3205" s="9"/>
      <c r="Z3205" s="9"/>
      <c r="AA3205" s="9"/>
    </row>
    <row r="3206" spans="1:27" ht="13.6">
      <c r="A3206" s="8"/>
      <c r="B3206" s="12"/>
      <c r="C3206" s="9"/>
      <c r="D3206" s="9"/>
      <c r="E3206" s="9"/>
      <c r="F3206" s="9"/>
      <c r="G3206" s="9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9"/>
      <c r="U3206" s="9"/>
      <c r="V3206" s="9"/>
      <c r="W3206" s="9"/>
      <c r="X3206" s="9"/>
      <c r="Y3206" s="9"/>
      <c r="Z3206" s="9"/>
      <c r="AA3206" s="9"/>
    </row>
    <row r="3207" spans="1:27" ht="13.6">
      <c r="A3207" s="8"/>
      <c r="B3207" s="12"/>
      <c r="C3207" s="9"/>
      <c r="D3207" s="9"/>
      <c r="E3207" s="9"/>
      <c r="F3207" s="9"/>
      <c r="G3207" s="9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9"/>
      <c r="U3207" s="9"/>
      <c r="V3207" s="9"/>
      <c r="W3207" s="9"/>
      <c r="X3207" s="9"/>
      <c r="Y3207" s="9"/>
      <c r="Z3207" s="9"/>
      <c r="AA3207" s="9"/>
    </row>
    <row r="3208" spans="1:27" ht="13.6">
      <c r="A3208" s="8"/>
      <c r="B3208" s="12"/>
      <c r="C3208" s="9"/>
      <c r="D3208" s="9"/>
      <c r="E3208" s="9"/>
      <c r="F3208" s="9"/>
      <c r="G3208" s="9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9"/>
    </row>
    <row r="3209" spans="1:27" ht="13.6">
      <c r="A3209" s="8"/>
      <c r="B3209" s="12"/>
      <c r="C3209" s="9"/>
      <c r="D3209" s="9"/>
      <c r="E3209" s="9"/>
      <c r="F3209" s="9"/>
      <c r="G3209" s="9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9"/>
      <c r="U3209" s="9"/>
      <c r="V3209" s="9"/>
      <c r="W3209" s="9"/>
      <c r="X3209" s="9"/>
      <c r="Y3209" s="9"/>
      <c r="Z3209" s="9"/>
      <c r="AA3209" s="9"/>
    </row>
    <row r="3210" spans="1:27" ht="13.6">
      <c r="A3210" s="8"/>
      <c r="B3210" s="12"/>
      <c r="C3210" s="9"/>
      <c r="D3210" s="9"/>
      <c r="E3210" s="9"/>
      <c r="F3210" s="9"/>
      <c r="G3210" s="9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9"/>
      <c r="U3210" s="9"/>
      <c r="V3210" s="9"/>
      <c r="W3210" s="9"/>
      <c r="X3210" s="9"/>
      <c r="Y3210" s="9"/>
      <c r="Z3210" s="9"/>
      <c r="AA3210" s="9"/>
    </row>
    <row r="3211" spans="1:27" ht="13.6">
      <c r="A3211" s="8"/>
      <c r="B3211" s="12"/>
      <c r="C3211" s="9"/>
      <c r="D3211" s="9"/>
      <c r="E3211" s="9"/>
      <c r="F3211" s="9"/>
      <c r="G3211" s="9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9"/>
      <c r="U3211" s="9"/>
      <c r="V3211" s="9"/>
      <c r="W3211" s="9"/>
      <c r="X3211" s="9"/>
      <c r="Y3211" s="9"/>
      <c r="Z3211" s="9"/>
      <c r="AA3211" s="9"/>
    </row>
    <row r="3212" spans="1:27" ht="13.6">
      <c r="A3212" s="8"/>
      <c r="B3212" s="12"/>
      <c r="C3212" s="9"/>
      <c r="D3212" s="9"/>
      <c r="E3212" s="9"/>
      <c r="F3212" s="9"/>
      <c r="G3212" s="9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9"/>
    </row>
    <row r="3213" spans="1:27" ht="13.6">
      <c r="A3213" s="8"/>
      <c r="B3213" s="12"/>
      <c r="C3213" s="9"/>
      <c r="D3213" s="9"/>
      <c r="E3213" s="9"/>
      <c r="F3213" s="9"/>
      <c r="G3213" s="9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9"/>
      <c r="U3213" s="9"/>
      <c r="V3213" s="9"/>
      <c r="W3213" s="9"/>
      <c r="X3213" s="9"/>
      <c r="Y3213" s="9"/>
      <c r="Z3213" s="9"/>
      <c r="AA3213" s="9"/>
    </row>
    <row r="3214" spans="1:27" ht="13.6">
      <c r="A3214" s="8"/>
      <c r="B3214" s="12"/>
      <c r="C3214" s="9"/>
      <c r="D3214" s="9"/>
      <c r="E3214" s="9"/>
      <c r="F3214" s="9"/>
      <c r="G3214" s="9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9"/>
      <c r="U3214" s="9"/>
      <c r="V3214" s="9"/>
      <c r="W3214" s="9"/>
      <c r="X3214" s="9"/>
      <c r="Y3214" s="9"/>
      <c r="Z3214" s="9"/>
      <c r="AA3214" s="9"/>
    </row>
    <row r="3215" spans="1:27" ht="13.6">
      <c r="A3215" s="8"/>
      <c r="B3215" s="12"/>
      <c r="C3215" s="9"/>
      <c r="D3215" s="9"/>
      <c r="E3215" s="9"/>
      <c r="F3215" s="9"/>
      <c r="G3215" s="9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9"/>
      <c r="U3215" s="9"/>
      <c r="V3215" s="9"/>
      <c r="W3215" s="9"/>
      <c r="X3215" s="9"/>
      <c r="Y3215" s="9"/>
      <c r="Z3215" s="9"/>
      <c r="AA3215" s="9"/>
    </row>
    <row r="3216" spans="1:27" ht="13.6">
      <c r="A3216" s="8"/>
      <c r="B3216" s="12"/>
      <c r="C3216" s="9"/>
      <c r="D3216" s="9"/>
      <c r="E3216" s="9"/>
      <c r="F3216" s="9"/>
      <c r="G3216" s="9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9"/>
    </row>
    <row r="3217" spans="1:27" ht="13.6">
      <c r="A3217" s="8"/>
      <c r="B3217" s="12"/>
      <c r="C3217" s="9"/>
      <c r="D3217" s="9"/>
      <c r="E3217" s="9"/>
      <c r="F3217" s="9"/>
      <c r="G3217" s="9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9"/>
      <c r="U3217" s="9"/>
      <c r="V3217" s="9"/>
      <c r="W3217" s="9"/>
      <c r="X3217" s="9"/>
      <c r="Y3217" s="9"/>
      <c r="Z3217" s="9"/>
      <c r="AA3217" s="9"/>
    </row>
    <row r="3218" spans="1:27" ht="13.6">
      <c r="A3218" s="8"/>
      <c r="B3218" s="12"/>
      <c r="C3218" s="9"/>
      <c r="D3218" s="9"/>
      <c r="E3218" s="9"/>
      <c r="F3218" s="9"/>
      <c r="G3218" s="9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9"/>
      <c r="U3218" s="9"/>
      <c r="V3218" s="9"/>
      <c r="W3218" s="9"/>
      <c r="X3218" s="9"/>
      <c r="Y3218" s="9"/>
      <c r="Z3218" s="9"/>
      <c r="AA3218" s="9"/>
    </row>
    <row r="3219" spans="1:27" ht="13.6">
      <c r="A3219" s="8"/>
      <c r="B3219" s="12"/>
      <c r="C3219" s="9"/>
      <c r="D3219" s="9"/>
      <c r="E3219" s="9"/>
      <c r="F3219" s="9"/>
      <c r="G3219" s="9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9"/>
      <c r="U3219" s="9"/>
      <c r="V3219" s="9"/>
      <c r="W3219" s="9"/>
      <c r="X3219" s="9"/>
      <c r="Y3219" s="9"/>
      <c r="Z3219" s="9"/>
      <c r="AA3219" s="9"/>
    </row>
    <row r="3220" spans="1:27" ht="13.6">
      <c r="A3220" s="8"/>
      <c r="B3220" s="12"/>
      <c r="C3220" s="9"/>
      <c r="D3220" s="9"/>
      <c r="E3220" s="9"/>
      <c r="F3220" s="9"/>
      <c r="G3220" s="9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9"/>
    </row>
    <row r="3221" spans="1:27" ht="13.6">
      <c r="A3221" s="8"/>
      <c r="B3221" s="12"/>
      <c r="C3221" s="9"/>
      <c r="D3221" s="9"/>
      <c r="E3221" s="9"/>
      <c r="F3221" s="9"/>
      <c r="G3221" s="9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9"/>
      <c r="U3221" s="9"/>
      <c r="V3221" s="9"/>
      <c r="W3221" s="9"/>
      <c r="X3221" s="9"/>
      <c r="Y3221" s="9"/>
      <c r="Z3221" s="9"/>
      <c r="AA3221" s="9"/>
    </row>
    <row r="3222" spans="1:27" ht="13.6">
      <c r="A3222" s="8"/>
      <c r="B3222" s="12"/>
      <c r="C3222" s="9"/>
      <c r="D3222" s="9"/>
      <c r="E3222" s="9"/>
      <c r="F3222" s="9"/>
      <c r="G3222" s="9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9"/>
      <c r="U3222" s="9"/>
      <c r="V3222" s="9"/>
      <c r="W3222" s="9"/>
      <c r="X3222" s="9"/>
      <c r="Y3222" s="9"/>
      <c r="Z3222" s="9"/>
      <c r="AA3222" s="9"/>
    </row>
    <row r="3223" spans="1:27" ht="13.6">
      <c r="A3223" s="8"/>
      <c r="B3223" s="12"/>
      <c r="C3223" s="9"/>
      <c r="D3223" s="9"/>
      <c r="E3223" s="9"/>
      <c r="F3223" s="9"/>
      <c r="G3223" s="9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9"/>
      <c r="U3223" s="9"/>
      <c r="V3223" s="9"/>
      <c r="W3223" s="9"/>
      <c r="X3223" s="9"/>
      <c r="Y3223" s="9"/>
      <c r="Z3223" s="9"/>
      <c r="AA3223" s="9"/>
    </row>
    <row r="3224" spans="1:27" ht="13.6">
      <c r="A3224" s="8"/>
      <c r="B3224" s="12"/>
      <c r="C3224" s="9"/>
      <c r="D3224" s="9"/>
      <c r="E3224" s="9"/>
      <c r="F3224" s="9"/>
      <c r="G3224" s="9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9"/>
    </row>
    <row r="3225" spans="1:27" ht="13.6">
      <c r="A3225" s="8"/>
      <c r="B3225" s="12"/>
      <c r="C3225" s="9"/>
      <c r="D3225" s="9"/>
      <c r="E3225" s="9"/>
      <c r="F3225" s="9"/>
      <c r="G3225" s="9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9"/>
    </row>
    <row r="3226" spans="1:27" ht="13.6">
      <c r="A3226" s="8"/>
      <c r="B3226" s="12"/>
      <c r="C3226" s="9"/>
      <c r="D3226" s="9"/>
      <c r="E3226" s="9"/>
      <c r="F3226" s="9"/>
      <c r="G3226" s="9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9"/>
      <c r="U3226" s="9"/>
      <c r="V3226" s="9"/>
      <c r="W3226" s="9"/>
      <c r="X3226" s="9"/>
      <c r="Y3226" s="9"/>
      <c r="Z3226" s="9"/>
      <c r="AA3226" s="9"/>
    </row>
    <row r="3227" spans="1:27" ht="13.6">
      <c r="A3227" s="8"/>
      <c r="B3227" s="12"/>
      <c r="C3227" s="9"/>
      <c r="D3227" s="9"/>
      <c r="E3227" s="9"/>
      <c r="F3227" s="9"/>
      <c r="G3227" s="9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9"/>
      <c r="U3227" s="9"/>
      <c r="V3227" s="9"/>
      <c r="W3227" s="9"/>
      <c r="X3227" s="9"/>
      <c r="Y3227" s="9"/>
      <c r="Z3227" s="9"/>
      <c r="AA3227" s="9"/>
    </row>
    <row r="3228" spans="1:27" ht="13.6">
      <c r="A3228" s="8"/>
      <c r="B3228" s="12"/>
      <c r="C3228" s="9"/>
      <c r="D3228" s="9"/>
      <c r="E3228" s="9"/>
      <c r="F3228" s="9"/>
      <c r="G3228" s="9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9"/>
    </row>
    <row r="3229" spans="1:27" ht="13.6">
      <c r="A3229" s="8"/>
      <c r="B3229" s="12"/>
      <c r="C3229" s="9"/>
      <c r="D3229" s="9"/>
      <c r="E3229" s="9"/>
      <c r="F3229" s="9"/>
      <c r="G3229" s="9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9"/>
      <c r="U3229" s="9"/>
      <c r="V3229" s="9"/>
      <c r="W3229" s="9"/>
      <c r="X3229" s="9"/>
      <c r="Y3229" s="9"/>
      <c r="Z3229" s="9"/>
      <c r="AA3229" s="9"/>
    </row>
    <row r="3230" spans="1:27" ht="13.6">
      <c r="A3230" s="8"/>
      <c r="B3230" s="12"/>
      <c r="C3230" s="9"/>
      <c r="D3230" s="9"/>
      <c r="E3230" s="9"/>
      <c r="F3230" s="9"/>
      <c r="G3230" s="9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9"/>
      <c r="U3230" s="9"/>
      <c r="V3230" s="9"/>
      <c r="W3230" s="9"/>
      <c r="X3230" s="9"/>
      <c r="Y3230" s="9"/>
      <c r="Z3230" s="9"/>
      <c r="AA3230" s="9"/>
    </row>
    <row r="3231" spans="1:27" ht="13.6">
      <c r="A3231" s="8"/>
      <c r="B3231" s="12"/>
      <c r="C3231" s="9"/>
      <c r="D3231" s="9"/>
      <c r="E3231" s="9"/>
      <c r="F3231" s="9"/>
      <c r="G3231" s="9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9"/>
      <c r="U3231" s="9"/>
      <c r="V3231" s="9"/>
      <c r="W3231" s="9"/>
      <c r="X3231" s="9"/>
      <c r="Y3231" s="9"/>
      <c r="Z3231" s="9"/>
      <c r="AA3231" s="9"/>
    </row>
    <row r="3232" spans="1:27" ht="13.6">
      <c r="A3232" s="8"/>
      <c r="B3232" s="12"/>
      <c r="C3232" s="9"/>
      <c r="D3232" s="9"/>
      <c r="E3232" s="9"/>
      <c r="F3232" s="9"/>
      <c r="G3232" s="9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9"/>
    </row>
    <row r="3233" spans="1:27" ht="13.6">
      <c r="A3233" s="8"/>
      <c r="B3233" s="12"/>
      <c r="C3233" s="9"/>
      <c r="D3233" s="9"/>
      <c r="E3233" s="9"/>
      <c r="F3233" s="9"/>
      <c r="G3233" s="9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9"/>
      <c r="U3233" s="9"/>
      <c r="V3233" s="9"/>
      <c r="W3233" s="9"/>
      <c r="X3233" s="9"/>
      <c r="Y3233" s="9"/>
      <c r="Z3233" s="9"/>
      <c r="AA3233" s="9"/>
    </row>
    <row r="3234" spans="1:27" ht="13.6">
      <c r="A3234" s="8"/>
      <c r="B3234" s="12"/>
      <c r="C3234" s="9"/>
      <c r="D3234" s="9"/>
      <c r="E3234" s="9"/>
      <c r="F3234" s="9"/>
      <c r="G3234" s="9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9"/>
      <c r="U3234" s="9"/>
      <c r="V3234" s="9"/>
      <c r="W3234" s="9"/>
      <c r="X3234" s="9"/>
      <c r="Y3234" s="9"/>
      <c r="Z3234" s="9"/>
      <c r="AA3234" s="9"/>
    </row>
    <row r="3235" spans="1:27" ht="13.6">
      <c r="A3235" s="8"/>
      <c r="B3235" s="12"/>
      <c r="C3235" s="9"/>
      <c r="D3235" s="9"/>
      <c r="E3235" s="9"/>
      <c r="F3235" s="9"/>
      <c r="G3235" s="9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9"/>
      <c r="U3235" s="9"/>
      <c r="V3235" s="9"/>
      <c r="W3235" s="9"/>
      <c r="X3235" s="9"/>
      <c r="Y3235" s="9"/>
      <c r="Z3235" s="9"/>
      <c r="AA3235" s="9"/>
    </row>
    <row r="3236" spans="1:27" ht="13.6">
      <c r="A3236" s="8"/>
      <c r="B3236" s="12"/>
      <c r="C3236" s="9"/>
      <c r="D3236" s="9"/>
      <c r="E3236" s="9"/>
      <c r="F3236" s="9"/>
      <c r="G3236" s="9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9"/>
    </row>
    <row r="3237" spans="1:27" ht="13.6">
      <c r="A3237" s="8"/>
      <c r="B3237" s="12"/>
      <c r="C3237" s="9"/>
      <c r="D3237" s="9"/>
      <c r="E3237" s="9"/>
      <c r="F3237" s="9"/>
      <c r="G3237" s="9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9"/>
      <c r="U3237" s="9"/>
      <c r="V3237" s="9"/>
      <c r="W3237" s="9"/>
      <c r="X3237" s="9"/>
      <c r="Y3237" s="9"/>
      <c r="Z3237" s="9"/>
      <c r="AA3237" s="9"/>
    </row>
    <row r="3238" spans="1:27" ht="13.6">
      <c r="A3238" s="8"/>
      <c r="B3238" s="12"/>
      <c r="C3238" s="9"/>
      <c r="D3238" s="9"/>
      <c r="E3238" s="9"/>
      <c r="F3238" s="9"/>
      <c r="G3238" s="9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9"/>
      <c r="U3238" s="9"/>
      <c r="V3238" s="9"/>
      <c r="W3238" s="9"/>
      <c r="X3238" s="9"/>
      <c r="Y3238" s="9"/>
      <c r="Z3238" s="9"/>
      <c r="AA3238" s="9"/>
    </row>
    <row r="3239" spans="1:27" ht="13.6">
      <c r="A3239" s="8"/>
      <c r="B3239" s="12"/>
      <c r="C3239" s="9"/>
      <c r="D3239" s="9"/>
      <c r="E3239" s="9"/>
      <c r="F3239" s="9"/>
      <c r="G3239" s="9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9"/>
      <c r="U3239" s="9"/>
      <c r="V3239" s="9"/>
      <c r="W3239" s="9"/>
      <c r="X3239" s="9"/>
      <c r="Y3239" s="9"/>
      <c r="Z3239" s="9"/>
      <c r="AA3239" s="9"/>
    </row>
    <row r="3240" spans="1:27" ht="13.6">
      <c r="A3240" s="8"/>
      <c r="B3240" s="12"/>
      <c r="C3240" s="9"/>
      <c r="D3240" s="9"/>
      <c r="E3240" s="9"/>
      <c r="F3240" s="9"/>
      <c r="G3240" s="9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9"/>
    </row>
    <row r="3241" spans="1:27" ht="13.6">
      <c r="A3241" s="8"/>
      <c r="B3241" s="12"/>
      <c r="C3241" s="9"/>
      <c r="D3241" s="9"/>
      <c r="E3241" s="9"/>
      <c r="F3241" s="9"/>
      <c r="G3241" s="9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9"/>
      <c r="U3241" s="9"/>
      <c r="V3241" s="9"/>
      <c r="W3241" s="9"/>
      <c r="X3241" s="9"/>
      <c r="Y3241" s="9"/>
      <c r="Z3241" s="9"/>
      <c r="AA3241" s="9"/>
    </row>
    <row r="3242" spans="1:27" ht="13.6">
      <c r="A3242" s="8"/>
      <c r="B3242" s="12"/>
      <c r="C3242" s="9"/>
      <c r="D3242" s="9"/>
      <c r="E3242" s="9"/>
      <c r="F3242" s="9"/>
      <c r="G3242" s="9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9"/>
      <c r="U3242" s="9"/>
      <c r="V3242" s="9"/>
      <c r="W3242" s="9"/>
      <c r="X3242" s="9"/>
      <c r="Y3242" s="9"/>
      <c r="Z3242" s="9"/>
      <c r="AA3242" s="9"/>
    </row>
    <row r="3243" spans="1:27" ht="13.6">
      <c r="A3243" s="8"/>
      <c r="B3243" s="12"/>
      <c r="C3243" s="9"/>
      <c r="D3243" s="9"/>
      <c r="E3243" s="9"/>
      <c r="F3243" s="9"/>
      <c r="G3243" s="9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9"/>
      <c r="U3243" s="9"/>
      <c r="V3243" s="9"/>
      <c r="W3243" s="9"/>
      <c r="X3243" s="9"/>
      <c r="Y3243" s="9"/>
      <c r="Z3243" s="9"/>
      <c r="AA3243" s="9"/>
    </row>
    <row r="3244" spans="1:27" ht="13.6">
      <c r="A3244" s="8"/>
      <c r="B3244" s="12"/>
      <c r="C3244" s="9"/>
      <c r="D3244" s="9"/>
      <c r="E3244" s="9"/>
      <c r="F3244" s="9"/>
      <c r="G3244" s="9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9"/>
    </row>
    <row r="3245" spans="1:27" ht="13.6">
      <c r="A3245" s="8"/>
      <c r="B3245" s="12"/>
      <c r="C3245" s="9"/>
      <c r="D3245" s="9"/>
      <c r="E3245" s="9"/>
      <c r="F3245" s="9"/>
      <c r="G3245" s="9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9"/>
      <c r="U3245" s="9"/>
      <c r="V3245" s="9"/>
      <c r="W3245" s="9"/>
      <c r="X3245" s="9"/>
      <c r="Y3245" s="9"/>
      <c r="Z3245" s="9"/>
      <c r="AA3245" s="9"/>
    </row>
    <row r="3246" spans="1:27" ht="13.6">
      <c r="A3246" s="8"/>
      <c r="B3246" s="12"/>
      <c r="C3246" s="9"/>
      <c r="D3246" s="9"/>
      <c r="E3246" s="9"/>
      <c r="F3246" s="9"/>
      <c r="G3246" s="9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9"/>
      <c r="U3246" s="9"/>
      <c r="V3246" s="9"/>
      <c r="W3246" s="9"/>
      <c r="X3246" s="9"/>
      <c r="Y3246" s="9"/>
      <c r="Z3246" s="9"/>
      <c r="AA3246" s="9"/>
    </row>
    <row r="3247" spans="1:27" ht="13.6">
      <c r="A3247" s="8"/>
      <c r="B3247" s="12"/>
      <c r="C3247" s="9"/>
      <c r="D3247" s="9"/>
      <c r="E3247" s="9"/>
      <c r="F3247" s="9"/>
      <c r="G3247" s="9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9"/>
      <c r="U3247" s="9"/>
      <c r="V3247" s="9"/>
      <c r="W3247" s="9"/>
      <c r="X3247" s="9"/>
      <c r="Y3247" s="9"/>
      <c r="Z3247" s="9"/>
      <c r="AA3247" s="9"/>
    </row>
    <row r="3248" spans="1:27" ht="13.6">
      <c r="A3248" s="8"/>
      <c r="B3248" s="12"/>
      <c r="C3248" s="9"/>
      <c r="D3248" s="9"/>
      <c r="E3248" s="9"/>
      <c r="F3248" s="9"/>
      <c r="G3248" s="9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9"/>
    </row>
    <row r="3249" spans="1:27" ht="13.6">
      <c r="A3249" s="8"/>
      <c r="B3249" s="12"/>
      <c r="C3249" s="9"/>
      <c r="D3249" s="9"/>
      <c r="E3249" s="9"/>
      <c r="F3249" s="9"/>
      <c r="G3249" s="9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9"/>
      <c r="U3249" s="9"/>
      <c r="V3249" s="9"/>
      <c r="W3249" s="9"/>
      <c r="X3249" s="9"/>
      <c r="Y3249" s="9"/>
      <c r="Z3249" s="9"/>
      <c r="AA3249" s="9"/>
    </row>
    <row r="3250" spans="1:27" ht="13.6">
      <c r="A3250" s="8"/>
      <c r="B3250" s="12"/>
      <c r="C3250" s="9"/>
      <c r="D3250" s="9"/>
      <c r="E3250" s="9"/>
      <c r="F3250" s="9"/>
      <c r="G3250" s="9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9"/>
      <c r="U3250" s="9"/>
      <c r="V3250" s="9"/>
      <c r="W3250" s="9"/>
      <c r="X3250" s="9"/>
      <c r="Y3250" s="9"/>
      <c r="Z3250" s="9"/>
      <c r="AA3250" s="9"/>
    </row>
    <row r="3251" spans="1:27" ht="13.6">
      <c r="A3251" s="8"/>
      <c r="B3251" s="12"/>
      <c r="C3251" s="9"/>
      <c r="D3251" s="9"/>
      <c r="E3251" s="9"/>
      <c r="F3251" s="9"/>
      <c r="G3251" s="9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9"/>
      <c r="U3251" s="9"/>
      <c r="V3251" s="9"/>
      <c r="W3251" s="9"/>
      <c r="X3251" s="9"/>
      <c r="Y3251" s="9"/>
      <c r="Z3251" s="9"/>
      <c r="AA3251" s="9"/>
    </row>
    <row r="3252" spans="1:27" ht="13.6">
      <c r="A3252" s="8"/>
      <c r="B3252" s="12"/>
      <c r="C3252" s="9"/>
      <c r="D3252" s="9"/>
      <c r="E3252" s="9"/>
      <c r="F3252" s="9"/>
      <c r="G3252" s="9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9"/>
    </row>
    <row r="3253" spans="1:27" ht="13.6">
      <c r="A3253" s="8"/>
      <c r="B3253" s="12"/>
      <c r="C3253" s="9"/>
      <c r="D3253" s="9"/>
      <c r="E3253" s="9"/>
      <c r="F3253" s="9"/>
      <c r="G3253" s="9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9"/>
      <c r="U3253" s="9"/>
      <c r="V3253" s="9"/>
      <c r="W3253" s="9"/>
      <c r="X3253" s="9"/>
      <c r="Y3253" s="9"/>
      <c r="Z3253" s="9"/>
      <c r="AA3253" s="9"/>
    </row>
    <row r="3254" spans="1:27" ht="13.6">
      <c r="A3254" s="8"/>
      <c r="B3254" s="12"/>
      <c r="C3254" s="9"/>
      <c r="D3254" s="9"/>
      <c r="E3254" s="9"/>
      <c r="F3254" s="9"/>
      <c r="G3254" s="9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9"/>
      <c r="U3254" s="9"/>
      <c r="V3254" s="9"/>
      <c r="W3254" s="9"/>
      <c r="X3254" s="9"/>
      <c r="Y3254" s="9"/>
      <c r="Z3254" s="9"/>
      <c r="AA3254" s="9"/>
    </row>
    <row r="3255" spans="1:27" ht="13.6">
      <c r="A3255" s="8"/>
      <c r="B3255" s="12"/>
      <c r="C3255" s="9"/>
      <c r="D3255" s="9"/>
      <c r="E3255" s="9"/>
      <c r="F3255" s="9"/>
      <c r="G3255" s="9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9"/>
      <c r="U3255" s="9"/>
      <c r="V3255" s="9"/>
      <c r="W3255" s="9"/>
      <c r="X3255" s="9"/>
      <c r="Y3255" s="9"/>
      <c r="Z3255" s="9"/>
      <c r="AA3255" s="9"/>
    </row>
    <row r="3256" spans="1:27" ht="13.6">
      <c r="A3256" s="8"/>
      <c r="B3256" s="12"/>
      <c r="C3256" s="9"/>
      <c r="D3256" s="9"/>
      <c r="E3256" s="9"/>
      <c r="F3256" s="9"/>
      <c r="G3256" s="9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9"/>
    </row>
    <row r="3257" spans="1:27" ht="13.6">
      <c r="A3257" s="8"/>
      <c r="B3257" s="12"/>
      <c r="C3257" s="9"/>
      <c r="D3257" s="9"/>
      <c r="E3257" s="9"/>
      <c r="F3257" s="9"/>
      <c r="G3257" s="9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9"/>
      <c r="U3257" s="9"/>
      <c r="V3257" s="9"/>
      <c r="W3257" s="9"/>
      <c r="X3257" s="9"/>
      <c r="Y3257" s="9"/>
      <c r="Z3257" s="9"/>
      <c r="AA3257" s="9"/>
    </row>
    <row r="3258" spans="1:27" ht="13.6">
      <c r="A3258" s="8"/>
      <c r="B3258" s="12"/>
      <c r="C3258" s="9"/>
      <c r="D3258" s="9"/>
      <c r="E3258" s="9"/>
      <c r="F3258" s="9"/>
      <c r="G3258" s="9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9"/>
      <c r="U3258" s="9"/>
      <c r="V3258" s="9"/>
      <c r="W3258" s="9"/>
      <c r="X3258" s="9"/>
      <c r="Y3258" s="9"/>
      <c r="Z3258" s="9"/>
      <c r="AA3258" s="9"/>
    </row>
    <row r="3259" spans="1:27" ht="13.6">
      <c r="A3259" s="8"/>
      <c r="B3259" s="12"/>
      <c r="C3259" s="9"/>
      <c r="D3259" s="9"/>
      <c r="E3259" s="9"/>
      <c r="F3259" s="9"/>
      <c r="G3259" s="9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9"/>
      <c r="U3259" s="9"/>
      <c r="V3259" s="9"/>
      <c r="W3259" s="9"/>
      <c r="X3259" s="9"/>
      <c r="Y3259" s="9"/>
      <c r="Z3259" s="9"/>
      <c r="AA3259" s="9"/>
    </row>
    <row r="3260" spans="1:27" ht="13.6">
      <c r="A3260" s="8"/>
      <c r="B3260" s="12"/>
      <c r="C3260" s="9"/>
      <c r="D3260" s="9"/>
      <c r="E3260" s="9"/>
      <c r="F3260" s="9"/>
      <c r="G3260" s="9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9"/>
    </row>
    <row r="3261" spans="1:27" ht="13.6">
      <c r="A3261" s="8"/>
      <c r="B3261" s="12"/>
      <c r="C3261" s="9"/>
      <c r="D3261" s="9"/>
      <c r="E3261" s="9"/>
      <c r="F3261" s="9"/>
      <c r="G3261" s="9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9"/>
      <c r="U3261" s="9"/>
      <c r="V3261" s="9"/>
      <c r="W3261" s="9"/>
      <c r="X3261" s="9"/>
      <c r="Y3261" s="9"/>
      <c r="Z3261" s="9"/>
      <c r="AA3261" s="9"/>
    </row>
    <row r="3262" spans="1:27" ht="13.6">
      <c r="A3262" s="8"/>
      <c r="B3262" s="12"/>
      <c r="C3262" s="9"/>
      <c r="D3262" s="9"/>
      <c r="E3262" s="9"/>
      <c r="F3262" s="9"/>
      <c r="G3262" s="9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9"/>
      <c r="U3262" s="9"/>
      <c r="V3262" s="9"/>
      <c r="W3262" s="9"/>
      <c r="X3262" s="9"/>
      <c r="Y3262" s="9"/>
      <c r="Z3262" s="9"/>
      <c r="AA3262" s="9"/>
    </row>
    <row r="3263" spans="1:27" ht="13.6">
      <c r="A3263" s="8"/>
      <c r="B3263" s="12"/>
      <c r="C3263" s="9"/>
      <c r="D3263" s="9"/>
      <c r="E3263" s="9"/>
      <c r="F3263" s="9"/>
      <c r="G3263" s="9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9"/>
      <c r="U3263" s="9"/>
      <c r="V3263" s="9"/>
      <c r="W3263" s="9"/>
      <c r="X3263" s="9"/>
      <c r="Y3263" s="9"/>
      <c r="Z3263" s="9"/>
      <c r="AA3263" s="9"/>
    </row>
    <row r="3264" spans="1:27" ht="13.6">
      <c r="A3264" s="8"/>
      <c r="B3264" s="12"/>
      <c r="C3264" s="9"/>
      <c r="D3264" s="9"/>
      <c r="E3264" s="9"/>
      <c r="F3264" s="9"/>
      <c r="G3264" s="9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9"/>
    </row>
    <row r="3265" spans="1:27" ht="13.6">
      <c r="A3265" s="8"/>
      <c r="B3265" s="12"/>
      <c r="C3265" s="9"/>
      <c r="D3265" s="9"/>
      <c r="E3265" s="9"/>
      <c r="F3265" s="9"/>
      <c r="G3265" s="9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9"/>
      <c r="U3265" s="9"/>
      <c r="V3265" s="9"/>
      <c r="W3265" s="9"/>
      <c r="X3265" s="9"/>
      <c r="Y3265" s="9"/>
      <c r="Z3265" s="9"/>
      <c r="AA3265" s="9"/>
    </row>
    <row r="3266" spans="1:27" ht="13.6">
      <c r="A3266" s="8"/>
      <c r="B3266" s="12"/>
      <c r="C3266" s="9"/>
      <c r="D3266" s="9"/>
      <c r="E3266" s="9"/>
      <c r="F3266" s="9"/>
      <c r="G3266" s="9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9"/>
      <c r="U3266" s="9"/>
      <c r="V3266" s="9"/>
      <c r="W3266" s="9"/>
      <c r="X3266" s="9"/>
      <c r="Y3266" s="9"/>
      <c r="Z3266" s="9"/>
      <c r="AA3266" s="9"/>
    </row>
    <row r="3267" spans="1:27" ht="13.6">
      <c r="A3267" s="8"/>
      <c r="B3267" s="12"/>
      <c r="C3267" s="9"/>
      <c r="D3267" s="9"/>
      <c r="E3267" s="9"/>
      <c r="F3267" s="9"/>
      <c r="G3267" s="9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9"/>
      <c r="U3267" s="9"/>
      <c r="V3267" s="9"/>
      <c r="W3267" s="9"/>
      <c r="X3267" s="9"/>
      <c r="Y3267" s="9"/>
      <c r="Z3267" s="9"/>
      <c r="AA3267" s="9"/>
    </row>
    <row r="3268" spans="1:27" ht="13.6">
      <c r="A3268" s="8"/>
      <c r="B3268" s="12"/>
      <c r="C3268" s="9"/>
      <c r="D3268" s="9"/>
      <c r="E3268" s="9"/>
      <c r="F3268" s="9"/>
      <c r="G3268" s="9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9"/>
    </row>
    <row r="3269" spans="1:27" ht="13.6">
      <c r="A3269" s="8"/>
      <c r="B3269" s="12"/>
      <c r="C3269" s="9"/>
      <c r="D3269" s="9"/>
      <c r="E3269" s="9"/>
      <c r="F3269" s="9"/>
      <c r="G3269" s="9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9"/>
      <c r="U3269" s="9"/>
      <c r="V3269" s="9"/>
      <c r="W3269" s="9"/>
      <c r="X3269" s="9"/>
      <c r="Y3269" s="9"/>
      <c r="Z3269" s="9"/>
      <c r="AA3269" s="9"/>
    </row>
    <row r="3270" spans="1:27" ht="13.6">
      <c r="A3270" s="8"/>
      <c r="B3270" s="12"/>
      <c r="C3270" s="9"/>
      <c r="D3270" s="9"/>
      <c r="E3270" s="9"/>
      <c r="F3270" s="9"/>
      <c r="G3270" s="9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9"/>
      <c r="U3270" s="9"/>
      <c r="V3270" s="9"/>
      <c r="W3270" s="9"/>
      <c r="X3270" s="9"/>
      <c r="Y3270" s="9"/>
      <c r="Z3270" s="9"/>
      <c r="AA3270" s="9"/>
    </row>
    <row r="3271" spans="1:27" ht="13.6">
      <c r="A3271" s="8"/>
      <c r="B3271" s="12"/>
      <c r="C3271" s="9"/>
      <c r="D3271" s="9"/>
      <c r="E3271" s="9"/>
      <c r="F3271" s="9"/>
      <c r="G3271" s="9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9"/>
      <c r="U3271" s="9"/>
      <c r="V3271" s="9"/>
      <c r="W3271" s="9"/>
      <c r="X3271" s="9"/>
      <c r="Y3271" s="9"/>
      <c r="Z3271" s="9"/>
      <c r="AA3271" s="9"/>
    </row>
    <row r="3272" spans="1:27" ht="13.6">
      <c r="A3272" s="8"/>
      <c r="B3272" s="12"/>
      <c r="C3272" s="9"/>
      <c r="D3272" s="9"/>
      <c r="E3272" s="9"/>
      <c r="F3272" s="9"/>
      <c r="G3272" s="9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9"/>
    </row>
    <row r="3273" spans="1:27" ht="13.6">
      <c r="A3273" s="8"/>
      <c r="B3273" s="12"/>
      <c r="C3273" s="9"/>
      <c r="D3273" s="9"/>
      <c r="E3273" s="9"/>
      <c r="F3273" s="9"/>
      <c r="G3273" s="9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9"/>
      <c r="U3273" s="9"/>
      <c r="V3273" s="9"/>
      <c r="W3273" s="9"/>
      <c r="X3273" s="9"/>
      <c r="Y3273" s="9"/>
      <c r="Z3273" s="9"/>
      <c r="AA3273" s="9"/>
    </row>
    <row r="3274" spans="1:27" ht="13.6">
      <c r="A3274" s="8"/>
      <c r="B3274" s="12"/>
      <c r="C3274" s="9"/>
      <c r="D3274" s="9"/>
      <c r="E3274" s="9"/>
      <c r="F3274" s="9"/>
      <c r="G3274" s="9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9"/>
      <c r="U3274" s="9"/>
      <c r="V3274" s="9"/>
      <c r="W3274" s="9"/>
      <c r="X3274" s="9"/>
      <c r="Y3274" s="9"/>
      <c r="Z3274" s="9"/>
      <c r="AA3274" s="9"/>
    </row>
    <row r="3275" spans="1:27" ht="13.6">
      <c r="A3275" s="8"/>
      <c r="B3275" s="12"/>
      <c r="C3275" s="9"/>
      <c r="D3275" s="9"/>
      <c r="E3275" s="9"/>
      <c r="F3275" s="9"/>
      <c r="G3275" s="9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9"/>
      <c r="U3275" s="9"/>
      <c r="V3275" s="9"/>
      <c r="W3275" s="9"/>
      <c r="X3275" s="9"/>
      <c r="Y3275" s="9"/>
      <c r="Z3275" s="9"/>
      <c r="AA3275" s="9"/>
    </row>
    <row r="3276" spans="1:27" ht="13.6">
      <c r="A3276" s="8"/>
      <c r="B3276" s="12"/>
      <c r="C3276" s="9"/>
      <c r="D3276" s="9"/>
      <c r="E3276" s="9"/>
      <c r="F3276" s="9"/>
      <c r="G3276" s="9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9"/>
    </row>
    <row r="3277" spans="1:27" ht="13.6">
      <c r="A3277" s="8"/>
      <c r="B3277" s="12"/>
      <c r="C3277" s="9"/>
      <c r="D3277" s="9"/>
      <c r="E3277" s="9"/>
      <c r="F3277" s="9"/>
      <c r="G3277" s="9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9"/>
      <c r="U3277" s="9"/>
      <c r="V3277" s="9"/>
      <c r="W3277" s="9"/>
      <c r="X3277" s="9"/>
      <c r="Y3277" s="9"/>
      <c r="Z3277" s="9"/>
      <c r="AA3277" s="9"/>
    </row>
    <row r="3278" spans="1:27" ht="13.6">
      <c r="A3278" s="8"/>
      <c r="B3278" s="12"/>
      <c r="C3278" s="9"/>
      <c r="D3278" s="9"/>
      <c r="E3278" s="9"/>
      <c r="F3278" s="9"/>
      <c r="G3278" s="9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9"/>
      <c r="U3278" s="9"/>
      <c r="V3278" s="9"/>
      <c r="W3278" s="9"/>
      <c r="X3278" s="9"/>
      <c r="Y3278" s="9"/>
      <c r="Z3278" s="9"/>
      <c r="AA3278" s="9"/>
    </row>
    <row r="3279" spans="1:27" ht="13.6">
      <c r="A3279" s="8"/>
      <c r="B3279" s="12"/>
      <c r="C3279" s="9"/>
      <c r="D3279" s="9"/>
      <c r="E3279" s="9"/>
      <c r="F3279" s="9"/>
      <c r="G3279" s="9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9"/>
      <c r="U3279" s="9"/>
      <c r="V3279" s="9"/>
      <c r="W3279" s="9"/>
      <c r="X3279" s="9"/>
      <c r="Y3279" s="9"/>
      <c r="Z3279" s="9"/>
      <c r="AA3279" s="9"/>
    </row>
    <row r="3280" spans="1:27" ht="13.6">
      <c r="A3280" s="8"/>
      <c r="B3280" s="12"/>
      <c r="C3280" s="9"/>
      <c r="D3280" s="9"/>
      <c r="E3280" s="9"/>
      <c r="F3280" s="9"/>
      <c r="G3280" s="9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9"/>
    </row>
    <row r="3281" spans="1:27" ht="13.6">
      <c r="A3281" s="8"/>
      <c r="B3281" s="12"/>
      <c r="C3281" s="9"/>
      <c r="D3281" s="9"/>
      <c r="E3281" s="9"/>
      <c r="F3281" s="9"/>
      <c r="G3281" s="9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9"/>
      <c r="U3281" s="9"/>
      <c r="V3281" s="9"/>
      <c r="W3281" s="9"/>
      <c r="X3281" s="9"/>
      <c r="Y3281" s="9"/>
      <c r="Z3281" s="9"/>
      <c r="AA3281" s="9"/>
    </row>
    <row r="3282" spans="1:27" ht="13.6">
      <c r="A3282" s="8"/>
      <c r="B3282" s="12"/>
      <c r="C3282" s="9"/>
      <c r="D3282" s="9"/>
      <c r="E3282" s="9"/>
      <c r="F3282" s="9"/>
      <c r="G3282" s="9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9"/>
      <c r="U3282" s="9"/>
      <c r="V3282" s="9"/>
      <c r="W3282" s="9"/>
      <c r="X3282" s="9"/>
      <c r="Y3282" s="9"/>
      <c r="Z3282" s="9"/>
      <c r="AA3282" s="9"/>
    </row>
    <row r="3283" spans="1:27" ht="13.6">
      <c r="A3283" s="8"/>
      <c r="B3283" s="12"/>
      <c r="C3283" s="9"/>
      <c r="D3283" s="9"/>
      <c r="E3283" s="9"/>
      <c r="F3283" s="9"/>
      <c r="G3283" s="9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9"/>
      <c r="U3283" s="9"/>
      <c r="V3283" s="9"/>
      <c r="W3283" s="9"/>
      <c r="X3283" s="9"/>
      <c r="Y3283" s="9"/>
      <c r="Z3283" s="9"/>
      <c r="AA3283" s="9"/>
    </row>
    <row r="3284" spans="1:27" ht="13.6">
      <c r="A3284" s="8"/>
      <c r="B3284" s="12"/>
      <c r="C3284" s="9"/>
      <c r="D3284" s="9"/>
      <c r="E3284" s="9"/>
      <c r="F3284" s="9"/>
      <c r="G3284" s="9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9"/>
    </row>
    <row r="3285" spans="1:27" ht="13.6">
      <c r="A3285" s="8"/>
      <c r="B3285" s="12"/>
      <c r="C3285" s="9"/>
      <c r="D3285" s="9"/>
      <c r="E3285" s="9"/>
      <c r="F3285" s="9"/>
      <c r="G3285" s="9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9"/>
      <c r="U3285" s="9"/>
      <c r="V3285" s="9"/>
      <c r="W3285" s="9"/>
      <c r="X3285" s="9"/>
      <c r="Y3285" s="9"/>
      <c r="Z3285" s="9"/>
      <c r="AA3285" s="9"/>
    </row>
    <row r="3286" spans="1:27" ht="13.6">
      <c r="A3286" s="8"/>
      <c r="B3286" s="12"/>
      <c r="C3286" s="9"/>
      <c r="D3286" s="9"/>
      <c r="E3286" s="9"/>
      <c r="F3286" s="9"/>
      <c r="G3286" s="9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9"/>
      <c r="U3286" s="9"/>
      <c r="V3286" s="9"/>
      <c r="W3286" s="9"/>
      <c r="X3286" s="9"/>
      <c r="Y3286" s="9"/>
      <c r="Z3286" s="9"/>
      <c r="AA3286" s="9"/>
    </row>
    <row r="3287" spans="1:27" ht="13.6">
      <c r="A3287" s="8"/>
      <c r="B3287" s="12"/>
      <c r="C3287" s="9"/>
      <c r="D3287" s="9"/>
      <c r="E3287" s="9"/>
      <c r="F3287" s="9"/>
      <c r="G3287" s="9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9"/>
      <c r="U3287" s="9"/>
      <c r="V3287" s="9"/>
      <c r="W3287" s="9"/>
      <c r="X3287" s="9"/>
      <c r="Y3287" s="9"/>
      <c r="Z3287" s="9"/>
      <c r="AA3287" s="9"/>
    </row>
    <row r="3288" spans="1:27" ht="13.6">
      <c r="A3288" s="8"/>
      <c r="B3288" s="12"/>
      <c r="C3288" s="9"/>
      <c r="D3288" s="9"/>
      <c r="E3288" s="9"/>
      <c r="F3288" s="9"/>
      <c r="G3288" s="9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9"/>
    </row>
    <row r="3289" spans="1:27" ht="13.6">
      <c r="A3289" s="8"/>
      <c r="B3289" s="12"/>
      <c r="C3289" s="9"/>
      <c r="D3289" s="9"/>
      <c r="E3289" s="9"/>
      <c r="F3289" s="9"/>
      <c r="G3289" s="9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9"/>
      <c r="U3289" s="9"/>
      <c r="V3289" s="9"/>
      <c r="W3289" s="9"/>
      <c r="X3289" s="9"/>
      <c r="Y3289" s="9"/>
      <c r="Z3289" s="9"/>
      <c r="AA3289" s="9"/>
    </row>
    <row r="3290" spans="1:27" ht="13.6">
      <c r="A3290" s="8"/>
      <c r="B3290" s="12"/>
      <c r="C3290" s="9"/>
      <c r="D3290" s="9"/>
      <c r="E3290" s="9"/>
      <c r="F3290" s="9"/>
      <c r="G3290" s="9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9"/>
      <c r="U3290" s="9"/>
      <c r="V3290" s="9"/>
      <c r="W3290" s="9"/>
      <c r="X3290" s="9"/>
      <c r="Y3290" s="9"/>
      <c r="Z3290" s="9"/>
      <c r="AA3290" s="9"/>
    </row>
    <row r="3291" spans="1:27" ht="13.6">
      <c r="A3291" s="8"/>
      <c r="B3291" s="12"/>
      <c r="C3291" s="9"/>
      <c r="D3291" s="9"/>
      <c r="E3291" s="9"/>
      <c r="F3291" s="9"/>
      <c r="G3291" s="9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9"/>
      <c r="U3291" s="9"/>
      <c r="V3291" s="9"/>
      <c r="W3291" s="9"/>
      <c r="X3291" s="9"/>
      <c r="Y3291" s="9"/>
      <c r="Z3291" s="9"/>
      <c r="AA3291" s="9"/>
    </row>
    <row r="3292" spans="1:27" ht="13.6">
      <c r="A3292" s="8"/>
      <c r="B3292" s="12"/>
      <c r="C3292" s="9"/>
      <c r="D3292" s="9"/>
      <c r="E3292" s="9"/>
      <c r="F3292" s="9"/>
      <c r="G3292" s="9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9"/>
    </row>
    <row r="3293" spans="1:27" ht="13.6">
      <c r="A3293" s="8"/>
      <c r="B3293" s="12"/>
      <c r="C3293" s="9"/>
      <c r="D3293" s="9"/>
      <c r="E3293" s="9"/>
      <c r="F3293" s="9"/>
      <c r="G3293" s="9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9"/>
      <c r="U3293" s="9"/>
      <c r="V3293" s="9"/>
      <c r="W3293" s="9"/>
      <c r="X3293" s="9"/>
      <c r="Y3293" s="9"/>
      <c r="Z3293" s="9"/>
      <c r="AA3293" s="9"/>
    </row>
    <row r="3294" spans="1:27" ht="13.6">
      <c r="A3294" s="8"/>
      <c r="B3294" s="12"/>
      <c r="C3294" s="9"/>
      <c r="D3294" s="9"/>
      <c r="E3294" s="9"/>
      <c r="F3294" s="9"/>
      <c r="G3294" s="9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9"/>
      <c r="U3294" s="9"/>
      <c r="V3294" s="9"/>
      <c r="W3294" s="9"/>
      <c r="X3294" s="9"/>
      <c r="Y3294" s="9"/>
      <c r="Z3294" s="9"/>
      <c r="AA3294" s="9"/>
    </row>
    <row r="3295" spans="1:27" ht="13.6">
      <c r="A3295" s="8"/>
      <c r="B3295" s="12"/>
      <c r="C3295" s="9"/>
      <c r="D3295" s="9"/>
      <c r="E3295" s="9"/>
      <c r="F3295" s="9"/>
      <c r="G3295" s="9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9"/>
      <c r="U3295" s="9"/>
      <c r="V3295" s="9"/>
      <c r="W3295" s="9"/>
      <c r="X3295" s="9"/>
      <c r="Y3295" s="9"/>
      <c r="Z3295" s="9"/>
      <c r="AA3295" s="9"/>
    </row>
    <row r="3296" spans="1:27" ht="13.6">
      <c r="A3296" s="8"/>
      <c r="B3296" s="12"/>
      <c r="C3296" s="9"/>
      <c r="D3296" s="9"/>
      <c r="E3296" s="9"/>
      <c r="F3296" s="9"/>
      <c r="G3296" s="9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9"/>
    </row>
    <row r="3297" spans="1:27" ht="13.6">
      <c r="A3297" s="8"/>
      <c r="B3297" s="12"/>
      <c r="C3297" s="9"/>
      <c r="D3297" s="9"/>
      <c r="E3297" s="9"/>
      <c r="F3297" s="9"/>
      <c r="G3297" s="9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9"/>
      <c r="U3297" s="9"/>
      <c r="V3297" s="9"/>
      <c r="W3297" s="9"/>
      <c r="X3297" s="9"/>
      <c r="Y3297" s="9"/>
      <c r="Z3297" s="9"/>
      <c r="AA3297" s="9"/>
    </row>
    <row r="3298" spans="1:27" ht="13.6">
      <c r="A3298" s="8"/>
      <c r="B3298" s="12"/>
      <c r="C3298" s="9"/>
      <c r="D3298" s="9"/>
      <c r="E3298" s="9"/>
      <c r="F3298" s="9"/>
      <c r="G3298" s="9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9"/>
      <c r="U3298" s="9"/>
      <c r="V3298" s="9"/>
      <c r="W3298" s="9"/>
      <c r="X3298" s="9"/>
      <c r="Y3298" s="9"/>
      <c r="Z3298" s="9"/>
      <c r="AA3298" s="9"/>
    </row>
    <row r="3299" spans="1:27" ht="13.6">
      <c r="A3299" s="8"/>
      <c r="B3299" s="12"/>
      <c r="C3299" s="9"/>
      <c r="D3299" s="9"/>
      <c r="E3299" s="9"/>
      <c r="F3299" s="9"/>
      <c r="G3299" s="9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9"/>
      <c r="U3299" s="9"/>
      <c r="V3299" s="9"/>
      <c r="W3299" s="9"/>
      <c r="X3299" s="9"/>
      <c r="Y3299" s="9"/>
      <c r="Z3299" s="9"/>
      <c r="AA3299" s="9"/>
    </row>
    <row r="3300" spans="1:27" ht="13.6">
      <c r="A3300" s="8"/>
      <c r="B3300" s="12"/>
      <c r="C3300" s="9"/>
      <c r="D3300" s="9"/>
      <c r="E3300" s="9"/>
      <c r="F3300" s="9"/>
      <c r="G3300" s="9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9"/>
    </row>
    <row r="3301" spans="1:27" ht="13.6">
      <c r="A3301" s="8"/>
      <c r="B3301" s="12"/>
      <c r="C3301" s="9"/>
      <c r="D3301" s="9"/>
      <c r="E3301" s="9"/>
      <c r="F3301" s="9"/>
      <c r="G3301" s="9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9"/>
      <c r="U3301" s="9"/>
      <c r="V3301" s="9"/>
      <c r="W3301" s="9"/>
      <c r="X3301" s="9"/>
      <c r="Y3301" s="9"/>
      <c r="Z3301" s="9"/>
      <c r="AA3301" s="9"/>
    </row>
    <row r="3302" spans="1:27" ht="13.6">
      <c r="A3302" s="8"/>
      <c r="B3302" s="12"/>
      <c r="C3302" s="9"/>
      <c r="D3302" s="9"/>
      <c r="E3302" s="9"/>
      <c r="F3302" s="9"/>
      <c r="G3302" s="9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9"/>
      <c r="U3302" s="9"/>
      <c r="V3302" s="9"/>
      <c r="W3302" s="9"/>
      <c r="X3302" s="9"/>
      <c r="Y3302" s="9"/>
      <c r="Z3302" s="9"/>
      <c r="AA3302" s="9"/>
    </row>
    <row r="3303" spans="1:27" ht="13.6">
      <c r="A3303" s="8"/>
      <c r="B3303" s="12"/>
      <c r="C3303" s="9"/>
      <c r="D3303" s="9"/>
      <c r="E3303" s="9"/>
      <c r="F3303" s="9"/>
      <c r="G3303" s="9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9"/>
      <c r="U3303" s="9"/>
      <c r="V3303" s="9"/>
      <c r="W3303" s="9"/>
      <c r="X3303" s="9"/>
      <c r="Y3303" s="9"/>
      <c r="Z3303" s="9"/>
      <c r="AA3303" s="9"/>
    </row>
    <row r="3304" spans="1:27" ht="13.6">
      <c r="A3304" s="8"/>
      <c r="B3304" s="12"/>
      <c r="C3304" s="9"/>
      <c r="D3304" s="9"/>
      <c r="E3304" s="9"/>
      <c r="F3304" s="9"/>
      <c r="G3304" s="9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9"/>
    </row>
    <row r="3305" spans="1:27" ht="13.6">
      <c r="A3305" s="8"/>
      <c r="B3305" s="12"/>
      <c r="C3305" s="9"/>
      <c r="D3305" s="9"/>
      <c r="E3305" s="9"/>
      <c r="F3305" s="9"/>
      <c r="G3305" s="9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9"/>
      <c r="U3305" s="9"/>
      <c r="V3305" s="9"/>
      <c r="W3305" s="9"/>
      <c r="X3305" s="9"/>
      <c r="Y3305" s="9"/>
      <c r="Z3305" s="9"/>
      <c r="AA3305" s="9"/>
    </row>
    <row r="3306" spans="1:27" ht="13.6">
      <c r="A3306" s="8"/>
      <c r="B3306" s="12"/>
      <c r="C3306" s="9"/>
      <c r="D3306" s="9"/>
      <c r="E3306" s="9"/>
      <c r="F3306" s="9"/>
      <c r="G3306" s="9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9"/>
      <c r="U3306" s="9"/>
      <c r="V3306" s="9"/>
      <c r="W3306" s="9"/>
      <c r="X3306" s="9"/>
      <c r="Y3306" s="9"/>
      <c r="Z3306" s="9"/>
      <c r="AA3306" s="9"/>
    </row>
    <row r="3307" spans="1:27" ht="13.6">
      <c r="A3307" s="8"/>
      <c r="B3307" s="12"/>
      <c r="C3307" s="9"/>
      <c r="D3307" s="9"/>
      <c r="E3307" s="9"/>
      <c r="F3307" s="9"/>
      <c r="G3307" s="9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9"/>
      <c r="U3307" s="9"/>
      <c r="V3307" s="9"/>
      <c r="W3307" s="9"/>
      <c r="X3307" s="9"/>
      <c r="Y3307" s="9"/>
      <c r="Z3307" s="9"/>
      <c r="AA3307" s="9"/>
    </row>
    <row r="3308" spans="1:27" ht="13.6">
      <c r="A3308" s="8"/>
      <c r="B3308" s="12"/>
      <c r="C3308" s="9"/>
      <c r="D3308" s="9"/>
      <c r="E3308" s="9"/>
      <c r="F3308" s="9"/>
      <c r="G3308" s="9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9"/>
    </row>
    <row r="3309" spans="1:27" ht="13.6">
      <c r="A3309" s="8"/>
      <c r="B3309" s="12"/>
      <c r="C3309" s="9"/>
      <c r="D3309" s="9"/>
      <c r="E3309" s="9"/>
      <c r="F3309" s="9"/>
      <c r="G3309" s="9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9"/>
      <c r="U3309" s="9"/>
      <c r="V3309" s="9"/>
      <c r="W3309" s="9"/>
      <c r="X3309" s="9"/>
      <c r="Y3309" s="9"/>
      <c r="Z3309" s="9"/>
      <c r="AA3309" s="9"/>
    </row>
    <row r="3310" spans="1:27" ht="13.6">
      <c r="A3310" s="8"/>
      <c r="B3310" s="12"/>
      <c r="C3310" s="9"/>
      <c r="D3310" s="9"/>
      <c r="E3310" s="9"/>
      <c r="F3310" s="9"/>
      <c r="G3310" s="9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9"/>
      <c r="U3310" s="9"/>
      <c r="V3310" s="9"/>
      <c r="W3310" s="9"/>
      <c r="X3310" s="9"/>
      <c r="Y3310" s="9"/>
      <c r="Z3310" s="9"/>
      <c r="AA3310" s="9"/>
    </row>
    <row r="3311" spans="1:27" ht="13.6">
      <c r="A3311" s="8"/>
      <c r="B3311" s="12"/>
      <c r="C3311" s="9"/>
      <c r="D3311" s="9"/>
      <c r="E3311" s="9"/>
      <c r="F3311" s="9"/>
      <c r="G3311" s="9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9"/>
    </row>
    <row r="3312" spans="1:27" ht="13.6">
      <c r="A3312" s="8"/>
      <c r="B3312" s="12"/>
      <c r="C3312" s="9"/>
      <c r="D3312" s="9"/>
      <c r="E3312" s="9"/>
      <c r="F3312" s="9"/>
      <c r="G3312" s="9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9"/>
    </row>
    <row r="3313" spans="1:27" ht="13.6">
      <c r="A3313" s="8"/>
      <c r="B3313" s="12"/>
      <c r="C3313" s="9"/>
      <c r="D3313" s="9"/>
      <c r="E3313" s="9"/>
      <c r="F3313" s="9"/>
      <c r="G3313" s="9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9"/>
      <c r="U3313" s="9"/>
      <c r="V3313" s="9"/>
      <c r="W3313" s="9"/>
      <c r="X3313" s="9"/>
      <c r="Y3313" s="9"/>
      <c r="Z3313" s="9"/>
      <c r="AA3313" s="9"/>
    </row>
    <row r="3314" spans="1:27" ht="13.6">
      <c r="A3314" s="8"/>
      <c r="B3314" s="12"/>
      <c r="C3314" s="9"/>
      <c r="D3314" s="9"/>
      <c r="E3314" s="9"/>
      <c r="F3314" s="9"/>
      <c r="G3314" s="9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9"/>
      <c r="U3314" s="9"/>
      <c r="V3314" s="9"/>
      <c r="W3314" s="9"/>
      <c r="X3314" s="9"/>
      <c r="Y3314" s="9"/>
      <c r="Z3314" s="9"/>
      <c r="AA3314" s="9"/>
    </row>
    <row r="3315" spans="1:27" ht="13.6">
      <c r="A3315" s="8"/>
      <c r="B3315" s="12"/>
      <c r="C3315" s="9"/>
      <c r="D3315" s="9"/>
      <c r="E3315" s="9"/>
      <c r="F3315" s="9"/>
      <c r="G3315" s="9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9"/>
      <c r="U3315" s="9"/>
      <c r="V3315" s="9"/>
      <c r="W3315" s="9"/>
      <c r="X3315" s="9"/>
      <c r="Y3315" s="9"/>
      <c r="Z3315" s="9"/>
      <c r="AA3315" s="9"/>
    </row>
    <row r="3316" spans="1:27" ht="13.6">
      <c r="A3316" s="8"/>
      <c r="B3316" s="12"/>
      <c r="C3316" s="9"/>
      <c r="D3316" s="9"/>
      <c r="E3316" s="9"/>
      <c r="F3316" s="9"/>
      <c r="G3316" s="9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9"/>
    </row>
    <row r="3317" spans="1:27" ht="13.6">
      <c r="A3317" s="8"/>
      <c r="B3317" s="12"/>
      <c r="C3317" s="9"/>
      <c r="D3317" s="9"/>
      <c r="E3317" s="9"/>
      <c r="F3317" s="9"/>
      <c r="G3317" s="9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9"/>
      <c r="U3317" s="9"/>
      <c r="V3317" s="9"/>
      <c r="W3317" s="9"/>
      <c r="X3317" s="9"/>
      <c r="Y3317" s="9"/>
      <c r="Z3317" s="9"/>
      <c r="AA3317" s="9"/>
    </row>
    <row r="3318" spans="1:27" ht="13.6">
      <c r="A3318" s="8"/>
      <c r="B3318" s="12"/>
      <c r="C3318" s="9"/>
      <c r="D3318" s="9"/>
      <c r="E3318" s="9"/>
      <c r="F3318" s="9"/>
      <c r="G3318" s="9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9"/>
      <c r="U3318" s="9"/>
      <c r="V3318" s="9"/>
      <c r="W3318" s="9"/>
      <c r="X3318" s="9"/>
      <c r="Y3318" s="9"/>
      <c r="Z3318" s="9"/>
      <c r="AA3318" s="9"/>
    </row>
    <row r="3319" spans="1:27" ht="13.6">
      <c r="A3319" s="8"/>
      <c r="B3319" s="12"/>
      <c r="C3319" s="9"/>
      <c r="D3319" s="9"/>
      <c r="E3319" s="9"/>
      <c r="F3319" s="9"/>
      <c r="G3319" s="9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9"/>
      <c r="U3319" s="9"/>
      <c r="V3319" s="9"/>
      <c r="W3319" s="9"/>
      <c r="X3319" s="9"/>
      <c r="Y3319" s="9"/>
      <c r="Z3319" s="9"/>
      <c r="AA3319" s="9"/>
    </row>
    <row r="3320" spans="1:27" ht="13.6">
      <c r="A3320" s="8"/>
      <c r="B3320" s="12"/>
      <c r="C3320" s="9"/>
      <c r="D3320" s="9"/>
      <c r="E3320" s="9"/>
      <c r="F3320" s="9"/>
      <c r="G3320" s="9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9"/>
    </row>
    <row r="3321" spans="1:27" ht="13.6">
      <c r="A3321" s="8"/>
      <c r="B3321" s="12"/>
      <c r="C3321" s="9"/>
      <c r="D3321" s="9"/>
      <c r="E3321" s="9"/>
      <c r="F3321" s="9"/>
      <c r="G3321" s="9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9"/>
      <c r="U3321" s="9"/>
      <c r="V3321" s="9"/>
      <c r="W3321" s="9"/>
      <c r="X3321" s="9"/>
      <c r="Y3321" s="9"/>
      <c r="Z3321" s="9"/>
      <c r="AA3321" s="9"/>
    </row>
    <row r="3322" spans="1:27" ht="13.6">
      <c r="A3322" s="8"/>
      <c r="B3322" s="12"/>
      <c r="C3322" s="9"/>
      <c r="D3322" s="9"/>
      <c r="E3322" s="9"/>
      <c r="F3322" s="9"/>
      <c r="G3322" s="9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9"/>
      <c r="U3322" s="9"/>
      <c r="V3322" s="9"/>
      <c r="W3322" s="9"/>
      <c r="X3322" s="9"/>
      <c r="Y3322" s="9"/>
      <c r="Z3322" s="9"/>
      <c r="AA3322" s="9"/>
    </row>
    <row r="3323" spans="1:27" ht="13.6">
      <c r="A3323" s="8"/>
      <c r="B3323" s="12"/>
      <c r="C3323" s="9"/>
      <c r="D3323" s="9"/>
      <c r="E3323" s="9"/>
      <c r="F3323" s="9"/>
      <c r="G3323" s="9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9"/>
      <c r="U3323" s="9"/>
      <c r="V3323" s="9"/>
      <c r="W3323" s="9"/>
      <c r="X3323" s="9"/>
      <c r="Y3323" s="9"/>
      <c r="Z3323" s="9"/>
      <c r="AA3323" s="9"/>
    </row>
    <row r="3324" spans="1:27" ht="13.6">
      <c r="A3324" s="8"/>
      <c r="B3324" s="12"/>
      <c r="C3324" s="9"/>
      <c r="D3324" s="9"/>
      <c r="E3324" s="9"/>
      <c r="F3324" s="9"/>
      <c r="G3324" s="9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9"/>
    </row>
    <row r="3325" spans="1:27" ht="13.6">
      <c r="A3325" s="8"/>
      <c r="B3325" s="12"/>
      <c r="C3325" s="9"/>
      <c r="D3325" s="9"/>
      <c r="E3325" s="9"/>
      <c r="F3325" s="9"/>
      <c r="G3325" s="9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9"/>
      <c r="U3325" s="9"/>
      <c r="V3325" s="9"/>
      <c r="W3325" s="9"/>
      <c r="X3325" s="9"/>
      <c r="Y3325" s="9"/>
      <c r="Z3325" s="9"/>
      <c r="AA3325" s="9"/>
    </row>
    <row r="3326" spans="1:27" ht="13.6">
      <c r="A3326" s="8"/>
      <c r="B3326" s="12"/>
      <c r="C3326" s="9"/>
      <c r="D3326" s="9"/>
      <c r="E3326" s="9"/>
      <c r="F3326" s="9"/>
      <c r="G3326" s="9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9"/>
      <c r="U3326" s="9"/>
      <c r="V3326" s="9"/>
      <c r="W3326" s="9"/>
      <c r="X3326" s="9"/>
      <c r="Y3326" s="9"/>
      <c r="Z3326" s="9"/>
      <c r="AA3326" s="9"/>
    </row>
    <row r="3327" spans="1:27" ht="13.6">
      <c r="A3327" s="8"/>
      <c r="B3327" s="12"/>
      <c r="C3327" s="9"/>
      <c r="D3327" s="9"/>
      <c r="E3327" s="9"/>
      <c r="F3327" s="9"/>
      <c r="G3327" s="9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9"/>
      <c r="U3327" s="9"/>
      <c r="V3327" s="9"/>
      <c r="W3327" s="9"/>
      <c r="X3327" s="9"/>
      <c r="Y3327" s="9"/>
      <c r="Z3327" s="9"/>
      <c r="AA3327" s="9"/>
    </row>
    <row r="3328" spans="1:27" ht="13.6">
      <c r="A3328" s="8"/>
      <c r="B3328" s="12"/>
      <c r="C3328" s="9"/>
      <c r="D3328" s="9"/>
      <c r="E3328" s="9"/>
      <c r="F3328" s="9"/>
      <c r="G3328" s="9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9"/>
    </row>
    <row r="3329" spans="1:27" ht="13.6">
      <c r="A3329" s="8"/>
      <c r="B3329" s="12"/>
      <c r="C3329" s="9"/>
      <c r="D3329" s="9"/>
      <c r="E3329" s="9"/>
      <c r="F3329" s="9"/>
      <c r="G3329" s="9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9"/>
      <c r="U3329" s="9"/>
      <c r="V3329" s="9"/>
      <c r="W3329" s="9"/>
      <c r="X3329" s="9"/>
      <c r="Y3329" s="9"/>
      <c r="Z3329" s="9"/>
      <c r="AA3329" s="9"/>
    </row>
    <row r="3330" spans="1:27" ht="13.6">
      <c r="A3330" s="8"/>
      <c r="B3330" s="12"/>
      <c r="C3330" s="9"/>
      <c r="D3330" s="9"/>
      <c r="E3330" s="9"/>
      <c r="F3330" s="9"/>
      <c r="G3330" s="9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9"/>
      <c r="U3330" s="9"/>
      <c r="V3330" s="9"/>
      <c r="W3330" s="9"/>
      <c r="X3330" s="9"/>
      <c r="Y3330" s="9"/>
      <c r="Z3330" s="9"/>
      <c r="AA3330" s="9"/>
    </row>
    <row r="3331" spans="1:27" ht="13.6">
      <c r="A3331" s="8"/>
      <c r="B3331" s="12"/>
      <c r="C3331" s="9"/>
      <c r="D3331" s="9"/>
      <c r="E3331" s="9"/>
      <c r="F3331" s="9"/>
      <c r="G3331" s="9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9"/>
      <c r="U3331" s="9"/>
      <c r="V3331" s="9"/>
      <c r="W3331" s="9"/>
      <c r="X3331" s="9"/>
      <c r="Y3331" s="9"/>
      <c r="Z3331" s="9"/>
      <c r="AA3331" s="9"/>
    </row>
    <row r="3332" spans="1:27" ht="13.6">
      <c r="A3332" s="8"/>
      <c r="B3332" s="12"/>
      <c r="C3332" s="9"/>
      <c r="D3332" s="9"/>
      <c r="E3332" s="9"/>
      <c r="F3332" s="9"/>
      <c r="G3332" s="9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9"/>
    </row>
    <row r="3333" spans="1:27" ht="13.6">
      <c r="A3333" s="8"/>
      <c r="B3333" s="12"/>
      <c r="C3333" s="9"/>
      <c r="D3333" s="9"/>
      <c r="E3333" s="9"/>
      <c r="F3333" s="9"/>
      <c r="G3333" s="9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9"/>
      <c r="U3333" s="9"/>
      <c r="V3333" s="9"/>
      <c r="W3333" s="9"/>
      <c r="X3333" s="9"/>
      <c r="Y3333" s="9"/>
      <c r="Z3333" s="9"/>
      <c r="AA3333" s="9"/>
    </row>
    <row r="3334" spans="1:27" ht="13.6">
      <c r="A3334" s="8"/>
      <c r="B3334" s="12"/>
      <c r="C3334" s="9"/>
      <c r="D3334" s="9"/>
      <c r="E3334" s="9"/>
      <c r="F3334" s="9"/>
      <c r="G3334" s="9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9"/>
      <c r="U3334" s="9"/>
      <c r="V3334" s="9"/>
      <c r="W3334" s="9"/>
      <c r="X3334" s="9"/>
      <c r="Y3334" s="9"/>
      <c r="Z3334" s="9"/>
      <c r="AA3334" s="9"/>
    </row>
    <row r="3335" spans="1:27" ht="13.6">
      <c r="A3335" s="8"/>
      <c r="B3335" s="12"/>
      <c r="C3335" s="9"/>
      <c r="D3335" s="9"/>
      <c r="E3335" s="9"/>
      <c r="F3335" s="9"/>
      <c r="G3335" s="9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9"/>
      <c r="U3335" s="9"/>
      <c r="V3335" s="9"/>
      <c r="W3335" s="9"/>
      <c r="X3335" s="9"/>
      <c r="Y3335" s="9"/>
      <c r="Z3335" s="9"/>
      <c r="AA3335" s="9"/>
    </row>
    <row r="3336" spans="1:27" ht="13.6">
      <c r="A3336" s="8"/>
      <c r="B3336" s="12"/>
      <c r="C3336" s="9"/>
      <c r="D3336" s="9"/>
      <c r="E3336" s="9"/>
      <c r="F3336" s="9"/>
      <c r="G3336" s="9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9"/>
    </row>
    <row r="3337" spans="1:27" ht="13.6">
      <c r="A3337" s="8"/>
      <c r="B3337" s="12"/>
      <c r="C3337" s="9"/>
      <c r="D3337" s="9"/>
      <c r="E3337" s="9"/>
      <c r="F3337" s="9"/>
      <c r="G3337" s="9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9"/>
      <c r="U3337" s="9"/>
      <c r="V3337" s="9"/>
      <c r="W3337" s="9"/>
      <c r="X3337" s="9"/>
      <c r="Y3337" s="9"/>
      <c r="Z3337" s="9"/>
      <c r="AA3337" s="9"/>
    </row>
    <row r="3338" spans="1:27" ht="13.6">
      <c r="A3338" s="8"/>
      <c r="B3338" s="12"/>
      <c r="C3338" s="9"/>
      <c r="D3338" s="9"/>
      <c r="E3338" s="9"/>
      <c r="F3338" s="9"/>
      <c r="G3338" s="9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9"/>
      <c r="U3338" s="9"/>
      <c r="V3338" s="9"/>
      <c r="W3338" s="9"/>
      <c r="X3338" s="9"/>
      <c r="Y3338" s="9"/>
      <c r="Z3338" s="9"/>
      <c r="AA3338" s="9"/>
    </row>
    <row r="3339" spans="1:27" ht="13.6">
      <c r="A3339" s="8"/>
      <c r="B3339" s="12"/>
      <c r="C3339" s="9"/>
      <c r="D3339" s="9"/>
      <c r="E3339" s="9"/>
      <c r="F3339" s="9"/>
      <c r="G3339" s="9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9"/>
      <c r="U3339" s="9"/>
      <c r="V3339" s="9"/>
      <c r="W3339" s="9"/>
      <c r="X3339" s="9"/>
      <c r="Y3339" s="9"/>
      <c r="Z3339" s="9"/>
      <c r="AA3339" s="9"/>
    </row>
    <row r="3340" spans="1:27" ht="13.6">
      <c r="A3340" s="8"/>
      <c r="B3340" s="12"/>
      <c r="C3340" s="9"/>
      <c r="D3340" s="9"/>
      <c r="E3340" s="9"/>
      <c r="F3340" s="9"/>
      <c r="G3340" s="9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9"/>
    </row>
    <row r="3341" spans="1:27" ht="13.6">
      <c r="A3341" s="8"/>
      <c r="B3341" s="12"/>
      <c r="C3341" s="9"/>
      <c r="D3341" s="9"/>
      <c r="E3341" s="9"/>
      <c r="F3341" s="9"/>
      <c r="G3341" s="9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9"/>
      <c r="U3341" s="9"/>
      <c r="V3341" s="9"/>
      <c r="W3341" s="9"/>
      <c r="X3341" s="9"/>
      <c r="Y3341" s="9"/>
      <c r="Z3341" s="9"/>
      <c r="AA3341" s="9"/>
    </row>
    <row r="3342" spans="1:27" ht="13.6">
      <c r="A3342" s="8"/>
      <c r="B3342" s="12"/>
      <c r="C3342" s="9"/>
      <c r="D3342" s="9"/>
      <c r="E3342" s="9"/>
      <c r="F3342" s="9"/>
      <c r="G3342" s="9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9"/>
      <c r="U3342" s="9"/>
      <c r="V3342" s="9"/>
      <c r="W3342" s="9"/>
      <c r="X3342" s="9"/>
      <c r="Y3342" s="9"/>
      <c r="Z3342" s="9"/>
      <c r="AA3342" s="9"/>
    </row>
    <row r="3343" spans="1:27" ht="13.6">
      <c r="A3343" s="8"/>
      <c r="B3343" s="12"/>
      <c r="C3343" s="9"/>
      <c r="D3343" s="9"/>
      <c r="E3343" s="9"/>
      <c r="F3343" s="9"/>
      <c r="G3343" s="9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9"/>
      <c r="U3343" s="9"/>
      <c r="V3343" s="9"/>
      <c r="W3343" s="9"/>
      <c r="X3343" s="9"/>
      <c r="Y3343" s="9"/>
      <c r="Z3343" s="9"/>
      <c r="AA3343" s="9"/>
    </row>
    <row r="3344" spans="1:27" ht="13.6">
      <c r="A3344" s="8"/>
      <c r="B3344" s="12"/>
      <c r="C3344" s="9"/>
      <c r="D3344" s="9"/>
      <c r="E3344" s="9"/>
      <c r="F3344" s="9"/>
      <c r="G3344" s="9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9"/>
    </row>
    <row r="3345" spans="1:27" ht="13.6">
      <c r="A3345" s="8"/>
      <c r="B3345" s="12"/>
      <c r="C3345" s="9"/>
      <c r="D3345" s="9"/>
      <c r="E3345" s="9"/>
      <c r="F3345" s="9"/>
      <c r="G3345" s="9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9"/>
      <c r="U3345" s="9"/>
      <c r="V3345" s="9"/>
      <c r="W3345" s="9"/>
      <c r="X3345" s="9"/>
      <c r="Y3345" s="9"/>
      <c r="Z3345" s="9"/>
      <c r="AA3345" s="9"/>
    </row>
    <row r="3346" spans="1:27" ht="13.6">
      <c r="A3346" s="8"/>
      <c r="B3346" s="12"/>
      <c r="C3346" s="9"/>
      <c r="D3346" s="9"/>
      <c r="E3346" s="9"/>
      <c r="F3346" s="9"/>
      <c r="G3346" s="9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9"/>
      <c r="U3346" s="9"/>
      <c r="V3346" s="9"/>
      <c r="W3346" s="9"/>
      <c r="X3346" s="9"/>
      <c r="Y3346" s="9"/>
      <c r="Z3346" s="9"/>
      <c r="AA3346" s="9"/>
    </row>
    <row r="3347" spans="1:27" ht="13.6">
      <c r="A3347" s="8"/>
      <c r="B3347" s="12"/>
      <c r="C3347" s="9"/>
      <c r="D3347" s="9"/>
      <c r="E3347" s="9"/>
      <c r="F3347" s="9"/>
      <c r="G3347" s="9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9"/>
      <c r="U3347" s="9"/>
      <c r="V3347" s="9"/>
      <c r="W3347" s="9"/>
      <c r="X3347" s="9"/>
      <c r="Y3347" s="9"/>
      <c r="Z3347" s="9"/>
      <c r="AA3347" s="9"/>
    </row>
    <row r="3348" spans="1:27" ht="13.6">
      <c r="A3348" s="8"/>
      <c r="B3348" s="12"/>
      <c r="C3348" s="9"/>
      <c r="D3348" s="9"/>
      <c r="E3348" s="9"/>
      <c r="F3348" s="9"/>
      <c r="G3348" s="9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9"/>
    </row>
    <row r="3349" spans="1:27" ht="13.6">
      <c r="A3349" s="8"/>
      <c r="B3349" s="12"/>
      <c r="C3349" s="9"/>
      <c r="D3349" s="9"/>
      <c r="E3349" s="9"/>
      <c r="F3349" s="9"/>
      <c r="G3349" s="9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9"/>
      <c r="U3349" s="9"/>
      <c r="V3349" s="9"/>
      <c r="W3349" s="9"/>
      <c r="X3349" s="9"/>
      <c r="Y3349" s="9"/>
      <c r="Z3349" s="9"/>
      <c r="AA3349" s="9"/>
    </row>
    <row r="3350" spans="1:27" ht="13.6">
      <c r="A3350" s="8"/>
      <c r="B3350" s="12"/>
      <c r="C3350" s="9"/>
      <c r="D3350" s="9"/>
      <c r="E3350" s="9"/>
      <c r="F3350" s="9"/>
      <c r="G3350" s="9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9"/>
      <c r="U3350" s="9"/>
      <c r="V3350" s="9"/>
      <c r="W3350" s="9"/>
      <c r="X3350" s="9"/>
      <c r="Y3350" s="9"/>
      <c r="Z3350" s="9"/>
      <c r="AA3350" s="9"/>
    </row>
    <row r="3351" spans="1:27" ht="13.6">
      <c r="A3351" s="8"/>
      <c r="B3351" s="12"/>
      <c r="C3351" s="9"/>
      <c r="D3351" s="9"/>
      <c r="E3351" s="9"/>
      <c r="F3351" s="9"/>
      <c r="G3351" s="9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9"/>
      <c r="U3351" s="9"/>
      <c r="V3351" s="9"/>
      <c r="W3351" s="9"/>
      <c r="X3351" s="9"/>
      <c r="Y3351" s="9"/>
      <c r="Z3351" s="9"/>
      <c r="AA3351" s="9"/>
    </row>
    <row r="3352" spans="1:27" ht="13.6">
      <c r="A3352" s="8"/>
      <c r="B3352" s="12"/>
      <c r="C3352" s="9"/>
      <c r="D3352" s="9"/>
      <c r="E3352" s="9"/>
      <c r="F3352" s="9"/>
      <c r="G3352" s="9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9"/>
    </row>
    <row r="3353" spans="1:27" ht="13.6">
      <c r="A3353" s="8"/>
      <c r="B3353" s="12"/>
      <c r="C3353" s="9"/>
      <c r="D3353" s="9"/>
      <c r="E3353" s="9"/>
      <c r="F3353" s="9"/>
      <c r="G3353" s="9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9"/>
      <c r="U3353" s="9"/>
      <c r="V3353" s="9"/>
      <c r="W3353" s="9"/>
      <c r="X3353" s="9"/>
      <c r="Y3353" s="9"/>
      <c r="Z3353" s="9"/>
      <c r="AA3353" s="9"/>
    </row>
    <row r="3354" spans="1:27" ht="13.6">
      <c r="A3354" s="8"/>
      <c r="B3354" s="12"/>
      <c r="C3354" s="9"/>
      <c r="D3354" s="9"/>
      <c r="E3354" s="9"/>
      <c r="F3354" s="9"/>
      <c r="G3354" s="9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9"/>
    </row>
    <row r="3355" spans="1:27" ht="13.6">
      <c r="A3355" s="8"/>
      <c r="B3355" s="12"/>
      <c r="C3355" s="9"/>
      <c r="D3355" s="9"/>
      <c r="E3355" s="9"/>
      <c r="F3355" s="9"/>
      <c r="G3355" s="9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9"/>
      <c r="U3355" s="9"/>
      <c r="V3355" s="9"/>
      <c r="W3355" s="9"/>
      <c r="X3355" s="9"/>
      <c r="Y3355" s="9"/>
      <c r="Z3355" s="9"/>
      <c r="AA3355" s="9"/>
    </row>
    <row r="3356" spans="1:27" ht="13.6">
      <c r="A3356" s="8"/>
      <c r="B3356" s="12"/>
      <c r="C3356" s="9"/>
      <c r="D3356" s="9"/>
      <c r="E3356" s="9"/>
      <c r="F3356" s="9"/>
      <c r="G3356" s="9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9"/>
    </row>
    <row r="3357" spans="1:27" ht="13.6">
      <c r="A3357" s="8"/>
      <c r="B3357" s="12"/>
      <c r="C3357" s="9"/>
      <c r="D3357" s="9"/>
      <c r="E3357" s="9"/>
      <c r="F3357" s="9"/>
      <c r="G3357" s="9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9"/>
      <c r="U3357" s="9"/>
      <c r="V3357" s="9"/>
      <c r="W3357" s="9"/>
      <c r="X3357" s="9"/>
      <c r="Y3357" s="9"/>
      <c r="Z3357" s="9"/>
      <c r="AA3357" s="9"/>
    </row>
    <row r="3358" spans="1:27" ht="13.6">
      <c r="A3358" s="8"/>
      <c r="B3358" s="12"/>
      <c r="C3358" s="9"/>
      <c r="D3358" s="9"/>
      <c r="E3358" s="9"/>
      <c r="F3358" s="9"/>
      <c r="G3358" s="9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9"/>
      <c r="U3358" s="9"/>
      <c r="V3358" s="9"/>
      <c r="W3358" s="9"/>
      <c r="X3358" s="9"/>
      <c r="Y3358" s="9"/>
      <c r="Z3358" s="9"/>
      <c r="AA3358" s="9"/>
    </row>
    <row r="3359" spans="1:27" ht="13.6">
      <c r="A3359" s="8"/>
      <c r="B3359" s="12"/>
      <c r="C3359" s="9"/>
      <c r="D3359" s="9"/>
      <c r="E3359" s="9"/>
      <c r="F3359" s="9"/>
      <c r="G3359" s="9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9"/>
      <c r="U3359" s="9"/>
      <c r="V3359" s="9"/>
      <c r="W3359" s="9"/>
      <c r="X3359" s="9"/>
      <c r="Y3359" s="9"/>
      <c r="Z3359" s="9"/>
      <c r="AA3359" s="9"/>
    </row>
    <row r="3360" spans="1:27" ht="13.6">
      <c r="A3360" s="8"/>
      <c r="B3360" s="12"/>
      <c r="C3360" s="9"/>
      <c r="D3360" s="9"/>
      <c r="E3360" s="9"/>
      <c r="F3360" s="9"/>
      <c r="G3360" s="9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9"/>
    </row>
    <row r="3361" spans="1:27" ht="13.6">
      <c r="A3361" s="8"/>
      <c r="B3361" s="12"/>
      <c r="C3361" s="9"/>
      <c r="D3361" s="9"/>
      <c r="E3361" s="9"/>
      <c r="F3361" s="9"/>
      <c r="G3361" s="9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9"/>
      <c r="U3361" s="9"/>
      <c r="V3361" s="9"/>
      <c r="W3361" s="9"/>
      <c r="X3361" s="9"/>
      <c r="Y3361" s="9"/>
      <c r="Z3361" s="9"/>
      <c r="AA3361" s="9"/>
    </row>
    <row r="3362" spans="1:27" ht="13.6">
      <c r="A3362" s="8"/>
      <c r="B3362" s="12"/>
      <c r="C3362" s="9"/>
      <c r="D3362" s="9"/>
      <c r="E3362" s="9"/>
      <c r="F3362" s="9"/>
      <c r="G3362" s="9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9"/>
      <c r="U3362" s="9"/>
      <c r="V3362" s="9"/>
      <c r="W3362" s="9"/>
      <c r="X3362" s="9"/>
      <c r="Y3362" s="9"/>
      <c r="Z3362" s="9"/>
      <c r="AA3362" s="9"/>
    </row>
    <row r="3363" spans="1:27" ht="13.6">
      <c r="A3363" s="8"/>
      <c r="B3363" s="12"/>
      <c r="C3363" s="9"/>
      <c r="D3363" s="9"/>
      <c r="E3363" s="9"/>
      <c r="F3363" s="9"/>
      <c r="G3363" s="9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9"/>
      <c r="U3363" s="9"/>
      <c r="V3363" s="9"/>
      <c r="W3363" s="9"/>
      <c r="X3363" s="9"/>
      <c r="Y3363" s="9"/>
      <c r="Z3363" s="9"/>
      <c r="AA3363" s="9"/>
    </row>
    <row r="3364" spans="1:27" ht="13.6">
      <c r="A3364" s="8"/>
      <c r="B3364" s="12"/>
      <c r="C3364" s="9"/>
      <c r="D3364" s="9"/>
      <c r="E3364" s="9"/>
      <c r="F3364" s="9"/>
      <c r="G3364" s="9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9"/>
      <c r="U3364" s="9"/>
      <c r="V3364" s="9"/>
      <c r="W3364" s="9"/>
      <c r="X3364" s="9"/>
      <c r="Y3364" s="9"/>
      <c r="Z3364" s="9"/>
      <c r="AA3364" s="9"/>
    </row>
    <row r="3365" spans="1:27" ht="13.6">
      <c r="A3365" s="8"/>
      <c r="B3365" s="12"/>
      <c r="C3365" s="9"/>
      <c r="D3365" s="9"/>
      <c r="E3365" s="9"/>
      <c r="F3365" s="9"/>
      <c r="G3365" s="9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9"/>
      <c r="U3365" s="9"/>
      <c r="V3365" s="9"/>
      <c r="W3365" s="9"/>
      <c r="X3365" s="9"/>
      <c r="Y3365" s="9"/>
      <c r="Z3365" s="9"/>
      <c r="AA3365" s="9"/>
    </row>
    <row r="3366" spans="1:27" ht="13.6">
      <c r="A3366" s="8"/>
      <c r="B3366" s="12"/>
      <c r="C3366" s="9"/>
      <c r="D3366" s="9"/>
      <c r="E3366" s="9"/>
      <c r="F3366" s="9"/>
      <c r="G3366" s="9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9"/>
      <c r="U3366" s="9"/>
      <c r="V3366" s="9"/>
      <c r="W3366" s="9"/>
      <c r="X3366" s="9"/>
      <c r="Y3366" s="9"/>
      <c r="Z3366" s="9"/>
      <c r="AA3366" s="9"/>
    </row>
    <row r="3367" spans="1:27" ht="13.6">
      <c r="A3367" s="8"/>
      <c r="B3367" s="12"/>
      <c r="C3367" s="9"/>
      <c r="D3367" s="9"/>
      <c r="E3367" s="9"/>
      <c r="F3367" s="9"/>
      <c r="G3367" s="9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9"/>
      <c r="U3367" s="9"/>
      <c r="V3367" s="9"/>
      <c r="W3367" s="9"/>
      <c r="X3367" s="9"/>
      <c r="Y3367" s="9"/>
      <c r="Z3367" s="9"/>
      <c r="AA3367" s="9"/>
    </row>
    <row r="3368" spans="1:27" ht="13.6">
      <c r="A3368" s="8"/>
      <c r="B3368" s="12"/>
      <c r="C3368" s="9"/>
      <c r="D3368" s="9"/>
      <c r="E3368" s="9"/>
      <c r="F3368" s="9"/>
      <c r="G3368" s="9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9"/>
      <c r="U3368" s="9"/>
      <c r="V3368" s="9"/>
      <c r="W3368" s="9"/>
      <c r="X3368" s="9"/>
      <c r="Y3368" s="9"/>
      <c r="Z3368" s="9"/>
      <c r="AA3368" s="9"/>
    </row>
    <row r="3369" spans="1:27" ht="13.6">
      <c r="A3369" s="8"/>
      <c r="B3369" s="12"/>
      <c r="C3369" s="9"/>
      <c r="D3369" s="9"/>
      <c r="E3369" s="9"/>
      <c r="F3369" s="9"/>
      <c r="G3369" s="9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9"/>
      <c r="U3369" s="9"/>
      <c r="V3369" s="9"/>
      <c r="W3369" s="9"/>
      <c r="X3369" s="9"/>
      <c r="Y3369" s="9"/>
      <c r="Z3369" s="9"/>
      <c r="AA3369" s="9"/>
    </row>
    <row r="3370" spans="1:27" ht="13.6">
      <c r="A3370" s="8"/>
      <c r="B3370" s="12"/>
      <c r="C3370" s="9"/>
      <c r="D3370" s="9"/>
      <c r="E3370" s="9"/>
      <c r="F3370" s="9"/>
      <c r="G3370" s="9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9"/>
      <c r="U3370" s="9"/>
      <c r="V3370" s="9"/>
      <c r="W3370" s="9"/>
      <c r="X3370" s="9"/>
      <c r="Y3370" s="9"/>
      <c r="Z3370" s="9"/>
      <c r="AA3370" s="9"/>
    </row>
    <row r="3371" spans="1:27" ht="13.6">
      <c r="A3371" s="8"/>
      <c r="B3371" s="12"/>
      <c r="C3371" s="9"/>
      <c r="D3371" s="9"/>
      <c r="E3371" s="9"/>
      <c r="F3371" s="9"/>
      <c r="G3371" s="9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9"/>
      <c r="U3371" s="9"/>
      <c r="V3371" s="9"/>
      <c r="W3371" s="9"/>
      <c r="X3371" s="9"/>
      <c r="Y3371" s="9"/>
      <c r="Z3371" s="9"/>
      <c r="AA3371" s="9"/>
    </row>
    <row r="3372" spans="1:27" ht="13.6">
      <c r="A3372" s="8"/>
      <c r="B3372" s="12"/>
      <c r="C3372" s="9"/>
      <c r="D3372" s="9"/>
      <c r="E3372" s="9"/>
      <c r="F3372" s="9"/>
      <c r="G3372" s="9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9"/>
      <c r="U3372" s="9"/>
      <c r="V3372" s="9"/>
      <c r="W3372" s="9"/>
      <c r="X3372" s="9"/>
      <c r="Y3372" s="9"/>
      <c r="Z3372" s="9"/>
      <c r="AA3372" s="9"/>
    </row>
    <row r="3373" spans="1:27" ht="13.6">
      <c r="A3373" s="8"/>
      <c r="B3373" s="12"/>
      <c r="C3373" s="9"/>
      <c r="D3373" s="9"/>
      <c r="E3373" s="9"/>
      <c r="F3373" s="9"/>
      <c r="G3373" s="9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9"/>
      <c r="U3373" s="9"/>
      <c r="V3373" s="9"/>
      <c r="W3373" s="9"/>
      <c r="X3373" s="9"/>
      <c r="Y3373" s="9"/>
      <c r="Z3373" s="9"/>
      <c r="AA3373" s="9"/>
    </row>
    <row r="3374" spans="1:27" ht="13.6">
      <c r="A3374" s="8"/>
      <c r="B3374" s="12"/>
      <c r="C3374" s="9"/>
      <c r="D3374" s="9"/>
      <c r="E3374" s="9"/>
      <c r="F3374" s="9"/>
      <c r="G3374" s="9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9"/>
      <c r="U3374" s="9"/>
      <c r="V3374" s="9"/>
      <c r="W3374" s="9"/>
      <c r="X3374" s="9"/>
      <c r="Y3374" s="9"/>
      <c r="Z3374" s="9"/>
      <c r="AA3374" s="9"/>
    </row>
    <row r="3375" spans="1:27" ht="13.6">
      <c r="A3375" s="8"/>
      <c r="B3375" s="12"/>
      <c r="C3375" s="9"/>
      <c r="D3375" s="9"/>
      <c r="E3375" s="9"/>
      <c r="F3375" s="9"/>
      <c r="G3375" s="9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9"/>
      <c r="U3375" s="9"/>
      <c r="V3375" s="9"/>
      <c r="W3375" s="9"/>
      <c r="X3375" s="9"/>
      <c r="Y3375" s="9"/>
      <c r="Z3375" s="9"/>
      <c r="AA3375" s="9"/>
    </row>
    <row r="3376" spans="1:27" ht="13.6">
      <c r="A3376" s="8"/>
      <c r="B3376" s="12"/>
      <c r="C3376" s="9"/>
      <c r="D3376" s="9"/>
      <c r="E3376" s="9"/>
      <c r="F3376" s="9"/>
      <c r="G3376" s="9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9"/>
      <c r="U3376" s="9"/>
      <c r="V3376" s="9"/>
      <c r="W3376" s="9"/>
      <c r="X3376" s="9"/>
      <c r="Y3376" s="9"/>
      <c r="Z3376" s="9"/>
      <c r="AA3376" s="9"/>
    </row>
    <row r="3377" spans="1:27" ht="13.6">
      <c r="A3377" s="8"/>
      <c r="B3377" s="12"/>
      <c r="C3377" s="9"/>
      <c r="D3377" s="9"/>
      <c r="E3377" s="9"/>
      <c r="F3377" s="9"/>
      <c r="G3377" s="9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9"/>
      <c r="U3377" s="9"/>
      <c r="V3377" s="9"/>
      <c r="W3377" s="9"/>
      <c r="X3377" s="9"/>
      <c r="Y3377" s="9"/>
      <c r="Z3377" s="9"/>
      <c r="AA3377" s="9"/>
    </row>
    <row r="3378" spans="1:27" ht="13.6">
      <c r="A3378" s="8"/>
      <c r="B3378" s="12"/>
      <c r="C3378" s="9"/>
      <c r="D3378" s="9"/>
      <c r="E3378" s="9"/>
      <c r="F3378" s="9"/>
      <c r="G3378" s="9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9"/>
      <c r="U3378" s="9"/>
      <c r="V3378" s="9"/>
      <c r="W3378" s="9"/>
      <c r="X3378" s="9"/>
      <c r="Y3378" s="9"/>
      <c r="Z3378" s="9"/>
      <c r="AA3378" s="9"/>
    </row>
    <row r="3379" spans="1:27" ht="13.6">
      <c r="A3379" s="8"/>
      <c r="B3379" s="12"/>
      <c r="C3379" s="9"/>
      <c r="D3379" s="9"/>
      <c r="E3379" s="9"/>
      <c r="F3379" s="9"/>
      <c r="G3379" s="9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9"/>
      <c r="U3379" s="9"/>
      <c r="V3379" s="9"/>
      <c r="W3379" s="9"/>
      <c r="X3379" s="9"/>
      <c r="Y3379" s="9"/>
      <c r="Z3379" s="9"/>
      <c r="AA3379" s="9"/>
    </row>
    <row r="3380" spans="1:27" ht="13.6">
      <c r="A3380" s="8"/>
      <c r="B3380" s="12"/>
      <c r="C3380" s="9"/>
      <c r="D3380" s="9"/>
      <c r="E3380" s="9"/>
      <c r="F3380" s="9"/>
      <c r="G3380" s="9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9"/>
      <c r="U3380" s="9"/>
      <c r="V3380" s="9"/>
      <c r="W3380" s="9"/>
      <c r="X3380" s="9"/>
      <c r="Y3380" s="9"/>
      <c r="Z3380" s="9"/>
      <c r="AA3380" s="9"/>
    </row>
    <row r="3381" spans="1:27" ht="13.6">
      <c r="A3381" s="8"/>
      <c r="B3381" s="12"/>
      <c r="C3381" s="9"/>
      <c r="D3381" s="9"/>
      <c r="E3381" s="9"/>
      <c r="F3381" s="9"/>
      <c r="G3381" s="9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9"/>
      <c r="U3381" s="9"/>
      <c r="V3381" s="9"/>
      <c r="W3381" s="9"/>
      <c r="X3381" s="9"/>
      <c r="Y3381" s="9"/>
      <c r="Z3381" s="9"/>
      <c r="AA3381" s="9"/>
    </row>
    <row r="3382" spans="1:27" ht="13.6">
      <c r="A3382" s="8"/>
      <c r="B3382" s="12"/>
      <c r="C3382" s="9"/>
      <c r="D3382" s="9"/>
      <c r="E3382" s="9"/>
      <c r="F3382" s="9"/>
      <c r="G3382" s="9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9"/>
      <c r="U3382" s="9"/>
      <c r="V3382" s="9"/>
      <c r="W3382" s="9"/>
      <c r="X3382" s="9"/>
      <c r="Y3382" s="9"/>
      <c r="Z3382" s="9"/>
      <c r="AA3382" s="9"/>
    </row>
    <row r="3383" spans="1:27" ht="13.6">
      <c r="A3383" s="8"/>
      <c r="B3383" s="12"/>
      <c r="C3383" s="9"/>
      <c r="D3383" s="9"/>
      <c r="E3383" s="9"/>
      <c r="F3383" s="9"/>
      <c r="G3383" s="9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9"/>
      <c r="U3383" s="9"/>
      <c r="V3383" s="9"/>
      <c r="W3383" s="9"/>
      <c r="X3383" s="9"/>
      <c r="Y3383" s="9"/>
      <c r="Z3383" s="9"/>
      <c r="AA3383" s="9"/>
    </row>
    <row r="3384" spans="1:27" ht="13.6">
      <c r="A3384" s="8"/>
      <c r="B3384" s="12"/>
      <c r="C3384" s="9"/>
      <c r="D3384" s="9"/>
      <c r="E3384" s="9"/>
      <c r="F3384" s="9"/>
      <c r="G3384" s="9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9"/>
      <c r="U3384" s="9"/>
      <c r="V3384" s="9"/>
      <c r="W3384" s="9"/>
      <c r="X3384" s="9"/>
      <c r="Y3384" s="9"/>
      <c r="Z3384" s="9"/>
      <c r="AA3384" s="9"/>
    </row>
    <row r="3385" spans="1:27" ht="13.6">
      <c r="A3385" s="8"/>
      <c r="B3385" s="12"/>
      <c r="C3385" s="9"/>
      <c r="D3385" s="9"/>
      <c r="E3385" s="9"/>
      <c r="F3385" s="9"/>
      <c r="G3385" s="9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9"/>
      <c r="U3385" s="9"/>
      <c r="V3385" s="9"/>
      <c r="W3385" s="9"/>
      <c r="X3385" s="9"/>
      <c r="Y3385" s="9"/>
      <c r="Z3385" s="9"/>
      <c r="AA3385" s="9"/>
    </row>
    <row r="3386" spans="1:27" ht="13.6">
      <c r="A3386" s="8"/>
      <c r="B3386" s="12"/>
      <c r="C3386" s="9"/>
      <c r="D3386" s="9"/>
      <c r="E3386" s="9"/>
      <c r="F3386" s="9"/>
      <c r="G3386" s="9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9"/>
      <c r="U3386" s="9"/>
      <c r="V3386" s="9"/>
      <c r="W3386" s="9"/>
      <c r="X3386" s="9"/>
      <c r="Y3386" s="9"/>
      <c r="Z3386" s="9"/>
      <c r="AA3386" s="9"/>
    </row>
    <row r="3387" spans="1:27" ht="13.6">
      <c r="A3387" s="8"/>
      <c r="B3387" s="12"/>
      <c r="C3387" s="9"/>
      <c r="D3387" s="9"/>
      <c r="E3387" s="9"/>
      <c r="F3387" s="9"/>
      <c r="G3387" s="9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9"/>
      <c r="U3387" s="9"/>
      <c r="V3387" s="9"/>
      <c r="W3387" s="9"/>
      <c r="X3387" s="9"/>
      <c r="Y3387" s="9"/>
      <c r="Z3387" s="9"/>
      <c r="AA3387" s="9"/>
    </row>
    <row r="3388" spans="1:27" ht="13.6">
      <c r="A3388" s="8"/>
      <c r="B3388" s="12"/>
      <c r="C3388" s="9"/>
      <c r="D3388" s="9"/>
      <c r="E3388" s="9"/>
      <c r="F3388" s="9"/>
      <c r="G3388" s="9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9"/>
      <c r="U3388" s="9"/>
      <c r="V3388" s="9"/>
      <c r="W3388" s="9"/>
      <c r="X3388" s="9"/>
      <c r="Y3388" s="9"/>
      <c r="Z3388" s="9"/>
      <c r="AA3388" s="9"/>
    </row>
    <row r="3389" spans="1:27" ht="13.6">
      <c r="A3389" s="8"/>
      <c r="B3389" s="12"/>
      <c r="C3389" s="9"/>
      <c r="D3389" s="9"/>
      <c r="E3389" s="9"/>
      <c r="F3389" s="9"/>
      <c r="G3389" s="9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9"/>
      <c r="U3389" s="9"/>
      <c r="V3389" s="9"/>
      <c r="W3389" s="9"/>
      <c r="X3389" s="9"/>
      <c r="Y3389" s="9"/>
      <c r="Z3389" s="9"/>
      <c r="AA3389" s="9"/>
    </row>
    <row r="3390" spans="1:27" ht="13.6">
      <c r="A3390" s="8"/>
      <c r="B3390" s="12"/>
      <c r="C3390" s="9"/>
      <c r="D3390" s="9"/>
      <c r="E3390" s="9"/>
      <c r="F3390" s="9"/>
      <c r="G3390" s="9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9"/>
      <c r="U3390" s="9"/>
      <c r="V3390" s="9"/>
      <c r="W3390" s="9"/>
      <c r="X3390" s="9"/>
      <c r="Y3390" s="9"/>
      <c r="Z3390" s="9"/>
      <c r="AA3390" s="9"/>
    </row>
    <row r="3391" spans="1:27" ht="13.6">
      <c r="A3391" s="8"/>
      <c r="B3391" s="12"/>
      <c r="C3391" s="9"/>
      <c r="D3391" s="9"/>
      <c r="E3391" s="9"/>
      <c r="F3391" s="9"/>
      <c r="G3391" s="9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9"/>
      <c r="U3391" s="9"/>
      <c r="V3391" s="9"/>
      <c r="W3391" s="9"/>
      <c r="X3391" s="9"/>
      <c r="Y3391" s="9"/>
      <c r="Z3391" s="9"/>
      <c r="AA3391" s="9"/>
    </row>
    <row r="3392" spans="1:27" ht="13.6">
      <c r="A3392" s="8"/>
      <c r="B3392" s="12"/>
      <c r="C3392" s="9"/>
      <c r="D3392" s="9"/>
      <c r="E3392" s="9"/>
      <c r="F3392" s="9"/>
      <c r="G3392" s="9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9"/>
      <c r="U3392" s="9"/>
      <c r="V3392" s="9"/>
      <c r="W3392" s="9"/>
      <c r="X3392" s="9"/>
      <c r="Y3392" s="9"/>
      <c r="Z3392" s="9"/>
      <c r="AA3392" s="9"/>
    </row>
    <row r="3393" spans="1:27" ht="13.6">
      <c r="A3393" s="8"/>
      <c r="B3393" s="12"/>
      <c r="C3393" s="9"/>
      <c r="D3393" s="9"/>
      <c r="E3393" s="9"/>
      <c r="F3393" s="9"/>
      <c r="G3393" s="9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9"/>
      <c r="U3393" s="9"/>
      <c r="V3393" s="9"/>
      <c r="W3393" s="9"/>
      <c r="X3393" s="9"/>
      <c r="Y3393" s="9"/>
      <c r="Z3393" s="9"/>
      <c r="AA3393" s="9"/>
    </row>
    <row r="3394" spans="1:27" ht="13.6">
      <c r="A3394" s="8"/>
      <c r="B3394" s="12"/>
      <c r="C3394" s="9"/>
      <c r="D3394" s="9"/>
      <c r="E3394" s="9"/>
      <c r="F3394" s="9"/>
      <c r="G3394" s="9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9"/>
      <c r="U3394" s="9"/>
      <c r="V3394" s="9"/>
      <c r="W3394" s="9"/>
      <c r="X3394" s="9"/>
      <c r="Y3394" s="9"/>
      <c r="Z3394" s="9"/>
      <c r="AA3394" s="9"/>
    </row>
    <row r="3395" spans="1:27" ht="13.6">
      <c r="A3395" s="8"/>
      <c r="B3395" s="12"/>
      <c r="C3395" s="9"/>
      <c r="D3395" s="9"/>
      <c r="E3395" s="9"/>
      <c r="F3395" s="9"/>
      <c r="G3395" s="9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9"/>
      <c r="U3395" s="9"/>
      <c r="V3395" s="9"/>
      <c r="W3395" s="9"/>
      <c r="X3395" s="9"/>
      <c r="Y3395" s="9"/>
      <c r="Z3395" s="9"/>
      <c r="AA3395" s="9"/>
    </row>
    <row r="3396" spans="1:27" ht="13.6">
      <c r="A3396" s="8"/>
      <c r="B3396" s="12"/>
      <c r="C3396" s="9"/>
      <c r="D3396" s="9"/>
      <c r="E3396" s="9"/>
      <c r="F3396" s="9"/>
      <c r="G3396" s="9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9"/>
      <c r="U3396" s="9"/>
      <c r="V3396" s="9"/>
      <c r="W3396" s="9"/>
      <c r="X3396" s="9"/>
      <c r="Y3396" s="9"/>
      <c r="Z3396" s="9"/>
      <c r="AA3396" s="9"/>
    </row>
    <row r="3397" spans="1:27" ht="13.6">
      <c r="A3397" s="8"/>
      <c r="B3397" s="12"/>
      <c r="C3397" s="9"/>
      <c r="D3397" s="9"/>
      <c r="E3397" s="9"/>
      <c r="F3397" s="9"/>
      <c r="G3397" s="9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9"/>
      <c r="U3397" s="9"/>
      <c r="V3397" s="9"/>
      <c r="W3397" s="9"/>
      <c r="X3397" s="9"/>
      <c r="Y3397" s="9"/>
      <c r="Z3397" s="9"/>
      <c r="AA3397" s="9"/>
    </row>
    <row r="3398" spans="1:27" ht="13.6">
      <c r="A3398" s="8"/>
      <c r="B3398" s="12"/>
      <c r="C3398" s="9"/>
      <c r="D3398" s="9"/>
      <c r="E3398" s="9"/>
      <c r="F3398" s="9"/>
      <c r="G3398" s="9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9"/>
      <c r="U3398" s="9"/>
      <c r="V3398" s="9"/>
      <c r="W3398" s="9"/>
      <c r="X3398" s="9"/>
      <c r="Y3398" s="9"/>
      <c r="Z3398" s="9"/>
      <c r="AA3398" s="9"/>
    </row>
    <row r="3399" spans="1:27" ht="13.6">
      <c r="A3399" s="8"/>
      <c r="B3399" s="12"/>
      <c r="C3399" s="9"/>
      <c r="D3399" s="9"/>
      <c r="E3399" s="9"/>
      <c r="F3399" s="9"/>
      <c r="G3399" s="9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9"/>
      <c r="U3399" s="9"/>
      <c r="V3399" s="9"/>
      <c r="W3399" s="9"/>
      <c r="X3399" s="9"/>
      <c r="Y3399" s="9"/>
      <c r="Z3399" s="9"/>
      <c r="AA3399" s="9"/>
    </row>
    <row r="3400" spans="1:27" ht="13.6">
      <c r="A3400" s="8"/>
      <c r="B3400" s="12"/>
      <c r="C3400" s="9"/>
      <c r="D3400" s="9"/>
      <c r="E3400" s="9"/>
      <c r="F3400" s="9"/>
      <c r="G3400" s="9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9"/>
      <c r="U3400" s="9"/>
      <c r="V3400" s="9"/>
      <c r="W3400" s="9"/>
      <c r="X3400" s="9"/>
      <c r="Y3400" s="9"/>
      <c r="Z3400" s="9"/>
      <c r="AA3400" s="9"/>
    </row>
    <row r="3401" spans="1:27" ht="13.6">
      <c r="A3401" s="8"/>
      <c r="B3401" s="12"/>
      <c r="C3401" s="9"/>
      <c r="D3401" s="9"/>
      <c r="E3401" s="9"/>
      <c r="F3401" s="9"/>
      <c r="G3401" s="9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9"/>
      <c r="U3401" s="9"/>
      <c r="V3401" s="9"/>
      <c r="W3401" s="9"/>
      <c r="X3401" s="9"/>
      <c r="Y3401" s="9"/>
      <c r="Z3401" s="9"/>
      <c r="AA3401" s="9"/>
    </row>
    <row r="3402" spans="1:27" ht="13.6">
      <c r="A3402" s="8"/>
      <c r="B3402" s="12"/>
      <c r="C3402" s="9"/>
      <c r="D3402" s="9"/>
      <c r="E3402" s="9"/>
      <c r="F3402" s="9"/>
      <c r="G3402" s="9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9"/>
      <c r="U3402" s="9"/>
      <c r="V3402" s="9"/>
      <c r="W3402" s="9"/>
      <c r="X3402" s="9"/>
      <c r="Y3402" s="9"/>
      <c r="Z3402" s="9"/>
      <c r="AA3402" s="9"/>
    </row>
    <row r="3403" spans="1:27" ht="13.6">
      <c r="A3403" s="8"/>
      <c r="B3403" s="12"/>
      <c r="C3403" s="9"/>
      <c r="D3403" s="9"/>
      <c r="E3403" s="9"/>
      <c r="F3403" s="9"/>
      <c r="G3403" s="9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9"/>
      <c r="U3403" s="9"/>
      <c r="V3403" s="9"/>
      <c r="W3403" s="9"/>
      <c r="X3403" s="9"/>
      <c r="Y3403" s="9"/>
      <c r="Z3403" s="9"/>
      <c r="AA3403" s="9"/>
    </row>
    <row r="3404" spans="1:27" ht="13.6">
      <c r="A3404" s="8"/>
      <c r="B3404" s="12"/>
      <c r="C3404" s="9"/>
      <c r="D3404" s="9"/>
      <c r="E3404" s="9"/>
      <c r="F3404" s="9"/>
      <c r="G3404" s="9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9"/>
      <c r="U3404" s="9"/>
      <c r="V3404" s="9"/>
      <c r="W3404" s="9"/>
      <c r="X3404" s="9"/>
      <c r="Y3404" s="9"/>
      <c r="Z3404" s="9"/>
      <c r="AA3404" s="9"/>
    </row>
    <row r="3405" spans="1:27" ht="13.6">
      <c r="A3405" s="8"/>
      <c r="B3405" s="12"/>
      <c r="C3405" s="9"/>
      <c r="D3405" s="9"/>
      <c r="E3405" s="9"/>
      <c r="F3405" s="9"/>
      <c r="G3405" s="9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9"/>
      <c r="U3405" s="9"/>
      <c r="V3405" s="9"/>
      <c r="W3405" s="9"/>
      <c r="X3405" s="9"/>
      <c r="Y3405" s="9"/>
      <c r="Z3405" s="9"/>
      <c r="AA3405" s="9"/>
    </row>
    <row r="3406" spans="1:27" ht="13.6">
      <c r="A3406" s="8"/>
      <c r="B3406" s="12"/>
      <c r="C3406" s="9"/>
      <c r="D3406" s="9"/>
      <c r="E3406" s="9"/>
      <c r="F3406" s="9"/>
      <c r="G3406" s="9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9"/>
      <c r="U3406" s="9"/>
      <c r="V3406" s="9"/>
      <c r="W3406" s="9"/>
      <c r="X3406" s="9"/>
      <c r="Y3406" s="9"/>
      <c r="Z3406" s="9"/>
      <c r="AA3406" s="9"/>
    </row>
    <row r="3407" spans="1:27" ht="13.6">
      <c r="A3407" s="8"/>
      <c r="B3407" s="12"/>
      <c r="C3407" s="9"/>
      <c r="D3407" s="9"/>
      <c r="E3407" s="9"/>
      <c r="F3407" s="9"/>
      <c r="G3407" s="9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9"/>
      <c r="U3407" s="9"/>
      <c r="V3407" s="9"/>
      <c r="W3407" s="9"/>
      <c r="X3407" s="9"/>
      <c r="Y3407" s="9"/>
      <c r="Z3407" s="9"/>
      <c r="AA3407" s="9"/>
    </row>
    <row r="3408" spans="1:27" ht="13.6">
      <c r="A3408" s="8"/>
      <c r="B3408" s="12"/>
      <c r="C3408" s="9"/>
      <c r="D3408" s="9"/>
      <c r="E3408" s="9"/>
      <c r="F3408" s="9"/>
      <c r="G3408" s="9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9"/>
      <c r="U3408" s="9"/>
      <c r="V3408" s="9"/>
      <c r="W3408" s="9"/>
      <c r="X3408" s="9"/>
      <c r="Y3408" s="9"/>
      <c r="Z3408" s="9"/>
      <c r="AA3408" s="9"/>
    </row>
    <row r="3409" spans="1:27" ht="13.6">
      <c r="A3409" s="8"/>
      <c r="B3409" s="12"/>
      <c r="C3409" s="9"/>
      <c r="D3409" s="9"/>
      <c r="E3409" s="9"/>
      <c r="F3409" s="9"/>
      <c r="G3409" s="9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9"/>
      <c r="U3409" s="9"/>
      <c r="V3409" s="9"/>
      <c r="W3409" s="9"/>
      <c r="X3409" s="9"/>
      <c r="Y3409" s="9"/>
      <c r="Z3409" s="9"/>
      <c r="AA3409" s="9"/>
    </row>
    <row r="3410" spans="1:27" ht="13.6">
      <c r="A3410" s="8"/>
      <c r="B3410" s="12"/>
      <c r="C3410" s="9"/>
      <c r="D3410" s="9"/>
      <c r="E3410" s="9"/>
      <c r="F3410" s="9"/>
      <c r="G3410" s="9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9"/>
      <c r="U3410" s="9"/>
      <c r="V3410" s="9"/>
      <c r="W3410" s="9"/>
      <c r="X3410" s="9"/>
      <c r="Y3410" s="9"/>
      <c r="Z3410" s="9"/>
      <c r="AA3410" s="9"/>
    </row>
    <row r="3411" spans="1:27" ht="13.6">
      <c r="A3411" s="8"/>
      <c r="B3411" s="12"/>
      <c r="C3411" s="9"/>
      <c r="D3411" s="9"/>
      <c r="E3411" s="9"/>
      <c r="F3411" s="9"/>
      <c r="G3411" s="9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9"/>
      <c r="U3411" s="9"/>
      <c r="V3411" s="9"/>
      <c r="W3411" s="9"/>
      <c r="X3411" s="9"/>
      <c r="Y3411" s="9"/>
      <c r="Z3411" s="9"/>
      <c r="AA3411" s="9"/>
    </row>
    <row r="3412" spans="1:27" ht="13.6">
      <c r="A3412" s="8"/>
      <c r="B3412" s="12"/>
      <c r="C3412" s="9"/>
      <c r="D3412" s="9"/>
      <c r="E3412" s="9"/>
      <c r="F3412" s="9"/>
      <c r="G3412" s="9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9"/>
      <c r="U3412" s="9"/>
      <c r="V3412" s="9"/>
      <c r="W3412" s="9"/>
      <c r="X3412" s="9"/>
      <c r="Y3412" s="9"/>
      <c r="Z3412" s="9"/>
      <c r="AA3412" s="9"/>
    </row>
    <row r="3413" spans="1:27" ht="13.6">
      <c r="A3413" s="8"/>
      <c r="B3413" s="12"/>
      <c r="C3413" s="9"/>
      <c r="D3413" s="9"/>
      <c r="E3413" s="9"/>
      <c r="F3413" s="9"/>
      <c r="G3413" s="9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9"/>
      <c r="U3413" s="9"/>
      <c r="V3413" s="9"/>
      <c r="W3413" s="9"/>
      <c r="X3413" s="9"/>
      <c r="Y3413" s="9"/>
      <c r="Z3413" s="9"/>
      <c r="AA3413" s="9"/>
    </row>
    <row r="3414" spans="1:27" ht="13.6">
      <c r="A3414" s="8"/>
      <c r="B3414" s="12"/>
      <c r="C3414" s="9"/>
      <c r="D3414" s="9"/>
      <c r="E3414" s="9"/>
      <c r="F3414" s="9"/>
      <c r="G3414" s="9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9"/>
      <c r="U3414" s="9"/>
      <c r="V3414" s="9"/>
      <c r="W3414" s="9"/>
      <c r="X3414" s="9"/>
      <c r="Y3414" s="9"/>
      <c r="Z3414" s="9"/>
      <c r="AA3414" s="9"/>
    </row>
    <row r="3415" spans="1:27" ht="13.6">
      <c r="A3415" s="8"/>
      <c r="B3415" s="12"/>
      <c r="C3415" s="9"/>
      <c r="D3415" s="9"/>
      <c r="E3415" s="9"/>
      <c r="F3415" s="9"/>
      <c r="G3415" s="9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9"/>
      <c r="U3415" s="9"/>
      <c r="V3415" s="9"/>
      <c r="W3415" s="9"/>
      <c r="X3415" s="9"/>
      <c r="Y3415" s="9"/>
      <c r="Z3415" s="9"/>
      <c r="AA3415" s="9"/>
    </row>
    <row r="3416" spans="1:27" ht="13.6">
      <c r="A3416" s="8"/>
      <c r="B3416" s="12"/>
      <c r="C3416" s="9"/>
      <c r="D3416" s="9"/>
      <c r="E3416" s="9"/>
      <c r="F3416" s="9"/>
      <c r="G3416" s="9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9"/>
      <c r="U3416" s="9"/>
      <c r="V3416" s="9"/>
      <c r="W3416" s="9"/>
      <c r="X3416" s="9"/>
      <c r="Y3416" s="9"/>
      <c r="Z3416" s="9"/>
      <c r="AA3416" s="9"/>
    </row>
    <row r="3417" spans="1:27" ht="13.6">
      <c r="A3417" s="8"/>
      <c r="B3417" s="12"/>
      <c r="C3417" s="9"/>
      <c r="D3417" s="9"/>
      <c r="E3417" s="9"/>
      <c r="F3417" s="9"/>
      <c r="G3417" s="9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9"/>
      <c r="U3417" s="9"/>
      <c r="V3417" s="9"/>
      <c r="W3417" s="9"/>
      <c r="X3417" s="9"/>
      <c r="Y3417" s="9"/>
      <c r="Z3417" s="9"/>
      <c r="AA3417" s="9"/>
    </row>
    <row r="3418" spans="1:27" ht="13.6">
      <c r="A3418" s="8"/>
      <c r="B3418" s="12"/>
      <c r="C3418" s="9"/>
      <c r="D3418" s="9"/>
      <c r="E3418" s="9"/>
      <c r="F3418" s="9"/>
      <c r="G3418" s="9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9"/>
      <c r="U3418" s="9"/>
      <c r="V3418" s="9"/>
      <c r="W3418" s="9"/>
      <c r="X3418" s="9"/>
      <c r="Y3418" s="9"/>
      <c r="Z3418" s="9"/>
      <c r="AA3418" s="9"/>
    </row>
    <row r="3419" spans="1:27" ht="13.6">
      <c r="A3419" s="8"/>
      <c r="B3419" s="12"/>
      <c r="C3419" s="9"/>
      <c r="D3419" s="9"/>
      <c r="E3419" s="9"/>
      <c r="F3419" s="9"/>
      <c r="G3419" s="9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9"/>
      <c r="U3419" s="9"/>
      <c r="V3419" s="9"/>
      <c r="W3419" s="9"/>
      <c r="X3419" s="9"/>
      <c r="Y3419" s="9"/>
      <c r="Z3419" s="9"/>
      <c r="AA3419" s="9"/>
    </row>
    <row r="3420" spans="1:27" ht="13.6">
      <c r="A3420" s="8"/>
      <c r="B3420" s="12"/>
      <c r="C3420" s="9"/>
      <c r="D3420" s="9"/>
      <c r="E3420" s="9"/>
      <c r="F3420" s="9"/>
      <c r="G3420" s="9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9"/>
      <c r="U3420" s="9"/>
      <c r="V3420" s="9"/>
      <c r="W3420" s="9"/>
      <c r="X3420" s="9"/>
      <c r="Y3420" s="9"/>
      <c r="Z3420" s="9"/>
      <c r="AA3420" s="9"/>
    </row>
    <row r="3421" spans="1:27" ht="13.6">
      <c r="A3421" s="8"/>
      <c r="B3421" s="12"/>
      <c r="C3421" s="9"/>
      <c r="D3421" s="9"/>
      <c r="E3421" s="9"/>
      <c r="F3421" s="9"/>
      <c r="G3421" s="9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9"/>
      <c r="U3421" s="9"/>
      <c r="V3421" s="9"/>
      <c r="W3421" s="9"/>
      <c r="X3421" s="9"/>
      <c r="Y3421" s="9"/>
      <c r="Z3421" s="9"/>
      <c r="AA3421" s="9"/>
    </row>
    <row r="3422" spans="1:27" ht="13.6">
      <c r="A3422" s="8"/>
      <c r="B3422" s="12"/>
      <c r="C3422" s="9"/>
      <c r="D3422" s="9"/>
      <c r="E3422" s="9"/>
      <c r="F3422" s="9"/>
      <c r="G3422" s="9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9"/>
      <c r="U3422" s="9"/>
      <c r="V3422" s="9"/>
      <c r="W3422" s="9"/>
      <c r="X3422" s="9"/>
      <c r="Y3422" s="9"/>
      <c r="Z3422" s="9"/>
      <c r="AA3422" s="9"/>
    </row>
    <row r="3423" spans="1:27" ht="13.6">
      <c r="A3423" s="8"/>
      <c r="B3423" s="12"/>
      <c r="C3423" s="9"/>
      <c r="D3423" s="9"/>
      <c r="E3423" s="9"/>
      <c r="F3423" s="9"/>
      <c r="G3423" s="9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9"/>
      <c r="U3423" s="9"/>
      <c r="V3423" s="9"/>
      <c r="W3423" s="9"/>
      <c r="X3423" s="9"/>
      <c r="Y3423" s="9"/>
      <c r="Z3423" s="9"/>
      <c r="AA3423" s="9"/>
    </row>
    <row r="3424" spans="1:27" ht="13.6">
      <c r="A3424" s="8"/>
      <c r="B3424" s="12"/>
      <c r="C3424" s="9"/>
      <c r="D3424" s="9"/>
      <c r="E3424" s="9"/>
      <c r="F3424" s="9"/>
      <c r="G3424" s="9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9"/>
      <c r="U3424" s="9"/>
      <c r="V3424" s="9"/>
      <c r="W3424" s="9"/>
      <c r="X3424" s="9"/>
      <c r="Y3424" s="9"/>
      <c r="Z3424" s="9"/>
      <c r="AA3424" s="9"/>
    </row>
    <row r="3425" spans="1:27" ht="13.6">
      <c r="A3425" s="8"/>
      <c r="B3425" s="12"/>
      <c r="C3425" s="9"/>
      <c r="D3425" s="9"/>
      <c r="E3425" s="9"/>
      <c r="F3425" s="9"/>
      <c r="G3425" s="9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9"/>
      <c r="U3425" s="9"/>
      <c r="V3425" s="9"/>
      <c r="W3425" s="9"/>
      <c r="X3425" s="9"/>
      <c r="Y3425" s="9"/>
      <c r="Z3425" s="9"/>
      <c r="AA3425" s="9"/>
    </row>
    <row r="3426" spans="1:27" ht="13.6">
      <c r="A3426" s="8"/>
      <c r="B3426" s="12"/>
      <c r="C3426" s="9"/>
      <c r="D3426" s="9"/>
      <c r="E3426" s="9"/>
      <c r="F3426" s="9"/>
      <c r="G3426" s="9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9"/>
      <c r="U3426" s="9"/>
      <c r="V3426" s="9"/>
      <c r="W3426" s="9"/>
      <c r="X3426" s="9"/>
      <c r="Y3426" s="9"/>
      <c r="Z3426" s="9"/>
      <c r="AA3426" s="9"/>
    </row>
    <row r="3427" spans="1:27" ht="13.6">
      <c r="A3427" s="8"/>
      <c r="B3427" s="12"/>
      <c r="C3427" s="9"/>
      <c r="D3427" s="9"/>
      <c r="E3427" s="9"/>
      <c r="F3427" s="9"/>
      <c r="G3427" s="9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9"/>
      <c r="U3427" s="9"/>
      <c r="V3427" s="9"/>
      <c r="W3427" s="9"/>
      <c r="X3427" s="9"/>
      <c r="Y3427" s="9"/>
      <c r="Z3427" s="9"/>
      <c r="AA3427" s="9"/>
    </row>
    <row r="3428" spans="1:27" ht="13.6">
      <c r="A3428" s="8"/>
      <c r="B3428" s="12"/>
      <c r="C3428" s="9"/>
      <c r="D3428" s="9"/>
      <c r="E3428" s="9"/>
      <c r="F3428" s="9"/>
      <c r="G3428" s="9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9"/>
      <c r="U3428" s="9"/>
      <c r="V3428" s="9"/>
      <c r="W3428" s="9"/>
      <c r="X3428" s="9"/>
      <c r="Y3428" s="9"/>
      <c r="Z3428" s="9"/>
      <c r="AA3428" s="9"/>
    </row>
    <row r="3429" spans="1:27" ht="13.6">
      <c r="A3429" s="8"/>
      <c r="B3429" s="12"/>
      <c r="C3429" s="9"/>
      <c r="D3429" s="9"/>
      <c r="E3429" s="9"/>
      <c r="F3429" s="9"/>
      <c r="G3429" s="9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9"/>
      <c r="U3429" s="9"/>
      <c r="V3429" s="9"/>
      <c r="W3429" s="9"/>
      <c r="X3429" s="9"/>
      <c r="Y3429" s="9"/>
      <c r="Z3429" s="9"/>
      <c r="AA3429" s="9"/>
    </row>
    <row r="3430" spans="1:27" ht="13.6">
      <c r="A3430" s="8"/>
      <c r="B3430" s="12"/>
      <c r="C3430" s="9"/>
      <c r="D3430" s="9"/>
      <c r="E3430" s="9"/>
      <c r="F3430" s="9"/>
      <c r="G3430" s="9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9"/>
      <c r="U3430" s="9"/>
      <c r="V3430" s="9"/>
      <c r="W3430" s="9"/>
      <c r="X3430" s="9"/>
      <c r="Y3430" s="9"/>
      <c r="Z3430" s="9"/>
      <c r="AA3430" s="9"/>
    </row>
    <row r="3431" spans="1:27" ht="13.6">
      <c r="A3431" s="8"/>
      <c r="B3431" s="12"/>
      <c r="C3431" s="9"/>
      <c r="D3431" s="9"/>
      <c r="E3431" s="9"/>
      <c r="F3431" s="9"/>
      <c r="G3431" s="9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9"/>
      <c r="U3431" s="9"/>
      <c r="V3431" s="9"/>
      <c r="W3431" s="9"/>
      <c r="X3431" s="9"/>
      <c r="Y3431" s="9"/>
      <c r="Z3431" s="9"/>
      <c r="AA3431" s="9"/>
    </row>
    <row r="3432" spans="1:27" ht="13.6">
      <c r="A3432" s="8"/>
      <c r="B3432" s="12"/>
      <c r="C3432" s="9"/>
      <c r="D3432" s="9"/>
      <c r="E3432" s="9"/>
      <c r="F3432" s="9"/>
      <c r="G3432" s="9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9"/>
      <c r="U3432" s="9"/>
      <c r="V3432" s="9"/>
      <c r="W3432" s="9"/>
      <c r="X3432" s="9"/>
      <c r="Y3432" s="9"/>
      <c r="Z3432" s="9"/>
      <c r="AA3432" s="9"/>
    </row>
    <row r="3433" spans="1:27" ht="13.6">
      <c r="A3433" s="8"/>
      <c r="B3433" s="12"/>
      <c r="C3433" s="9"/>
      <c r="D3433" s="9"/>
      <c r="E3433" s="9"/>
      <c r="F3433" s="9"/>
      <c r="G3433" s="9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9"/>
      <c r="U3433" s="9"/>
      <c r="V3433" s="9"/>
      <c r="W3433" s="9"/>
      <c r="X3433" s="9"/>
      <c r="Y3433" s="9"/>
      <c r="Z3433" s="9"/>
      <c r="AA3433" s="9"/>
    </row>
    <row r="3434" spans="1:27" ht="13.6">
      <c r="A3434" s="8"/>
      <c r="B3434" s="12"/>
      <c r="C3434" s="9"/>
      <c r="D3434" s="9"/>
      <c r="E3434" s="9"/>
      <c r="F3434" s="9"/>
      <c r="G3434" s="9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9"/>
      <c r="U3434" s="9"/>
      <c r="V3434" s="9"/>
      <c r="W3434" s="9"/>
      <c r="X3434" s="9"/>
      <c r="Y3434" s="9"/>
      <c r="Z3434" s="9"/>
      <c r="AA3434" s="9"/>
    </row>
    <row r="3435" spans="1:27" ht="13.6">
      <c r="A3435" s="8"/>
      <c r="B3435" s="12"/>
      <c r="C3435" s="9"/>
      <c r="D3435" s="9"/>
      <c r="E3435" s="9"/>
      <c r="F3435" s="9"/>
      <c r="G3435" s="9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9"/>
      <c r="U3435" s="9"/>
      <c r="V3435" s="9"/>
      <c r="W3435" s="9"/>
      <c r="X3435" s="9"/>
      <c r="Y3435" s="9"/>
      <c r="Z3435" s="9"/>
      <c r="AA3435" s="9"/>
    </row>
    <row r="3436" spans="1:27" ht="13.6">
      <c r="A3436" s="8"/>
      <c r="B3436" s="12"/>
      <c r="C3436" s="9"/>
      <c r="D3436" s="9"/>
      <c r="E3436" s="9"/>
      <c r="F3436" s="9"/>
      <c r="G3436" s="9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9"/>
      <c r="U3436" s="9"/>
      <c r="V3436" s="9"/>
      <c r="W3436" s="9"/>
      <c r="X3436" s="9"/>
      <c r="Y3436" s="9"/>
      <c r="Z3436" s="9"/>
      <c r="AA3436" s="9"/>
    </row>
    <row r="3437" spans="1:27" ht="13.6">
      <c r="A3437" s="8"/>
      <c r="B3437" s="12"/>
      <c r="C3437" s="9"/>
      <c r="D3437" s="9"/>
      <c r="E3437" s="9"/>
      <c r="F3437" s="9"/>
      <c r="G3437" s="9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9"/>
      <c r="U3437" s="9"/>
      <c r="V3437" s="9"/>
      <c r="W3437" s="9"/>
      <c r="X3437" s="9"/>
      <c r="Y3437" s="9"/>
      <c r="Z3437" s="9"/>
      <c r="AA3437" s="9"/>
    </row>
    <row r="3438" spans="1:27" ht="13.6">
      <c r="A3438" s="8"/>
      <c r="B3438" s="12"/>
      <c r="C3438" s="9"/>
      <c r="D3438" s="9"/>
      <c r="E3438" s="9"/>
      <c r="F3438" s="9"/>
      <c r="G3438" s="9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9"/>
      <c r="U3438" s="9"/>
      <c r="V3438" s="9"/>
      <c r="W3438" s="9"/>
      <c r="X3438" s="9"/>
      <c r="Y3438" s="9"/>
      <c r="Z3438" s="9"/>
      <c r="AA3438" s="9"/>
    </row>
    <row r="3439" spans="1:27" ht="13.6">
      <c r="A3439" s="8"/>
      <c r="B3439" s="12"/>
      <c r="C3439" s="9"/>
      <c r="D3439" s="9"/>
      <c r="E3439" s="9"/>
      <c r="F3439" s="9"/>
      <c r="G3439" s="9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9"/>
      <c r="U3439" s="9"/>
      <c r="V3439" s="9"/>
      <c r="W3439" s="9"/>
      <c r="X3439" s="9"/>
      <c r="Y3439" s="9"/>
      <c r="Z3439" s="9"/>
      <c r="AA3439" s="9"/>
    </row>
    <row r="3440" spans="1:27" ht="13.6">
      <c r="A3440" s="8"/>
      <c r="B3440" s="12"/>
      <c r="C3440" s="9"/>
      <c r="D3440" s="9"/>
      <c r="E3440" s="9"/>
      <c r="F3440" s="9"/>
      <c r="G3440" s="9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9"/>
      <c r="U3440" s="9"/>
      <c r="V3440" s="9"/>
      <c r="W3440" s="9"/>
      <c r="X3440" s="9"/>
      <c r="Y3440" s="9"/>
      <c r="Z3440" s="9"/>
      <c r="AA3440" s="9"/>
    </row>
    <row r="3441" spans="1:27" ht="13.6">
      <c r="A3441" s="8"/>
      <c r="B3441" s="12"/>
      <c r="C3441" s="9"/>
      <c r="D3441" s="9"/>
      <c r="E3441" s="9"/>
      <c r="F3441" s="9"/>
      <c r="G3441" s="9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9"/>
      <c r="U3441" s="9"/>
      <c r="V3441" s="9"/>
      <c r="W3441" s="9"/>
      <c r="X3441" s="9"/>
      <c r="Y3441" s="9"/>
      <c r="Z3441" s="9"/>
      <c r="AA3441" s="9"/>
    </row>
    <row r="3442" spans="1:27" ht="13.6">
      <c r="A3442" s="8"/>
      <c r="B3442" s="12"/>
      <c r="C3442" s="9"/>
      <c r="D3442" s="9"/>
      <c r="E3442" s="9"/>
      <c r="F3442" s="9"/>
      <c r="G3442" s="9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9"/>
      <c r="U3442" s="9"/>
      <c r="V3442" s="9"/>
      <c r="W3442" s="9"/>
      <c r="X3442" s="9"/>
      <c r="Y3442" s="9"/>
      <c r="Z3442" s="9"/>
      <c r="AA3442" s="9"/>
    </row>
    <row r="3443" spans="1:27" ht="13.6">
      <c r="A3443" s="8"/>
      <c r="B3443" s="12"/>
      <c r="C3443" s="9"/>
      <c r="D3443" s="9"/>
      <c r="E3443" s="9"/>
      <c r="F3443" s="9"/>
      <c r="G3443" s="9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9"/>
      <c r="U3443" s="9"/>
      <c r="V3443" s="9"/>
      <c r="W3443" s="9"/>
      <c r="X3443" s="9"/>
      <c r="Y3443" s="9"/>
      <c r="Z3443" s="9"/>
      <c r="AA3443" s="9"/>
    </row>
    <row r="3444" spans="1:27" ht="13.6">
      <c r="A3444" s="8"/>
      <c r="B3444" s="12"/>
      <c r="C3444" s="9"/>
      <c r="D3444" s="9"/>
      <c r="E3444" s="9"/>
      <c r="F3444" s="9"/>
      <c r="G3444" s="9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9"/>
      <c r="U3444" s="9"/>
      <c r="V3444" s="9"/>
      <c r="W3444" s="9"/>
      <c r="X3444" s="9"/>
      <c r="Y3444" s="9"/>
      <c r="Z3444" s="9"/>
      <c r="AA3444" s="9"/>
    </row>
    <row r="3445" spans="1:27" ht="13.6">
      <c r="A3445" s="8"/>
      <c r="B3445" s="12"/>
      <c r="C3445" s="9"/>
      <c r="D3445" s="9"/>
      <c r="E3445" s="9"/>
      <c r="F3445" s="9"/>
      <c r="G3445" s="9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9"/>
      <c r="U3445" s="9"/>
      <c r="V3445" s="9"/>
      <c r="W3445" s="9"/>
      <c r="X3445" s="9"/>
      <c r="Y3445" s="9"/>
      <c r="Z3445" s="9"/>
      <c r="AA3445" s="9"/>
    </row>
    <row r="3446" spans="1:27" ht="13.6">
      <c r="A3446" s="8"/>
      <c r="B3446" s="12"/>
      <c r="C3446" s="9"/>
      <c r="D3446" s="9"/>
      <c r="E3446" s="9"/>
      <c r="F3446" s="9"/>
      <c r="G3446" s="9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9"/>
      <c r="U3446" s="9"/>
      <c r="V3446" s="9"/>
      <c r="W3446" s="9"/>
      <c r="X3446" s="9"/>
      <c r="Y3446" s="9"/>
      <c r="Z3446" s="9"/>
      <c r="AA3446" s="9"/>
    </row>
    <row r="3447" spans="1:27" ht="13.6">
      <c r="A3447" s="8"/>
      <c r="B3447" s="12"/>
      <c r="C3447" s="9"/>
      <c r="D3447" s="9"/>
      <c r="E3447" s="9"/>
      <c r="F3447" s="9"/>
      <c r="G3447" s="9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9"/>
      <c r="U3447" s="9"/>
      <c r="V3447" s="9"/>
      <c r="W3447" s="9"/>
      <c r="X3447" s="9"/>
      <c r="Y3447" s="9"/>
      <c r="Z3447" s="9"/>
      <c r="AA3447" s="9"/>
    </row>
    <row r="3448" spans="1:27" ht="13.6">
      <c r="A3448" s="8"/>
      <c r="B3448" s="12"/>
      <c r="C3448" s="9"/>
      <c r="D3448" s="9"/>
      <c r="E3448" s="9"/>
      <c r="F3448" s="9"/>
      <c r="G3448" s="9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9"/>
      <c r="U3448" s="9"/>
      <c r="V3448" s="9"/>
      <c r="W3448" s="9"/>
      <c r="X3448" s="9"/>
      <c r="Y3448" s="9"/>
      <c r="Z3448" s="9"/>
      <c r="AA3448" s="9"/>
    </row>
    <row r="3449" spans="1:27" ht="13.6">
      <c r="A3449" s="8"/>
      <c r="B3449" s="12"/>
      <c r="C3449" s="9"/>
      <c r="D3449" s="9"/>
      <c r="E3449" s="9"/>
      <c r="F3449" s="9"/>
      <c r="G3449" s="9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9"/>
      <c r="U3449" s="9"/>
      <c r="V3449" s="9"/>
      <c r="W3449" s="9"/>
      <c r="X3449" s="9"/>
      <c r="Y3449" s="9"/>
      <c r="Z3449" s="9"/>
      <c r="AA3449" s="9"/>
    </row>
    <row r="3450" spans="1:27" ht="13.6">
      <c r="A3450" s="8"/>
      <c r="B3450" s="12"/>
      <c r="C3450" s="9"/>
      <c r="D3450" s="9"/>
      <c r="E3450" s="9"/>
      <c r="F3450" s="9"/>
      <c r="G3450" s="9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9"/>
      <c r="U3450" s="9"/>
      <c r="V3450" s="9"/>
      <c r="W3450" s="9"/>
      <c r="X3450" s="9"/>
      <c r="Y3450" s="9"/>
      <c r="Z3450" s="9"/>
      <c r="AA3450" s="9"/>
    </row>
    <row r="3451" spans="1:27" ht="13.6">
      <c r="A3451" s="8"/>
      <c r="B3451" s="12"/>
      <c r="C3451" s="9"/>
      <c r="D3451" s="9"/>
      <c r="E3451" s="9"/>
      <c r="F3451" s="9"/>
      <c r="G3451" s="9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9"/>
      <c r="U3451" s="9"/>
      <c r="V3451" s="9"/>
      <c r="W3451" s="9"/>
      <c r="X3451" s="9"/>
      <c r="Y3451" s="9"/>
      <c r="Z3451" s="9"/>
      <c r="AA3451" s="9"/>
    </row>
    <row r="3452" spans="1:27" ht="13.6">
      <c r="A3452" s="8"/>
      <c r="B3452" s="12"/>
      <c r="C3452" s="9"/>
      <c r="D3452" s="9"/>
      <c r="E3452" s="9"/>
      <c r="F3452" s="9"/>
      <c r="G3452" s="9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9"/>
      <c r="U3452" s="9"/>
      <c r="V3452" s="9"/>
      <c r="W3452" s="9"/>
      <c r="X3452" s="9"/>
      <c r="Y3452" s="9"/>
      <c r="Z3452" s="9"/>
      <c r="AA3452" s="9"/>
    </row>
    <row r="3453" spans="1:27" ht="13.6">
      <c r="A3453" s="8"/>
      <c r="B3453" s="12"/>
      <c r="C3453" s="9"/>
      <c r="D3453" s="9"/>
      <c r="E3453" s="9"/>
      <c r="F3453" s="9"/>
      <c r="G3453" s="9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9"/>
      <c r="U3453" s="9"/>
      <c r="V3453" s="9"/>
      <c r="W3453" s="9"/>
      <c r="X3453" s="9"/>
      <c r="Y3453" s="9"/>
      <c r="Z3453" s="9"/>
      <c r="AA3453" s="9"/>
    </row>
    <row r="3454" spans="1:27" ht="13.6">
      <c r="A3454" s="8"/>
      <c r="B3454" s="12"/>
      <c r="C3454" s="9"/>
      <c r="D3454" s="9"/>
      <c r="E3454" s="9"/>
      <c r="F3454" s="9"/>
      <c r="G3454" s="9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9"/>
      <c r="U3454" s="9"/>
      <c r="V3454" s="9"/>
      <c r="W3454" s="9"/>
      <c r="X3454" s="9"/>
      <c r="Y3454" s="9"/>
      <c r="Z3454" s="9"/>
      <c r="AA3454" s="9"/>
    </row>
    <row r="3455" spans="1:27" ht="13.6">
      <c r="A3455" s="8"/>
      <c r="B3455" s="12"/>
      <c r="C3455" s="9"/>
      <c r="D3455" s="9"/>
      <c r="E3455" s="9"/>
      <c r="F3455" s="9"/>
      <c r="G3455" s="9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9"/>
      <c r="U3455" s="9"/>
      <c r="V3455" s="9"/>
      <c r="W3455" s="9"/>
      <c r="X3455" s="9"/>
      <c r="Y3455" s="9"/>
      <c r="Z3455" s="9"/>
      <c r="AA3455" s="9"/>
    </row>
    <row r="3456" spans="1:27" ht="13.6">
      <c r="A3456" s="8"/>
      <c r="B3456" s="12"/>
      <c r="C3456" s="9"/>
      <c r="D3456" s="9"/>
      <c r="E3456" s="9"/>
      <c r="F3456" s="9"/>
      <c r="G3456" s="9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9"/>
      <c r="U3456" s="9"/>
      <c r="V3456" s="9"/>
      <c r="W3456" s="9"/>
      <c r="X3456" s="9"/>
      <c r="Y3456" s="9"/>
      <c r="Z3456" s="9"/>
      <c r="AA3456" s="9"/>
    </row>
    <row r="3457" spans="1:27" ht="13.6">
      <c r="A3457" s="8"/>
      <c r="B3457" s="12"/>
      <c r="C3457" s="9"/>
      <c r="D3457" s="9"/>
      <c r="E3457" s="9"/>
      <c r="F3457" s="9"/>
      <c r="G3457" s="9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9"/>
      <c r="U3457" s="9"/>
      <c r="V3457" s="9"/>
      <c r="W3457" s="9"/>
      <c r="X3457" s="9"/>
      <c r="Y3457" s="9"/>
      <c r="Z3457" s="9"/>
      <c r="AA3457" s="9"/>
    </row>
    <row r="3458" spans="1:27" ht="13.6">
      <c r="A3458" s="8"/>
      <c r="B3458" s="12"/>
      <c r="C3458" s="9"/>
      <c r="D3458" s="9"/>
      <c r="E3458" s="9"/>
      <c r="F3458" s="9"/>
      <c r="G3458" s="9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9"/>
      <c r="U3458" s="9"/>
      <c r="V3458" s="9"/>
      <c r="W3458" s="9"/>
      <c r="X3458" s="9"/>
      <c r="Y3458" s="9"/>
      <c r="Z3458" s="9"/>
      <c r="AA3458" s="9"/>
    </row>
    <row r="3459" spans="1:27" ht="13.6">
      <c r="A3459" s="8"/>
      <c r="B3459" s="12"/>
      <c r="C3459" s="9"/>
      <c r="D3459" s="9"/>
      <c r="E3459" s="9"/>
      <c r="F3459" s="9"/>
      <c r="G3459" s="9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9"/>
      <c r="U3459" s="9"/>
      <c r="V3459" s="9"/>
      <c r="W3459" s="9"/>
      <c r="X3459" s="9"/>
      <c r="Y3459" s="9"/>
      <c r="Z3459" s="9"/>
      <c r="AA3459" s="9"/>
    </row>
    <row r="3460" spans="1:27" ht="13.6">
      <c r="A3460" s="8"/>
      <c r="B3460" s="12"/>
      <c r="C3460" s="9"/>
      <c r="D3460" s="9"/>
      <c r="E3460" s="9"/>
      <c r="F3460" s="9"/>
      <c r="G3460" s="9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9"/>
      <c r="U3460" s="9"/>
      <c r="V3460" s="9"/>
      <c r="W3460" s="9"/>
      <c r="X3460" s="9"/>
      <c r="Y3460" s="9"/>
      <c r="Z3460" s="9"/>
      <c r="AA3460" s="9"/>
    </row>
    <row r="3461" spans="1:27" ht="13.6">
      <c r="A3461" s="8"/>
      <c r="B3461" s="12"/>
      <c r="C3461" s="9"/>
      <c r="D3461" s="9"/>
      <c r="E3461" s="9"/>
      <c r="F3461" s="9"/>
      <c r="G3461" s="9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9"/>
      <c r="U3461" s="9"/>
      <c r="V3461" s="9"/>
      <c r="W3461" s="9"/>
      <c r="X3461" s="9"/>
      <c r="Y3461" s="9"/>
      <c r="Z3461" s="9"/>
      <c r="AA3461" s="9"/>
    </row>
    <row r="3462" spans="1:27" ht="13.6">
      <c r="A3462" s="8"/>
      <c r="B3462" s="12"/>
      <c r="C3462" s="9"/>
      <c r="D3462" s="9"/>
      <c r="E3462" s="9"/>
      <c r="F3462" s="9"/>
      <c r="G3462" s="9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9"/>
      <c r="U3462" s="9"/>
      <c r="V3462" s="9"/>
      <c r="W3462" s="9"/>
      <c r="X3462" s="9"/>
      <c r="Y3462" s="9"/>
      <c r="Z3462" s="9"/>
      <c r="AA3462" s="9"/>
    </row>
    <row r="3463" spans="1:27" ht="13.6">
      <c r="A3463" s="8"/>
      <c r="B3463" s="12"/>
      <c r="C3463" s="9"/>
      <c r="D3463" s="9"/>
      <c r="E3463" s="9"/>
      <c r="F3463" s="9"/>
      <c r="G3463" s="9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9"/>
      <c r="U3463" s="9"/>
      <c r="V3463" s="9"/>
      <c r="W3463" s="9"/>
      <c r="X3463" s="9"/>
      <c r="Y3463" s="9"/>
      <c r="Z3463" s="9"/>
      <c r="AA3463" s="9"/>
    </row>
    <row r="3464" spans="1:27" ht="13.6">
      <c r="A3464" s="8"/>
      <c r="B3464" s="12"/>
      <c r="C3464" s="9"/>
      <c r="D3464" s="9"/>
      <c r="E3464" s="9"/>
      <c r="F3464" s="9"/>
      <c r="G3464" s="9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9"/>
      <c r="U3464" s="9"/>
      <c r="V3464" s="9"/>
      <c r="W3464" s="9"/>
      <c r="X3464" s="9"/>
      <c r="Y3464" s="9"/>
      <c r="Z3464" s="9"/>
      <c r="AA3464" s="9"/>
    </row>
    <row r="3465" spans="1:27" ht="13.6">
      <c r="A3465" s="8"/>
      <c r="B3465" s="12"/>
      <c r="C3465" s="9"/>
      <c r="D3465" s="9"/>
      <c r="E3465" s="9"/>
      <c r="F3465" s="9"/>
      <c r="G3465" s="9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9"/>
      <c r="U3465" s="9"/>
      <c r="V3465" s="9"/>
      <c r="W3465" s="9"/>
      <c r="X3465" s="9"/>
      <c r="Y3465" s="9"/>
      <c r="Z3465" s="9"/>
      <c r="AA3465" s="9"/>
    </row>
    <row r="3466" spans="1:27" ht="13.6">
      <c r="A3466" s="8"/>
      <c r="B3466" s="12"/>
      <c r="C3466" s="9"/>
      <c r="D3466" s="9"/>
      <c r="E3466" s="9"/>
      <c r="F3466" s="9"/>
      <c r="G3466" s="9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9"/>
      <c r="U3466" s="9"/>
      <c r="V3466" s="9"/>
      <c r="W3466" s="9"/>
      <c r="X3466" s="9"/>
      <c r="Y3466" s="9"/>
      <c r="Z3466" s="9"/>
      <c r="AA3466" s="9"/>
    </row>
    <row r="3467" spans="1:27" ht="13.6">
      <c r="A3467" s="8"/>
      <c r="B3467" s="12"/>
      <c r="C3467" s="9"/>
      <c r="D3467" s="9"/>
      <c r="E3467" s="9"/>
      <c r="F3467" s="9"/>
      <c r="G3467" s="9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9"/>
      <c r="U3467" s="9"/>
      <c r="V3467" s="9"/>
      <c r="W3467" s="9"/>
      <c r="X3467" s="9"/>
      <c r="Y3467" s="9"/>
      <c r="Z3467" s="9"/>
      <c r="AA3467" s="9"/>
    </row>
    <row r="3468" spans="1:27" ht="13.6">
      <c r="A3468" s="8"/>
      <c r="B3468" s="12"/>
      <c r="C3468" s="9"/>
      <c r="D3468" s="9"/>
      <c r="E3468" s="9"/>
      <c r="F3468" s="9"/>
      <c r="G3468" s="9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9"/>
      <c r="U3468" s="9"/>
      <c r="V3468" s="9"/>
      <c r="W3468" s="9"/>
      <c r="X3468" s="9"/>
      <c r="Y3468" s="9"/>
      <c r="Z3468" s="9"/>
      <c r="AA3468" s="9"/>
    </row>
    <row r="3469" spans="1:27" ht="13.6">
      <c r="A3469" s="8"/>
      <c r="B3469" s="12"/>
      <c r="C3469" s="9"/>
      <c r="D3469" s="9"/>
      <c r="E3469" s="9"/>
      <c r="F3469" s="9"/>
      <c r="G3469" s="9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9"/>
      <c r="U3469" s="9"/>
      <c r="V3469" s="9"/>
      <c r="W3469" s="9"/>
      <c r="X3469" s="9"/>
      <c r="Y3469" s="9"/>
      <c r="Z3469" s="9"/>
      <c r="AA3469" s="9"/>
    </row>
    <row r="3470" spans="1:27" ht="13.6">
      <c r="A3470" s="8"/>
      <c r="B3470" s="12"/>
      <c r="C3470" s="9"/>
      <c r="D3470" s="9"/>
      <c r="E3470" s="9"/>
      <c r="F3470" s="9"/>
      <c r="G3470" s="9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9"/>
      <c r="U3470" s="9"/>
      <c r="V3470" s="9"/>
      <c r="W3470" s="9"/>
      <c r="X3470" s="9"/>
      <c r="Y3470" s="9"/>
      <c r="Z3470" s="9"/>
      <c r="AA3470" s="9"/>
    </row>
    <row r="3471" spans="1:27" ht="13.6">
      <c r="A3471" s="8"/>
      <c r="B3471" s="12"/>
      <c r="C3471" s="9"/>
      <c r="D3471" s="9"/>
      <c r="E3471" s="9"/>
      <c r="F3471" s="9"/>
      <c r="G3471" s="9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9"/>
      <c r="U3471" s="9"/>
      <c r="V3471" s="9"/>
      <c r="W3471" s="9"/>
      <c r="X3471" s="9"/>
      <c r="Y3471" s="9"/>
      <c r="Z3471" s="9"/>
      <c r="AA3471" s="9"/>
    </row>
    <row r="3472" spans="1:27" ht="13.6">
      <c r="A3472" s="8"/>
      <c r="B3472" s="12"/>
      <c r="C3472" s="9"/>
      <c r="D3472" s="9"/>
      <c r="E3472" s="9"/>
      <c r="F3472" s="9"/>
      <c r="G3472" s="9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9"/>
      <c r="U3472" s="9"/>
      <c r="V3472" s="9"/>
      <c r="W3472" s="9"/>
      <c r="X3472" s="9"/>
      <c r="Y3472" s="9"/>
      <c r="Z3472" s="9"/>
      <c r="AA3472" s="9"/>
    </row>
    <row r="3473" spans="1:27" ht="13.6">
      <c r="A3473" s="8"/>
      <c r="B3473" s="12"/>
      <c r="C3473" s="9"/>
      <c r="D3473" s="9"/>
      <c r="E3473" s="9"/>
      <c r="F3473" s="9"/>
      <c r="G3473" s="9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9"/>
      <c r="U3473" s="9"/>
      <c r="V3473" s="9"/>
      <c r="W3473" s="9"/>
      <c r="X3473" s="9"/>
      <c r="Y3473" s="9"/>
      <c r="Z3473" s="9"/>
      <c r="AA3473" s="9"/>
    </row>
    <row r="3474" spans="1:27" ht="13.6">
      <c r="A3474" s="8"/>
      <c r="B3474" s="12"/>
      <c r="C3474" s="9"/>
      <c r="D3474" s="9"/>
      <c r="E3474" s="9"/>
      <c r="F3474" s="9"/>
      <c r="G3474" s="9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9"/>
      <c r="U3474" s="9"/>
      <c r="V3474" s="9"/>
      <c r="W3474" s="9"/>
      <c r="X3474" s="9"/>
      <c r="Y3474" s="9"/>
      <c r="Z3474" s="9"/>
      <c r="AA3474" s="9"/>
    </row>
    <row r="3475" spans="1:27" ht="13.6">
      <c r="A3475" s="8"/>
      <c r="B3475" s="12"/>
      <c r="C3475" s="9"/>
      <c r="D3475" s="9"/>
      <c r="E3475" s="9"/>
      <c r="F3475" s="9"/>
      <c r="G3475" s="9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9"/>
      <c r="U3475" s="9"/>
      <c r="V3475" s="9"/>
      <c r="W3475" s="9"/>
      <c r="X3475" s="9"/>
      <c r="Y3475" s="9"/>
      <c r="Z3475" s="9"/>
      <c r="AA3475" s="9"/>
    </row>
    <row r="3476" spans="1:27" ht="13.6">
      <c r="A3476" s="8"/>
      <c r="B3476" s="12"/>
      <c r="C3476" s="9"/>
      <c r="D3476" s="9"/>
      <c r="E3476" s="9"/>
      <c r="F3476" s="9"/>
      <c r="G3476" s="9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9"/>
      <c r="U3476" s="9"/>
      <c r="V3476" s="9"/>
      <c r="W3476" s="9"/>
      <c r="X3476" s="9"/>
      <c r="Y3476" s="9"/>
      <c r="Z3476" s="9"/>
      <c r="AA3476" s="9"/>
    </row>
    <row r="3477" spans="1:27" ht="13.6">
      <c r="A3477" s="8"/>
      <c r="B3477" s="12"/>
      <c r="C3477" s="9"/>
      <c r="D3477" s="9"/>
      <c r="E3477" s="9"/>
      <c r="F3477" s="9"/>
      <c r="G3477" s="9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9"/>
      <c r="U3477" s="9"/>
      <c r="V3477" s="9"/>
      <c r="W3477" s="9"/>
      <c r="X3477" s="9"/>
      <c r="Y3477" s="9"/>
      <c r="Z3477" s="9"/>
      <c r="AA3477" s="9"/>
    </row>
    <row r="3478" spans="1:27" ht="13.6">
      <c r="A3478" s="8"/>
      <c r="B3478" s="12"/>
      <c r="C3478" s="9"/>
      <c r="D3478" s="9"/>
      <c r="E3478" s="9"/>
      <c r="F3478" s="9"/>
      <c r="G3478" s="9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9"/>
      <c r="U3478" s="9"/>
      <c r="V3478" s="9"/>
      <c r="W3478" s="9"/>
      <c r="X3478" s="9"/>
      <c r="Y3478" s="9"/>
      <c r="Z3478" s="9"/>
      <c r="AA3478" s="9"/>
    </row>
    <row r="3479" spans="1:27" ht="13.6">
      <c r="A3479" s="8"/>
      <c r="B3479" s="12"/>
      <c r="C3479" s="9"/>
      <c r="D3479" s="9"/>
      <c r="E3479" s="9"/>
      <c r="F3479" s="9"/>
      <c r="G3479" s="9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9"/>
      <c r="U3479" s="9"/>
      <c r="V3479" s="9"/>
      <c r="W3479" s="9"/>
      <c r="X3479" s="9"/>
      <c r="Y3479" s="9"/>
      <c r="Z3479" s="9"/>
      <c r="AA3479" s="9"/>
    </row>
    <row r="3480" spans="1:27" ht="13.6">
      <c r="A3480" s="8"/>
      <c r="B3480" s="12"/>
      <c r="C3480" s="9"/>
      <c r="D3480" s="9"/>
      <c r="E3480" s="9"/>
      <c r="F3480" s="9"/>
      <c r="G3480" s="9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9"/>
      <c r="U3480" s="9"/>
      <c r="V3480" s="9"/>
      <c r="W3480" s="9"/>
      <c r="X3480" s="9"/>
      <c r="Y3480" s="9"/>
      <c r="Z3480" s="9"/>
      <c r="AA3480" s="9"/>
    </row>
    <row r="3481" spans="1:27" ht="13.6">
      <c r="A3481" s="8"/>
      <c r="B3481" s="12"/>
      <c r="C3481" s="9"/>
      <c r="D3481" s="9"/>
      <c r="E3481" s="9"/>
      <c r="F3481" s="9"/>
      <c r="G3481" s="9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9"/>
      <c r="U3481" s="9"/>
      <c r="V3481" s="9"/>
      <c r="W3481" s="9"/>
      <c r="X3481" s="9"/>
      <c r="Y3481" s="9"/>
      <c r="Z3481" s="9"/>
      <c r="AA3481" s="9"/>
    </row>
    <row r="3482" spans="1:27" ht="13.6">
      <c r="A3482" s="8"/>
      <c r="B3482" s="12"/>
      <c r="C3482" s="9"/>
      <c r="D3482" s="9"/>
      <c r="E3482" s="9"/>
      <c r="F3482" s="9"/>
      <c r="G3482" s="9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9"/>
      <c r="U3482" s="9"/>
      <c r="V3482" s="9"/>
      <c r="W3482" s="9"/>
      <c r="X3482" s="9"/>
      <c r="Y3482" s="9"/>
      <c r="Z3482" s="9"/>
      <c r="AA3482" s="9"/>
    </row>
    <row r="3483" spans="1:27" ht="13.6">
      <c r="A3483" s="8"/>
      <c r="B3483" s="12"/>
      <c r="C3483" s="9"/>
      <c r="D3483" s="9"/>
      <c r="E3483" s="9"/>
      <c r="F3483" s="9"/>
      <c r="G3483" s="9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9"/>
      <c r="U3483" s="9"/>
      <c r="V3483" s="9"/>
      <c r="W3483" s="9"/>
      <c r="X3483" s="9"/>
      <c r="Y3483" s="9"/>
      <c r="Z3483" s="9"/>
      <c r="AA3483" s="9"/>
    </row>
    <row r="3484" spans="1:27" ht="13.6">
      <c r="A3484" s="8"/>
      <c r="B3484" s="12"/>
      <c r="C3484" s="9"/>
      <c r="D3484" s="9"/>
      <c r="E3484" s="9"/>
      <c r="F3484" s="9"/>
      <c r="G3484" s="9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9"/>
      <c r="U3484" s="9"/>
      <c r="V3484" s="9"/>
      <c r="W3484" s="9"/>
      <c r="X3484" s="9"/>
      <c r="Y3484" s="9"/>
      <c r="Z3484" s="9"/>
      <c r="AA3484" s="9"/>
    </row>
    <row r="3485" spans="1:27" ht="13.6">
      <c r="A3485" s="8"/>
      <c r="B3485" s="12"/>
      <c r="C3485" s="9"/>
      <c r="D3485" s="9"/>
      <c r="E3485" s="9"/>
      <c r="F3485" s="9"/>
      <c r="G3485" s="9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9"/>
      <c r="U3485" s="9"/>
      <c r="V3485" s="9"/>
      <c r="W3485" s="9"/>
      <c r="X3485" s="9"/>
      <c r="Y3485" s="9"/>
      <c r="Z3485" s="9"/>
      <c r="AA3485" s="9"/>
    </row>
    <row r="3486" spans="1:27" ht="13.6">
      <c r="A3486" s="8"/>
      <c r="B3486" s="12"/>
      <c r="C3486" s="9"/>
      <c r="D3486" s="9"/>
      <c r="E3486" s="9"/>
      <c r="F3486" s="9"/>
      <c r="G3486" s="9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9"/>
      <c r="U3486" s="9"/>
      <c r="V3486" s="9"/>
      <c r="W3486" s="9"/>
      <c r="X3486" s="9"/>
      <c r="Y3486" s="9"/>
      <c r="Z3486" s="9"/>
      <c r="AA3486" s="9"/>
    </row>
    <row r="3487" spans="1:27" ht="13.6">
      <c r="A3487" s="8"/>
      <c r="B3487" s="12"/>
      <c r="C3487" s="9"/>
      <c r="D3487" s="9"/>
      <c r="E3487" s="9"/>
      <c r="F3487" s="9"/>
      <c r="G3487" s="9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9"/>
      <c r="U3487" s="9"/>
      <c r="V3487" s="9"/>
      <c r="W3487" s="9"/>
      <c r="X3487" s="9"/>
      <c r="Y3487" s="9"/>
      <c r="Z3487" s="9"/>
      <c r="AA3487" s="9"/>
    </row>
    <row r="3488" spans="1:27" ht="13.6">
      <c r="A3488" s="8"/>
      <c r="B3488" s="12"/>
      <c r="C3488" s="9"/>
      <c r="D3488" s="9"/>
      <c r="E3488" s="9"/>
      <c r="F3488" s="9"/>
      <c r="G3488" s="9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9"/>
      <c r="U3488" s="9"/>
      <c r="V3488" s="9"/>
      <c r="W3488" s="9"/>
      <c r="X3488" s="9"/>
      <c r="Y3488" s="9"/>
      <c r="Z3488" s="9"/>
      <c r="AA3488" s="9"/>
    </row>
    <row r="3489" spans="1:27" ht="13.6">
      <c r="A3489" s="8"/>
      <c r="B3489" s="12"/>
      <c r="C3489" s="9"/>
      <c r="D3489" s="9"/>
      <c r="E3489" s="9"/>
      <c r="F3489" s="9"/>
      <c r="G3489" s="9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9"/>
      <c r="U3489" s="9"/>
      <c r="V3489" s="9"/>
      <c r="W3489" s="9"/>
      <c r="X3489" s="9"/>
      <c r="Y3489" s="9"/>
      <c r="Z3489" s="9"/>
      <c r="AA3489" s="9"/>
    </row>
    <row r="3490" spans="1:27" ht="13.6">
      <c r="A3490" s="8"/>
      <c r="B3490" s="12"/>
      <c r="C3490" s="9"/>
      <c r="D3490" s="9"/>
      <c r="E3490" s="9"/>
      <c r="F3490" s="9"/>
      <c r="G3490" s="9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9"/>
      <c r="U3490" s="9"/>
      <c r="V3490" s="9"/>
      <c r="W3490" s="9"/>
      <c r="X3490" s="9"/>
      <c r="Y3490" s="9"/>
      <c r="Z3490" s="9"/>
      <c r="AA3490" s="9"/>
    </row>
    <row r="3491" spans="1:27" ht="13.6">
      <c r="A3491" s="8"/>
      <c r="B3491" s="12"/>
      <c r="C3491" s="9"/>
      <c r="D3491" s="9"/>
      <c r="E3491" s="9"/>
      <c r="F3491" s="9"/>
      <c r="G3491" s="9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9"/>
      <c r="U3491" s="9"/>
      <c r="V3491" s="9"/>
      <c r="W3491" s="9"/>
      <c r="X3491" s="9"/>
      <c r="Y3491" s="9"/>
      <c r="Z3491" s="9"/>
      <c r="AA3491" s="9"/>
    </row>
    <row r="3492" spans="1:27" ht="13.6">
      <c r="A3492" s="8"/>
      <c r="B3492" s="12"/>
      <c r="C3492" s="9"/>
      <c r="D3492" s="9"/>
      <c r="E3492" s="9"/>
      <c r="F3492" s="9"/>
      <c r="G3492" s="9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9"/>
      <c r="U3492" s="9"/>
      <c r="V3492" s="9"/>
      <c r="W3492" s="9"/>
      <c r="X3492" s="9"/>
      <c r="Y3492" s="9"/>
      <c r="Z3492" s="9"/>
      <c r="AA3492" s="9"/>
    </row>
    <row r="3493" spans="1:27" ht="13.6">
      <c r="A3493" s="8"/>
      <c r="B3493" s="12"/>
      <c r="C3493" s="9"/>
      <c r="D3493" s="9"/>
      <c r="E3493" s="9"/>
      <c r="F3493" s="9"/>
      <c r="G3493" s="9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9"/>
      <c r="U3493" s="9"/>
      <c r="V3493" s="9"/>
      <c r="W3493" s="9"/>
      <c r="X3493" s="9"/>
      <c r="Y3493" s="9"/>
      <c r="Z3493" s="9"/>
      <c r="AA3493" s="9"/>
    </row>
    <row r="3494" spans="1:27" ht="13.6">
      <c r="A3494" s="8"/>
      <c r="B3494" s="12"/>
      <c r="C3494" s="9"/>
      <c r="D3494" s="9"/>
      <c r="E3494" s="9"/>
      <c r="F3494" s="9"/>
      <c r="G3494" s="9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9"/>
      <c r="U3494" s="9"/>
      <c r="V3494" s="9"/>
      <c r="W3494" s="9"/>
      <c r="X3494" s="9"/>
      <c r="Y3494" s="9"/>
      <c r="Z3494" s="9"/>
      <c r="AA3494" s="9"/>
    </row>
    <row r="3495" spans="1:27" ht="13.6">
      <c r="A3495" s="8"/>
      <c r="B3495" s="12"/>
      <c r="C3495" s="9"/>
      <c r="D3495" s="9"/>
      <c r="E3495" s="9"/>
      <c r="F3495" s="9"/>
      <c r="G3495" s="9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9"/>
      <c r="U3495" s="9"/>
      <c r="V3495" s="9"/>
      <c r="W3495" s="9"/>
      <c r="X3495" s="9"/>
      <c r="Y3495" s="9"/>
      <c r="Z3495" s="9"/>
      <c r="AA3495" s="9"/>
    </row>
    <row r="3496" spans="1:27" ht="13.6">
      <c r="A3496" s="8"/>
      <c r="B3496" s="12"/>
      <c r="C3496" s="9"/>
      <c r="D3496" s="9"/>
      <c r="E3496" s="9"/>
      <c r="F3496" s="9"/>
      <c r="G3496" s="9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9"/>
      <c r="U3496" s="9"/>
      <c r="V3496" s="9"/>
      <c r="W3496" s="9"/>
      <c r="X3496" s="9"/>
      <c r="Y3496" s="9"/>
      <c r="Z3496" s="9"/>
      <c r="AA3496" s="9"/>
    </row>
    <row r="3497" spans="1:27" ht="13.6">
      <c r="A3497" s="8"/>
      <c r="B3497" s="12"/>
      <c r="C3497" s="9"/>
      <c r="D3497" s="9"/>
      <c r="E3497" s="9"/>
      <c r="F3497" s="9"/>
      <c r="G3497" s="9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9"/>
      <c r="U3497" s="9"/>
      <c r="V3497" s="9"/>
      <c r="W3497" s="9"/>
      <c r="X3497" s="9"/>
      <c r="Y3497" s="9"/>
      <c r="Z3497" s="9"/>
      <c r="AA3497" s="9"/>
    </row>
    <row r="3498" spans="1:27" ht="13.6">
      <c r="A3498" s="8"/>
      <c r="B3498" s="12"/>
      <c r="C3498" s="9"/>
      <c r="D3498" s="9"/>
      <c r="E3498" s="9"/>
      <c r="F3498" s="9"/>
      <c r="G3498" s="9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9"/>
      <c r="U3498" s="9"/>
      <c r="V3498" s="9"/>
      <c r="W3498" s="9"/>
      <c r="X3498" s="9"/>
      <c r="Y3498" s="9"/>
      <c r="Z3498" s="9"/>
      <c r="AA3498" s="9"/>
    </row>
    <row r="3499" spans="1:27" ht="13.6">
      <c r="A3499" s="8"/>
      <c r="B3499" s="12"/>
      <c r="C3499" s="9"/>
      <c r="D3499" s="9"/>
      <c r="E3499" s="9"/>
      <c r="F3499" s="9"/>
      <c r="G3499" s="9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9"/>
      <c r="U3499" s="9"/>
      <c r="V3499" s="9"/>
      <c r="W3499" s="9"/>
      <c r="X3499" s="9"/>
      <c r="Y3499" s="9"/>
      <c r="Z3499" s="9"/>
      <c r="AA3499" s="9"/>
    </row>
    <row r="3500" spans="1:27" ht="13.6">
      <c r="A3500" s="8"/>
      <c r="B3500" s="12"/>
      <c r="C3500" s="9"/>
      <c r="D3500" s="9"/>
      <c r="E3500" s="9"/>
      <c r="F3500" s="9"/>
      <c r="G3500" s="9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9"/>
      <c r="U3500" s="9"/>
      <c r="V3500" s="9"/>
      <c r="W3500" s="9"/>
      <c r="X3500" s="9"/>
      <c r="Y3500" s="9"/>
      <c r="Z3500" s="9"/>
      <c r="AA3500" s="9"/>
    </row>
    <row r="3501" spans="1:27" ht="13.6">
      <c r="A3501" s="8"/>
      <c r="B3501" s="12"/>
      <c r="C3501" s="9"/>
      <c r="D3501" s="9"/>
      <c r="E3501" s="9"/>
      <c r="F3501" s="9"/>
      <c r="G3501" s="9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9"/>
      <c r="U3501" s="9"/>
      <c r="V3501" s="9"/>
      <c r="W3501" s="9"/>
      <c r="X3501" s="9"/>
      <c r="Y3501" s="9"/>
      <c r="Z3501" s="9"/>
      <c r="AA3501" s="9"/>
    </row>
    <row r="3502" spans="1:27" ht="13.6">
      <c r="A3502" s="8"/>
      <c r="B3502" s="12"/>
      <c r="C3502" s="9"/>
      <c r="D3502" s="9"/>
      <c r="E3502" s="9"/>
      <c r="F3502" s="9"/>
      <c r="G3502" s="9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9"/>
      <c r="U3502" s="9"/>
      <c r="V3502" s="9"/>
      <c r="W3502" s="9"/>
      <c r="X3502" s="9"/>
      <c r="Y3502" s="9"/>
      <c r="Z3502" s="9"/>
      <c r="AA3502" s="9"/>
    </row>
    <row r="3503" spans="1:27" ht="13.6">
      <c r="A3503" s="8"/>
      <c r="B3503" s="12"/>
      <c r="C3503" s="9"/>
      <c r="D3503" s="9"/>
      <c r="E3503" s="9"/>
      <c r="F3503" s="9"/>
      <c r="G3503" s="9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9"/>
      <c r="U3503" s="9"/>
      <c r="V3503" s="9"/>
      <c r="W3503" s="9"/>
      <c r="X3503" s="9"/>
      <c r="Y3503" s="9"/>
      <c r="Z3503" s="9"/>
      <c r="AA3503" s="9"/>
    </row>
    <row r="3504" spans="1:27" ht="13.6">
      <c r="A3504" s="8"/>
      <c r="B3504" s="12"/>
      <c r="C3504" s="9"/>
      <c r="D3504" s="9"/>
      <c r="E3504" s="9"/>
      <c r="F3504" s="9"/>
      <c r="G3504" s="9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9"/>
      <c r="U3504" s="9"/>
      <c r="V3504" s="9"/>
      <c r="W3504" s="9"/>
      <c r="X3504" s="9"/>
      <c r="Y3504" s="9"/>
      <c r="Z3504" s="9"/>
      <c r="AA3504" s="9"/>
    </row>
    <row r="3505" spans="1:27" ht="13.6">
      <c r="A3505" s="8"/>
      <c r="B3505" s="12"/>
      <c r="C3505" s="9"/>
      <c r="D3505" s="9"/>
      <c r="E3505" s="9"/>
      <c r="F3505" s="9"/>
      <c r="G3505" s="9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9"/>
      <c r="U3505" s="9"/>
      <c r="V3505" s="9"/>
      <c r="W3505" s="9"/>
      <c r="X3505" s="9"/>
      <c r="Y3505" s="9"/>
      <c r="Z3505" s="9"/>
      <c r="AA3505" s="9"/>
    </row>
    <row r="3506" spans="1:27" ht="13.6">
      <c r="A3506" s="8"/>
      <c r="B3506" s="12"/>
      <c r="C3506" s="9"/>
      <c r="D3506" s="9"/>
      <c r="E3506" s="9"/>
      <c r="F3506" s="9"/>
      <c r="G3506" s="9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9"/>
      <c r="U3506" s="9"/>
      <c r="V3506" s="9"/>
      <c r="W3506" s="9"/>
      <c r="X3506" s="9"/>
      <c r="Y3506" s="9"/>
      <c r="Z3506" s="9"/>
      <c r="AA3506" s="9"/>
    </row>
    <row r="3507" spans="1:27" ht="13.6">
      <c r="A3507" s="8"/>
      <c r="B3507" s="12"/>
      <c r="C3507" s="9"/>
      <c r="D3507" s="9"/>
      <c r="E3507" s="9"/>
      <c r="F3507" s="9"/>
      <c r="G3507" s="9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9"/>
      <c r="U3507" s="9"/>
      <c r="V3507" s="9"/>
      <c r="W3507" s="9"/>
      <c r="X3507" s="9"/>
      <c r="Y3507" s="9"/>
      <c r="Z3507" s="9"/>
      <c r="AA3507" s="9"/>
    </row>
    <row r="3508" spans="1:27" ht="13.6">
      <c r="A3508" s="8"/>
      <c r="B3508" s="12"/>
      <c r="C3508" s="9"/>
      <c r="D3508" s="9"/>
      <c r="E3508" s="9"/>
      <c r="F3508" s="9"/>
      <c r="G3508" s="9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9"/>
      <c r="U3508" s="9"/>
      <c r="V3508" s="9"/>
      <c r="W3508" s="9"/>
      <c r="X3508" s="9"/>
      <c r="Y3508" s="9"/>
      <c r="Z3508" s="9"/>
      <c r="AA3508" s="9"/>
    </row>
    <row r="3509" spans="1:27" ht="13.6">
      <c r="A3509" s="8"/>
      <c r="B3509" s="12"/>
      <c r="C3509" s="9"/>
      <c r="D3509" s="9"/>
      <c r="E3509" s="9"/>
      <c r="F3509" s="9"/>
      <c r="G3509" s="9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9"/>
      <c r="U3509" s="9"/>
      <c r="V3509" s="9"/>
      <c r="W3509" s="9"/>
      <c r="X3509" s="9"/>
      <c r="Y3509" s="9"/>
      <c r="Z3509" s="9"/>
      <c r="AA3509" s="9"/>
    </row>
    <row r="3510" spans="1:27" ht="13.6">
      <c r="A3510" s="8"/>
      <c r="B3510" s="12"/>
      <c r="C3510" s="9"/>
      <c r="D3510" s="9"/>
      <c r="E3510" s="9"/>
      <c r="F3510" s="9"/>
      <c r="G3510" s="9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9"/>
      <c r="U3510" s="9"/>
      <c r="V3510" s="9"/>
      <c r="W3510" s="9"/>
      <c r="X3510" s="9"/>
      <c r="Y3510" s="9"/>
      <c r="Z3510" s="9"/>
      <c r="AA3510" s="9"/>
    </row>
    <row r="3511" spans="1:27" ht="13.6">
      <c r="A3511" s="8"/>
      <c r="B3511" s="12"/>
      <c r="C3511" s="9"/>
      <c r="D3511" s="9"/>
      <c r="E3511" s="9"/>
      <c r="F3511" s="9"/>
      <c r="G3511" s="9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9"/>
      <c r="U3511" s="9"/>
      <c r="V3511" s="9"/>
      <c r="W3511" s="9"/>
      <c r="X3511" s="9"/>
      <c r="Y3511" s="9"/>
      <c r="Z3511" s="9"/>
      <c r="AA3511" s="9"/>
    </row>
    <row r="3512" spans="1:27" ht="13.6">
      <c r="A3512" s="8"/>
      <c r="B3512" s="12"/>
      <c r="C3512" s="9"/>
      <c r="D3512" s="9"/>
      <c r="E3512" s="9"/>
      <c r="F3512" s="9"/>
      <c r="G3512" s="9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9"/>
      <c r="U3512" s="9"/>
      <c r="V3512" s="9"/>
      <c r="W3512" s="9"/>
      <c r="X3512" s="9"/>
      <c r="Y3512" s="9"/>
      <c r="Z3512" s="9"/>
      <c r="AA3512" s="9"/>
    </row>
    <row r="3513" spans="1:27" ht="13.6">
      <c r="A3513" s="8"/>
      <c r="B3513" s="12"/>
      <c r="C3513" s="9"/>
      <c r="D3513" s="9"/>
      <c r="E3513" s="9"/>
      <c r="F3513" s="9"/>
      <c r="G3513" s="9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9"/>
      <c r="U3513" s="9"/>
      <c r="V3513" s="9"/>
      <c r="W3513" s="9"/>
      <c r="X3513" s="9"/>
      <c r="Y3513" s="9"/>
      <c r="Z3513" s="9"/>
      <c r="AA3513" s="9"/>
    </row>
    <row r="3514" spans="1:27" ht="13.6">
      <c r="A3514" s="8"/>
      <c r="B3514" s="12"/>
      <c r="C3514" s="9"/>
      <c r="D3514" s="9"/>
      <c r="E3514" s="9"/>
      <c r="F3514" s="9"/>
      <c r="G3514" s="9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9"/>
      <c r="U3514" s="9"/>
      <c r="V3514" s="9"/>
      <c r="W3514" s="9"/>
      <c r="X3514" s="9"/>
      <c r="Y3514" s="9"/>
      <c r="Z3514" s="9"/>
      <c r="AA3514" s="9"/>
    </row>
    <row r="3515" spans="1:27" ht="13.6">
      <c r="A3515" s="8"/>
      <c r="B3515" s="12"/>
      <c r="C3515" s="9"/>
      <c r="D3515" s="9"/>
      <c r="E3515" s="9"/>
      <c r="F3515" s="9"/>
      <c r="G3515" s="9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9"/>
      <c r="U3515" s="9"/>
      <c r="V3515" s="9"/>
      <c r="W3515" s="9"/>
      <c r="X3515" s="9"/>
      <c r="Y3515" s="9"/>
      <c r="Z3515" s="9"/>
      <c r="AA3515" s="9"/>
    </row>
    <row r="3516" spans="1:27" ht="13.6">
      <c r="A3516" s="8"/>
      <c r="B3516" s="12"/>
      <c r="C3516" s="9"/>
      <c r="D3516" s="9"/>
      <c r="E3516" s="9"/>
      <c r="F3516" s="9"/>
      <c r="G3516" s="9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9"/>
      <c r="U3516" s="9"/>
      <c r="V3516" s="9"/>
      <c r="W3516" s="9"/>
      <c r="X3516" s="9"/>
      <c r="Y3516" s="9"/>
      <c r="Z3516" s="9"/>
      <c r="AA3516" s="9"/>
    </row>
    <row r="3517" spans="1:27" ht="13.6">
      <c r="A3517" s="8"/>
      <c r="B3517" s="12"/>
      <c r="C3517" s="9"/>
      <c r="D3517" s="9"/>
      <c r="E3517" s="9"/>
      <c r="F3517" s="9"/>
      <c r="G3517" s="9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9"/>
      <c r="U3517" s="9"/>
      <c r="V3517" s="9"/>
      <c r="W3517" s="9"/>
      <c r="X3517" s="9"/>
      <c r="Y3517" s="9"/>
      <c r="Z3517" s="9"/>
      <c r="AA3517" s="9"/>
    </row>
    <row r="3518" spans="1:27" ht="13.6">
      <c r="A3518" s="8"/>
      <c r="B3518" s="12"/>
      <c r="C3518" s="9"/>
      <c r="D3518" s="9"/>
      <c r="E3518" s="9"/>
      <c r="F3518" s="9"/>
      <c r="G3518" s="9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9"/>
      <c r="U3518" s="9"/>
      <c r="V3518" s="9"/>
      <c r="W3518" s="9"/>
      <c r="X3518" s="9"/>
      <c r="Y3518" s="9"/>
      <c r="Z3518" s="9"/>
      <c r="AA3518" s="9"/>
    </row>
    <row r="3519" spans="1:27" ht="13.6">
      <c r="A3519" s="8"/>
      <c r="B3519" s="12"/>
      <c r="C3519" s="9"/>
      <c r="D3519" s="9"/>
      <c r="E3519" s="9"/>
      <c r="F3519" s="9"/>
      <c r="G3519" s="9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9"/>
      <c r="U3519" s="9"/>
      <c r="V3519" s="9"/>
      <c r="W3519" s="9"/>
      <c r="X3519" s="9"/>
      <c r="Y3519" s="9"/>
      <c r="Z3519" s="9"/>
      <c r="AA3519" s="9"/>
    </row>
    <row r="3520" spans="1:27" ht="13.6">
      <c r="A3520" s="8"/>
      <c r="B3520" s="12"/>
      <c r="C3520" s="9"/>
      <c r="D3520" s="9"/>
      <c r="E3520" s="9"/>
      <c r="F3520" s="9"/>
      <c r="G3520" s="9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9"/>
      <c r="U3520" s="9"/>
      <c r="V3520" s="9"/>
      <c r="W3520" s="9"/>
      <c r="X3520" s="9"/>
      <c r="Y3520" s="9"/>
      <c r="Z3520" s="9"/>
      <c r="AA3520" s="9"/>
    </row>
    <row r="3521" spans="1:27" ht="13.6">
      <c r="A3521" s="8"/>
      <c r="B3521" s="12"/>
      <c r="C3521" s="9"/>
      <c r="D3521" s="9"/>
      <c r="E3521" s="9"/>
      <c r="F3521" s="9"/>
      <c r="G3521" s="9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9"/>
      <c r="U3521" s="9"/>
      <c r="V3521" s="9"/>
      <c r="W3521" s="9"/>
      <c r="X3521" s="9"/>
      <c r="Y3521" s="9"/>
      <c r="Z3521" s="9"/>
      <c r="AA3521" s="9"/>
    </row>
    <row r="3522" spans="1:27" ht="13.6">
      <c r="A3522" s="8"/>
      <c r="B3522" s="12"/>
      <c r="C3522" s="9"/>
      <c r="D3522" s="9"/>
      <c r="E3522" s="9"/>
      <c r="F3522" s="9"/>
      <c r="G3522" s="9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9"/>
      <c r="U3522" s="9"/>
      <c r="V3522" s="9"/>
      <c r="W3522" s="9"/>
      <c r="X3522" s="9"/>
      <c r="Y3522" s="9"/>
      <c r="Z3522" s="9"/>
      <c r="AA3522" s="9"/>
    </row>
    <row r="3523" spans="1:27" ht="13.6">
      <c r="A3523" s="8"/>
      <c r="B3523" s="12"/>
      <c r="C3523" s="9"/>
      <c r="D3523" s="9"/>
      <c r="E3523" s="9"/>
      <c r="F3523" s="9"/>
      <c r="G3523" s="9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9"/>
      <c r="U3523" s="9"/>
      <c r="V3523" s="9"/>
      <c r="W3523" s="9"/>
      <c r="X3523" s="9"/>
      <c r="Y3523" s="9"/>
      <c r="Z3523" s="9"/>
      <c r="AA3523" s="9"/>
    </row>
    <row r="3524" spans="1:27" ht="13.6">
      <c r="A3524" s="8"/>
      <c r="B3524" s="12"/>
      <c r="C3524" s="9"/>
      <c r="D3524" s="9"/>
      <c r="E3524" s="9"/>
      <c r="F3524" s="9"/>
      <c r="G3524" s="9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9"/>
      <c r="U3524" s="9"/>
      <c r="V3524" s="9"/>
      <c r="W3524" s="9"/>
      <c r="X3524" s="9"/>
      <c r="Y3524" s="9"/>
      <c r="Z3524" s="9"/>
      <c r="AA3524" s="9"/>
    </row>
    <row r="3525" spans="1:27" ht="13.6">
      <c r="A3525" s="8"/>
      <c r="B3525" s="12"/>
      <c r="C3525" s="9"/>
      <c r="D3525" s="9"/>
      <c r="E3525" s="9"/>
      <c r="F3525" s="9"/>
      <c r="G3525" s="9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9"/>
      <c r="U3525" s="9"/>
      <c r="V3525" s="9"/>
      <c r="W3525" s="9"/>
      <c r="X3525" s="9"/>
      <c r="Y3525" s="9"/>
      <c r="Z3525" s="9"/>
      <c r="AA3525" s="9"/>
    </row>
    <row r="3526" spans="1:27" ht="13.6">
      <c r="A3526" s="8"/>
      <c r="B3526" s="12"/>
      <c r="C3526" s="9"/>
      <c r="D3526" s="9"/>
      <c r="E3526" s="9"/>
      <c r="F3526" s="9"/>
      <c r="G3526" s="9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9"/>
      <c r="U3526" s="9"/>
      <c r="V3526" s="9"/>
      <c r="W3526" s="9"/>
      <c r="X3526" s="9"/>
      <c r="Y3526" s="9"/>
      <c r="Z3526" s="9"/>
      <c r="AA3526" s="9"/>
    </row>
    <row r="3527" spans="1:27" ht="13.6">
      <c r="A3527" s="8"/>
      <c r="B3527" s="12"/>
      <c r="C3527" s="9"/>
      <c r="D3527" s="9"/>
      <c r="E3527" s="9"/>
      <c r="F3527" s="9"/>
      <c r="G3527" s="9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9"/>
      <c r="U3527" s="9"/>
      <c r="V3527" s="9"/>
      <c r="W3527" s="9"/>
      <c r="X3527" s="9"/>
      <c r="Y3527" s="9"/>
      <c r="Z3527" s="9"/>
      <c r="AA3527" s="9"/>
    </row>
    <row r="3528" spans="1:27" ht="13.6">
      <c r="A3528" s="8"/>
      <c r="B3528" s="12"/>
      <c r="C3528" s="9"/>
      <c r="D3528" s="9"/>
      <c r="E3528" s="9"/>
      <c r="F3528" s="9"/>
      <c r="G3528" s="9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9"/>
      <c r="U3528" s="9"/>
      <c r="V3528" s="9"/>
      <c r="W3528" s="9"/>
      <c r="X3528" s="9"/>
      <c r="Y3528" s="9"/>
      <c r="Z3528" s="9"/>
      <c r="AA3528" s="9"/>
    </row>
    <row r="3529" spans="1:27" ht="13.6">
      <c r="A3529" s="8"/>
      <c r="B3529" s="12"/>
      <c r="C3529" s="9"/>
      <c r="D3529" s="9"/>
      <c r="E3529" s="9"/>
      <c r="F3529" s="9"/>
      <c r="G3529" s="9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9"/>
      <c r="U3529" s="9"/>
      <c r="V3529" s="9"/>
      <c r="W3529" s="9"/>
      <c r="X3529" s="9"/>
      <c r="Y3529" s="9"/>
      <c r="Z3529" s="9"/>
      <c r="AA3529" s="9"/>
    </row>
    <row r="3530" spans="1:27" ht="13.6">
      <c r="A3530" s="8"/>
      <c r="B3530" s="12"/>
      <c r="C3530" s="9"/>
      <c r="D3530" s="9"/>
      <c r="E3530" s="9"/>
      <c r="F3530" s="9"/>
      <c r="G3530" s="9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9"/>
      <c r="U3530" s="9"/>
      <c r="V3530" s="9"/>
      <c r="W3530" s="9"/>
      <c r="X3530" s="9"/>
      <c r="Y3530" s="9"/>
      <c r="Z3530" s="9"/>
      <c r="AA3530" s="9"/>
    </row>
    <row r="3531" spans="1:27" ht="13.6">
      <c r="A3531" s="8"/>
      <c r="B3531" s="12"/>
      <c r="C3531" s="9"/>
      <c r="D3531" s="9"/>
      <c r="E3531" s="9"/>
      <c r="F3531" s="9"/>
      <c r="G3531" s="9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9"/>
      <c r="U3531" s="9"/>
      <c r="V3531" s="9"/>
      <c r="W3531" s="9"/>
      <c r="X3531" s="9"/>
      <c r="Y3531" s="9"/>
      <c r="Z3531" s="9"/>
      <c r="AA3531" s="9"/>
    </row>
    <row r="3532" spans="1:27" ht="13.6">
      <c r="A3532" s="8"/>
      <c r="B3532" s="12"/>
      <c r="C3532" s="9"/>
      <c r="D3532" s="9"/>
      <c r="E3532" s="9"/>
      <c r="F3532" s="9"/>
      <c r="G3532" s="9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9"/>
      <c r="U3532" s="9"/>
      <c r="V3532" s="9"/>
      <c r="W3532" s="9"/>
      <c r="X3532" s="9"/>
      <c r="Y3532" s="9"/>
      <c r="Z3532" s="9"/>
      <c r="AA3532" s="9"/>
    </row>
    <row r="3533" spans="1:27" ht="13.6">
      <c r="A3533" s="8"/>
      <c r="B3533" s="12"/>
      <c r="C3533" s="9"/>
      <c r="D3533" s="9"/>
      <c r="E3533" s="9"/>
      <c r="F3533" s="9"/>
      <c r="G3533" s="9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9"/>
      <c r="U3533" s="9"/>
      <c r="V3533" s="9"/>
      <c r="W3533" s="9"/>
      <c r="X3533" s="9"/>
      <c r="Y3533" s="9"/>
      <c r="Z3533" s="9"/>
      <c r="AA3533" s="9"/>
    </row>
    <row r="3534" spans="1:27" ht="13.6">
      <c r="A3534" s="8"/>
      <c r="B3534" s="12"/>
      <c r="C3534" s="9"/>
      <c r="D3534" s="9"/>
      <c r="E3534" s="9"/>
      <c r="F3534" s="9"/>
      <c r="G3534" s="9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9"/>
      <c r="U3534" s="9"/>
      <c r="V3534" s="9"/>
      <c r="W3534" s="9"/>
      <c r="X3534" s="9"/>
      <c r="Y3534" s="9"/>
      <c r="Z3534" s="9"/>
      <c r="AA3534" s="9"/>
    </row>
    <row r="3535" spans="1:27" ht="13.6">
      <c r="A3535" s="8"/>
      <c r="B3535" s="12"/>
      <c r="C3535" s="9"/>
      <c r="D3535" s="9"/>
      <c r="E3535" s="9"/>
      <c r="F3535" s="9"/>
      <c r="G3535" s="9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9"/>
      <c r="U3535" s="9"/>
      <c r="V3535" s="9"/>
      <c r="W3535" s="9"/>
      <c r="X3535" s="9"/>
      <c r="Y3535" s="9"/>
      <c r="Z3535" s="9"/>
      <c r="AA3535" s="9"/>
    </row>
    <row r="3536" spans="1:27" ht="13.6">
      <c r="A3536" s="8"/>
      <c r="B3536" s="12"/>
      <c r="C3536" s="9"/>
      <c r="D3536" s="9"/>
      <c r="E3536" s="9"/>
      <c r="F3536" s="9"/>
      <c r="G3536" s="9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9"/>
      <c r="U3536" s="9"/>
      <c r="V3536" s="9"/>
      <c r="W3536" s="9"/>
      <c r="X3536" s="9"/>
      <c r="Y3536" s="9"/>
      <c r="Z3536" s="9"/>
      <c r="AA3536" s="9"/>
    </row>
    <row r="3537" spans="1:27" ht="13.6">
      <c r="A3537" s="8"/>
      <c r="B3537" s="12"/>
      <c r="C3537" s="9"/>
      <c r="D3537" s="9"/>
      <c r="E3537" s="9"/>
      <c r="F3537" s="9"/>
      <c r="G3537" s="9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9"/>
      <c r="U3537" s="9"/>
      <c r="V3537" s="9"/>
      <c r="W3537" s="9"/>
      <c r="X3537" s="9"/>
      <c r="Y3537" s="9"/>
      <c r="Z3537" s="9"/>
      <c r="AA3537" s="9"/>
    </row>
    <row r="3538" spans="1:27" ht="13.6">
      <c r="A3538" s="8"/>
      <c r="B3538" s="12"/>
      <c r="C3538" s="9"/>
      <c r="D3538" s="9"/>
      <c r="E3538" s="9"/>
      <c r="F3538" s="9"/>
      <c r="G3538" s="9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9"/>
      <c r="U3538" s="9"/>
      <c r="V3538" s="9"/>
      <c r="W3538" s="9"/>
      <c r="X3538" s="9"/>
      <c r="Y3538" s="9"/>
      <c r="Z3538" s="9"/>
      <c r="AA3538" s="9"/>
    </row>
    <row r="3539" spans="1:27" ht="13.6">
      <c r="A3539" s="8"/>
      <c r="B3539" s="12"/>
      <c r="C3539" s="9"/>
      <c r="D3539" s="9"/>
      <c r="E3539" s="9"/>
      <c r="F3539" s="9"/>
      <c r="G3539" s="9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9"/>
      <c r="U3539" s="9"/>
      <c r="V3539" s="9"/>
      <c r="W3539" s="9"/>
      <c r="X3539" s="9"/>
      <c r="Y3539" s="9"/>
      <c r="Z3539" s="9"/>
      <c r="AA3539" s="9"/>
    </row>
    <row r="3540" spans="1:27" ht="13.6">
      <c r="A3540" s="8"/>
      <c r="B3540" s="12"/>
      <c r="C3540" s="9"/>
      <c r="D3540" s="9"/>
      <c r="E3540" s="9"/>
      <c r="F3540" s="9"/>
      <c r="G3540" s="9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9"/>
      <c r="U3540" s="9"/>
      <c r="V3540" s="9"/>
      <c r="W3540" s="9"/>
      <c r="X3540" s="9"/>
      <c r="Y3540" s="9"/>
      <c r="Z3540" s="9"/>
      <c r="AA3540" s="9"/>
    </row>
    <row r="3541" spans="1:27" ht="13.6">
      <c r="A3541" s="8"/>
      <c r="B3541" s="12"/>
      <c r="C3541" s="9"/>
      <c r="D3541" s="9"/>
      <c r="E3541" s="9"/>
      <c r="F3541" s="9"/>
      <c r="G3541" s="9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9"/>
      <c r="U3541" s="9"/>
      <c r="V3541" s="9"/>
      <c r="W3541" s="9"/>
      <c r="X3541" s="9"/>
      <c r="Y3541" s="9"/>
      <c r="Z3541" s="9"/>
      <c r="AA3541" s="9"/>
    </row>
    <row r="3542" spans="1:27" ht="13.6">
      <c r="A3542" s="8"/>
      <c r="B3542" s="12"/>
      <c r="C3542" s="9"/>
      <c r="D3542" s="9"/>
      <c r="E3542" s="9"/>
      <c r="F3542" s="9"/>
      <c r="G3542" s="9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9"/>
      <c r="U3542" s="9"/>
      <c r="V3542" s="9"/>
      <c r="W3542" s="9"/>
      <c r="X3542" s="9"/>
      <c r="Y3542" s="9"/>
      <c r="Z3542" s="9"/>
      <c r="AA3542" s="9"/>
    </row>
    <row r="3543" spans="1:27" ht="13.6">
      <c r="A3543" s="8"/>
      <c r="B3543" s="12"/>
      <c r="C3543" s="9"/>
      <c r="D3543" s="9"/>
      <c r="E3543" s="9"/>
      <c r="F3543" s="9"/>
      <c r="G3543" s="9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9"/>
      <c r="U3543" s="9"/>
      <c r="V3543" s="9"/>
      <c r="W3543" s="9"/>
      <c r="X3543" s="9"/>
      <c r="Y3543" s="9"/>
      <c r="Z3543" s="9"/>
      <c r="AA3543" s="9"/>
    </row>
    <row r="3544" spans="1:27" ht="13.6">
      <c r="A3544" s="8"/>
      <c r="B3544" s="12"/>
      <c r="C3544" s="9"/>
      <c r="D3544" s="9"/>
      <c r="E3544" s="9"/>
      <c r="F3544" s="9"/>
      <c r="G3544" s="9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9"/>
      <c r="U3544" s="9"/>
      <c r="V3544" s="9"/>
      <c r="W3544" s="9"/>
      <c r="X3544" s="9"/>
      <c r="Y3544" s="9"/>
      <c r="Z3544" s="9"/>
      <c r="AA3544" s="9"/>
    </row>
    <row r="3545" spans="1:27" ht="13.6">
      <c r="A3545" s="8"/>
      <c r="B3545" s="12"/>
      <c r="C3545" s="9"/>
      <c r="D3545" s="9"/>
      <c r="E3545" s="9"/>
      <c r="F3545" s="9"/>
      <c r="G3545" s="9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9"/>
      <c r="U3545" s="9"/>
      <c r="V3545" s="9"/>
      <c r="W3545" s="9"/>
      <c r="X3545" s="9"/>
      <c r="Y3545" s="9"/>
      <c r="Z3545" s="9"/>
      <c r="AA3545" s="9"/>
    </row>
    <row r="3546" spans="1:27" ht="13.6">
      <c r="A3546" s="8"/>
      <c r="B3546" s="12"/>
      <c r="C3546" s="9"/>
      <c r="D3546" s="9"/>
      <c r="E3546" s="9"/>
      <c r="F3546" s="9"/>
      <c r="G3546" s="9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9"/>
      <c r="U3546" s="9"/>
      <c r="V3546" s="9"/>
      <c r="W3546" s="9"/>
      <c r="X3546" s="9"/>
      <c r="Y3546" s="9"/>
      <c r="Z3546" s="9"/>
      <c r="AA3546" s="9"/>
    </row>
    <row r="3547" spans="1:27" ht="13.6">
      <c r="A3547" s="8"/>
      <c r="B3547" s="12"/>
      <c r="C3547" s="9"/>
      <c r="D3547" s="9"/>
      <c r="E3547" s="9"/>
      <c r="F3547" s="9"/>
      <c r="G3547" s="9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9"/>
      <c r="U3547" s="9"/>
      <c r="V3547" s="9"/>
      <c r="W3547" s="9"/>
      <c r="X3547" s="9"/>
      <c r="Y3547" s="9"/>
      <c r="Z3547" s="9"/>
      <c r="AA3547" s="9"/>
    </row>
    <row r="3548" spans="1:27" ht="13.6">
      <c r="A3548" s="8"/>
      <c r="B3548" s="12"/>
      <c r="C3548" s="9"/>
      <c r="D3548" s="9"/>
      <c r="E3548" s="9"/>
      <c r="F3548" s="9"/>
      <c r="G3548" s="9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9"/>
      <c r="U3548" s="9"/>
      <c r="V3548" s="9"/>
      <c r="W3548" s="9"/>
      <c r="X3548" s="9"/>
      <c r="Y3548" s="9"/>
      <c r="Z3548" s="9"/>
      <c r="AA3548" s="9"/>
    </row>
    <row r="3549" spans="1:27" ht="13.6">
      <c r="A3549" s="8"/>
      <c r="B3549" s="12"/>
      <c r="C3549" s="9"/>
      <c r="D3549" s="9"/>
      <c r="E3549" s="9"/>
      <c r="F3549" s="9"/>
      <c r="G3549" s="9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9"/>
      <c r="U3549" s="9"/>
      <c r="V3549" s="9"/>
      <c r="W3549" s="9"/>
      <c r="X3549" s="9"/>
      <c r="Y3549" s="9"/>
      <c r="Z3549" s="9"/>
      <c r="AA3549" s="9"/>
    </row>
    <row r="3550" spans="1:27" ht="13.6">
      <c r="A3550" s="8"/>
      <c r="B3550" s="12"/>
      <c r="C3550" s="9"/>
      <c r="D3550" s="9"/>
      <c r="E3550" s="9"/>
      <c r="F3550" s="9"/>
      <c r="G3550" s="9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9"/>
      <c r="U3550" s="9"/>
      <c r="V3550" s="9"/>
      <c r="W3550" s="9"/>
      <c r="X3550" s="9"/>
      <c r="Y3550" s="9"/>
      <c r="Z3550" s="9"/>
      <c r="AA3550" s="9"/>
    </row>
    <row r="3551" spans="1:27" ht="13.6">
      <c r="A3551" s="8"/>
      <c r="B3551" s="12"/>
      <c r="C3551" s="9"/>
      <c r="D3551" s="9"/>
      <c r="E3551" s="9"/>
      <c r="F3551" s="9"/>
      <c r="G3551" s="9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9"/>
      <c r="U3551" s="9"/>
      <c r="V3551" s="9"/>
      <c r="W3551" s="9"/>
      <c r="X3551" s="9"/>
      <c r="Y3551" s="9"/>
      <c r="Z3551" s="9"/>
      <c r="AA3551" s="9"/>
    </row>
    <row r="3552" spans="1:27" ht="13.6">
      <c r="A3552" s="8"/>
      <c r="B3552" s="12"/>
      <c r="C3552" s="9"/>
      <c r="D3552" s="9"/>
      <c r="E3552" s="9"/>
      <c r="F3552" s="9"/>
      <c r="G3552" s="9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9"/>
      <c r="U3552" s="9"/>
      <c r="V3552" s="9"/>
      <c r="W3552" s="9"/>
      <c r="X3552" s="9"/>
      <c r="Y3552" s="9"/>
      <c r="Z3552" s="9"/>
      <c r="AA3552" s="9"/>
    </row>
    <row r="3553" spans="1:27" ht="13.6">
      <c r="A3553" s="8"/>
      <c r="B3553" s="12"/>
      <c r="C3553" s="9"/>
      <c r="D3553" s="9"/>
      <c r="E3553" s="9"/>
      <c r="F3553" s="9"/>
      <c r="G3553" s="9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9"/>
      <c r="U3553" s="9"/>
      <c r="V3553" s="9"/>
      <c r="W3553" s="9"/>
      <c r="X3553" s="9"/>
      <c r="Y3553" s="9"/>
      <c r="Z3553" s="9"/>
      <c r="AA3553" s="9"/>
    </row>
    <row r="3554" spans="1:27" ht="13.6">
      <c r="A3554" s="8"/>
      <c r="B3554" s="12"/>
      <c r="C3554" s="9"/>
      <c r="D3554" s="9"/>
      <c r="E3554" s="9"/>
      <c r="F3554" s="9"/>
      <c r="G3554" s="9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9"/>
      <c r="U3554" s="9"/>
      <c r="V3554" s="9"/>
      <c r="W3554" s="9"/>
      <c r="X3554" s="9"/>
      <c r="Y3554" s="9"/>
      <c r="Z3554" s="9"/>
      <c r="AA3554" s="9"/>
    </row>
    <row r="3555" spans="1:27" ht="13.6">
      <c r="A3555" s="8"/>
      <c r="B3555" s="12"/>
      <c r="C3555" s="9"/>
      <c r="D3555" s="9"/>
      <c r="E3555" s="9"/>
      <c r="F3555" s="9"/>
      <c r="G3555" s="9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9"/>
      <c r="U3555" s="9"/>
      <c r="V3555" s="9"/>
      <c r="W3555" s="9"/>
      <c r="X3555" s="9"/>
      <c r="Y3555" s="9"/>
      <c r="Z3555" s="9"/>
      <c r="AA3555" s="9"/>
    </row>
    <row r="3556" spans="1:27" ht="13.6">
      <c r="A3556" s="8"/>
      <c r="B3556" s="12"/>
      <c r="C3556" s="9"/>
      <c r="D3556" s="9"/>
      <c r="E3556" s="9"/>
      <c r="F3556" s="9"/>
      <c r="G3556" s="9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9"/>
      <c r="U3556" s="9"/>
      <c r="V3556" s="9"/>
      <c r="W3556" s="9"/>
      <c r="X3556" s="9"/>
      <c r="Y3556" s="9"/>
      <c r="Z3556" s="9"/>
      <c r="AA3556" s="9"/>
    </row>
    <row r="3557" spans="1:27" ht="13.6">
      <c r="A3557" s="8"/>
      <c r="B3557" s="12"/>
      <c r="C3557" s="9"/>
      <c r="D3557" s="9"/>
      <c r="E3557" s="9"/>
      <c r="F3557" s="9"/>
      <c r="G3557" s="9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9"/>
      <c r="U3557" s="9"/>
      <c r="V3557" s="9"/>
      <c r="W3557" s="9"/>
      <c r="X3557" s="9"/>
      <c r="Y3557" s="9"/>
      <c r="Z3557" s="9"/>
      <c r="AA3557" s="9"/>
    </row>
    <row r="3558" spans="1:27" ht="13.6">
      <c r="A3558" s="8"/>
      <c r="B3558" s="12"/>
      <c r="C3558" s="9"/>
      <c r="D3558" s="9"/>
      <c r="E3558" s="9"/>
      <c r="F3558" s="9"/>
      <c r="G3558" s="9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9"/>
      <c r="U3558" s="9"/>
      <c r="V3558" s="9"/>
      <c r="W3558" s="9"/>
      <c r="X3558" s="9"/>
      <c r="Y3558" s="9"/>
      <c r="Z3558" s="9"/>
      <c r="AA3558" s="9"/>
    </row>
    <row r="3559" spans="1:27" ht="13.6">
      <c r="A3559" s="8"/>
      <c r="B3559" s="12"/>
      <c r="C3559" s="9"/>
      <c r="D3559" s="9"/>
      <c r="E3559" s="9"/>
      <c r="F3559" s="9"/>
      <c r="G3559" s="9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9"/>
      <c r="U3559" s="9"/>
      <c r="V3559" s="9"/>
      <c r="W3559" s="9"/>
      <c r="X3559" s="9"/>
      <c r="Y3559" s="9"/>
      <c r="Z3559" s="9"/>
      <c r="AA3559" s="9"/>
    </row>
    <row r="3560" spans="1:27" ht="13.6">
      <c r="A3560" s="8"/>
      <c r="B3560" s="12"/>
      <c r="C3560" s="9"/>
      <c r="D3560" s="9"/>
      <c r="E3560" s="9"/>
      <c r="F3560" s="9"/>
      <c r="G3560" s="9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9"/>
      <c r="U3560" s="9"/>
      <c r="V3560" s="9"/>
      <c r="W3560" s="9"/>
      <c r="X3560" s="9"/>
      <c r="Y3560" s="9"/>
      <c r="Z3560" s="9"/>
      <c r="AA3560" s="9"/>
    </row>
    <row r="3561" spans="1:27" ht="13.6">
      <c r="A3561" s="8"/>
      <c r="B3561" s="12"/>
      <c r="C3561" s="9"/>
      <c r="D3561" s="9"/>
      <c r="E3561" s="9"/>
      <c r="F3561" s="9"/>
      <c r="G3561" s="9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9"/>
      <c r="U3561" s="9"/>
      <c r="V3561" s="9"/>
      <c r="W3561" s="9"/>
      <c r="X3561" s="9"/>
      <c r="Y3561" s="9"/>
      <c r="Z3561" s="9"/>
      <c r="AA3561" s="9"/>
    </row>
    <row r="3562" spans="1:27" ht="13.6">
      <c r="A3562" s="8"/>
      <c r="B3562" s="12"/>
      <c r="C3562" s="9"/>
      <c r="D3562" s="9"/>
      <c r="E3562" s="9"/>
      <c r="F3562" s="9"/>
      <c r="G3562" s="9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9"/>
      <c r="U3562" s="9"/>
      <c r="V3562" s="9"/>
      <c r="W3562" s="9"/>
      <c r="X3562" s="9"/>
      <c r="Y3562" s="9"/>
      <c r="Z3562" s="9"/>
      <c r="AA3562" s="9"/>
    </row>
    <row r="3563" spans="1:27" ht="13.6">
      <c r="A3563" s="8"/>
      <c r="B3563" s="12"/>
      <c r="C3563" s="9"/>
      <c r="D3563" s="9"/>
      <c r="E3563" s="9"/>
      <c r="F3563" s="9"/>
      <c r="G3563" s="9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9"/>
      <c r="U3563" s="9"/>
      <c r="V3563" s="9"/>
      <c r="W3563" s="9"/>
      <c r="X3563" s="9"/>
      <c r="Y3563" s="9"/>
      <c r="Z3563" s="9"/>
      <c r="AA3563" s="9"/>
    </row>
    <row r="3564" spans="1:27" ht="13.6">
      <c r="A3564" s="8"/>
      <c r="B3564" s="12"/>
      <c r="C3564" s="9"/>
      <c r="D3564" s="9"/>
      <c r="E3564" s="9"/>
      <c r="F3564" s="9"/>
      <c r="G3564" s="9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9"/>
      <c r="U3564" s="9"/>
      <c r="V3564" s="9"/>
      <c r="W3564" s="9"/>
      <c r="X3564" s="9"/>
      <c r="Y3564" s="9"/>
      <c r="Z3564" s="9"/>
      <c r="AA3564" s="9"/>
    </row>
    <row r="3565" spans="1:27" ht="13.6">
      <c r="A3565" s="8"/>
      <c r="B3565" s="12"/>
      <c r="C3565" s="9"/>
      <c r="D3565" s="9"/>
      <c r="E3565" s="9"/>
      <c r="F3565" s="9"/>
      <c r="G3565" s="9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9"/>
      <c r="U3565" s="9"/>
      <c r="V3565" s="9"/>
      <c r="W3565" s="9"/>
      <c r="X3565" s="9"/>
      <c r="Y3565" s="9"/>
      <c r="Z3565" s="9"/>
      <c r="AA3565" s="9"/>
    </row>
    <row r="3566" spans="1:27" ht="13.6">
      <c r="A3566" s="8"/>
      <c r="B3566" s="12"/>
      <c r="C3566" s="9"/>
      <c r="D3566" s="9"/>
      <c r="E3566" s="9"/>
      <c r="F3566" s="9"/>
      <c r="G3566" s="9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9"/>
      <c r="U3566" s="9"/>
      <c r="V3566" s="9"/>
      <c r="W3566" s="9"/>
      <c r="X3566" s="9"/>
      <c r="Y3566" s="9"/>
      <c r="Z3566" s="9"/>
      <c r="AA3566" s="9"/>
    </row>
    <row r="3567" spans="1:27" ht="13.6">
      <c r="A3567" s="8"/>
      <c r="B3567" s="12"/>
      <c r="C3567" s="9"/>
      <c r="D3567" s="9"/>
      <c r="E3567" s="9"/>
      <c r="F3567" s="9"/>
      <c r="G3567" s="9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9"/>
      <c r="U3567" s="9"/>
      <c r="V3567" s="9"/>
      <c r="W3567" s="9"/>
      <c r="X3567" s="9"/>
      <c r="Y3567" s="9"/>
      <c r="Z3567" s="9"/>
      <c r="AA3567" s="9"/>
    </row>
    <row r="3568" spans="1:27" ht="13.6">
      <c r="A3568" s="8"/>
      <c r="B3568" s="12"/>
      <c r="C3568" s="9"/>
      <c r="D3568" s="9"/>
      <c r="E3568" s="9"/>
      <c r="F3568" s="9"/>
      <c r="G3568" s="9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9"/>
      <c r="U3568" s="9"/>
      <c r="V3568" s="9"/>
      <c r="W3568" s="9"/>
      <c r="X3568" s="9"/>
      <c r="Y3568" s="9"/>
      <c r="Z3568" s="9"/>
      <c r="AA3568" s="9"/>
    </row>
    <row r="3569" spans="1:27" ht="13.6">
      <c r="A3569" s="8"/>
      <c r="B3569" s="12"/>
      <c r="C3569" s="9"/>
      <c r="D3569" s="9"/>
      <c r="E3569" s="9"/>
      <c r="F3569" s="9"/>
      <c r="G3569" s="9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9"/>
      <c r="U3569" s="9"/>
      <c r="V3569" s="9"/>
      <c r="W3569" s="9"/>
      <c r="X3569" s="9"/>
      <c r="Y3569" s="9"/>
      <c r="Z3569" s="9"/>
      <c r="AA3569" s="9"/>
    </row>
    <row r="3570" spans="1:27" ht="13.6">
      <c r="A3570" s="8"/>
      <c r="B3570" s="12"/>
      <c r="C3570" s="9"/>
      <c r="D3570" s="9"/>
      <c r="E3570" s="9"/>
      <c r="F3570" s="9"/>
      <c r="G3570" s="9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9"/>
      <c r="U3570" s="9"/>
      <c r="V3570" s="9"/>
      <c r="W3570" s="9"/>
      <c r="X3570" s="9"/>
      <c r="Y3570" s="9"/>
      <c r="Z3570" s="9"/>
      <c r="AA3570" s="9"/>
    </row>
    <row r="3571" spans="1:27" ht="13.6">
      <c r="A3571" s="8"/>
      <c r="B3571" s="12"/>
      <c r="C3571" s="9"/>
      <c r="D3571" s="9"/>
      <c r="E3571" s="9"/>
      <c r="F3571" s="9"/>
      <c r="G3571" s="9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9"/>
      <c r="U3571" s="9"/>
      <c r="V3571" s="9"/>
      <c r="W3571" s="9"/>
      <c r="X3571" s="9"/>
      <c r="Y3571" s="9"/>
      <c r="Z3571" s="9"/>
      <c r="AA3571" s="9"/>
    </row>
    <row r="3572" spans="1:27" ht="13.6">
      <c r="A3572" s="8"/>
      <c r="B3572" s="12"/>
      <c r="C3572" s="9"/>
      <c r="D3572" s="9"/>
      <c r="E3572" s="9"/>
      <c r="F3572" s="9"/>
      <c r="G3572" s="9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9"/>
      <c r="U3572" s="9"/>
      <c r="V3572" s="9"/>
      <c r="W3572" s="9"/>
      <c r="X3572" s="9"/>
      <c r="Y3572" s="9"/>
      <c r="Z3572" s="9"/>
      <c r="AA3572" s="9"/>
    </row>
    <row r="3573" spans="1:27" ht="13.6">
      <c r="A3573" s="8"/>
      <c r="B3573" s="12"/>
      <c r="C3573" s="9"/>
      <c r="D3573" s="9"/>
      <c r="E3573" s="9"/>
      <c r="F3573" s="9"/>
      <c r="G3573" s="9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9"/>
      <c r="U3573" s="9"/>
      <c r="V3573" s="9"/>
      <c r="W3573" s="9"/>
      <c r="X3573" s="9"/>
      <c r="Y3573" s="9"/>
      <c r="Z3573" s="9"/>
      <c r="AA3573" s="9"/>
    </row>
    <row r="3574" spans="1:27" ht="13.6">
      <c r="A3574" s="8"/>
      <c r="B3574" s="12"/>
      <c r="C3574" s="9"/>
      <c r="D3574" s="9"/>
      <c r="E3574" s="9"/>
      <c r="F3574" s="9"/>
      <c r="G3574" s="9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9"/>
      <c r="U3574" s="9"/>
      <c r="V3574" s="9"/>
      <c r="W3574" s="9"/>
      <c r="X3574" s="9"/>
      <c r="Y3574" s="9"/>
      <c r="Z3574" s="9"/>
      <c r="AA3574" s="9"/>
    </row>
    <row r="3575" spans="1:27" ht="13.6">
      <c r="A3575" s="8"/>
      <c r="B3575" s="12"/>
      <c r="C3575" s="9"/>
      <c r="D3575" s="9"/>
      <c r="E3575" s="9"/>
      <c r="F3575" s="9"/>
      <c r="G3575" s="9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9"/>
      <c r="U3575" s="9"/>
      <c r="V3575" s="9"/>
      <c r="W3575" s="9"/>
      <c r="X3575" s="9"/>
      <c r="Y3575" s="9"/>
      <c r="Z3575" s="9"/>
      <c r="AA3575" s="9"/>
    </row>
    <row r="3576" spans="1:27" ht="13.6">
      <c r="A3576" s="8"/>
      <c r="B3576" s="12"/>
      <c r="C3576" s="9"/>
      <c r="D3576" s="9"/>
      <c r="E3576" s="9"/>
      <c r="F3576" s="9"/>
      <c r="G3576" s="9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9"/>
      <c r="U3576" s="9"/>
      <c r="V3576" s="9"/>
      <c r="W3576" s="9"/>
      <c r="X3576" s="9"/>
      <c r="Y3576" s="9"/>
      <c r="Z3576" s="9"/>
      <c r="AA3576" s="9"/>
    </row>
    <row r="3577" spans="1:27" ht="13.6">
      <c r="A3577" s="8"/>
      <c r="B3577" s="12"/>
      <c r="C3577" s="9"/>
      <c r="D3577" s="9"/>
      <c r="E3577" s="9"/>
      <c r="F3577" s="9"/>
      <c r="G3577" s="9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9"/>
      <c r="U3577" s="9"/>
      <c r="V3577" s="9"/>
      <c r="W3577" s="9"/>
      <c r="X3577" s="9"/>
      <c r="Y3577" s="9"/>
      <c r="Z3577" s="9"/>
      <c r="AA3577" s="9"/>
    </row>
    <row r="3578" spans="1:27" ht="13.6">
      <c r="A3578" s="8"/>
      <c r="B3578" s="12"/>
      <c r="C3578" s="9"/>
      <c r="D3578" s="9"/>
      <c r="E3578" s="9"/>
      <c r="F3578" s="9"/>
      <c r="G3578" s="9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9"/>
      <c r="U3578" s="9"/>
      <c r="V3578" s="9"/>
      <c r="W3578" s="9"/>
      <c r="X3578" s="9"/>
      <c r="Y3578" s="9"/>
      <c r="Z3578" s="9"/>
      <c r="AA3578" s="9"/>
    </row>
    <row r="3579" spans="1:27" ht="13.6">
      <c r="A3579" s="8"/>
      <c r="B3579" s="12"/>
      <c r="C3579" s="9"/>
      <c r="D3579" s="9"/>
      <c r="E3579" s="9"/>
      <c r="F3579" s="9"/>
      <c r="G3579" s="9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9"/>
      <c r="U3579" s="9"/>
      <c r="V3579" s="9"/>
      <c r="W3579" s="9"/>
      <c r="X3579" s="9"/>
      <c r="Y3579" s="9"/>
      <c r="Z3579" s="9"/>
      <c r="AA3579" s="9"/>
    </row>
    <row r="3580" spans="1:27" ht="13.6">
      <c r="A3580" s="8"/>
      <c r="B3580" s="12"/>
      <c r="C3580" s="9"/>
      <c r="D3580" s="9"/>
      <c r="E3580" s="9"/>
      <c r="F3580" s="9"/>
      <c r="G3580" s="9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9"/>
      <c r="U3580" s="9"/>
      <c r="V3580" s="9"/>
      <c r="W3580" s="9"/>
      <c r="X3580" s="9"/>
      <c r="Y3580" s="9"/>
      <c r="Z3580" s="9"/>
      <c r="AA3580" s="9"/>
    </row>
    <row r="3581" spans="1:27" ht="13.6">
      <c r="A3581" s="8"/>
      <c r="B3581" s="12"/>
      <c r="C3581" s="9"/>
      <c r="D3581" s="9"/>
      <c r="E3581" s="9"/>
      <c r="F3581" s="9"/>
      <c r="G3581" s="9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9"/>
      <c r="U3581" s="9"/>
      <c r="V3581" s="9"/>
      <c r="W3581" s="9"/>
      <c r="X3581" s="9"/>
      <c r="Y3581" s="9"/>
      <c r="Z3581" s="9"/>
      <c r="AA3581" s="9"/>
    </row>
    <row r="3582" spans="1:27" ht="13.6">
      <c r="A3582" s="8"/>
      <c r="B3582" s="12"/>
      <c r="C3582" s="9"/>
      <c r="D3582" s="9"/>
      <c r="E3582" s="9"/>
      <c r="F3582" s="9"/>
      <c r="G3582" s="9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9"/>
      <c r="U3582" s="9"/>
      <c r="V3582" s="9"/>
      <c r="W3582" s="9"/>
      <c r="X3582" s="9"/>
      <c r="Y3582" s="9"/>
      <c r="Z3582" s="9"/>
      <c r="AA3582" s="9"/>
    </row>
    <row r="3583" spans="1:27" ht="13.6">
      <c r="A3583" s="8"/>
      <c r="B3583" s="12"/>
      <c r="C3583" s="9"/>
      <c r="D3583" s="9"/>
      <c r="E3583" s="9"/>
      <c r="F3583" s="9"/>
      <c r="G3583" s="9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9"/>
      <c r="U3583" s="9"/>
      <c r="V3583" s="9"/>
      <c r="W3583" s="9"/>
      <c r="X3583" s="9"/>
      <c r="Y3583" s="9"/>
      <c r="Z3583" s="9"/>
      <c r="AA3583" s="9"/>
    </row>
    <row r="3584" spans="1:27" ht="13.6">
      <c r="A3584" s="8"/>
      <c r="B3584" s="12"/>
      <c r="C3584" s="9"/>
      <c r="D3584" s="9"/>
      <c r="E3584" s="9"/>
      <c r="F3584" s="9"/>
      <c r="G3584" s="9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9"/>
      <c r="U3584" s="9"/>
      <c r="V3584" s="9"/>
      <c r="W3584" s="9"/>
      <c r="X3584" s="9"/>
      <c r="Y3584" s="9"/>
      <c r="Z3584" s="9"/>
      <c r="AA3584" s="9"/>
    </row>
    <row r="3585" spans="1:27" ht="13.6">
      <c r="A3585" s="8"/>
      <c r="B3585" s="12"/>
      <c r="C3585" s="9"/>
      <c r="D3585" s="9"/>
      <c r="E3585" s="9"/>
      <c r="F3585" s="9"/>
      <c r="G3585" s="9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9"/>
      <c r="U3585" s="9"/>
      <c r="V3585" s="9"/>
      <c r="W3585" s="9"/>
      <c r="X3585" s="9"/>
      <c r="Y3585" s="9"/>
      <c r="Z3585" s="9"/>
      <c r="AA3585" s="9"/>
    </row>
    <row r="3586" spans="1:27" ht="13.6">
      <c r="A3586" s="8"/>
      <c r="B3586" s="12"/>
      <c r="C3586" s="9"/>
      <c r="D3586" s="9"/>
      <c r="E3586" s="9"/>
      <c r="F3586" s="9"/>
      <c r="G3586" s="9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9"/>
      <c r="U3586" s="9"/>
      <c r="V3586" s="9"/>
      <c r="W3586" s="9"/>
      <c r="X3586" s="9"/>
      <c r="Y3586" s="9"/>
      <c r="Z3586" s="9"/>
      <c r="AA3586" s="9"/>
    </row>
    <row r="3587" spans="1:27" ht="13.6">
      <c r="A3587" s="8"/>
      <c r="B3587" s="12"/>
      <c r="C3587" s="9"/>
      <c r="D3587" s="9"/>
      <c r="E3587" s="9"/>
      <c r="F3587" s="9"/>
      <c r="G3587" s="9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9"/>
      <c r="U3587" s="9"/>
      <c r="V3587" s="9"/>
      <c r="W3587" s="9"/>
      <c r="X3587" s="9"/>
      <c r="Y3587" s="9"/>
      <c r="Z3587" s="9"/>
      <c r="AA3587" s="9"/>
    </row>
    <row r="3588" spans="1:27" ht="13.6">
      <c r="A3588" s="8"/>
      <c r="B3588" s="12"/>
      <c r="C3588" s="9"/>
      <c r="D3588" s="9"/>
      <c r="E3588" s="9"/>
      <c r="F3588" s="9"/>
      <c r="G3588" s="9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9"/>
      <c r="U3588" s="9"/>
      <c r="V3588" s="9"/>
      <c r="W3588" s="9"/>
      <c r="X3588" s="9"/>
      <c r="Y3588" s="9"/>
      <c r="Z3588" s="9"/>
      <c r="AA3588" s="9"/>
    </row>
    <row r="3589" spans="1:27" ht="13.6">
      <c r="A3589" s="8"/>
      <c r="B3589" s="12"/>
      <c r="C3589" s="9"/>
      <c r="D3589" s="9"/>
      <c r="E3589" s="9"/>
      <c r="F3589" s="9"/>
      <c r="G3589" s="9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9"/>
      <c r="U3589" s="9"/>
      <c r="V3589" s="9"/>
      <c r="W3589" s="9"/>
      <c r="X3589" s="9"/>
      <c r="Y3589" s="9"/>
      <c r="Z3589" s="9"/>
      <c r="AA3589" s="9"/>
    </row>
    <row r="3590" spans="1:27" ht="13.6">
      <c r="A3590" s="8"/>
      <c r="B3590" s="12"/>
      <c r="C3590" s="9"/>
      <c r="D3590" s="9"/>
      <c r="E3590" s="9"/>
      <c r="F3590" s="9"/>
      <c r="G3590" s="9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9"/>
      <c r="U3590" s="9"/>
      <c r="V3590" s="9"/>
      <c r="W3590" s="9"/>
      <c r="X3590" s="9"/>
      <c r="Y3590" s="9"/>
      <c r="Z3590" s="9"/>
      <c r="AA3590" s="9"/>
    </row>
    <row r="3591" spans="1:27" ht="13.6">
      <c r="A3591" s="8"/>
      <c r="B3591" s="12"/>
      <c r="C3591" s="9"/>
      <c r="D3591" s="9"/>
      <c r="E3591" s="9"/>
      <c r="F3591" s="9"/>
      <c r="G3591" s="9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9"/>
      <c r="U3591" s="9"/>
      <c r="V3591" s="9"/>
      <c r="W3591" s="9"/>
      <c r="X3591" s="9"/>
      <c r="Y3591" s="9"/>
      <c r="Z3591" s="9"/>
      <c r="AA3591" s="9"/>
    </row>
    <row r="3592" spans="1:27" ht="13.6">
      <c r="A3592" s="8"/>
      <c r="B3592" s="12"/>
      <c r="C3592" s="9"/>
      <c r="D3592" s="9"/>
      <c r="E3592" s="9"/>
      <c r="F3592" s="9"/>
      <c r="G3592" s="9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9"/>
      <c r="U3592" s="9"/>
      <c r="V3592" s="9"/>
      <c r="W3592" s="9"/>
      <c r="X3592" s="9"/>
      <c r="Y3592" s="9"/>
      <c r="Z3592" s="9"/>
      <c r="AA3592" s="9"/>
    </row>
    <row r="3593" spans="1:27" ht="13.6">
      <c r="A3593" s="8"/>
      <c r="B3593" s="12"/>
      <c r="C3593" s="9"/>
      <c r="D3593" s="9"/>
      <c r="E3593" s="9"/>
      <c r="F3593" s="9"/>
      <c r="G3593" s="9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9"/>
      <c r="U3593" s="9"/>
      <c r="V3593" s="9"/>
      <c r="W3593" s="9"/>
      <c r="X3593" s="9"/>
      <c r="Y3593" s="9"/>
      <c r="Z3593" s="9"/>
      <c r="AA3593" s="9"/>
    </row>
    <row r="3594" spans="1:27" ht="13.6">
      <c r="A3594" s="8"/>
      <c r="B3594" s="12"/>
      <c r="C3594" s="9"/>
      <c r="D3594" s="9"/>
      <c r="E3594" s="9"/>
      <c r="F3594" s="9"/>
      <c r="G3594" s="9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9"/>
      <c r="U3594" s="9"/>
      <c r="V3594" s="9"/>
      <c r="W3594" s="9"/>
      <c r="X3594" s="9"/>
      <c r="Y3594" s="9"/>
      <c r="Z3594" s="9"/>
      <c r="AA3594" s="9"/>
    </row>
    <row r="3595" spans="1:27" ht="13.6">
      <c r="A3595" s="8"/>
      <c r="B3595" s="12"/>
      <c r="C3595" s="9"/>
      <c r="D3595" s="9"/>
      <c r="E3595" s="9"/>
      <c r="F3595" s="9"/>
      <c r="G3595" s="9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9"/>
      <c r="U3595" s="9"/>
      <c r="V3595" s="9"/>
      <c r="W3595" s="9"/>
      <c r="X3595" s="9"/>
      <c r="Y3595" s="9"/>
      <c r="Z3595" s="9"/>
      <c r="AA3595" s="9"/>
    </row>
    <row r="3596" spans="1:27" ht="13.6">
      <c r="A3596" s="8"/>
      <c r="B3596" s="12"/>
      <c r="C3596" s="9"/>
      <c r="D3596" s="9"/>
      <c r="E3596" s="9"/>
      <c r="F3596" s="9"/>
      <c r="G3596" s="9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9"/>
      <c r="U3596" s="9"/>
      <c r="V3596" s="9"/>
      <c r="W3596" s="9"/>
      <c r="X3596" s="9"/>
      <c r="Y3596" s="9"/>
      <c r="Z3596" s="9"/>
      <c r="AA3596" s="9"/>
    </row>
    <row r="3597" spans="1:27" ht="13.6">
      <c r="A3597" s="8"/>
      <c r="B3597" s="12"/>
      <c r="C3597" s="9"/>
      <c r="D3597" s="9"/>
      <c r="E3597" s="9"/>
      <c r="F3597" s="9"/>
      <c r="G3597" s="9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9"/>
      <c r="U3597" s="9"/>
      <c r="V3597" s="9"/>
      <c r="W3597" s="9"/>
      <c r="X3597" s="9"/>
      <c r="Y3597" s="9"/>
      <c r="Z3597" s="9"/>
      <c r="AA3597" s="9"/>
    </row>
    <row r="3598" spans="1:27" ht="13.6">
      <c r="A3598" s="8"/>
      <c r="B3598" s="12"/>
      <c r="C3598" s="9"/>
      <c r="D3598" s="9"/>
      <c r="E3598" s="9"/>
      <c r="F3598" s="9"/>
      <c r="G3598" s="9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9"/>
      <c r="U3598" s="9"/>
      <c r="V3598" s="9"/>
      <c r="W3598" s="9"/>
      <c r="X3598" s="9"/>
      <c r="Y3598" s="9"/>
      <c r="Z3598" s="9"/>
      <c r="AA3598" s="9"/>
    </row>
    <row r="3599" spans="1:27" ht="13.6">
      <c r="A3599" s="8"/>
      <c r="B3599" s="12"/>
      <c r="C3599" s="9"/>
      <c r="D3599" s="9"/>
      <c r="E3599" s="9"/>
      <c r="F3599" s="9"/>
      <c r="G3599" s="9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9"/>
      <c r="U3599" s="9"/>
      <c r="V3599" s="9"/>
      <c r="W3599" s="9"/>
      <c r="X3599" s="9"/>
      <c r="Y3599" s="9"/>
      <c r="Z3599" s="9"/>
      <c r="AA3599" s="9"/>
    </row>
    <row r="3600" spans="1:27" ht="13.6">
      <c r="A3600" s="8"/>
      <c r="B3600" s="12"/>
      <c r="C3600" s="9"/>
      <c r="D3600" s="9"/>
      <c r="E3600" s="9"/>
      <c r="F3600" s="9"/>
      <c r="G3600" s="9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9"/>
      <c r="U3600" s="9"/>
      <c r="V3600" s="9"/>
      <c r="W3600" s="9"/>
      <c r="X3600" s="9"/>
      <c r="Y3600" s="9"/>
      <c r="Z3600" s="9"/>
      <c r="AA3600" s="9"/>
    </row>
    <row r="3601" spans="1:27" ht="13.6">
      <c r="A3601" s="8"/>
      <c r="B3601" s="12"/>
      <c r="C3601" s="9"/>
      <c r="D3601" s="9"/>
      <c r="E3601" s="9"/>
      <c r="F3601" s="9"/>
      <c r="G3601" s="9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9"/>
      <c r="U3601" s="9"/>
      <c r="V3601" s="9"/>
      <c r="W3601" s="9"/>
      <c r="X3601" s="9"/>
      <c r="Y3601" s="9"/>
      <c r="Z3601" s="9"/>
      <c r="AA3601" s="9"/>
    </row>
    <row r="3602" spans="1:27" ht="13.6">
      <c r="A3602" s="8"/>
      <c r="B3602" s="12"/>
      <c r="C3602" s="9"/>
      <c r="D3602" s="9"/>
      <c r="E3602" s="9"/>
      <c r="F3602" s="9"/>
      <c r="G3602" s="9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9"/>
      <c r="U3602" s="9"/>
      <c r="V3602" s="9"/>
      <c r="W3602" s="9"/>
      <c r="X3602" s="9"/>
      <c r="Y3602" s="9"/>
      <c r="Z3602" s="9"/>
      <c r="AA3602" s="9"/>
    </row>
    <row r="3603" spans="1:27" ht="13.6">
      <c r="A3603" s="8"/>
      <c r="B3603" s="12"/>
      <c r="C3603" s="9"/>
      <c r="D3603" s="9"/>
      <c r="E3603" s="9"/>
      <c r="F3603" s="9"/>
      <c r="G3603" s="9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9"/>
      <c r="U3603" s="9"/>
      <c r="V3603" s="9"/>
      <c r="W3603" s="9"/>
      <c r="X3603" s="9"/>
      <c r="Y3603" s="9"/>
      <c r="Z3603" s="9"/>
      <c r="AA3603" s="9"/>
    </row>
    <row r="3604" spans="1:27" ht="13.6">
      <c r="A3604" s="8"/>
      <c r="B3604" s="12"/>
      <c r="C3604" s="9"/>
      <c r="D3604" s="9"/>
      <c r="E3604" s="9"/>
      <c r="F3604" s="9"/>
      <c r="G3604" s="9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9"/>
      <c r="U3604" s="9"/>
      <c r="V3604" s="9"/>
      <c r="W3604" s="9"/>
      <c r="X3604" s="9"/>
      <c r="Y3604" s="9"/>
      <c r="Z3604" s="9"/>
      <c r="AA3604" s="9"/>
    </row>
    <row r="3605" spans="1:27" ht="13.6">
      <c r="A3605" s="8"/>
      <c r="B3605" s="12"/>
      <c r="C3605" s="9"/>
      <c r="D3605" s="9"/>
      <c r="E3605" s="9"/>
      <c r="F3605" s="9"/>
      <c r="G3605" s="9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9"/>
      <c r="U3605" s="9"/>
      <c r="V3605" s="9"/>
      <c r="W3605" s="9"/>
      <c r="X3605" s="9"/>
      <c r="Y3605" s="9"/>
      <c r="Z3605" s="9"/>
      <c r="AA3605" s="9"/>
    </row>
    <row r="3606" spans="1:27" ht="13.6">
      <c r="A3606" s="8"/>
      <c r="B3606" s="12"/>
      <c r="C3606" s="9"/>
      <c r="D3606" s="9"/>
      <c r="E3606" s="9"/>
      <c r="F3606" s="9"/>
      <c r="G3606" s="9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9"/>
      <c r="U3606" s="9"/>
      <c r="V3606" s="9"/>
      <c r="W3606" s="9"/>
      <c r="X3606" s="9"/>
      <c r="Y3606" s="9"/>
      <c r="Z3606" s="9"/>
      <c r="AA3606" s="9"/>
    </row>
    <row r="3607" spans="1:27" ht="13.6">
      <c r="A3607" s="8"/>
      <c r="B3607" s="12"/>
      <c r="C3607" s="9"/>
      <c r="D3607" s="9"/>
      <c r="E3607" s="9"/>
      <c r="F3607" s="9"/>
      <c r="G3607" s="9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9"/>
      <c r="U3607" s="9"/>
      <c r="V3607" s="9"/>
      <c r="W3607" s="9"/>
      <c r="X3607" s="9"/>
      <c r="Y3607" s="9"/>
      <c r="Z3607" s="9"/>
      <c r="AA3607" s="9"/>
    </row>
    <row r="3608" spans="1:27" ht="13.6">
      <c r="A3608" s="8"/>
      <c r="B3608" s="12"/>
      <c r="C3608" s="9"/>
      <c r="D3608" s="9"/>
      <c r="E3608" s="9"/>
      <c r="F3608" s="9"/>
      <c r="G3608" s="9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9"/>
      <c r="U3608" s="9"/>
      <c r="V3608" s="9"/>
      <c r="W3608" s="9"/>
      <c r="X3608" s="9"/>
      <c r="Y3608" s="9"/>
      <c r="Z3608" s="9"/>
      <c r="AA3608" s="9"/>
    </row>
    <row r="3609" spans="1:27" ht="13.6">
      <c r="A3609" s="8"/>
      <c r="B3609" s="12"/>
      <c r="C3609" s="9"/>
      <c r="D3609" s="9"/>
      <c r="E3609" s="9"/>
      <c r="F3609" s="9"/>
      <c r="G3609" s="9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9"/>
      <c r="U3609" s="9"/>
      <c r="V3609" s="9"/>
      <c r="W3609" s="9"/>
      <c r="X3609" s="9"/>
      <c r="Y3609" s="9"/>
      <c r="Z3609" s="9"/>
      <c r="AA3609" s="9"/>
    </row>
    <row r="3610" spans="1:27" ht="13.6">
      <c r="A3610" s="8"/>
      <c r="B3610" s="12"/>
      <c r="C3610" s="9"/>
      <c r="D3610" s="9"/>
      <c r="E3610" s="9"/>
      <c r="F3610" s="9"/>
      <c r="G3610" s="9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9"/>
      <c r="U3610" s="9"/>
      <c r="V3610" s="9"/>
      <c r="W3610" s="9"/>
      <c r="X3610" s="9"/>
      <c r="Y3610" s="9"/>
      <c r="Z3610" s="9"/>
      <c r="AA3610" s="9"/>
    </row>
    <row r="3611" spans="1:27" ht="13.6">
      <c r="A3611" s="8"/>
      <c r="B3611" s="12"/>
      <c r="C3611" s="9"/>
      <c r="D3611" s="9"/>
      <c r="E3611" s="9"/>
      <c r="F3611" s="9"/>
      <c r="G3611" s="9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9"/>
      <c r="U3611" s="9"/>
      <c r="V3611" s="9"/>
      <c r="W3611" s="9"/>
      <c r="X3611" s="9"/>
      <c r="Y3611" s="9"/>
      <c r="Z3611" s="9"/>
      <c r="AA3611" s="9"/>
    </row>
    <row r="3612" spans="1:27" ht="13.6">
      <c r="A3612" s="8"/>
      <c r="B3612" s="12"/>
      <c r="C3612" s="9"/>
      <c r="D3612" s="9"/>
      <c r="E3612" s="9"/>
      <c r="F3612" s="9"/>
      <c r="G3612" s="9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9"/>
    </row>
    <row r="3613" spans="1:27" ht="13.6">
      <c r="A3613" s="8"/>
      <c r="B3613" s="12"/>
      <c r="C3613" s="9"/>
      <c r="D3613" s="9"/>
      <c r="E3613" s="9"/>
      <c r="F3613" s="9"/>
      <c r="G3613" s="9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9"/>
      <c r="U3613" s="9"/>
      <c r="V3613" s="9"/>
      <c r="W3613" s="9"/>
      <c r="X3613" s="9"/>
      <c r="Y3613" s="9"/>
      <c r="Z3613" s="9"/>
      <c r="AA3613" s="9"/>
    </row>
    <row r="3614" spans="1:27" ht="13.6">
      <c r="A3614" s="8"/>
      <c r="B3614" s="12"/>
      <c r="C3614" s="9"/>
      <c r="D3614" s="9"/>
      <c r="E3614" s="9"/>
      <c r="F3614" s="9"/>
      <c r="G3614" s="9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9"/>
      <c r="U3614" s="9"/>
      <c r="V3614" s="9"/>
      <c r="W3614" s="9"/>
      <c r="X3614" s="9"/>
      <c r="Y3614" s="9"/>
      <c r="Z3614" s="9"/>
      <c r="AA3614" s="9"/>
    </row>
    <row r="3615" spans="1:27" ht="13.6">
      <c r="A3615" s="8"/>
      <c r="B3615" s="12"/>
      <c r="C3615" s="9"/>
      <c r="D3615" s="9"/>
      <c r="E3615" s="9"/>
      <c r="F3615" s="9"/>
      <c r="G3615" s="9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9"/>
      <c r="U3615" s="9"/>
      <c r="V3615" s="9"/>
      <c r="W3615" s="9"/>
      <c r="X3615" s="9"/>
      <c r="Y3615" s="9"/>
      <c r="Z3615" s="9"/>
      <c r="AA3615" s="9"/>
    </row>
    <row r="3616" spans="1:27" ht="13.6">
      <c r="A3616" s="8"/>
      <c r="B3616" s="12"/>
      <c r="C3616" s="9"/>
      <c r="D3616" s="9"/>
      <c r="E3616" s="9"/>
      <c r="F3616" s="9"/>
      <c r="G3616" s="9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9"/>
      <c r="U3616" s="9"/>
      <c r="V3616" s="9"/>
      <c r="W3616" s="9"/>
      <c r="X3616" s="9"/>
      <c r="Y3616" s="9"/>
      <c r="Z3616" s="9"/>
      <c r="AA3616" s="9"/>
    </row>
    <row r="3617" spans="1:27" ht="13.6">
      <c r="A3617" s="8"/>
      <c r="B3617" s="12"/>
      <c r="C3617" s="9"/>
      <c r="D3617" s="9"/>
      <c r="E3617" s="9"/>
      <c r="F3617" s="9"/>
      <c r="G3617" s="9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9"/>
      <c r="U3617" s="9"/>
      <c r="V3617" s="9"/>
      <c r="W3617" s="9"/>
      <c r="X3617" s="9"/>
      <c r="Y3617" s="9"/>
      <c r="Z3617" s="9"/>
      <c r="AA3617" s="9"/>
    </row>
    <row r="3618" spans="1:27" ht="13.6">
      <c r="A3618" s="8"/>
      <c r="B3618" s="12"/>
      <c r="C3618" s="9"/>
      <c r="D3618" s="9"/>
      <c r="E3618" s="9"/>
      <c r="F3618" s="9"/>
      <c r="G3618" s="9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9"/>
      <c r="U3618" s="9"/>
      <c r="V3618" s="9"/>
      <c r="W3618" s="9"/>
      <c r="X3618" s="9"/>
      <c r="Y3618" s="9"/>
      <c r="Z3618" s="9"/>
      <c r="AA3618" s="9"/>
    </row>
    <row r="3619" spans="1:27" ht="13.6">
      <c r="A3619" s="8"/>
      <c r="B3619" s="12"/>
      <c r="C3619" s="9"/>
      <c r="D3619" s="9"/>
      <c r="E3619" s="9"/>
      <c r="F3619" s="9"/>
      <c r="G3619" s="9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9"/>
      <c r="U3619" s="9"/>
      <c r="V3619" s="9"/>
      <c r="W3619" s="9"/>
      <c r="X3619" s="9"/>
      <c r="Y3619" s="9"/>
      <c r="Z3619" s="9"/>
      <c r="AA3619" s="9"/>
    </row>
    <row r="3620" spans="1:27" ht="13.6">
      <c r="A3620" s="8"/>
      <c r="B3620" s="12"/>
      <c r="C3620" s="9"/>
      <c r="D3620" s="9"/>
      <c r="E3620" s="9"/>
      <c r="F3620" s="9"/>
      <c r="G3620" s="9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9"/>
      <c r="U3620" s="9"/>
      <c r="V3620" s="9"/>
      <c r="W3620" s="9"/>
      <c r="X3620" s="9"/>
      <c r="Y3620" s="9"/>
      <c r="Z3620" s="9"/>
      <c r="AA3620" s="9"/>
    </row>
    <row r="3621" spans="1:27" ht="13.6">
      <c r="A3621" s="8"/>
      <c r="B3621" s="12"/>
      <c r="C3621" s="9"/>
      <c r="D3621" s="9"/>
      <c r="E3621" s="9"/>
      <c r="F3621" s="9"/>
      <c r="G3621" s="9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9"/>
      <c r="U3621" s="9"/>
      <c r="V3621" s="9"/>
      <c r="W3621" s="9"/>
      <c r="X3621" s="9"/>
      <c r="Y3621" s="9"/>
      <c r="Z3621" s="9"/>
      <c r="AA3621" s="9"/>
    </row>
    <row r="3622" spans="1:27" ht="13.6">
      <c r="A3622" s="8"/>
      <c r="B3622" s="12"/>
      <c r="C3622" s="9"/>
      <c r="D3622" s="9"/>
      <c r="E3622" s="9"/>
      <c r="F3622" s="9"/>
      <c r="G3622" s="9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9"/>
      <c r="U3622" s="9"/>
      <c r="V3622" s="9"/>
      <c r="W3622" s="9"/>
      <c r="X3622" s="9"/>
      <c r="Y3622" s="9"/>
      <c r="Z3622" s="9"/>
      <c r="AA3622" s="9"/>
    </row>
    <row r="3623" spans="1:27" ht="13.6">
      <c r="A3623" s="8"/>
      <c r="B3623" s="12"/>
      <c r="C3623" s="9"/>
      <c r="D3623" s="9"/>
      <c r="E3623" s="9"/>
      <c r="F3623" s="9"/>
      <c r="G3623" s="9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9"/>
      <c r="U3623" s="9"/>
      <c r="V3623" s="9"/>
      <c r="W3623" s="9"/>
      <c r="X3623" s="9"/>
      <c r="Y3623" s="9"/>
      <c r="Z3623" s="9"/>
      <c r="AA3623" s="9"/>
    </row>
    <row r="3624" spans="1:27" ht="13.6">
      <c r="A3624" s="8"/>
      <c r="B3624" s="12"/>
      <c r="C3624" s="9"/>
      <c r="D3624" s="9"/>
      <c r="E3624" s="9"/>
      <c r="F3624" s="9"/>
      <c r="G3624" s="9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9"/>
      <c r="U3624" s="9"/>
      <c r="V3624" s="9"/>
      <c r="W3624" s="9"/>
      <c r="X3624" s="9"/>
      <c r="Y3624" s="9"/>
      <c r="Z3624" s="9"/>
      <c r="AA3624" s="9"/>
    </row>
    <row r="3625" spans="1:27" ht="13.6">
      <c r="A3625" s="8"/>
      <c r="B3625" s="12"/>
      <c r="C3625" s="9"/>
      <c r="D3625" s="9"/>
      <c r="E3625" s="9"/>
      <c r="F3625" s="9"/>
      <c r="G3625" s="9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9"/>
      <c r="U3625" s="9"/>
      <c r="V3625" s="9"/>
      <c r="W3625" s="9"/>
      <c r="X3625" s="9"/>
      <c r="Y3625" s="9"/>
      <c r="Z3625" s="9"/>
      <c r="AA3625" s="9"/>
    </row>
    <row r="3626" spans="1:27" ht="13.6">
      <c r="A3626" s="8"/>
      <c r="B3626" s="12"/>
      <c r="C3626" s="9"/>
      <c r="D3626" s="9"/>
      <c r="E3626" s="9"/>
      <c r="F3626" s="9"/>
      <c r="G3626" s="9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9"/>
      <c r="U3626" s="9"/>
      <c r="V3626" s="9"/>
      <c r="W3626" s="9"/>
      <c r="X3626" s="9"/>
      <c r="Y3626" s="9"/>
      <c r="Z3626" s="9"/>
      <c r="AA3626" s="9"/>
    </row>
    <row r="3627" spans="1:27" ht="13.6">
      <c r="A3627" s="8"/>
      <c r="B3627" s="12"/>
      <c r="C3627" s="9"/>
      <c r="D3627" s="9"/>
      <c r="E3627" s="9"/>
      <c r="F3627" s="9"/>
      <c r="G3627" s="9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9"/>
      <c r="U3627" s="9"/>
      <c r="V3627" s="9"/>
      <c r="W3627" s="9"/>
      <c r="X3627" s="9"/>
      <c r="Y3627" s="9"/>
      <c r="Z3627" s="9"/>
      <c r="AA3627" s="9"/>
    </row>
    <row r="3628" spans="1:27" ht="13.6">
      <c r="A3628" s="8"/>
      <c r="B3628" s="12"/>
      <c r="C3628" s="9"/>
      <c r="D3628" s="9"/>
      <c r="E3628" s="9"/>
      <c r="F3628" s="9"/>
      <c r="G3628" s="9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9"/>
      <c r="U3628" s="9"/>
      <c r="V3628" s="9"/>
      <c r="W3628" s="9"/>
      <c r="X3628" s="9"/>
      <c r="Y3628" s="9"/>
      <c r="Z3628" s="9"/>
      <c r="AA3628" s="9"/>
    </row>
    <row r="3629" spans="1:27" ht="13.6">
      <c r="A3629" s="8"/>
      <c r="B3629" s="12"/>
      <c r="C3629" s="9"/>
      <c r="D3629" s="9"/>
      <c r="E3629" s="9"/>
      <c r="F3629" s="9"/>
      <c r="G3629" s="9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9"/>
      <c r="U3629" s="9"/>
      <c r="V3629" s="9"/>
      <c r="W3629" s="9"/>
      <c r="X3629" s="9"/>
      <c r="Y3629" s="9"/>
      <c r="Z3629" s="9"/>
      <c r="AA3629" s="9"/>
    </row>
    <row r="3630" spans="1:27" ht="13.6">
      <c r="A3630" s="8"/>
      <c r="B3630" s="12"/>
      <c r="C3630" s="9"/>
      <c r="D3630" s="9"/>
      <c r="E3630" s="9"/>
      <c r="F3630" s="9"/>
      <c r="G3630" s="9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9"/>
      <c r="U3630" s="9"/>
      <c r="V3630" s="9"/>
      <c r="W3630" s="9"/>
      <c r="X3630" s="9"/>
      <c r="Y3630" s="9"/>
      <c r="Z3630" s="9"/>
      <c r="AA3630" s="9"/>
    </row>
    <row r="3631" spans="1:27" ht="13.6">
      <c r="A3631" s="8"/>
      <c r="B3631" s="12"/>
      <c r="C3631" s="9"/>
      <c r="D3631" s="9"/>
      <c r="E3631" s="9"/>
      <c r="F3631" s="9"/>
      <c r="G3631" s="9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9"/>
      <c r="U3631" s="9"/>
      <c r="V3631" s="9"/>
      <c r="W3631" s="9"/>
      <c r="X3631" s="9"/>
      <c r="Y3631" s="9"/>
      <c r="Z3631" s="9"/>
      <c r="AA3631" s="9"/>
    </row>
    <row r="3632" spans="1:27" ht="13.6">
      <c r="A3632" s="8"/>
      <c r="B3632" s="12"/>
      <c r="C3632" s="9"/>
      <c r="D3632" s="9"/>
      <c r="E3632" s="9"/>
      <c r="F3632" s="9"/>
      <c r="G3632" s="9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9"/>
      <c r="U3632" s="9"/>
      <c r="V3632" s="9"/>
      <c r="W3632" s="9"/>
      <c r="X3632" s="9"/>
      <c r="Y3632" s="9"/>
      <c r="Z3632" s="9"/>
      <c r="AA3632" s="9"/>
    </row>
    <row r="3633" spans="1:27" ht="13.6">
      <c r="A3633" s="8"/>
      <c r="B3633" s="12"/>
      <c r="C3633" s="9"/>
      <c r="D3633" s="9"/>
      <c r="E3633" s="9"/>
      <c r="F3633" s="9"/>
      <c r="G3633" s="9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9"/>
      <c r="U3633" s="9"/>
      <c r="V3633" s="9"/>
      <c r="W3633" s="9"/>
      <c r="X3633" s="9"/>
      <c r="Y3633" s="9"/>
      <c r="Z3633" s="9"/>
      <c r="AA3633" s="9"/>
    </row>
    <row r="3634" spans="1:27" ht="13.6">
      <c r="A3634" s="8"/>
      <c r="B3634" s="12"/>
      <c r="C3634" s="9"/>
      <c r="D3634" s="9"/>
      <c r="E3634" s="9"/>
      <c r="F3634" s="9"/>
      <c r="G3634" s="9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9"/>
      <c r="U3634" s="9"/>
      <c r="V3634" s="9"/>
      <c r="W3634" s="9"/>
      <c r="X3634" s="9"/>
      <c r="Y3634" s="9"/>
      <c r="Z3634" s="9"/>
      <c r="AA3634" s="9"/>
    </row>
    <row r="3635" spans="1:27" ht="13.6">
      <c r="A3635" s="8"/>
      <c r="B3635" s="12"/>
      <c r="C3635" s="9"/>
      <c r="D3635" s="9"/>
      <c r="E3635" s="9"/>
      <c r="F3635" s="9"/>
      <c r="G3635" s="9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9"/>
      <c r="U3635" s="9"/>
      <c r="V3635" s="9"/>
      <c r="W3635" s="9"/>
      <c r="X3635" s="9"/>
      <c r="Y3635" s="9"/>
      <c r="Z3635" s="9"/>
      <c r="AA3635" s="9"/>
    </row>
    <row r="3636" spans="1:27" ht="13.6">
      <c r="A3636" s="8"/>
      <c r="B3636" s="12"/>
      <c r="C3636" s="9"/>
      <c r="D3636" s="9"/>
      <c r="E3636" s="9"/>
      <c r="F3636" s="9"/>
      <c r="G3636" s="9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9"/>
      <c r="U3636" s="9"/>
      <c r="V3636" s="9"/>
      <c r="W3636" s="9"/>
      <c r="X3636" s="9"/>
      <c r="Y3636" s="9"/>
      <c r="Z3636" s="9"/>
      <c r="AA3636" s="9"/>
    </row>
    <row r="3637" spans="1:27" ht="13.6">
      <c r="A3637" s="8"/>
      <c r="B3637" s="12"/>
      <c r="C3637" s="9"/>
      <c r="D3637" s="9"/>
      <c r="E3637" s="9"/>
      <c r="F3637" s="9"/>
      <c r="G3637" s="9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9"/>
      <c r="U3637" s="9"/>
      <c r="V3637" s="9"/>
      <c r="W3637" s="9"/>
      <c r="X3637" s="9"/>
      <c r="Y3637" s="9"/>
      <c r="Z3637" s="9"/>
      <c r="AA3637" s="9"/>
    </row>
    <row r="3638" spans="1:27" ht="13.6">
      <c r="A3638" s="8"/>
      <c r="B3638" s="12"/>
      <c r="C3638" s="9"/>
      <c r="D3638" s="9"/>
      <c r="E3638" s="9"/>
      <c r="F3638" s="9"/>
      <c r="G3638" s="9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9"/>
      <c r="U3638" s="9"/>
      <c r="V3638" s="9"/>
      <c r="W3638" s="9"/>
      <c r="X3638" s="9"/>
      <c r="Y3638" s="9"/>
      <c r="Z3638" s="9"/>
      <c r="AA3638" s="9"/>
    </row>
    <row r="3639" spans="1:27" ht="13.6">
      <c r="A3639" s="8"/>
      <c r="B3639" s="12"/>
      <c r="C3639" s="9"/>
      <c r="D3639" s="9"/>
      <c r="E3639" s="9"/>
      <c r="F3639" s="9"/>
      <c r="G3639" s="9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9"/>
      <c r="U3639" s="9"/>
      <c r="V3639" s="9"/>
      <c r="W3639" s="9"/>
      <c r="X3639" s="9"/>
      <c r="Y3639" s="9"/>
      <c r="Z3639" s="9"/>
      <c r="AA3639" s="9"/>
    </row>
    <row r="3640" spans="1:27" ht="13.6">
      <c r="A3640" s="8"/>
      <c r="B3640" s="12"/>
      <c r="C3640" s="9"/>
      <c r="D3640" s="9"/>
      <c r="E3640" s="9"/>
      <c r="F3640" s="9"/>
      <c r="G3640" s="9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9"/>
      <c r="U3640" s="9"/>
      <c r="V3640" s="9"/>
      <c r="W3640" s="9"/>
      <c r="X3640" s="9"/>
      <c r="Y3640" s="9"/>
      <c r="Z3640" s="9"/>
      <c r="AA3640" s="9"/>
    </row>
    <row r="3641" spans="1:27" ht="13.6">
      <c r="A3641" s="8"/>
      <c r="B3641" s="12"/>
      <c r="C3641" s="9"/>
      <c r="D3641" s="9"/>
      <c r="E3641" s="9"/>
      <c r="F3641" s="9"/>
      <c r="G3641" s="9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9"/>
      <c r="U3641" s="9"/>
      <c r="V3641" s="9"/>
      <c r="W3641" s="9"/>
      <c r="X3641" s="9"/>
      <c r="Y3641" s="9"/>
      <c r="Z3641" s="9"/>
      <c r="AA3641" s="9"/>
    </row>
    <row r="3642" spans="1:27" ht="13.6">
      <c r="A3642" s="8"/>
      <c r="B3642" s="12"/>
      <c r="C3642" s="9"/>
      <c r="D3642" s="9"/>
      <c r="E3642" s="9"/>
      <c r="F3642" s="9"/>
      <c r="G3642" s="9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9"/>
      <c r="U3642" s="9"/>
      <c r="V3642" s="9"/>
      <c r="W3642" s="9"/>
      <c r="X3642" s="9"/>
      <c r="Y3642" s="9"/>
      <c r="Z3642" s="9"/>
      <c r="AA3642" s="9"/>
    </row>
    <row r="3643" spans="1:27" ht="13.6">
      <c r="A3643" s="8"/>
      <c r="B3643" s="12"/>
      <c r="C3643" s="9"/>
      <c r="D3643" s="9"/>
      <c r="E3643" s="9"/>
      <c r="F3643" s="9"/>
      <c r="G3643" s="9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9"/>
      <c r="U3643" s="9"/>
      <c r="V3643" s="9"/>
      <c r="W3643" s="9"/>
      <c r="X3643" s="9"/>
      <c r="Y3643" s="9"/>
      <c r="Z3643" s="9"/>
      <c r="AA3643" s="9"/>
    </row>
    <row r="3644" spans="1:27" ht="13.6">
      <c r="A3644" s="8"/>
      <c r="B3644" s="12"/>
      <c r="C3644" s="9"/>
      <c r="D3644" s="9"/>
      <c r="E3644" s="9"/>
      <c r="F3644" s="9"/>
      <c r="G3644" s="9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9"/>
      <c r="U3644" s="9"/>
      <c r="V3644" s="9"/>
      <c r="W3644" s="9"/>
      <c r="X3644" s="9"/>
      <c r="Y3644" s="9"/>
      <c r="Z3644" s="9"/>
      <c r="AA3644" s="9"/>
    </row>
    <row r="3645" spans="1:27" ht="13.6">
      <c r="A3645" s="8"/>
      <c r="B3645" s="12"/>
      <c r="C3645" s="9"/>
      <c r="D3645" s="9"/>
      <c r="E3645" s="9"/>
      <c r="F3645" s="9"/>
      <c r="G3645" s="9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9"/>
      <c r="U3645" s="9"/>
      <c r="V3645" s="9"/>
      <c r="W3645" s="9"/>
      <c r="X3645" s="9"/>
      <c r="Y3645" s="9"/>
      <c r="Z3645" s="9"/>
      <c r="AA3645" s="9"/>
    </row>
    <row r="3646" spans="1:27" ht="13.6">
      <c r="A3646" s="8"/>
      <c r="B3646" s="12"/>
      <c r="C3646" s="9"/>
      <c r="D3646" s="9"/>
      <c r="E3646" s="9"/>
      <c r="F3646" s="9"/>
      <c r="G3646" s="9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9"/>
      <c r="U3646" s="9"/>
      <c r="V3646" s="9"/>
      <c r="W3646" s="9"/>
      <c r="X3646" s="9"/>
      <c r="Y3646" s="9"/>
      <c r="Z3646" s="9"/>
      <c r="AA3646" s="9"/>
    </row>
    <row r="3647" spans="1:27" ht="13.6">
      <c r="A3647" s="8"/>
      <c r="B3647" s="12"/>
      <c r="C3647" s="9"/>
      <c r="D3647" s="9"/>
      <c r="E3647" s="9"/>
      <c r="F3647" s="9"/>
      <c r="G3647" s="9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9"/>
      <c r="U3647" s="9"/>
      <c r="V3647" s="9"/>
      <c r="W3647" s="9"/>
      <c r="X3647" s="9"/>
      <c r="Y3647" s="9"/>
      <c r="Z3647" s="9"/>
      <c r="AA3647" s="9"/>
    </row>
    <row r="3648" spans="1:27" ht="13.6">
      <c r="A3648" s="8"/>
      <c r="B3648" s="12"/>
      <c r="C3648" s="9"/>
      <c r="D3648" s="9"/>
      <c r="E3648" s="9"/>
      <c r="F3648" s="9"/>
      <c r="G3648" s="9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9"/>
      <c r="U3648" s="9"/>
      <c r="V3648" s="9"/>
      <c r="W3648" s="9"/>
      <c r="X3648" s="9"/>
      <c r="Y3648" s="9"/>
      <c r="Z3648" s="9"/>
      <c r="AA3648" s="9"/>
    </row>
    <row r="3649" spans="1:27" ht="13.6">
      <c r="A3649" s="8"/>
      <c r="B3649" s="12"/>
      <c r="C3649" s="9"/>
      <c r="D3649" s="9"/>
      <c r="E3649" s="9"/>
      <c r="F3649" s="9"/>
      <c r="G3649" s="9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9"/>
      <c r="U3649" s="9"/>
      <c r="V3649" s="9"/>
      <c r="W3649" s="9"/>
      <c r="X3649" s="9"/>
      <c r="Y3649" s="9"/>
      <c r="Z3649" s="9"/>
      <c r="AA3649" s="9"/>
    </row>
    <row r="3650" spans="1:27" ht="13.6">
      <c r="A3650" s="8"/>
      <c r="B3650" s="12"/>
      <c r="C3650" s="9"/>
      <c r="D3650" s="9"/>
      <c r="E3650" s="9"/>
      <c r="F3650" s="9"/>
      <c r="G3650" s="9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9"/>
      <c r="U3650" s="9"/>
      <c r="V3650" s="9"/>
      <c r="W3650" s="9"/>
      <c r="X3650" s="9"/>
      <c r="Y3650" s="9"/>
      <c r="Z3650" s="9"/>
      <c r="AA3650" s="9"/>
    </row>
    <row r="3651" spans="1:27" ht="13.6">
      <c r="A3651" s="8"/>
      <c r="B3651" s="12"/>
      <c r="C3651" s="9"/>
      <c r="D3651" s="9"/>
      <c r="E3651" s="9"/>
      <c r="F3651" s="9"/>
      <c r="G3651" s="9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9"/>
      <c r="U3651" s="9"/>
      <c r="V3651" s="9"/>
      <c r="W3651" s="9"/>
      <c r="X3651" s="9"/>
      <c r="Y3651" s="9"/>
      <c r="Z3651" s="9"/>
      <c r="AA3651" s="9"/>
    </row>
    <row r="3652" spans="1:27" ht="13.6">
      <c r="A3652" s="8"/>
      <c r="B3652" s="12"/>
      <c r="C3652" s="9"/>
      <c r="D3652" s="9"/>
      <c r="E3652" s="9"/>
      <c r="F3652" s="9"/>
      <c r="G3652" s="9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9"/>
      <c r="U3652" s="9"/>
      <c r="V3652" s="9"/>
      <c r="W3652" s="9"/>
      <c r="X3652" s="9"/>
      <c r="Y3652" s="9"/>
      <c r="Z3652" s="9"/>
      <c r="AA3652" s="9"/>
    </row>
    <row r="3653" spans="1:27" ht="13.6">
      <c r="A3653" s="8"/>
      <c r="B3653" s="12"/>
      <c r="C3653" s="9"/>
      <c r="D3653" s="9"/>
      <c r="E3653" s="9"/>
      <c r="F3653" s="9"/>
      <c r="G3653" s="9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9"/>
      <c r="U3653" s="9"/>
      <c r="V3653" s="9"/>
      <c r="W3653" s="9"/>
      <c r="X3653" s="9"/>
      <c r="Y3653" s="9"/>
      <c r="Z3653" s="9"/>
      <c r="AA3653" s="9"/>
    </row>
    <row r="3654" spans="1:27" ht="13.6">
      <c r="A3654" s="8"/>
      <c r="B3654" s="12"/>
      <c r="C3654" s="9"/>
      <c r="D3654" s="9"/>
      <c r="E3654" s="9"/>
      <c r="F3654" s="9"/>
      <c r="G3654" s="9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9"/>
      <c r="U3654" s="9"/>
      <c r="V3654" s="9"/>
      <c r="W3654" s="9"/>
      <c r="X3654" s="9"/>
      <c r="Y3654" s="9"/>
      <c r="Z3654" s="9"/>
      <c r="AA3654" s="9"/>
    </row>
    <row r="3655" spans="1:27" ht="13.6">
      <c r="A3655" s="8"/>
      <c r="B3655" s="12"/>
      <c r="C3655" s="9"/>
      <c r="D3655" s="9"/>
      <c r="E3655" s="9"/>
      <c r="F3655" s="9"/>
      <c r="G3655" s="9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9"/>
      <c r="U3655" s="9"/>
      <c r="V3655" s="9"/>
      <c r="W3655" s="9"/>
      <c r="X3655" s="9"/>
      <c r="Y3655" s="9"/>
      <c r="Z3655" s="9"/>
      <c r="AA3655" s="9"/>
    </row>
    <row r="3656" spans="1:27" ht="13.6">
      <c r="A3656" s="8"/>
      <c r="B3656" s="12"/>
      <c r="C3656" s="9"/>
      <c r="D3656" s="9"/>
      <c r="E3656" s="9"/>
      <c r="F3656" s="9"/>
      <c r="G3656" s="9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9"/>
      <c r="U3656" s="9"/>
      <c r="V3656" s="9"/>
      <c r="W3656" s="9"/>
      <c r="X3656" s="9"/>
      <c r="Y3656" s="9"/>
      <c r="Z3656" s="9"/>
      <c r="AA3656" s="9"/>
    </row>
    <row r="3657" spans="1:27" ht="13.6">
      <c r="A3657" s="8"/>
      <c r="B3657" s="12"/>
      <c r="C3657" s="9"/>
      <c r="D3657" s="9"/>
      <c r="E3657" s="9"/>
      <c r="F3657" s="9"/>
      <c r="G3657" s="9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9"/>
      <c r="U3657" s="9"/>
      <c r="V3657" s="9"/>
      <c r="W3657" s="9"/>
      <c r="X3657" s="9"/>
      <c r="Y3657" s="9"/>
      <c r="Z3657" s="9"/>
      <c r="AA3657" s="9"/>
    </row>
    <row r="3658" spans="1:27" ht="13.6">
      <c r="A3658" s="8"/>
      <c r="B3658" s="12"/>
      <c r="C3658" s="9"/>
      <c r="D3658" s="9"/>
      <c r="E3658" s="9"/>
      <c r="F3658" s="9"/>
      <c r="G3658" s="9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9"/>
      <c r="U3658" s="9"/>
      <c r="V3658" s="9"/>
      <c r="W3658" s="9"/>
      <c r="X3658" s="9"/>
      <c r="Y3658" s="9"/>
      <c r="Z3658" s="9"/>
      <c r="AA3658" s="9"/>
    </row>
    <row r="3659" spans="1:27" ht="13.6">
      <c r="A3659" s="8"/>
      <c r="B3659" s="12"/>
      <c r="C3659" s="9"/>
      <c r="D3659" s="9"/>
      <c r="E3659" s="9"/>
      <c r="F3659" s="9"/>
      <c r="G3659" s="9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9"/>
      <c r="U3659" s="9"/>
      <c r="V3659" s="9"/>
      <c r="W3659" s="9"/>
      <c r="X3659" s="9"/>
      <c r="Y3659" s="9"/>
      <c r="Z3659" s="9"/>
      <c r="AA3659" s="9"/>
    </row>
    <row r="3660" spans="1:27" ht="13.6">
      <c r="A3660" s="8"/>
      <c r="B3660" s="12"/>
      <c r="C3660" s="9"/>
      <c r="D3660" s="9"/>
      <c r="E3660" s="9"/>
      <c r="F3660" s="9"/>
      <c r="G3660" s="9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9"/>
      <c r="U3660" s="9"/>
      <c r="V3660" s="9"/>
      <c r="W3660" s="9"/>
      <c r="X3660" s="9"/>
      <c r="Y3660" s="9"/>
      <c r="Z3660" s="9"/>
      <c r="AA3660" s="9"/>
    </row>
    <row r="3661" spans="1:27" ht="13.6">
      <c r="A3661" s="8"/>
      <c r="B3661" s="12"/>
      <c r="C3661" s="9"/>
      <c r="D3661" s="9"/>
      <c r="E3661" s="9"/>
      <c r="F3661" s="9"/>
      <c r="G3661" s="9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9"/>
      <c r="U3661" s="9"/>
      <c r="V3661" s="9"/>
      <c r="W3661" s="9"/>
      <c r="X3661" s="9"/>
      <c r="Y3661" s="9"/>
      <c r="Z3661" s="9"/>
      <c r="AA3661" s="9"/>
    </row>
    <row r="3662" spans="1:27" ht="13.6">
      <c r="A3662" s="8"/>
      <c r="B3662" s="12"/>
      <c r="C3662" s="9"/>
      <c r="D3662" s="9"/>
      <c r="E3662" s="9"/>
      <c r="F3662" s="9"/>
      <c r="G3662" s="9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9"/>
      <c r="U3662" s="9"/>
      <c r="V3662" s="9"/>
      <c r="W3662" s="9"/>
      <c r="X3662" s="9"/>
      <c r="Y3662" s="9"/>
      <c r="Z3662" s="9"/>
      <c r="AA3662" s="9"/>
    </row>
    <row r="3663" spans="1:27" ht="13.6">
      <c r="A3663" s="8"/>
      <c r="B3663" s="12"/>
      <c r="C3663" s="9"/>
      <c r="D3663" s="9"/>
      <c r="E3663" s="9"/>
      <c r="F3663" s="9"/>
      <c r="G3663" s="9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9"/>
      <c r="U3663" s="9"/>
      <c r="V3663" s="9"/>
      <c r="W3663" s="9"/>
      <c r="X3663" s="9"/>
      <c r="Y3663" s="9"/>
      <c r="Z3663" s="9"/>
      <c r="AA3663" s="9"/>
    </row>
    <row r="3664" spans="1:27" ht="13.6">
      <c r="A3664" s="8"/>
      <c r="B3664" s="12"/>
      <c r="C3664" s="9"/>
      <c r="D3664" s="9"/>
      <c r="E3664" s="9"/>
      <c r="F3664" s="9"/>
      <c r="G3664" s="9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9"/>
      <c r="U3664" s="9"/>
      <c r="V3664" s="9"/>
      <c r="W3664" s="9"/>
      <c r="X3664" s="9"/>
      <c r="Y3664" s="9"/>
      <c r="Z3664" s="9"/>
      <c r="AA3664" s="9"/>
    </row>
    <row r="3665" spans="1:27" ht="13.6">
      <c r="A3665" s="8"/>
      <c r="B3665" s="12"/>
      <c r="C3665" s="9"/>
      <c r="D3665" s="9"/>
      <c r="E3665" s="9"/>
      <c r="F3665" s="9"/>
      <c r="G3665" s="9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9"/>
      <c r="U3665" s="9"/>
      <c r="V3665" s="9"/>
      <c r="W3665" s="9"/>
      <c r="X3665" s="9"/>
      <c r="Y3665" s="9"/>
      <c r="Z3665" s="9"/>
      <c r="AA3665" s="9"/>
    </row>
    <row r="3666" spans="1:27" ht="13.6">
      <c r="A3666" s="8"/>
      <c r="B3666" s="12"/>
      <c r="C3666" s="9"/>
      <c r="D3666" s="9"/>
      <c r="E3666" s="9"/>
      <c r="F3666" s="9"/>
      <c r="G3666" s="9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9"/>
      <c r="U3666" s="9"/>
      <c r="V3666" s="9"/>
      <c r="W3666" s="9"/>
      <c r="X3666" s="9"/>
      <c r="Y3666" s="9"/>
      <c r="Z3666" s="9"/>
      <c r="AA3666" s="9"/>
    </row>
    <row r="3667" spans="1:27" ht="13.6">
      <c r="A3667" s="8"/>
      <c r="B3667" s="12"/>
      <c r="C3667" s="9"/>
      <c r="D3667" s="9"/>
      <c r="E3667" s="9"/>
      <c r="F3667" s="9"/>
      <c r="G3667" s="9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9"/>
      <c r="U3667" s="9"/>
      <c r="V3667" s="9"/>
      <c r="W3667" s="9"/>
      <c r="X3667" s="9"/>
      <c r="Y3667" s="9"/>
      <c r="Z3667" s="9"/>
      <c r="AA3667" s="9"/>
    </row>
    <row r="3668" spans="1:27" ht="13.6">
      <c r="A3668" s="8"/>
      <c r="B3668" s="12"/>
      <c r="C3668" s="9"/>
      <c r="D3668" s="9"/>
      <c r="E3668" s="9"/>
      <c r="F3668" s="9"/>
      <c r="G3668" s="9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9"/>
      <c r="U3668" s="9"/>
      <c r="V3668" s="9"/>
      <c r="W3668" s="9"/>
      <c r="X3668" s="9"/>
      <c r="Y3668" s="9"/>
      <c r="Z3668" s="9"/>
      <c r="AA3668" s="9"/>
    </row>
    <row r="3669" spans="1:27" ht="13.6">
      <c r="A3669" s="8"/>
      <c r="B3669" s="12"/>
      <c r="C3669" s="9"/>
      <c r="D3669" s="9"/>
      <c r="E3669" s="9"/>
      <c r="F3669" s="9"/>
      <c r="G3669" s="9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9"/>
      <c r="U3669" s="9"/>
      <c r="V3669" s="9"/>
      <c r="W3669" s="9"/>
      <c r="X3669" s="9"/>
      <c r="Y3669" s="9"/>
      <c r="Z3669" s="9"/>
      <c r="AA3669" s="9"/>
    </row>
    <row r="3670" spans="1:27" ht="13.6">
      <c r="A3670" s="8"/>
      <c r="B3670" s="12"/>
      <c r="C3670" s="9"/>
      <c r="D3670" s="9"/>
      <c r="E3670" s="9"/>
      <c r="F3670" s="9"/>
      <c r="G3670" s="9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9"/>
      <c r="U3670" s="9"/>
      <c r="V3670" s="9"/>
      <c r="W3670" s="9"/>
      <c r="X3670" s="9"/>
      <c r="Y3670" s="9"/>
      <c r="Z3670" s="9"/>
      <c r="AA3670" s="9"/>
    </row>
    <row r="3671" spans="1:27" ht="13.6">
      <c r="A3671" s="8"/>
      <c r="B3671" s="12"/>
      <c r="C3671" s="9"/>
      <c r="D3671" s="9"/>
      <c r="E3671" s="9"/>
      <c r="F3671" s="9"/>
      <c r="G3671" s="9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9"/>
      <c r="U3671" s="9"/>
      <c r="V3671" s="9"/>
      <c r="W3671" s="9"/>
      <c r="X3671" s="9"/>
      <c r="Y3671" s="9"/>
      <c r="Z3671" s="9"/>
      <c r="AA3671" s="9"/>
    </row>
    <row r="3672" spans="1:27" ht="13.6">
      <c r="A3672" s="8"/>
      <c r="B3672" s="12"/>
      <c r="C3672" s="9"/>
      <c r="D3672" s="9"/>
      <c r="E3672" s="9"/>
      <c r="F3672" s="9"/>
      <c r="G3672" s="9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9"/>
      <c r="U3672" s="9"/>
      <c r="V3672" s="9"/>
      <c r="W3672" s="9"/>
      <c r="X3672" s="9"/>
      <c r="Y3672" s="9"/>
      <c r="Z3672" s="9"/>
      <c r="AA3672" s="9"/>
    </row>
    <row r="3673" spans="1:27" ht="13.6">
      <c r="A3673" s="8"/>
      <c r="B3673" s="12"/>
      <c r="C3673" s="9"/>
      <c r="D3673" s="9"/>
      <c r="E3673" s="9"/>
      <c r="F3673" s="9"/>
      <c r="G3673" s="9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9"/>
      <c r="U3673" s="9"/>
      <c r="V3673" s="9"/>
      <c r="W3673" s="9"/>
      <c r="X3673" s="9"/>
      <c r="Y3673" s="9"/>
      <c r="Z3673" s="9"/>
      <c r="AA3673" s="9"/>
    </row>
    <row r="3674" spans="1:27" ht="13.6">
      <c r="A3674" s="8"/>
      <c r="B3674" s="12"/>
      <c r="C3674" s="9"/>
      <c r="D3674" s="9"/>
      <c r="E3674" s="9"/>
      <c r="F3674" s="9"/>
      <c r="G3674" s="9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9"/>
      <c r="U3674" s="9"/>
      <c r="V3674" s="9"/>
      <c r="W3674" s="9"/>
      <c r="X3674" s="9"/>
      <c r="Y3674" s="9"/>
      <c r="Z3674" s="9"/>
      <c r="AA3674" s="9"/>
    </row>
    <row r="3675" spans="1:27" ht="13.6">
      <c r="A3675" s="8"/>
      <c r="B3675" s="12"/>
      <c r="C3675" s="9"/>
      <c r="D3675" s="9"/>
      <c r="E3675" s="9"/>
      <c r="F3675" s="9"/>
      <c r="G3675" s="9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9"/>
      <c r="U3675" s="9"/>
      <c r="V3675" s="9"/>
      <c r="W3675" s="9"/>
      <c r="X3675" s="9"/>
      <c r="Y3675" s="9"/>
      <c r="Z3675" s="9"/>
      <c r="AA3675" s="9"/>
    </row>
    <row r="3676" spans="1:27" ht="13.6">
      <c r="A3676" s="8"/>
      <c r="B3676" s="12"/>
      <c r="C3676" s="9"/>
      <c r="D3676" s="9"/>
      <c r="E3676" s="9"/>
      <c r="F3676" s="9"/>
      <c r="G3676" s="9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9"/>
      <c r="U3676" s="9"/>
      <c r="V3676" s="9"/>
      <c r="W3676" s="9"/>
      <c r="X3676" s="9"/>
      <c r="Y3676" s="9"/>
      <c r="Z3676" s="9"/>
      <c r="AA3676" s="9"/>
    </row>
    <row r="3677" spans="1:27" ht="13.6">
      <c r="A3677" s="8"/>
      <c r="B3677" s="12"/>
      <c r="C3677" s="9"/>
      <c r="D3677" s="9"/>
      <c r="E3677" s="9"/>
      <c r="F3677" s="9"/>
      <c r="G3677" s="9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9"/>
      <c r="U3677" s="9"/>
      <c r="V3677" s="9"/>
      <c r="W3677" s="9"/>
      <c r="X3677" s="9"/>
      <c r="Y3677" s="9"/>
      <c r="Z3677" s="9"/>
      <c r="AA3677" s="9"/>
    </row>
    <row r="3678" spans="1:27" ht="13.6">
      <c r="A3678" s="8"/>
      <c r="B3678" s="12"/>
      <c r="C3678" s="9"/>
      <c r="D3678" s="9"/>
      <c r="E3678" s="9"/>
      <c r="F3678" s="9"/>
      <c r="G3678" s="9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9"/>
      <c r="U3678" s="9"/>
      <c r="V3678" s="9"/>
      <c r="W3678" s="9"/>
      <c r="X3678" s="9"/>
      <c r="Y3678" s="9"/>
      <c r="Z3678" s="9"/>
      <c r="AA3678" s="9"/>
    </row>
    <row r="3679" spans="1:27" ht="13.6">
      <c r="A3679" s="8"/>
      <c r="B3679" s="12"/>
      <c r="C3679" s="9"/>
      <c r="D3679" s="9"/>
      <c r="E3679" s="9"/>
      <c r="F3679" s="9"/>
      <c r="G3679" s="9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9"/>
      <c r="U3679" s="9"/>
      <c r="V3679" s="9"/>
      <c r="W3679" s="9"/>
      <c r="X3679" s="9"/>
      <c r="Y3679" s="9"/>
      <c r="Z3679" s="9"/>
      <c r="AA3679" s="9"/>
    </row>
    <row r="3680" spans="1:27" ht="13.6">
      <c r="A3680" s="8"/>
      <c r="B3680" s="12"/>
      <c r="C3680" s="9"/>
      <c r="D3680" s="9"/>
      <c r="E3680" s="9"/>
      <c r="F3680" s="9"/>
      <c r="G3680" s="9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9"/>
      <c r="U3680" s="9"/>
      <c r="V3680" s="9"/>
      <c r="W3680" s="9"/>
      <c r="X3680" s="9"/>
      <c r="Y3680" s="9"/>
      <c r="Z3680" s="9"/>
      <c r="AA3680" s="9"/>
    </row>
    <row r="3681" spans="1:27" ht="13.6">
      <c r="A3681" s="8"/>
      <c r="B3681" s="12"/>
      <c r="C3681" s="9"/>
      <c r="D3681" s="9"/>
      <c r="E3681" s="9"/>
      <c r="F3681" s="9"/>
      <c r="G3681" s="9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9"/>
      <c r="U3681" s="9"/>
      <c r="V3681" s="9"/>
      <c r="W3681" s="9"/>
      <c r="X3681" s="9"/>
      <c r="Y3681" s="9"/>
      <c r="Z3681" s="9"/>
      <c r="AA3681" s="9"/>
    </row>
    <row r="3682" spans="1:27" ht="13.6">
      <c r="A3682" s="8"/>
      <c r="B3682" s="12"/>
      <c r="C3682" s="9"/>
      <c r="D3682" s="9"/>
      <c r="E3682" s="9"/>
      <c r="F3682" s="9"/>
      <c r="G3682" s="9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9"/>
      <c r="U3682" s="9"/>
      <c r="V3682" s="9"/>
      <c r="W3682" s="9"/>
      <c r="X3682" s="9"/>
      <c r="Y3682" s="9"/>
      <c r="Z3682" s="9"/>
      <c r="AA3682" s="9"/>
    </row>
    <row r="3683" spans="1:27" ht="13.6">
      <c r="A3683" s="8"/>
      <c r="B3683" s="12"/>
      <c r="C3683" s="9"/>
      <c r="D3683" s="9"/>
      <c r="E3683" s="9"/>
      <c r="F3683" s="9"/>
      <c r="G3683" s="9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9"/>
      <c r="U3683" s="9"/>
      <c r="V3683" s="9"/>
      <c r="W3683" s="9"/>
      <c r="X3683" s="9"/>
      <c r="Y3683" s="9"/>
      <c r="Z3683" s="9"/>
      <c r="AA3683" s="9"/>
    </row>
    <row r="3684" spans="1:27" ht="13.6">
      <c r="A3684" s="8"/>
      <c r="B3684" s="12"/>
      <c r="C3684" s="9"/>
      <c r="D3684" s="9"/>
      <c r="E3684" s="9"/>
      <c r="F3684" s="9"/>
      <c r="G3684" s="9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9"/>
      <c r="U3684" s="9"/>
      <c r="V3684" s="9"/>
      <c r="W3684" s="9"/>
      <c r="X3684" s="9"/>
      <c r="Y3684" s="9"/>
      <c r="Z3684" s="9"/>
      <c r="AA3684" s="9"/>
    </row>
    <row r="3685" spans="1:27" ht="13.6">
      <c r="A3685" s="8"/>
      <c r="B3685" s="12"/>
      <c r="C3685" s="9"/>
      <c r="D3685" s="9"/>
      <c r="E3685" s="9"/>
      <c r="F3685" s="9"/>
      <c r="G3685" s="9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9"/>
      <c r="U3685" s="9"/>
      <c r="V3685" s="9"/>
      <c r="W3685" s="9"/>
      <c r="X3685" s="9"/>
      <c r="Y3685" s="9"/>
      <c r="Z3685" s="9"/>
      <c r="AA3685" s="9"/>
    </row>
    <row r="3686" spans="1:27" ht="13.6">
      <c r="A3686" s="8"/>
      <c r="B3686" s="12"/>
      <c r="C3686" s="9"/>
      <c r="D3686" s="9"/>
      <c r="E3686" s="9"/>
      <c r="F3686" s="9"/>
      <c r="G3686" s="9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9"/>
      <c r="U3686" s="9"/>
      <c r="V3686" s="9"/>
      <c r="W3686" s="9"/>
      <c r="X3686" s="9"/>
      <c r="Y3686" s="9"/>
      <c r="Z3686" s="9"/>
      <c r="AA3686" s="9"/>
    </row>
    <row r="3687" spans="1:27" ht="13.6">
      <c r="A3687" s="8"/>
      <c r="B3687" s="12"/>
      <c r="C3687" s="9"/>
      <c r="D3687" s="9"/>
      <c r="E3687" s="9"/>
      <c r="F3687" s="9"/>
      <c r="G3687" s="9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9"/>
      <c r="U3687" s="9"/>
      <c r="V3687" s="9"/>
      <c r="W3687" s="9"/>
      <c r="X3687" s="9"/>
      <c r="Y3687" s="9"/>
      <c r="Z3687" s="9"/>
      <c r="AA3687" s="9"/>
    </row>
    <row r="3688" spans="1:27" ht="13.6">
      <c r="A3688" s="8"/>
      <c r="B3688" s="12"/>
      <c r="C3688" s="9"/>
      <c r="D3688" s="9"/>
      <c r="E3688" s="9"/>
      <c r="F3688" s="9"/>
      <c r="G3688" s="9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9"/>
      <c r="U3688" s="9"/>
      <c r="V3688" s="9"/>
      <c r="W3688" s="9"/>
      <c r="X3688" s="9"/>
      <c r="Y3688" s="9"/>
      <c r="Z3688" s="9"/>
      <c r="AA3688" s="9"/>
    </row>
    <row r="3689" spans="1:27" ht="13.6">
      <c r="A3689" s="8"/>
      <c r="B3689" s="12"/>
      <c r="C3689" s="9"/>
      <c r="D3689" s="9"/>
      <c r="E3689" s="9"/>
      <c r="F3689" s="9"/>
      <c r="G3689" s="9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9"/>
      <c r="U3689" s="9"/>
      <c r="V3689" s="9"/>
      <c r="W3689" s="9"/>
      <c r="X3689" s="9"/>
      <c r="Y3689" s="9"/>
      <c r="Z3689" s="9"/>
      <c r="AA3689" s="9"/>
    </row>
    <row r="3690" spans="1:27" ht="13.6">
      <c r="A3690" s="8"/>
      <c r="B3690" s="12"/>
      <c r="C3690" s="9"/>
      <c r="D3690" s="9"/>
      <c r="E3690" s="9"/>
      <c r="F3690" s="9"/>
      <c r="G3690" s="9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9"/>
      <c r="U3690" s="9"/>
      <c r="V3690" s="9"/>
      <c r="W3690" s="9"/>
      <c r="X3690" s="9"/>
      <c r="Y3690" s="9"/>
      <c r="Z3690" s="9"/>
      <c r="AA3690" s="9"/>
    </row>
    <row r="3691" spans="1:27" ht="13.6">
      <c r="A3691" s="8"/>
      <c r="B3691" s="12"/>
      <c r="C3691" s="9"/>
      <c r="D3691" s="9"/>
      <c r="E3691" s="9"/>
      <c r="F3691" s="9"/>
      <c r="G3691" s="9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9"/>
      <c r="U3691" s="9"/>
      <c r="V3691" s="9"/>
      <c r="W3691" s="9"/>
      <c r="X3691" s="9"/>
      <c r="Y3691" s="9"/>
      <c r="Z3691" s="9"/>
      <c r="AA3691" s="9"/>
    </row>
    <row r="3692" spans="1:27" ht="13.6">
      <c r="A3692" s="8"/>
      <c r="B3692" s="12"/>
      <c r="C3692" s="9"/>
      <c r="D3692" s="9"/>
      <c r="E3692" s="9"/>
      <c r="F3692" s="9"/>
      <c r="G3692" s="9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9"/>
      <c r="U3692" s="9"/>
      <c r="V3692" s="9"/>
      <c r="W3692" s="9"/>
      <c r="X3692" s="9"/>
      <c r="Y3692" s="9"/>
      <c r="Z3692" s="9"/>
      <c r="AA3692" s="9"/>
    </row>
    <row r="3693" spans="1:27" ht="13.6">
      <c r="A3693" s="8"/>
      <c r="B3693" s="12"/>
      <c r="C3693" s="9"/>
      <c r="D3693" s="9"/>
      <c r="E3693" s="9"/>
      <c r="F3693" s="9"/>
      <c r="G3693" s="9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9"/>
      <c r="U3693" s="9"/>
      <c r="V3693" s="9"/>
      <c r="W3693" s="9"/>
      <c r="X3693" s="9"/>
      <c r="Y3693" s="9"/>
      <c r="Z3693" s="9"/>
      <c r="AA3693" s="9"/>
    </row>
    <row r="3694" spans="1:27" ht="13.6">
      <c r="A3694" s="8"/>
      <c r="B3694" s="12"/>
      <c r="C3694" s="9"/>
      <c r="D3694" s="9"/>
      <c r="E3694" s="9"/>
      <c r="F3694" s="9"/>
      <c r="G3694" s="9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9"/>
      <c r="U3694" s="9"/>
      <c r="V3694" s="9"/>
      <c r="W3694" s="9"/>
      <c r="X3694" s="9"/>
      <c r="Y3694" s="9"/>
      <c r="Z3694" s="9"/>
      <c r="AA3694" s="9"/>
    </row>
    <row r="3695" spans="1:27" ht="13.6">
      <c r="A3695" s="8"/>
      <c r="B3695" s="12"/>
      <c r="C3695" s="9"/>
      <c r="D3695" s="9"/>
      <c r="E3695" s="9"/>
      <c r="F3695" s="9"/>
      <c r="G3695" s="9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9"/>
      <c r="U3695" s="9"/>
      <c r="V3695" s="9"/>
      <c r="W3695" s="9"/>
      <c r="X3695" s="9"/>
      <c r="Y3695" s="9"/>
      <c r="Z3695" s="9"/>
      <c r="AA3695" s="9"/>
    </row>
    <row r="3696" spans="1:27" ht="13.6">
      <c r="A3696" s="8"/>
      <c r="B3696" s="12"/>
      <c r="C3696" s="9"/>
      <c r="D3696" s="9"/>
      <c r="E3696" s="9"/>
      <c r="F3696" s="9"/>
      <c r="G3696" s="9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9"/>
      <c r="U3696" s="9"/>
      <c r="V3696" s="9"/>
      <c r="W3696" s="9"/>
      <c r="X3696" s="9"/>
      <c r="Y3696" s="9"/>
      <c r="Z3696" s="9"/>
      <c r="AA3696" s="9"/>
    </row>
    <row r="3697" spans="1:27" ht="13.6">
      <c r="A3697" s="8"/>
      <c r="B3697" s="12"/>
      <c r="C3697" s="9"/>
      <c r="D3697" s="9"/>
      <c r="E3697" s="9"/>
      <c r="F3697" s="9"/>
      <c r="G3697" s="9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9"/>
      <c r="U3697" s="9"/>
      <c r="V3697" s="9"/>
      <c r="W3697" s="9"/>
      <c r="X3697" s="9"/>
      <c r="Y3697" s="9"/>
      <c r="Z3697" s="9"/>
      <c r="AA3697" s="9"/>
    </row>
    <row r="3698" spans="1:27" ht="13.6">
      <c r="A3698" s="8"/>
      <c r="B3698" s="12"/>
      <c r="C3698" s="9"/>
      <c r="D3698" s="9"/>
      <c r="E3698" s="9"/>
      <c r="F3698" s="9"/>
      <c r="G3698" s="9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9"/>
      <c r="U3698" s="9"/>
      <c r="V3698" s="9"/>
      <c r="W3698" s="9"/>
      <c r="X3698" s="9"/>
      <c r="Y3698" s="9"/>
      <c r="Z3698" s="9"/>
      <c r="AA3698" s="9"/>
    </row>
    <row r="3699" spans="1:27" ht="13.6">
      <c r="A3699" s="8"/>
      <c r="B3699" s="12"/>
      <c r="C3699" s="9"/>
      <c r="D3699" s="9"/>
      <c r="E3699" s="9"/>
      <c r="F3699" s="9"/>
      <c r="G3699" s="9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9"/>
      <c r="U3699" s="9"/>
      <c r="V3699" s="9"/>
      <c r="W3699" s="9"/>
      <c r="X3699" s="9"/>
      <c r="Y3699" s="9"/>
      <c r="Z3699" s="9"/>
      <c r="AA3699" s="9"/>
    </row>
    <row r="3700" spans="1:27" ht="13.6">
      <c r="A3700" s="8"/>
      <c r="B3700" s="12"/>
      <c r="C3700" s="9"/>
      <c r="D3700" s="9"/>
      <c r="E3700" s="9"/>
      <c r="F3700" s="9"/>
      <c r="G3700" s="9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9"/>
      <c r="U3700" s="9"/>
      <c r="V3700" s="9"/>
      <c r="W3700" s="9"/>
      <c r="X3700" s="9"/>
      <c r="Y3700" s="9"/>
      <c r="Z3700" s="9"/>
      <c r="AA3700" s="9"/>
    </row>
    <row r="3701" spans="1:27" ht="13.6">
      <c r="A3701" s="8"/>
      <c r="B3701" s="12"/>
      <c r="C3701" s="9"/>
      <c r="D3701" s="9"/>
      <c r="E3701" s="9"/>
      <c r="F3701" s="9"/>
      <c r="G3701" s="9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9"/>
      <c r="U3701" s="9"/>
      <c r="V3701" s="9"/>
      <c r="W3701" s="9"/>
      <c r="X3701" s="9"/>
      <c r="Y3701" s="9"/>
      <c r="Z3701" s="9"/>
      <c r="AA3701" s="9"/>
    </row>
    <row r="3702" spans="1:27" ht="13.6">
      <c r="A3702" s="8"/>
      <c r="B3702" s="12"/>
      <c r="C3702" s="9"/>
      <c r="D3702" s="9"/>
      <c r="E3702" s="9"/>
      <c r="F3702" s="9"/>
      <c r="G3702" s="9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9"/>
      <c r="U3702" s="9"/>
      <c r="V3702" s="9"/>
      <c r="W3702" s="9"/>
      <c r="X3702" s="9"/>
      <c r="Y3702" s="9"/>
      <c r="Z3702" s="9"/>
      <c r="AA3702" s="9"/>
    </row>
    <row r="3703" spans="1:27" ht="13.6">
      <c r="A3703" s="8"/>
      <c r="B3703" s="12"/>
      <c r="C3703" s="9"/>
      <c r="D3703" s="9"/>
      <c r="E3703" s="9"/>
      <c r="F3703" s="9"/>
      <c r="G3703" s="9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9"/>
      <c r="U3703" s="9"/>
      <c r="V3703" s="9"/>
      <c r="W3703" s="9"/>
      <c r="X3703" s="9"/>
      <c r="Y3703" s="9"/>
      <c r="Z3703" s="9"/>
      <c r="AA3703" s="9"/>
    </row>
    <row r="3704" spans="1:27" ht="13.6">
      <c r="A3704" s="8"/>
      <c r="B3704" s="12"/>
      <c r="C3704" s="9"/>
      <c r="D3704" s="9"/>
      <c r="E3704" s="9"/>
      <c r="F3704" s="9"/>
      <c r="G3704" s="9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9"/>
      <c r="U3704" s="9"/>
      <c r="V3704" s="9"/>
      <c r="W3704" s="9"/>
      <c r="X3704" s="9"/>
      <c r="Y3704" s="9"/>
      <c r="Z3704" s="9"/>
      <c r="AA3704" s="9"/>
    </row>
    <row r="3705" spans="1:27" ht="13.6">
      <c r="A3705" s="8"/>
      <c r="B3705" s="12"/>
      <c r="C3705" s="9"/>
      <c r="D3705" s="9"/>
      <c r="E3705" s="9"/>
      <c r="F3705" s="9"/>
      <c r="G3705" s="9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9"/>
      <c r="U3705" s="9"/>
      <c r="V3705" s="9"/>
      <c r="W3705" s="9"/>
      <c r="X3705" s="9"/>
      <c r="Y3705" s="9"/>
      <c r="Z3705" s="9"/>
      <c r="AA3705" s="9"/>
    </row>
    <row r="3706" spans="1:27" ht="13.6">
      <c r="A3706" s="8"/>
      <c r="B3706" s="12"/>
      <c r="C3706" s="9"/>
      <c r="D3706" s="9"/>
      <c r="E3706" s="9"/>
      <c r="F3706" s="9"/>
      <c r="G3706" s="9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9"/>
      <c r="U3706" s="9"/>
      <c r="V3706" s="9"/>
      <c r="W3706" s="9"/>
      <c r="X3706" s="9"/>
      <c r="Y3706" s="9"/>
      <c r="Z3706" s="9"/>
      <c r="AA3706" s="9"/>
    </row>
    <row r="3707" spans="1:27" ht="13.6">
      <c r="A3707" s="8"/>
      <c r="B3707" s="12"/>
      <c r="C3707" s="9"/>
      <c r="D3707" s="9"/>
      <c r="E3707" s="9"/>
      <c r="F3707" s="9"/>
      <c r="G3707" s="9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9"/>
      <c r="U3707" s="9"/>
      <c r="V3707" s="9"/>
      <c r="W3707" s="9"/>
      <c r="X3707" s="9"/>
      <c r="Y3707" s="9"/>
      <c r="Z3707" s="9"/>
      <c r="AA3707" s="9"/>
    </row>
    <row r="3708" spans="1:27" ht="13.6">
      <c r="A3708" s="8"/>
      <c r="B3708" s="12"/>
      <c r="C3708" s="9"/>
      <c r="D3708" s="9"/>
      <c r="E3708" s="9"/>
      <c r="F3708" s="9"/>
      <c r="G3708" s="9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9"/>
      <c r="U3708" s="9"/>
      <c r="V3708" s="9"/>
      <c r="W3708" s="9"/>
      <c r="X3708" s="9"/>
      <c r="Y3708" s="9"/>
      <c r="Z3708" s="9"/>
      <c r="AA3708" s="9"/>
    </row>
    <row r="3709" spans="1:27" ht="13.6">
      <c r="A3709" s="8"/>
      <c r="B3709" s="12"/>
      <c r="C3709" s="9"/>
      <c r="D3709" s="9"/>
      <c r="E3709" s="9"/>
      <c r="F3709" s="9"/>
      <c r="G3709" s="9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9"/>
      <c r="U3709" s="9"/>
      <c r="V3709" s="9"/>
      <c r="W3709" s="9"/>
      <c r="X3709" s="9"/>
      <c r="Y3709" s="9"/>
      <c r="Z3709" s="9"/>
      <c r="AA3709" s="9"/>
    </row>
    <row r="3710" spans="1:27" ht="13.6">
      <c r="A3710" s="8"/>
      <c r="B3710" s="12"/>
      <c r="C3710" s="9"/>
      <c r="D3710" s="9"/>
      <c r="E3710" s="9"/>
      <c r="F3710" s="9"/>
      <c r="G3710" s="9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9"/>
      <c r="U3710" s="9"/>
      <c r="V3710" s="9"/>
      <c r="W3710" s="9"/>
      <c r="X3710" s="9"/>
      <c r="Y3710" s="9"/>
      <c r="Z3710" s="9"/>
      <c r="AA3710" s="9"/>
    </row>
    <row r="3711" spans="1:27" ht="13.6">
      <c r="A3711" s="8"/>
      <c r="B3711" s="12"/>
      <c r="C3711" s="9"/>
      <c r="D3711" s="9"/>
      <c r="E3711" s="9"/>
      <c r="F3711" s="9"/>
      <c r="G3711" s="9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9"/>
      <c r="U3711" s="9"/>
      <c r="V3711" s="9"/>
      <c r="W3711" s="9"/>
      <c r="X3711" s="9"/>
      <c r="Y3711" s="9"/>
      <c r="Z3711" s="9"/>
      <c r="AA3711" s="9"/>
    </row>
    <row r="3712" spans="1:27" ht="13.6">
      <c r="A3712" s="8"/>
      <c r="B3712" s="12"/>
      <c r="C3712" s="9"/>
      <c r="D3712" s="9"/>
      <c r="E3712" s="9"/>
      <c r="F3712" s="9"/>
      <c r="G3712" s="9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9"/>
      <c r="U3712" s="9"/>
      <c r="V3712" s="9"/>
      <c r="W3712" s="9"/>
      <c r="X3712" s="9"/>
      <c r="Y3712" s="9"/>
      <c r="Z3712" s="9"/>
      <c r="AA3712" s="9"/>
    </row>
    <row r="3713" spans="1:27" ht="13.6">
      <c r="A3713" s="8"/>
      <c r="B3713" s="12"/>
      <c r="C3713" s="9"/>
      <c r="D3713" s="9"/>
      <c r="E3713" s="9"/>
      <c r="F3713" s="9"/>
      <c r="G3713" s="9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9"/>
      <c r="U3713" s="9"/>
      <c r="V3713" s="9"/>
      <c r="W3713" s="9"/>
      <c r="X3713" s="9"/>
      <c r="Y3713" s="9"/>
      <c r="Z3713" s="9"/>
      <c r="AA3713" s="9"/>
    </row>
    <row r="3714" spans="1:27" ht="13.6">
      <c r="A3714" s="8"/>
      <c r="B3714" s="12"/>
      <c r="C3714" s="9"/>
      <c r="D3714" s="9"/>
      <c r="E3714" s="9"/>
      <c r="F3714" s="9"/>
      <c r="G3714" s="9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9"/>
      <c r="U3714" s="9"/>
      <c r="V3714" s="9"/>
      <c r="W3714" s="9"/>
      <c r="X3714" s="9"/>
      <c r="Y3714" s="9"/>
      <c r="Z3714" s="9"/>
      <c r="AA3714" s="9"/>
    </row>
    <row r="3715" spans="1:27" ht="13.6">
      <c r="A3715" s="8"/>
      <c r="B3715" s="12"/>
      <c r="C3715" s="9"/>
      <c r="D3715" s="9"/>
      <c r="E3715" s="9"/>
      <c r="F3715" s="9"/>
      <c r="G3715" s="9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9"/>
      <c r="U3715" s="9"/>
      <c r="V3715" s="9"/>
      <c r="W3715" s="9"/>
      <c r="X3715" s="9"/>
      <c r="Y3715" s="9"/>
      <c r="Z3715" s="9"/>
      <c r="AA3715" s="9"/>
    </row>
    <row r="3716" spans="1:27" ht="13.6">
      <c r="A3716" s="8"/>
      <c r="B3716" s="12"/>
      <c r="C3716" s="9"/>
      <c r="D3716" s="9"/>
      <c r="E3716" s="9"/>
      <c r="F3716" s="9"/>
      <c r="G3716" s="9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9"/>
      <c r="U3716" s="9"/>
      <c r="V3716" s="9"/>
      <c r="W3716" s="9"/>
      <c r="X3716" s="9"/>
      <c r="Y3716" s="9"/>
      <c r="Z3716" s="9"/>
      <c r="AA3716" s="9"/>
    </row>
    <row r="3717" spans="1:27" ht="13.6">
      <c r="A3717" s="8"/>
      <c r="B3717" s="12"/>
      <c r="C3717" s="9"/>
      <c r="D3717" s="9"/>
      <c r="E3717" s="9"/>
      <c r="F3717" s="9"/>
      <c r="G3717" s="9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9"/>
      <c r="U3717" s="9"/>
      <c r="V3717" s="9"/>
      <c r="W3717" s="9"/>
      <c r="X3717" s="9"/>
      <c r="Y3717" s="9"/>
      <c r="Z3717" s="9"/>
      <c r="AA3717" s="9"/>
    </row>
    <row r="3718" spans="1:27" ht="13.6">
      <c r="A3718" s="8"/>
      <c r="B3718" s="12"/>
      <c r="C3718" s="9"/>
      <c r="D3718" s="9"/>
      <c r="E3718" s="9"/>
      <c r="F3718" s="9"/>
      <c r="G3718" s="9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9"/>
      <c r="U3718" s="9"/>
      <c r="V3718" s="9"/>
      <c r="W3718" s="9"/>
      <c r="X3718" s="9"/>
      <c r="Y3718" s="9"/>
      <c r="Z3718" s="9"/>
      <c r="AA3718" s="9"/>
    </row>
    <row r="3719" spans="1:27" ht="13.6">
      <c r="A3719" s="8"/>
      <c r="B3719" s="12"/>
      <c r="C3719" s="9"/>
      <c r="D3719" s="9"/>
      <c r="E3719" s="9"/>
      <c r="F3719" s="9"/>
      <c r="G3719" s="9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9"/>
      <c r="U3719" s="9"/>
      <c r="V3719" s="9"/>
      <c r="W3719" s="9"/>
      <c r="X3719" s="9"/>
      <c r="Y3719" s="9"/>
      <c r="Z3719" s="9"/>
      <c r="AA3719" s="9"/>
    </row>
    <row r="3720" spans="1:27" ht="13.6">
      <c r="A3720" s="8"/>
      <c r="B3720" s="12"/>
      <c r="C3720" s="9"/>
      <c r="D3720" s="9"/>
      <c r="E3720" s="9"/>
      <c r="F3720" s="9"/>
      <c r="G3720" s="9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9"/>
      <c r="U3720" s="9"/>
      <c r="V3720" s="9"/>
      <c r="W3720" s="9"/>
      <c r="X3720" s="9"/>
      <c r="Y3720" s="9"/>
      <c r="Z3720" s="9"/>
      <c r="AA3720" s="9"/>
    </row>
    <row r="3721" spans="1:27" ht="13.6">
      <c r="A3721" s="8"/>
      <c r="B3721" s="12"/>
      <c r="C3721" s="9"/>
      <c r="D3721" s="9"/>
      <c r="E3721" s="9"/>
      <c r="F3721" s="9"/>
      <c r="G3721" s="9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9"/>
      <c r="U3721" s="9"/>
      <c r="V3721" s="9"/>
      <c r="W3721" s="9"/>
      <c r="X3721" s="9"/>
      <c r="Y3721" s="9"/>
      <c r="Z3721" s="9"/>
      <c r="AA3721" s="9"/>
    </row>
    <row r="3722" spans="1:27" ht="13.6">
      <c r="A3722" s="8"/>
      <c r="B3722" s="12"/>
      <c r="C3722" s="9"/>
      <c r="D3722" s="9"/>
      <c r="E3722" s="9"/>
      <c r="F3722" s="9"/>
      <c r="G3722" s="9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9"/>
      <c r="U3722" s="9"/>
      <c r="V3722" s="9"/>
      <c r="W3722" s="9"/>
      <c r="X3722" s="9"/>
      <c r="Y3722" s="9"/>
      <c r="Z3722" s="9"/>
      <c r="AA3722" s="9"/>
    </row>
    <row r="3723" spans="1:27" ht="13.6">
      <c r="A3723" s="8"/>
      <c r="B3723" s="12"/>
      <c r="C3723" s="9"/>
      <c r="D3723" s="9"/>
      <c r="E3723" s="9"/>
      <c r="F3723" s="9"/>
      <c r="G3723" s="9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9"/>
      <c r="U3723" s="9"/>
      <c r="V3723" s="9"/>
      <c r="W3723" s="9"/>
      <c r="X3723" s="9"/>
      <c r="Y3723" s="9"/>
      <c r="Z3723" s="9"/>
      <c r="AA3723" s="9"/>
    </row>
    <row r="3724" spans="1:27" ht="13.6">
      <c r="A3724" s="8"/>
      <c r="B3724" s="12"/>
      <c r="C3724" s="9"/>
      <c r="D3724" s="9"/>
      <c r="E3724" s="9"/>
      <c r="F3724" s="9"/>
      <c r="G3724" s="9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9"/>
      <c r="U3724" s="9"/>
      <c r="V3724" s="9"/>
      <c r="W3724" s="9"/>
      <c r="X3724" s="9"/>
      <c r="Y3724" s="9"/>
      <c r="Z3724" s="9"/>
      <c r="AA3724" s="9"/>
    </row>
    <row r="3725" spans="1:27" ht="13.6">
      <c r="A3725" s="8"/>
      <c r="B3725" s="12"/>
      <c r="C3725" s="9"/>
      <c r="D3725" s="9"/>
      <c r="E3725" s="9"/>
      <c r="F3725" s="9"/>
      <c r="G3725" s="9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9"/>
      <c r="U3725" s="9"/>
      <c r="V3725" s="9"/>
      <c r="W3725" s="9"/>
      <c r="X3725" s="9"/>
      <c r="Y3725" s="9"/>
      <c r="Z3725" s="9"/>
      <c r="AA3725" s="9"/>
    </row>
    <row r="3726" spans="1:27" ht="13.6">
      <c r="A3726" s="8"/>
      <c r="B3726" s="12"/>
      <c r="C3726" s="9"/>
      <c r="D3726" s="9"/>
      <c r="E3726" s="9"/>
      <c r="F3726" s="9"/>
      <c r="G3726" s="9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9"/>
      <c r="U3726" s="9"/>
      <c r="V3726" s="9"/>
      <c r="W3726" s="9"/>
      <c r="X3726" s="9"/>
      <c r="Y3726" s="9"/>
      <c r="Z3726" s="9"/>
      <c r="AA3726" s="9"/>
    </row>
    <row r="3727" spans="1:27" ht="13.6">
      <c r="A3727" s="8"/>
      <c r="B3727" s="12"/>
      <c r="C3727" s="9"/>
      <c r="D3727" s="9"/>
      <c r="E3727" s="9"/>
      <c r="F3727" s="9"/>
      <c r="G3727" s="9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9"/>
      <c r="U3727" s="9"/>
      <c r="V3727" s="9"/>
      <c r="W3727" s="9"/>
      <c r="X3727" s="9"/>
      <c r="Y3727" s="9"/>
      <c r="Z3727" s="9"/>
      <c r="AA3727" s="9"/>
    </row>
    <row r="3728" spans="1:27" ht="13.6">
      <c r="A3728" s="8"/>
      <c r="B3728" s="12"/>
      <c r="C3728" s="9"/>
      <c r="D3728" s="9"/>
      <c r="E3728" s="9"/>
      <c r="F3728" s="9"/>
      <c r="G3728" s="9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9"/>
      <c r="U3728" s="9"/>
      <c r="V3728" s="9"/>
      <c r="W3728" s="9"/>
      <c r="X3728" s="9"/>
      <c r="Y3728" s="9"/>
      <c r="Z3728" s="9"/>
      <c r="AA3728" s="9"/>
    </row>
    <row r="3729" spans="1:27" ht="13.6">
      <c r="A3729" s="8"/>
      <c r="B3729" s="12"/>
      <c r="C3729" s="9"/>
      <c r="D3729" s="9"/>
      <c r="E3729" s="9"/>
      <c r="F3729" s="9"/>
      <c r="G3729" s="9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9"/>
      <c r="U3729" s="9"/>
      <c r="V3729" s="9"/>
      <c r="W3729" s="9"/>
      <c r="X3729" s="9"/>
      <c r="Y3729" s="9"/>
      <c r="Z3729" s="9"/>
      <c r="AA3729" s="9"/>
    </row>
    <row r="3730" spans="1:27" ht="13.6">
      <c r="A3730" s="8"/>
      <c r="B3730" s="12"/>
      <c r="C3730" s="9"/>
      <c r="D3730" s="9"/>
      <c r="E3730" s="9"/>
      <c r="F3730" s="9"/>
      <c r="G3730" s="9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9"/>
      <c r="U3730" s="9"/>
      <c r="V3730" s="9"/>
      <c r="W3730" s="9"/>
      <c r="X3730" s="9"/>
      <c r="Y3730" s="9"/>
      <c r="Z3730" s="9"/>
      <c r="AA3730" s="9"/>
    </row>
    <row r="3731" spans="1:27" ht="13.6">
      <c r="A3731" s="8"/>
      <c r="B3731" s="12"/>
      <c r="C3731" s="9"/>
      <c r="D3731" s="9"/>
      <c r="E3731" s="9"/>
      <c r="F3731" s="9"/>
      <c r="G3731" s="9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9"/>
      <c r="U3731" s="9"/>
      <c r="V3731" s="9"/>
      <c r="W3731" s="9"/>
      <c r="X3731" s="9"/>
      <c r="Y3731" s="9"/>
      <c r="Z3731" s="9"/>
      <c r="AA3731" s="9"/>
    </row>
    <row r="3732" spans="1:27" ht="13.6">
      <c r="A3732" s="8"/>
      <c r="B3732" s="12"/>
      <c r="C3732" s="9"/>
      <c r="D3732" s="9"/>
      <c r="E3732" s="9"/>
      <c r="F3732" s="9"/>
      <c r="G3732" s="9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9"/>
      <c r="U3732" s="9"/>
      <c r="V3732" s="9"/>
      <c r="W3732" s="9"/>
      <c r="X3732" s="9"/>
      <c r="Y3732" s="9"/>
      <c r="Z3732" s="9"/>
      <c r="AA3732" s="9"/>
    </row>
    <row r="3733" spans="1:27" ht="13.6">
      <c r="A3733" s="8"/>
      <c r="B3733" s="12"/>
      <c r="C3733" s="9"/>
      <c r="D3733" s="9"/>
      <c r="E3733" s="9"/>
      <c r="F3733" s="9"/>
      <c r="G3733" s="9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9"/>
      <c r="U3733" s="9"/>
      <c r="V3733" s="9"/>
      <c r="W3733" s="9"/>
      <c r="X3733" s="9"/>
      <c r="Y3733" s="9"/>
      <c r="Z3733" s="9"/>
      <c r="AA3733" s="9"/>
    </row>
    <row r="3734" spans="1:27" ht="13.6">
      <c r="A3734" s="8"/>
      <c r="B3734" s="12"/>
      <c r="C3734" s="9"/>
      <c r="D3734" s="9"/>
      <c r="E3734" s="9"/>
      <c r="F3734" s="9"/>
      <c r="G3734" s="9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9"/>
      <c r="U3734" s="9"/>
      <c r="V3734" s="9"/>
      <c r="W3734" s="9"/>
      <c r="X3734" s="9"/>
      <c r="Y3734" s="9"/>
      <c r="Z3734" s="9"/>
      <c r="AA3734" s="9"/>
    </row>
    <row r="3735" spans="1:27" ht="13.6">
      <c r="A3735" s="8"/>
      <c r="B3735" s="12"/>
      <c r="C3735" s="9"/>
      <c r="D3735" s="9"/>
      <c r="E3735" s="9"/>
      <c r="F3735" s="9"/>
      <c r="G3735" s="9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9"/>
      <c r="U3735" s="9"/>
      <c r="V3735" s="9"/>
      <c r="W3735" s="9"/>
      <c r="X3735" s="9"/>
      <c r="Y3735" s="9"/>
      <c r="Z3735" s="9"/>
      <c r="AA3735" s="9"/>
    </row>
    <row r="3736" spans="1:27" ht="13.6">
      <c r="A3736" s="8"/>
      <c r="B3736" s="12"/>
      <c r="C3736" s="9"/>
      <c r="D3736" s="9"/>
      <c r="E3736" s="9"/>
      <c r="F3736" s="9"/>
      <c r="G3736" s="9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9"/>
      <c r="U3736" s="9"/>
      <c r="V3736" s="9"/>
      <c r="W3736" s="9"/>
      <c r="X3736" s="9"/>
      <c r="Y3736" s="9"/>
      <c r="Z3736" s="9"/>
      <c r="AA3736" s="9"/>
    </row>
    <row r="3737" spans="1:27" ht="13.6">
      <c r="A3737" s="8"/>
      <c r="B3737" s="12"/>
      <c r="C3737" s="9"/>
      <c r="D3737" s="9"/>
      <c r="E3737" s="9"/>
      <c r="F3737" s="9"/>
      <c r="G3737" s="9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9"/>
      <c r="U3737" s="9"/>
      <c r="V3737" s="9"/>
      <c r="W3737" s="9"/>
      <c r="X3737" s="9"/>
      <c r="Y3737" s="9"/>
      <c r="Z3737" s="9"/>
      <c r="AA3737" s="9"/>
    </row>
    <row r="3738" spans="1:27" ht="13.6">
      <c r="A3738" s="8"/>
      <c r="B3738" s="12"/>
      <c r="C3738" s="9"/>
      <c r="D3738" s="9"/>
      <c r="E3738" s="9"/>
      <c r="F3738" s="9"/>
      <c r="G3738" s="9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9"/>
      <c r="U3738" s="9"/>
      <c r="V3738" s="9"/>
      <c r="W3738" s="9"/>
      <c r="X3738" s="9"/>
      <c r="Y3738" s="9"/>
      <c r="Z3738" s="9"/>
      <c r="AA3738" s="9"/>
    </row>
    <row r="3739" spans="1:27" ht="13.6">
      <c r="A3739" s="8"/>
      <c r="B3739" s="12"/>
      <c r="C3739" s="9"/>
      <c r="D3739" s="9"/>
      <c r="E3739" s="9"/>
      <c r="F3739" s="9"/>
      <c r="G3739" s="9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9"/>
      <c r="U3739" s="9"/>
      <c r="V3739" s="9"/>
      <c r="W3739" s="9"/>
      <c r="X3739" s="9"/>
      <c r="Y3739" s="9"/>
      <c r="Z3739" s="9"/>
      <c r="AA3739" s="9"/>
    </row>
    <row r="3740" spans="1:27" ht="13.6">
      <c r="A3740" s="8"/>
      <c r="B3740" s="12"/>
      <c r="C3740" s="9"/>
      <c r="D3740" s="9"/>
      <c r="E3740" s="9"/>
      <c r="F3740" s="9"/>
      <c r="G3740" s="9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9"/>
      <c r="U3740" s="9"/>
      <c r="V3740" s="9"/>
      <c r="W3740" s="9"/>
      <c r="X3740" s="9"/>
      <c r="Y3740" s="9"/>
      <c r="Z3740" s="9"/>
      <c r="AA3740" s="9"/>
    </row>
    <row r="3741" spans="1:27" ht="13.6">
      <c r="A3741" s="8"/>
      <c r="B3741" s="12"/>
      <c r="C3741" s="9"/>
      <c r="D3741" s="9"/>
      <c r="E3741" s="9"/>
      <c r="F3741" s="9"/>
      <c r="G3741" s="9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9"/>
      <c r="U3741" s="9"/>
      <c r="V3741" s="9"/>
      <c r="W3741" s="9"/>
      <c r="X3741" s="9"/>
      <c r="Y3741" s="9"/>
      <c r="Z3741" s="9"/>
      <c r="AA3741" s="9"/>
    </row>
    <row r="3742" spans="1:27" ht="13.6">
      <c r="A3742" s="8"/>
      <c r="B3742" s="12"/>
      <c r="C3742" s="9"/>
      <c r="D3742" s="9"/>
      <c r="E3742" s="9"/>
      <c r="F3742" s="9"/>
      <c r="G3742" s="9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9"/>
      <c r="U3742" s="9"/>
      <c r="V3742" s="9"/>
      <c r="W3742" s="9"/>
      <c r="X3742" s="9"/>
      <c r="Y3742" s="9"/>
      <c r="Z3742" s="9"/>
      <c r="AA3742" s="9"/>
    </row>
    <row r="3743" spans="1:27" ht="13.6">
      <c r="A3743" s="8"/>
      <c r="B3743" s="12"/>
      <c r="C3743" s="9"/>
      <c r="D3743" s="9"/>
      <c r="E3743" s="9"/>
      <c r="F3743" s="9"/>
      <c r="G3743" s="9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9"/>
      <c r="U3743" s="9"/>
      <c r="V3743" s="9"/>
      <c r="W3743" s="9"/>
      <c r="X3743" s="9"/>
      <c r="Y3743" s="9"/>
      <c r="Z3743" s="9"/>
      <c r="AA3743" s="9"/>
    </row>
    <row r="3744" spans="1:27" ht="13.6">
      <c r="A3744" s="8"/>
      <c r="B3744" s="12"/>
      <c r="C3744" s="9"/>
      <c r="D3744" s="9"/>
      <c r="E3744" s="9"/>
      <c r="F3744" s="9"/>
      <c r="G3744" s="9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9"/>
      <c r="U3744" s="9"/>
      <c r="V3744" s="9"/>
      <c r="W3744" s="9"/>
      <c r="X3744" s="9"/>
      <c r="Y3744" s="9"/>
      <c r="Z3744" s="9"/>
      <c r="AA3744" s="9"/>
    </row>
    <row r="3745" spans="1:27" ht="13.6">
      <c r="A3745" s="8"/>
      <c r="B3745" s="12"/>
      <c r="C3745" s="9"/>
      <c r="D3745" s="9"/>
      <c r="E3745" s="9"/>
      <c r="F3745" s="9"/>
      <c r="G3745" s="9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9"/>
      <c r="U3745" s="9"/>
      <c r="V3745" s="9"/>
      <c r="W3745" s="9"/>
      <c r="X3745" s="9"/>
      <c r="Y3745" s="9"/>
      <c r="Z3745" s="9"/>
      <c r="AA3745" s="9"/>
    </row>
    <row r="3746" spans="1:27" ht="13.6">
      <c r="A3746" s="8"/>
      <c r="B3746" s="12"/>
      <c r="C3746" s="9"/>
      <c r="D3746" s="9"/>
      <c r="E3746" s="9"/>
      <c r="F3746" s="9"/>
      <c r="G3746" s="9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9"/>
      <c r="U3746" s="9"/>
      <c r="V3746" s="9"/>
      <c r="W3746" s="9"/>
      <c r="X3746" s="9"/>
      <c r="Y3746" s="9"/>
      <c r="Z3746" s="9"/>
      <c r="AA3746" s="9"/>
    </row>
    <row r="3747" spans="1:27" ht="13.6">
      <c r="A3747" s="8"/>
      <c r="B3747" s="12"/>
      <c r="C3747" s="9"/>
      <c r="D3747" s="9"/>
      <c r="E3747" s="9"/>
      <c r="F3747" s="9"/>
      <c r="G3747" s="9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9"/>
      <c r="U3747" s="9"/>
      <c r="V3747" s="9"/>
      <c r="W3747" s="9"/>
      <c r="X3747" s="9"/>
      <c r="Y3747" s="9"/>
      <c r="Z3747" s="9"/>
      <c r="AA3747" s="9"/>
    </row>
    <row r="3748" spans="1:27" ht="13.6">
      <c r="A3748" s="8"/>
      <c r="B3748" s="12"/>
      <c r="C3748" s="9"/>
      <c r="D3748" s="9"/>
      <c r="E3748" s="9"/>
      <c r="F3748" s="9"/>
      <c r="G3748" s="9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9"/>
      <c r="U3748" s="9"/>
      <c r="V3748" s="9"/>
      <c r="W3748" s="9"/>
      <c r="X3748" s="9"/>
      <c r="Y3748" s="9"/>
      <c r="Z3748" s="9"/>
      <c r="AA3748" s="9"/>
    </row>
    <row r="3749" spans="1:27" ht="13.6">
      <c r="A3749" s="8"/>
      <c r="B3749" s="12"/>
      <c r="C3749" s="9"/>
      <c r="D3749" s="9"/>
      <c r="E3749" s="9"/>
      <c r="F3749" s="9"/>
      <c r="G3749" s="9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9"/>
      <c r="U3749" s="9"/>
      <c r="V3749" s="9"/>
      <c r="W3749" s="9"/>
      <c r="X3749" s="9"/>
      <c r="Y3749" s="9"/>
      <c r="Z3749" s="9"/>
      <c r="AA3749" s="9"/>
    </row>
    <row r="3750" spans="1:27" ht="13.6">
      <c r="A3750" s="8"/>
      <c r="B3750" s="12"/>
      <c r="C3750" s="9"/>
      <c r="D3750" s="9"/>
      <c r="E3750" s="9"/>
      <c r="F3750" s="9"/>
      <c r="G3750" s="9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9"/>
      <c r="U3750" s="9"/>
      <c r="V3750" s="9"/>
      <c r="W3750" s="9"/>
      <c r="X3750" s="9"/>
      <c r="Y3750" s="9"/>
      <c r="Z3750" s="9"/>
      <c r="AA3750" s="9"/>
    </row>
    <row r="3751" spans="1:27" ht="13.6">
      <c r="A3751" s="8"/>
      <c r="B3751" s="12"/>
      <c r="C3751" s="9"/>
      <c r="D3751" s="9"/>
      <c r="E3751" s="9"/>
      <c r="F3751" s="9"/>
      <c r="G3751" s="9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9"/>
      <c r="U3751" s="9"/>
      <c r="V3751" s="9"/>
      <c r="W3751" s="9"/>
      <c r="X3751" s="9"/>
      <c r="Y3751" s="9"/>
      <c r="Z3751" s="9"/>
      <c r="AA3751" s="9"/>
    </row>
    <row r="3752" spans="1:27" ht="13.6">
      <c r="A3752" s="8"/>
      <c r="B3752" s="12"/>
      <c r="C3752" s="9"/>
      <c r="D3752" s="9"/>
      <c r="E3752" s="9"/>
      <c r="F3752" s="9"/>
      <c r="G3752" s="9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9"/>
      <c r="U3752" s="9"/>
      <c r="V3752" s="9"/>
      <c r="W3752" s="9"/>
      <c r="X3752" s="9"/>
      <c r="Y3752" s="9"/>
      <c r="Z3752" s="9"/>
      <c r="AA3752" s="9"/>
    </row>
    <row r="3753" spans="1:27" ht="13.6">
      <c r="A3753" s="8"/>
      <c r="B3753" s="12"/>
      <c r="C3753" s="9"/>
      <c r="D3753" s="9"/>
      <c r="E3753" s="9"/>
      <c r="F3753" s="9"/>
      <c r="G3753" s="9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9"/>
      <c r="U3753" s="9"/>
      <c r="V3753" s="9"/>
      <c r="W3753" s="9"/>
      <c r="X3753" s="9"/>
      <c r="Y3753" s="9"/>
      <c r="Z3753" s="9"/>
      <c r="AA3753" s="9"/>
    </row>
    <row r="3754" spans="1:27" ht="13.6">
      <c r="A3754" s="8"/>
      <c r="B3754" s="12"/>
      <c r="C3754" s="9"/>
      <c r="D3754" s="9"/>
      <c r="E3754" s="9"/>
      <c r="F3754" s="9"/>
      <c r="G3754" s="9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9"/>
      <c r="U3754" s="9"/>
      <c r="V3754" s="9"/>
      <c r="W3754" s="9"/>
      <c r="X3754" s="9"/>
      <c r="Y3754" s="9"/>
      <c r="Z3754" s="9"/>
      <c r="AA3754" s="9"/>
    </row>
    <row r="3755" spans="1:27" ht="13.6">
      <c r="A3755" s="8"/>
      <c r="B3755" s="12"/>
      <c r="C3755" s="9"/>
      <c r="D3755" s="9"/>
      <c r="E3755" s="9"/>
      <c r="F3755" s="9"/>
      <c r="G3755" s="9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9"/>
      <c r="U3755" s="9"/>
      <c r="V3755" s="9"/>
      <c r="W3755" s="9"/>
      <c r="X3755" s="9"/>
      <c r="Y3755" s="9"/>
      <c r="Z3755" s="9"/>
      <c r="AA3755" s="9"/>
    </row>
    <row r="3756" spans="1:27" ht="13.6">
      <c r="A3756" s="8"/>
      <c r="B3756" s="12"/>
      <c r="C3756" s="9"/>
      <c r="D3756" s="9"/>
      <c r="E3756" s="9"/>
      <c r="F3756" s="9"/>
      <c r="G3756" s="9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9"/>
      <c r="U3756" s="9"/>
      <c r="V3756" s="9"/>
      <c r="W3756" s="9"/>
      <c r="X3756" s="9"/>
      <c r="Y3756" s="9"/>
      <c r="Z3756" s="9"/>
      <c r="AA3756" s="9"/>
    </row>
    <row r="3757" spans="1:27" ht="13.6">
      <c r="A3757" s="8"/>
      <c r="B3757" s="12"/>
      <c r="C3757" s="9"/>
      <c r="D3757" s="9"/>
      <c r="E3757" s="9"/>
      <c r="F3757" s="9"/>
      <c r="G3757" s="9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9"/>
      <c r="U3757" s="9"/>
      <c r="V3757" s="9"/>
      <c r="W3757" s="9"/>
      <c r="X3757" s="9"/>
      <c r="Y3757" s="9"/>
      <c r="Z3757" s="9"/>
      <c r="AA3757" s="9"/>
    </row>
    <row r="3758" spans="1:27" ht="13.6">
      <c r="A3758" s="8"/>
      <c r="B3758" s="12"/>
      <c r="C3758" s="9"/>
      <c r="D3758" s="9"/>
      <c r="E3758" s="9"/>
      <c r="F3758" s="9"/>
      <c r="G3758" s="9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9"/>
      <c r="U3758" s="9"/>
      <c r="V3758" s="9"/>
      <c r="W3758" s="9"/>
      <c r="X3758" s="9"/>
      <c r="Y3758" s="9"/>
      <c r="Z3758" s="9"/>
      <c r="AA3758" s="9"/>
    </row>
    <row r="3759" spans="1:27" ht="13.6">
      <c r="A3759" s="8"/>
      <c r="B3759" s="12"/>
      <c r="C3759" s="9"/>
      <c r="D3759" s="9"/>
      <c r="E3759" s="9"/>
      <c r="F3759" s="9"/>
      <c r="G3759" s="9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9"/>
      <c r="U3759" s="9"/>
      <c r="V3759" s="9"/>
      <c r="W3759" s="9"/>
      <c r="X3759" s="9"/>
      <c r="Y3759" s="9"/>
      <c r="Z3759" s="9"/>
      <c r="AA3759" s="9"/>
    </row>
    <row r="3760" spans="1:27" ht="13.6">
      <c r="A3760" s="8"/>
      <c r="B3760" s="12"/>
      <c r="C3760" s="9"/>
      <c r="D3760" s="9"/>
      <c r="E3760" s="9"/>
      <c r="F3760" s="9"/>
      <c r="G3760" s="9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9"/>
      <c r="U3760" s="9"/>
      <c r="V3760" s="9"/>
      <c r="W3760" s="9"/>
      <c r="X3760" s="9"/>
      <c r="Y3760" s="9"/>
      <c r="Z3760" s="9"/>
      <c r="AA3760" s="9"/>
    </row>
    <row r="3761" spans="1:27" ht="13.6">
      <c r="A3761" s="8"/>
      <c r="B3761" s="12"/>
      <c r="C3761" s="9"/>
      <c r="D3761" s="9"/>
      <c r="E3761" s="9"/>
      <c r="F3761" s="9"/>
      <c r="G3761" s="9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9"/>
      <c r="U3761" s="9"/>
      <c r="V3761" s="9"/>
      <c r="W3761" s="9"/>
      <c r="X3761" s="9"/>
      <c r="Y3761" s="9"/>
      <c r="Z3761" s="9"/>
      <c r="AA3761" s="9"/>
    </row>
    <row r="3762" spans="1:27" ht="13.6">
      <c r="A3762" s="8"/>
      <c r="B3762" s="12"/>
      <c r="C3762" s="9"/>
      <c r="D3762" s="9"/>
      <c r="E3762" s="9"/>
      <c r="F3762" s="9"/>
      <c r="G3762" s="9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9"/>
      <c r="U3762" s="9"/>
      <c r="V3762" s="9"/>
      <c r="W3762" s="9"/>
      <c r="X3762" s="9"/>
      <c r="Y3762" s="9"/>
      <c r="Z3762" s="9"/>
      <c r="AA3762" s="9"/>
    </row>
    <row r="3763" spans="1:27" ht="13.6">
      <c r="A3763" s="8"/>
      <c r="B3763" s="12"/>
      <c r="C3763" s="9"/>
      <c r="D3763" s="9"/>
      <c r="E3763" s="9"/>
      <c r="F3763" s="9"/>
      <c r="G3763" s="9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9"/>
      <c r="U3763" s="9"/>
      <c r="V3763" s="9"/>
      <c r="W3763" s="9"/>
      <c r="X3763" s="9"/>
      <c r="Y3763" s="9"/>
      <c r="Z3763" s="9"/>
      <c r="AA3763" s="9"/>
    </row>
    <row r="3764" spans="1:27" ht="13.6">
      <c r="A3764" s="8"/>
      <c r="B3764" s="12"/>
      <c r="C3764" s="9"/>
      <c r="D3764" s="9"/>
      <c r="E3764" s="9"/>
      <c r="F3764" s="9"/>
      <c r="G3764" s="9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9"/>
      <c r="U3764" s="9"/>
      <c r="V3764" s="9"/>
      <c r="W3764" s="9"/>
      <c r="X3764" s="9"/>
      <c r="Y3764" s="9"/>
      <c r="Z3764" s="9"/>
      <c r="AA3764" s="9"/>
    </row>
    <row r="3765" spans="1:27" ht="13.6">
      <c r="A3765" s="8"/>
      <c r="B3765" s="12"/>
      <c r="C3765" s="9"/>
      <c r="D3765" s="9"/>
      <c r="E3765" s="9"/>
      <c r="F3765" s="9"/>
      <c r="G3765" s="9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9"/>
      <c r="U3765" s="9"/>
      <c r="V3765" s="9"/>
      <c r="W3765" s="9"/>
      <c r="X3765" s="9"/>
      <c r="Y3765" s="9"/>
      <c r="Z3765" s="9"/>
      <c r="AA3765" s="9"/>
    </row>
    <row r="3766" spans="1:27" ht="13.6">
      <c r="A3766" s="8"/>
      <c r="B3766" s="12"/>
      <c r="C3766" s="9"/>
      <c r="D3766" s="9"/>
      <c r="E3766" s="9"/>
      <c r="F3766" s="9"/>
      <c r="G3766" s="9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9"/>
      <c r="U3766" s="9"/>
      <c r="V3766" s="9"/>
      <c r="W3766" s="9"/>
      <c r="X3766" s="9"/>
      <c r="Y3766" s="9"/>
      <c r="Z3766" s="9"/>
      <c r="AA3766" s="9"/>
    </row>
    <row r="3767" spans="1:27" ht="13.6">
      <c r="A3767" s="8"/>
      <c r="B3767" s="12"/>
      <c r="C3767" s="9"/>
      <c r="D3767" s="9"/>
      <c r="E3767" s="9"/>
      <c r="F3767" s="9"/>
      <c r="G3767" s="9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9"/>
      <c r="U3767" s="9"/>
      <c r="V3767" s="9"/>
      <c r="W3767" s="9"/>
      <c r="X3767" s="9"/>
      <c r="Y3767" s="9"/>
      <c r="Z3767" s="9"/>
      <c r="AA3767" s="9"/>
    </row>
    <row r="3768" spans="1:27" ht="13.6">
      <c r="A3768" s="8"/>
      <c r="B3768" s="12"/>
      <c r="C3768" s="9"/>
      <c r="D3768" s="9"/>
      <c r="E3768" s="9"/>
      <c r="F3768" s="9"/>
      <c r="G3768" s="9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9"/>
      <c r="U3768" s="9"/>
      <c r="V3768" s="9"/>
      <c r="W3768" s="9"/>
      <c r="X3768" s="9"/>
      <c r="Y3768" s="9"/>
      <c r="Z3768" s="9"/>
      <c r="AA3768" s="9"/>
    </row>
    <row r="3769" spans="1:27" ht="13.6">
      <c r="A3769" s="8"/>
      <c r="B3769" s="12"/>
      <c r="C3769" s="9"/>
      <c r="D3769" s="9"/>
      <c r="E3769" s="9"/>
      <c r="F3769" s="9"/>
      <c r="G3769" s="9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9"/>
      <c r="U3769" s="9"/>
      <c r="V3769" s="9"/>
      <c r="W3769" s="9"/>
      <c r="X3769" s="9"/>
      <c r="Y3769" s="9"/>
      <c r="Z3769" s="9"/>
      <c r="AA3769" s="9"/>
    </row>
    <row r="3770" spans="1:27" ht="13.6">
      <c r="A3770" s="8"/>
      <c r="B3770" s="12"/>
      <c r="C3770" s="9"/>
      <c r="D3770" s="9"/>
      <c r="E3770" s="9"/>
      <c r="F3770" s="9"/>
      <c r="G3770" s="9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9"/>
      <c r="U3770" s="9"/>
      <c r="V3770" s="9"/>
      <c r="W3770" s="9"/>
      <c r="X3770" s="9"/>
      <c r="Y3770" s="9"/>
      <c r="Z3770" s="9"/>
      <c r="AA3770" s="9"/>
    </row>
    <row r="3771" spans="1:27" ht="13.6">
      <c r="A3771" s="8"/>
      <c r="B3771" s="12"/>
      <c r="C3771" s="9"/>
      <c r="D3771" s="9"/>
      <c r="E3771" s="9"/>
      <c r="F3771" s="9"/>
      <c r="G3771" s="9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9"/>
      <c r="U3771" s="9"/>
      <c r="V3771" s="9"/>
      <c r="W3771" s="9"/>
      <c r="X3771" s="9"/>
      <c r="Y3771" s="9"/>
      <c r="Z3771" s="9"/>
      <c r="AA3771" s="9"/>
    </row>
    <row r="3772" spans="1:27" ht="13.6">
      <c r="A3772" s="8"/>
      <c r="B3772" s="12"/>
      <c r="C3772" s="9"/>
      <c r="D3772" s="9"/>
      <c r="E3772" s="9"/>
      <c r="F3772" s="9"/>
      <c r="G3772" s="9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9"/>
      <c r="U3772" s="9"/>
      <c r="V3772" s="9"/>
      <c r="W3772" s="9"/>
      <c r="X3772" s="9"/>
      <c r="Y3772" s="9"/>
      <c r="Z3772" s="9"/>
      <c r="AA3772" s="9"/>
    </row>
    <row r="3773" spans="1:27" ht="13.6">
      <c r="A3773" s="8"/>
      <c r="B3773" s="12"/>
      <c r="C3773" s="9"/>
      <c r="D3773" s="9"/>
      <c r="E3773" s="9"/>
      <c r="F3773" s="9"/>
      <c r="G3773" s="9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9"/>
      <c r="U3773" s="9"/>
      <c r="V3773" s="9"/>
      <c r="W3773" s="9"/>
      <c r="X3773" s="9"/>
      <c r="Y3773" s="9"/>
      <c r="Z3773" s="9"/>
      <c r="AA3773" s="9"/>
    </row>
    <row r="3774" spans="1:27" ht="13.6">
      <c r="A3774" s="8"/>
      <c r="B3774" s="12"/>
      <c r="C3774" s="9"/>
      <c r="D3774" s="9"/>
      <c r="E3774" s="9"/>
      <c r="F3774" s="9"/>
      <c r="G3774" s="9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9"/>
      <c r="U3774" s="9"/>
      <c r="V3774" s="9"/>
      <c r="W3774" s="9"/>
      <c r="X3774" s="9"/>
      <c r="Y3774" s="9"/>
      <c r="Z3774" s="9"/>
      <c r="AA3774" s="9"/>
    </row>
    <row r="3775" spans="1:27" ht="13.6">
      <c r="A3775" s="8"/>
      <c r="B3775" s="12"/>
      <c r="C3775" s="9"/>
      <c r="D3775" s="9"/>
      <c r="E3775" s="9"/>
      <c r="F3775" s="9"/>
      <c r="G3775" s="9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9"/>
      <c r="U3775" s="9"/>
      <c r="V3775" s="9"/>
      <c r="W3775" s="9"/>
      <c r="X3775" s="9"/>
      <c r="Y3775" s="9"/>
      <c r="Z3775" s="9"/>
      <c r="AA3775" s="9"/>
    </row>
    <row r="3776" spans="1:27" ht="13.6">
      <c r="A3776" s="8"/>
      <c r="B3776" s="12"/>
      <c r="C3776" s="9"/>
      <c r="D3776" s="9"/>
      <c r="E3776" s="9"/>
      <c r="F3776" s="9"/>
      <c r="G3776" s="9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9"/>
      <c r="U3776" s="9"/>
      <c r="V3776" s="9"/>
      <c r="W3776" s="9"/>
      <c r="X3776" s="9"/>
      <c r="Y3776" s="9"/>
      <c r="Z3776" s="9"/>
      <c r="AA3776" s="9"/>
    </row>
    <row r="3777" spans="1:27" ht="13.6">
      <c r="A3777" s="8"/>
      <c r="B3777" s="12"/>
      <c r="C3777" s="9"/>
      <c r="D3777" s="9"/>
      <c r="E3777" s="9"/>
      <c r="F3777" s="9"/>
      <c r="G3777" s="9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9"/>
      <c r="U3777" s="9"/>
      <c r="V3777" s="9"/>
      <c r="W3777" s="9"/>
      <c r="X3777" s="9"/>
      <c r="Y3777" s="9"/>
      <c r="Z3777" s="9"/>
      <c r="AA3777" s="9"/>
    </row>
    <row r="3778" spans="1:27" ht="13.6">
      <c r="A3778" s="8"/>
      <c r="B3778" s="12"/>
      <c r="C3778" s="9"/>
      <c r="D3778" s="9"/>
      <c r="E3778" s="9"/>
      <c r="F3778" s="9"/>
      <c r="G3778" s="9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9"/>
      <c r="U3778" s="9"/>
      <c r="V3778" s="9"/>
      <c r="W3778" s="9"/>
      <c r="X3778" s="9"/>
      <c r="Y3778" s="9"/>
      <c r="Z3778" s="9"/>
      <c r="AA3778" s="9"/>
    </row>
    <row r="3779" spans="1:27" ht="13.6">
      <c r="A3779" s="8"/>
      <c r="B3779" s="12"/>
      <c r="C3779" s="9"/>
      <c r="D3779" s="9"/>
      <c r="E3779" s="9"/>
      <c r="F3779" s="9"/>
      <c r="G3779" s="9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9"/>
      <c r="U3779" s="9"/>
      <c r="V3779" s="9"/>
      <c r="W3779" s="9"/>
      <c r="X3779" s="9"/>
      <c r="Y3779" s="9"/>
      <c r="Z3779" s="9"/>
      <c r="AA3779" s="9"/>
    </row>
    <row r="3780" spans="1:27" ht="13.6">
      <c r="A3780" s="8"/>
      <c r="B3780" s="12"/>
      <c r="C3780" s="9"/>
      <c r="D3780" s="9"/>
      <c r="E3780" s="9"/>
      <c r="F3780" s="9"/>
      <c r="G3780" s="9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9"/>
      <c r="U3780" s="9"/>
      <c r="V3780" s="9"/>
      <c r="W3780" s="9"/>
      <c r="X3780" s="9"/>
      <c r="Y3780" s="9"/>
      <c r="Z3780" s="9"/>
      <c r="AA3780" s="9"/>
    </row>
    <row r="3781" spans="1:27" ht="13.6">
      <c r="A3781" s="8"/>
      <c r="B3781" s="12"/>
      <c r="C3781" s="9"/>
      <c r="D3781" s="9"/>
      <c r="E3781" s="9"/>
      <c r="F3781" s="9"/>
      <c r="G3781" s="9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9"/>
      <c r="U3781" s="9"/>
      <c r="V3781" s="9"/>
      <c r="W3781" s="9"/>
      <c r="X3781" s="9"/>
      <c r="Y3781" s="9"/>
      <c r="Z3781" s="9"/>
      <c r="AA3781" s="9"/>
    </row>
    <row r="3782" spans="1:27" ht="13.6">
      <c r="A3782" s="8"/>
      <c r="B3782" s="12"/>
      <c r="C3782" s="9"/>
      <c r="D3782" s="9"/>
      <c r="E3782" s="9"/>
      <c r="F3782" s="9"/>
      <c r="G3782" s="9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9"/>
      <c r="U3782" s="9"/>
      <c r="V3782" s="9"/>
      <c r="W3782" s="9"/>
      <c r="X3782" s="9"/>
      <c r="Y3782" s="9"/>
      <c r="Z3782" s="9"/>
      <c r="AA3782" s="9"/>
    </row>
    <row r="3783" spans="1:27" ht="13.6">
      <c r="A3783" s="8"/>
      <c r="B3783" s="12"/>
      <c r="C3783" s="9"/>
      <c r="D3783" s="9"/>
      <c r="E3783" s="9"/>
      <c r="F3783" s="9"/>
      <c r="G3783" s="9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9"/>
      <c r="U3783" s="9"/>
      <c r="V3783" s="9"/>
      <c r="W3783" s="9"/>
      <c r="X3783" s="9"/>
      <c r="Y3783" s="9"/>
      <c r="Z3783" s="9"/>
      <c r="AA3783" s="9"/>
    </row>
    <row r="3784" spans="1:27" ht="13.6">
      <c r="A3784" s="8"/>
      <c r="B3784" s="12"/>
      <c r="C3784" s="9"/>
      <c r="D3784" s="9"/>
      <c r="E3784" s="9"/>
      <c r="F3784" s="9"/>
      <c r="G3784" s="9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9"/>
    </row>
    <row r="3785" spans="1:27" ht="13.6">
      <c r="A3785" s="8"/>
      <c r="B3785" s="12"/>
      <c r="C3785" s="9"/>
      <c r="D3785" s="9"/>
      <c r="E3785" s="9"/>
      <c r="F3785" s="9"/>
      <c r="G3785" s="9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9"/>
      <c r="U3785" s="9"/>
      <c r="V3785" s="9"/>
      <c r="W3785" s="9"/>
      <c r="X3785" s="9"/>
      <c r="Y3785" s="9"/>
      <c r="Z3785" s="9"/>
      <c r="AA3785" s="9"/>
    </row>
    <row r="3786" spans="1:27" ht="13.6">
      <c r="A3786" s="8"/>
      <c r="B3786" s="12"/>
      <c r="C3786" s="9"/>
      <c r="D3786" s="9"/>
      <c r="E3786" s="9"/>
      <c r="F3786" s="9"/>
      <c r="G3786" s="9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9"/>
      <c r="U3786" s="9"/>
      <c r="V3786" s="9"/>
      <c r="W3786" s="9"/>
      <c r="X3786" s="9"/>
      <c r="Y3786" s="9"/>
      <c r="Z3786" s="9"/>
      <c r="AA3786" s="9"/>
    </row>
    <row r="3787" spans="1:27" ht="13.6">
      <c r="A3787" s="8"/>
      <c r="B3787" s="12"/>
      <c r="C3787" s="9"/>
      <c r="D3787" s="9"/>
      <c r="E3787" s="9"/>
      <c r="F3787" s="9"/>
      <c r="G3787" s="9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9"/>
      <c r="U3787" s="9"/>
      <c r="V3787" s="9"/>
      <c r="W3787" s="9"/>
      <c r="X3787" s="9"/>
      <c r="Y3787" s="9"/>
      <c r="Z3787" s="9"/>
      <c r="AA3787" s="9"/>
    </row>
    <row r="3788" spans="1:27" ht="13.6">
      <c r="A3788" s="8"/>
      <c r="B3788" s="12"/>
      <c r="C3788" s="9"/>
      <c r="D3788" s="9"/>
      <c r="E3788" s="9"/>
      <c r="F3788" s="9"/>
      <c r="G3788" s="9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9"/>
      <c r="U3788" s="9"/>
      <c r="V3788" s="9"/>
      <c r="W3788" s="9"/>
      <c r="X3788" s="9"/>
      <c r="Y3788" s="9"/>
      <c r="Z3788" s="9"/>
      <c r="AA3788" s="9"/>
    </row>
    <row r="3789" spans="1:27" ht="13.6">
      <c r="A3789" s="8"/>
      <c r="B3789" s="12"/>
      <c r="C3789" s="9"/>
      <c r="D3789" s="9"/>
      <c r="E3789" s="9"/>
      <c r="F3789" s="9"/>
      <c r="G3789" s="9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9"/>
      <c r="U3789" s="9"/>
      <c r="V3789" s="9"/>
      <c r="W3789" s="9"/>
      <c r="X3789" s="9"/>
      <c r="Y3789" s="9"/>
      <c r="Z3789" s="9"/>
      <c r="AA3789" s="9"/>
    </row>
    <row r="3790" spans="1:27" ht="13.6">
      <c r="A3790" s="8"/>
      <c r="B3790" s="12"/>
      <c r="C3790" s="9"/>
      <c r="D3790" s="9"/>
      <c r="E3790" s="9"/>
      <c r="F3790" s="9"/>
      <c r="G3790" s="9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9"/>
      <c r="U3790" s="9"/>
      <c r="V3790" s="9"/>
      <c r="W3790" s="9"/>
      <c r="X3790" s="9"/>
      <c r="Y3790" s="9"/>
      <c r="Z3790" s="9"/>
      <c r="AA3790" s="9"/>
    </row>
    <row r="3791" spans="1:27" ht="13.6">
      <c r="A3791" s="8"/>
      <c r="B3791" s="12"/>
      <c r="C3791" s="9"/>
      <c r="D3791" s="9"/>
      <c r="E3791" s="9"/>
      <c r="F3791" s="9"/>
      <c r="G3791" s="9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9"/>
      <c r="U3791" s="9"/>
      <c r="V3791" s="9"/>
      <c r="W3791" s="9"/>
      <c r="X3791" s="9"/>
      <c r="Y3791" s="9"/>
      <c r="Z3791" s="9"/>
      <c r="AA3791" s="9"/>
    </row>
    <row r="3792" spans="1:27" ht="13.6">
      <c r="A3792" s="8"/>
      <c r="B3792" s="12"/>
      <c r="C3792" s="9"/>
      <c r="D3792" s="9"/>
      <c r="E3792" s="9"/>
      <c r="F3792" s="9"/>
      <c r="G3792" s="9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9"/>
      <c r="U3792" s="9"/>
      <c r="V3792" s="9"/>
      <c r="W3792" s="9"/>
      <c r="X3792" s="9"/>
      <c r="Y3792" s="9"/>
      <c r="Z3792" s="9"/>
      <c r="AA3792" s="9"/>
    </row>
    <row r="3793" spans="1:27" ht="13.6">
      <c r="A3793" s="8"/>
      <c r="B3793" s="12"/>
      <c r="C3793" s="9"/>
      <c r="D3793" s="9"/>
      <c r="E3793" s="9"/>
      <c r="F3793" s="9"/>
      <c r="G3793" s="9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9"/>
      <c r="U3793" s="9"/>
      <c r="V3793" s="9"/>
      <c r="W3793" s="9"/>
      <c r="X3793" s="9"/>
      <c r="Y3793" s="9"/>
      <c r="Z3793" s="9"/>
      <c r="AA3793" s="9"/>
    </row>
    <row r="3794" spans="1:27" ht="13.6">
      <c r="A3794" s="8"/>
      <c r="B3794" s="12"/>
      <c r="C3794" s="9"/>
      <c r="D3794" s="9"/>
      <c r="E3794" s="9"/>
      <c r="F3794" s="9"/>
      <c r="G3794" s="9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9"/>
      <c r="U3794" s="9"/>
      <c r="V3794" s="9"/>
      <c r="W3794" s="9"/>
      <c r="X3794" s="9"/>
      <c r="Y3794" s="9"/>
      <c r="Z3794" s="9"/>
      <c r="AA3794" s="9"/>
    </row>
    <row r="3795" spans="1:27" ht="13.6">
      <c r="A3795" s="8"/>
      <c r="B3795" s="12"/>
      <c r="C3795" s="9"/>
      <c r="D3795" s="9"/>
      <c r="E3795" s="9"/>
      <c r="F3795" s="9"/>
      <c r="G3795" s="9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9"/>
      <c r="U3795" s="9"/>
      <c r="V3795" s="9"/>
      <c r="W3795" s="9"/>
      <c r="X3795" s="9"/>
      <c r="Y3795" s="9"/>
      <c r="Z3795" s="9"/>
      <c r="AA3795" s="9"/>
    </row>
    <row r="3796" spans="1:27" ht="13.6">
      <c r="A3796" s="8"/>
      <c r="B3796" s="12"/>
      <c r="C3796" s="9"/>
      <c r="D3796" s="9"/>
      <c r="E3796" s="9"/>
      <c r="F3796" s="9"/>
      <c r="G3796" s="9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9"/>
      <c r="U3796" s="9"/>
      <c r="V3796" s="9"/>
      <c r="W3796" s="9"/>
      <c r="X3796" s="9"/>
      <c r="Y3796" s="9"/>
      <c r="Z3796" s="9"/>
      <c r="AA3796" s="9"/>
    </row>
    <row r="3797" spans="1:27" ht="13.6">
      <c r="A3797" s="8"/>
      <c r="B3797" s="12"/>
      <c r="C3797" s="9"/>
      <c r="D3797" s="9"/>
      <c r="E3797" s="9"/>
      <c r="F3797" s="9"/>
      <c r="G3797" s="9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9"/>
      <c r="U3797" s="9"/>
      <c r="V3797" s="9"/>
      <c r="W3797" s="9"/>
      <c r="X3797" s="9"/>
      <c r="Y3797" s="9"/>
      <c r="Z3797" s="9"/>
      <c r="AA3797" s="9"/>
    </row>
    <row r="3798" spans="1:27" ht="13.6">
      <c r="A3798" s="8"/>
      <c r="B3798" s="12"/>
      <c r="C3798" s="9"/>
      <c r="D3798" s="9"/>
      <c r="E3798" s="9"/>
      <c r="F3798" s="9"/>
      <c r="G3798" s="9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9"/>
      <c r="U3798" s="9"/>
      <c r="V3798" s="9"/>
      <c r="W3798" s="9"/>
      <c r="X3798" s="9"/>
      <c r="Y3798" s="9"/>
      <c r="Z3798" s="9"/>
      <c r="AA3798" s="9"/>
    </row>
    <row r="3799" spans="1:27" ht="13.6">
      <c r="A3799" s="8"/>
      <c r="B3799" s="12"/>
      <c r="C3799" s="9"/>
      <c r="D3799" s="9"/>
      <c r="E3799" s="9"/>
      <c r="F3799" s="9"/>
      <c r="G3799" s="9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9"/>
      <c r="U3799" s="9"/>
      <c r="V3799" s="9"/>
      <c r="W3799" s="9"/>
      <c r="X3799" s="9"/>
      <c r="Y3799" s="9"/>
      <c r="Z3799" s="9"/>
      <c r="AA3799" s="9"/>
    </row>
    <row r="3800" spans="1:27" ht="13.6">
      <c r="A3800" s="8"/>
      <c r="B3800" s="12"/>
      <c r="C3800" s="9"/>
      <c r="D3800" s="9"/>
      <c r="E3800" s="9"/>
      <c r="F3800" s="9"/>
      <c r="G3800" s="9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9"/>
      <c r="U3800" s="9"/>
      <c r="V3800" s="9"/>
      <c r="W3800" s="9"/>
      <c r="X3800" s="9"/>
      <c r="Y3800" s="9"/>
      <c r="Z3800" s="9"/>
      <c r="AA3800" s="9"/>
    </row>
    <row r="3801" spans="1:27" ht="13.6">
      <c r="A3801" s="8"/>
      <c r="B3801" s="12"/>
      <c r="C3801" s="9"/>
      <c r="D3801" s="9"/>
      <c r="E3801" s="9"/>
      <c r="F3801" s="9"/>
      <c r="G3801" s="9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9"/>
      <c r="U3801" s="9"/>
      <c r="V3801" s="9"/>
      <c r="W3801" s="9"/>
      <c r="X3801" s="9"/>
      <c r="Y3801" s="9"/>
      <c r="Z3801" s="9"/>
      <c r="AA3801" s="9"/>
    </row>
    <row r="3802" spans="1:27" ht="13.6">
      <c r="A3802" s="8"/>
      <c r="B3802" s="12"/>
      <c r="C3802" s="9"/>
      <c r="D3802" s="9"/>
      <c r="E3802" s="9"/>
      <c r="F3802" s="9"/>
      <c r="G3802" s="9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9"/>
      <c r="U3802" s="9"/>
      <c r="V3802" s="9"/>
      <c r="W3802" s="9"/>
      <c r="X3802" s="9"/>
      <c r="Y3802" s="9"/>
      <c r="Z3802" s="9"/>
      <c r="AA3802" s="9"/>
    </row>
    <row r="3803" spans="1:27" ht="13.6">
      <c r="A3803" s="8"/>
      <c r="B3803" s="12"/>
      <c r="C3803" s="9"/>
      <c r="D3803" s="9"/>
      <c r="E3803" s="9"/>
      <c r="F3803" s="9"/>
      <c r="G3803" s="9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9"/>
      <c r="U3803" s="9"/>
      <c r="V3803" s="9"/>
      <c r="W3803" s="9"/>
      <c r="X3803" s="9"/>
      <c r="Y3803" s="9"/>
      <c r="Z3803" s="9"/>
      <c r="AA3803" s="9"/>
    </row>
    <row r="3804" spans="1:27" ht="13.6">
      <c r="A3804" s="8"/>
      <c r="B3804" s="12"/>
      <c r="C3804" s="9"/>
      <c r="D3804" s="9"/>
      <c r="E3804" s="9"/>
      <c r="F3804" s="9"/>
      <c r="G3804" s="9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9"/>
      <c r="U3804" s="9"/>
      <c r="V3804" s="9"/>
      <c r="W3804" s="9"/>
      <c r="X3804" s="9"/>
      <c r="Y3804" s="9"/>
      <c r="Z3804" s="9"/>
      <c r="AA3804" s="9"/>
    </row>
    <row r="3805" spans="1:27" ht="13.6">
      <c r="A3805" s="8"/>
      <c r="B3805" s="12"/>
      <c r="C3805" s="9"/>
      <c r="D3805" s="9"/>
      <c r="E3805" s="9"/>
      <c r="F3805" s="9"/>
      <c r="G3805" s="9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9"/>
      <c r="U3805" s="9"/>
      <c r="V3805" s="9"/>
      <c r="W3805" s="9"/>
      <c r="X3805" s="9"/>
      <c r="Y3805" s="9"/>
      <c r="Z3805" s="9"/>
      <c r="AA3805" s="9"/>
    </row>
    <row r="3806" spans="1:27" ht="13.6">
      <c r="A3806" s="8"/>
      <c r="B3806" s="12"/>
      <c r="C3806" s="9"/>
      <c r="D3806" s="9"/>
      <c r="E3806" s="9"/>
      <c r="F3806" s="9"/>
      <c r="G3806" s="9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9"/>
      <c r="U3806" s="9"/>
      <c r="V3806" s="9"/>
      <c r="W3806" s="9"/>
      <c r="X3806" s="9"/>
      <c r="Y3806" s="9"/>
      <c r="Z3806" s="9"/>
      <c r="AA3806" s="9"/>
    </row>
    <row r="3807" spans="1:27" ht="13.6">
      <c r="A3807" s="8"/>
      <c r="B3807" s="12"/>
      <c r="C3807" s="9"/>
      <c r="D3807" s="9"/>
      <c r="E3807" s="9"/>
      <c r="F3807" s="9"/>
      <c r="G3807" s="9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9"/>
      <c r="U3807" s="9"/>
      <c r="V3807" s="9"/>
      <c r="W3807" s="9"/>
      <c r="X3807" s="9"/>
      <c r="Y3807" s="9"/>
      <c r="Z3807" s="9"/>
      <c r="AA3807" s="9"/>
    </row>
    <row r="3808" spans="1:27" ht="13.6">
      <c r="A3808" s="8"/>
      <c r="B3808" s="12"/>
      <c r="C3808" s="9"/>
      <c r="D3808" s="9"/>
      <c r="E3808" s="9"/>
      <c r="F3808" s="9"/>
      <c r="G3808" s="9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9"/>
      <c r="U3808" s="9"/>
      <c r="V3808" s="9"/>
      <c r="W3808" s="9"/>
      <c r="X3808" s="9"/>
      <c r="Y3808" s="9"/>
      <c r="Z3808" s="9"/>
      <c r="AA3808" s="9"/>
    </row>
    <row r="3809" spans="1:27" ht="13.6">
      <c r="A3809" s="8"/>
      <c r="B3809" s="12"/>
      <c r="C3809" s="9"/>
      <c r="D3809" s="9"/>
      <c r="E3809" s="9"/>
      <c r="F3809" s="9"/>
      <c r="G3809" s="9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9"/>
      <c r="U3809" s="9"/>
      <c r="V3809" s="9"/>
      <c r="W3809" s="9"/>
      <c r="X3809" s="9"/>
      <c r="Y3809" s="9"/>
      <c r="Z3809" s="9"/>
      <c r="AA3809" s="9"/>
    </row>
    <row r="3810" spans="1:27" ht="13.6">
      <c r="A3810" s="8"/>
      <c r="B3810" s="12"/>
      <c r="C3810" s="9"/>
      <c r="D3810" s="9"/>
      <c r="E3810" s="9"/>
      <c r="F3810" s="9"/>
      <c r="G3810" s="9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9"/>
      <c r="U3810" s="9"/>
      <c r="V3810" s="9"/>
      <c r="W3810" s="9"/>
      <c r="X3810" s="9"/>
      <c r="Y3810" s="9"/>
      <c r="Z3810" s="9"/>
      <c r="AA3810" s="9"/>
    </row>
    <row r="3811" spans="1:27" ht="13.6">
      <c r="A3811" s="8"/>
      <c r="B3811" s="12"/>
      <c r="C3811" s="9"/>
      <c r="D3811" s="9"/>
      <c r="E3811" s="9"/>
      <c r="F3811" s="9"/>
      <c r="G3811" s="9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9"/>
      <c r="U3811" s="9"/>
      <c r="V3811" s="9"/>
      <c r="W3811" s="9"/>
      <c r="X3811" s="9"/>
      <c r="Y3811" s="9"/>
      <c r="Z3811" s="9"/>
      <c r="AA3811" s="9"/>
    </row>
    <row r="3812" spans="1:27" ht="13.6">
      <c r="A3812" s="8"/>
      <c r="B3812" s="12"/>
      <c r="C3812" s="9"/>
      <c r="D3812" s="9"/>
      <c r="E3812" s="9"/>
      <c r="F3812" s="9"/>
      <c r="G3812" s="9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9"/>
      <c r="U3812" s="9"/>
      <c r="V3812" s="9"/>
      <c r="W3812" s="9"/>
      <c r="X3812" s="9"/>
      <c r="Y3812" s="9"/>
      <c r="Z3812" s="9"/>
      <c r="AA3812" s="9"/>
    </row>
    <row r="3813" spans="1:27" ht="13.6">
      <c r="A3813" s="8"/>
      <c r="B3813" s="12"/>
      <c r="C3813" s="9"/>
      <c r="D3813" s="9"/>
      <c r="E3813" s="9"/>
      <c r="F3813" s="9"/>
      <c r="G3813" s="9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9"/>
      <c r="U3813" s="9"/>
      <c r="V3813" s="9"/>
      <c r="W3813" s="9"/>
      <c r="X3813" s="9"/>
      <c r="Y3813" s="9"/>
      <c r="Z3813" s="9"/>
      <c r="AA3813" s="9"/>
    </row>
    <row r="3814" spans="1:27" ht="13.6">
      <c r="A3814" s="8"/>
      <c r="B3814" s="12"/>
      <c r="C3814" s="9"/>
      <c r="D3814" s="9"/>
      <c r="E3814" s="9"/>
      <c r="F3814" s="9"/>
      <c r="G3814" s="9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9"/>
      <c r="U3814" s="9"/>
      <c r="V3814" s="9"/>
      <c r="W3814" s="9"/>
      <c r="X3814" s="9"/>
      <c r="Y3814" s="9"/>
      <c r="Z3814" s="9"/>
      <c r="AA3814" s="9"/>
    </row>
    <row r="3815" spans="1:27" ht="13.6">
      <c r="A3815" s="8"/>
      <c r="B3815" s="12"/>
      <c r="C3815" s="9"/>
      <c r="D3815" s="9"/>
      <c r="E3815" s="9"/>
      <c r="F3815" s="9"/>
      <c r="G3815" s="9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9"/>
      <c r="U3815" s="9"/>
      <c r="V3815" s="9"/>
      <c r="W3815" s="9"/>
      <c r="X3815" s="9"/>
      <c r="Y3815" s="9"/>
      <c r="Z3815" s="9"/>
      <c r="AA3815" s="9"/>
    </row>
    <row r="3816" spans="1:27" ht="13.6">
      <c r="A3816" s="8"/>
      <c r="B3816" s="12"/>
      <c r="C3816" s="9"/>
      <c r="D3816" s="9"/>
      <c r="E3816" s="9"/>
      <c r="F3816" s="9"/>
      <c r="G3816" s="9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9"/>
      <c r="U3816" s="9"/>
      <c r="V3816" s="9"/>
      <c r="W3816" s="9"/>
      <c r="X3816" s="9"/>
      <c r="Y3816" s="9"/>
      <c r="Z3816" s="9"/>
      <c r="AA3816" s="9"/>
    </row>
    <row r="3817" spans="1:27" ht="13.6">
      <c r="A3817" s="8"/>
      <c r="B3817" s="12"/>
      <c r="C3817" s="9"/>
      <c r="D3817" s="9"/>
      <c r="E3817" s="9"/>
      <c r="F3817" s="9"/>
      <c r="G3817" s="9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9"/>
      <c r="U3817" s="9"/>
      <c r="V3817" s="9"/>
      <c r="W3817" s="9"/>
      <c r="X3817" s="9"/>
      <c r="Y3817" s="9"/>
      <c r="Z3817" s="9"/>
      <c r="AA3817" s="9"/>
    </row>
    <row r="3818" spans="1:27" ht="13.6">
      <c r="A3818" s="8"/>
      <c r="B3818" s="12"/>
      <c r="C3818" s="9"/>
      <c r="D3818" s="9"/>
      <c r="E3818" s="9"/>
      <c r="F3818" s="9"/>
      <c r="G3818" s="9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9"/>
      <c r="U3818" s="9"/>
      <c r="V3818" s="9"/>
      <c r="W3818" s="9"/>
      <c r="X3818" s="9"/>
      <c r="Y3818" s="9"/>
      <c r="Z3818" s="9"/>
      <c r="AA3818" s="9"/>
    </row>
    <row r="3819" spans="1:27" ht="13.6">
      <c r="A3819" s="8"/>
      <c r="B3819" s="12"/>
      <c r="C3819" s="9"/>
      <c r="D3819" s="9"/>
      <c r="E3819" s="9"/>
      <c r="F3819" s="9"/>
      <c r="G3819" s="9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9"/>
      <c r="U3819" s="9"/>
      <c r="V3819" s="9"/>
      <c r="W3819" s="9"/>
      <c r="X3819" s="9"/>
      <c r="Y3819" s="9"/>
      <c r="Z3819" s="9"/>
      <c r="AA3819" s="9"/>
    </row>
    <row r="3820" spans="1:27" ht="13.6">
      <c r="A3820" s="8"/>
      <c r="B3820" s="12"/>
      <c r="C3820" s="9"/>
      <c r="D3820" s="9"/>
      <c r="E3820" s="9"/>
      <c r="F3820" s="9"/>
      <c r="G3820" s="9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9"/>
      <c r="U3820" s="9"/>
      <c r="V3820" s="9"/>
      <c r="W3820" s="9"/>
      <c r="X3820" s="9"/>
      <c r="Y3820" s="9"/>
      <c r="Z3820" s="9"/>
      <c r="AA3820" s="9"/>
    </row>
    <row r="3821" spans="1:27" ht="13.6">
      <c r="A3821" s="8"/>
      <c r="B3821" s="12"/>
      <c r="C3821" s="9"/>
      <c r="D3821" s="9"/>
      <c r="E3821" s="9"/>
      <c r="F3821" s="9"/>
      <c r="G3821" s="9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9"/>
      <c r="U3821" s="9"/>
      <c r="V3821" s="9"/>
      <c r="W3821" s="9"/>
      <c r="X3821" s="9"/>
      <c r="Y3821" s="9"/>
      <c r="Z3821" s="9"/>
      <c r="AA3821" s="9"/>
    </row>
    <row r="3822" spans="1:27" ht="13.6">
      <c r="A3822" s="8"/>
      <c r="B3822" s="12"/>
      <c r="C3822" s="9"/>
      <c r="D3822" s="9"/>
      <c r="E3822" s="9"/>
      <c r="F3822" s="9"/>
      <c r="G3822" s="9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9"/>
      <c r="U3822" s="9"/>
      <c r="V3822" s="9"/>
      <c r="W3822" s="9"/>
      <c r="X3822" s="9"/>
      <c r="Y3822" s="9"/>
      <c r="Z3822" s="9"/>
      <c r="AA3822" s="9"/>
    </row>
    <row r="3823" spans="1:27" ht="13.6">
      <c r="A3823" s="8"/>
      <c r="B3823" s="12"/>
      <c r="C3823" s="9"/>
      <c r="D3823" s="9"/>
      <c r="E3823" s="9"/>
      <c r="F3823" s="9"/>
      <c r="G3823" s="9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9"/>
      <c r="U3823" s="9"/>
      <c r="V3823" s="9"/>
      <c r="W3823" s="9"/>
      <c r="X3823" s="9"/>
      <c r="Y3823" s="9"/>
      <c r="Z3823" s="9"/>
      <c r="AA3823" s="9"/>
    </row>
    <row r="3824" spans="1:27" ht="13.6">
      <c r="A3824" s="8"/>
      <c r="B3824" s="12"/>
      <c r="C3824" s="9"/>
      <c r="D3824" s="9"/>
      <c r="E3824" s="9"/>
      <c r="F3824" s="9"/>
      <c r="G3824" s="9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9"/>
      <c r="U3824" s="9"/>
      <c r="V3824" s="9"/>
      <c r="W3824" s="9"/>
      <c r="X3824" s="9"/>
      <c r="Y3824" s="9"/>
      <c r="Z3824" s="9"/>
      <c r="AA3824" s="9"/>
    </row>
    <row r="3825" spans="1:27" ht="13.6">
      <c r="A3825" s="8"/>
      <c r="B3825" s="12"/>
      <c r="C3825" s="9"/>
      <c r="D3825" s="9"/>
      <c r="E3825" s="9"/>
      <c r="F3825" s="9"/>
      <c r="G3825" s="9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9"/>
      <c r="U3825" s="9"/>
      <c r="V3825" s="9"/>
      <c r="W3825" s="9"/>
      <c r="X3825" s="9"/>
      <c r="Y3825" s="9"/>
      <c r="Z3825" s="9"/>
      <c r="AA3825" s="9"/>
    </row>
    <row r="3826" spans="1:27" ht="13.6">
      <c r="A3826" s="8"/>
      <c r="B3826" s="12"/>
      <c r="C3826" s="9"/>
      <c r="D3826" s="9"/>
      <c r="E3826" s="9"/>
      <c r="F3826" s="9"/>
      <c r="G3826" s="9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9"/>
      <c r="U3826" s="9"/>
      <c r="V3826" s="9"/>
      <c r="W3826" s="9"/>
      <c r="X3826" s="9"/>
      <c r="Y3826" s="9"/>
      <c r="Z3826" s="9"/>
      <c r="AA3826" s="9"/>
    </row>
    <row r="3827" spans="1:27" ht="13.6">
      <c r="A3827" s="8"/>
      <c r="B3827" s="12"/>
      <c r="C3827" s="9"/>
      <c r="D3827" s="9"/>
      <c r="E3827" s="9"/>
      <c r="F3827" s="9"/>
      <c r="G3827" s="9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9"/>
      <c r="U3827" s="9"/>
      <c r="V3827" s="9"/>
      <c r="W3827" s="9"/>
      <c r="X3827" s="9"/>
      <c r="Y3827" s="9"/>
      <c r="Z3827" s="9"/>
      <c r="AA3827" s="9"/>
    </row>
    <row r="3828" spans="1:27" ht="13.6">
      <c r="A3828" s="8"/>
      <c r="B3828" s="12"/>
      <c r="C3828" s="9"/>
      <c r="D3828" s="9"/>
      <c r="E3828" s="9"/>
      <c r="F3828" s="9"/>
      <c r="G3828" s="9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9"/>
      <c r="U3828" s="9"/>
      <c r="V3828" s="9"/>
      <c r="W3828" s="9"/>
      <c r="X3828" s="9"/>
      <c r="Y3828" s="9"/>
      <c r="Z3828" s="9"/>
      <c r="AA3828" s="9"/>
    </row>
    <row r="3829" spans="1:27" ht="13.6">
      <c r="A3829" s="8"/>
      <c r="B3829" s="12"/>
      <c r="C3829" s="9"/>
      <c r="D3829" s="9"/>
      <c r="E3829" s="9"/>
      <c r="F3829" s="9"/>
      <c r="G3829" s="9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9"/>
      <c r="U3829" s="9"/>
      <c r="V3829" s="9"/>
      <c r="W3829" s="9"/>
      <c r="X3829" s="9"/>
      <c r="Y3829" s="9"/>
      <c r="Z3829" s="9"/>
      <c r="AA3829" s="9"/>
    </row>
    <row r="3830" spans="1:27" ht="13.6">
      <c r="A3830" s="8"/>
      <c r="B3830" s="12"/>
      <c r="C3830" s="9"/>
      <c r="D3830" s="9"/>
      <c r="E3830" s="9"/>
      <c r="F3830" s="9"/>
      <c r="G3830" s="9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9"/>
      <c r="U3830" s="9"/>
      <c r="V3830" s="9"/>
      <c r="W3830" s="9"/>
      <c r="X3830" s="9"/>
      <c r="Y3830" s="9"/>
      <c r="Z3830" s="9"/>
      <c r="AA3830" s="9"/>
    </row>
    <row r="3831" spans="1:27" ht="13.6">
      <c r="A3831" s="8"/>
      <c r="B3831" s="12"/>
      <c r="C3831" s="9"/>
      <c r="D3831" s="9"/>
      <c r="E3831" s="9"/>
      <c r="F3831" s="9"/>
      <c r="G3831" s="9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9"/>
      <c r="U3831" s="9"/>
      <c r="V3831" s="9"/>
      <c r="W3831" s="9"/>
      <c r="X3831" s="9"/>
      <c r="Y3831" s="9"/>
      <c r="Z3831" s="9"/>
      <c r="AA3831" s="9"/>
    </row>
    <row r="3832" spans="1:27" ht="13.6">
      <c r="A3832" s="8"/>
      <c r="B3832" s="12"/>
      <c r="C3832" s="9"/>
      <c r="D3832" s="9"/>
      <c r="E3832" s="9"/>
      <c r="F3832" s="9"/>
      <c r="G3832" s="9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9"/>
      <c r="U3832" s="9"/>
      <c r="V3832" s="9"/>
      <c r="W3832" s="9"/>
      <c r="X3832" s="9"/>
      <c r="Y3832" s="9"/>
      <c r="Z3832" s="9"/>
      <c r="AA3832" s="9"/>
    </row>
    <row r="3833" spans="1:27" ht="13.6">
      <c r="A3833" s="8"/>
      <c r="B3833" s="12"/>
      <c r="C3833" s="9"/>
      <c r="D3833" s="9"/>
      <c r="E3833" s="9"/>
      <c r="F3833" s="9"/>
      <c r="G3833" s="9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9"/>
      <c r="U3833" s="9"/>
      <c r="V3833" s="9"/>
      <c r="W3833" s="9"/>
      <c r="X3833" s="9"/>
      <c r="Y3833" s="9"/>
      <c r="Z3833" s="9"/>
      <c r="AA3833" s="9"/>
    </row>
    <row r="3834" spans="1:27" ht="13.6">
      <c r="A3834" s="8"/>
      <c r="B3834" s="12"/>
      <c r="C3834" s="9"/>
      <c r="D3834" s="9"/>
      <c r="E3834" s="9"/>
      <c r="F3834" s="9"/>
      <c r="G3834" s="9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9"/>
      <c r="U3834" s="9"/>
      <c r="V3834" s="9"/>
      <c r="W3834" s="9"/>
      <c r="X3834" s="9"/>
      <c r="Y3834" s="9"/>
      <c r="Z3834" s="9"/>
      <c r="AA3834" s="9"/>
    </row>
    <row r="3835" spans="1:27" ht="13.6">
      <c r="A3835" s="8"/>
      <c r="B3835" s="12"/>
      <c r="C3835" s="9"/>
      <c r="D3835" s="9"/>
      <c r="E3835" s="9"/>
      <c r="F3835" s="9"/>
      <c r="G3835" s="9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9"/>
      <c r="U3835" s="9"/>
      <c r="V3835" s="9"/>
      <c r="W3835" s="9"/>
      <c r="X3835" s="9"/>
      <c r="Y3835" s="9"/>
      <c r="Z3835" s="9"/>
      <c r="AA3835" s="9"/>
    </row>
    <row r="3836" spans="1:27" ht="13.6">
      <c r="A3836" s="8"/>
      <c r="B3836" s="12"/>
      <c r="C3836" s="9"/>
      <c r="D3836" s="9"/>
      <c r="E3836" s="9"/>
      <c r="F3836" s="9"/>
      <c r="G3836" s="9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9"/>
      <c r="U3836" s="9"/>
      <c r="V3836" s="9"/>
      <c r="W3836" s="9"/>
      <c r="X3836" s="9"/>
      <c r="Y3836" s="9"/>
      <c r="Z3836" s="9"/>
      <c r="AA3836" s="9"/>
    </row>
    <row r="3837" spans="1:27" ht="13.6">
      <c r="A3837" s="8"/>
      <c r="B3837" s="12"/>
      <c r="C3837" s="9"/>
      <c r="D3837" s="9"/>
      <c r="E3837" s="9"/>
      <c r="F3837" s="9"/>
      <c r="G3837" s="9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9"/>
      <c r="U3837" s="9"/>
      <c r="V3837" s="9"/>
      <c r="W3837" s="9"/>
      <c r="X3837" s="9"/>
      <c r="Y3837" s="9"/>
      <c r="Z3837" s="9"/>
      <c r="AA3837" s="9"/>
    </row>
    <row r="3838" spans="1:27" ht="13.6">
      <c r="A3838" s="8"/>
      <c r="B3838" s="12"/>
      <c r="C3838" s="9"/>
      <c r="D3838" s="9"/>
      <c r="E3838" s="9"/>
      <c r="F3838" s="9"/>
      <c r="G3838" s="9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9"/>
      <c r="U3838" s="9"/>
      <c r="V3838" s="9"/>
      <c r="W3838" s="9"/>
      <c r="X3838" s="9"/>
      <c r="Y3838" s="9"/>
      <c r="Z3838" s="9"/>
      <c r="AA3838" s="9"/>
    </row>
    <row r="3839" spans="1:27" ht="13.6">
      <c r="A3839" s="8"/>
      <c r="B3839" s="12"/>
      <c r="C3839" s="9"/>
      <c r="D3839" s="9"/>
      <c r="E3839" s="9"/>
      <c r="F3839" s="9"/>
      <c r="G3839" s="9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9"/>
      <c r="U3839" s="9"/>
      <c r="V3839" s="9"/>
      <c r="W3839" s="9"/>
      <c r="X3839" s="9"/>
      <c r="Y3839" s="9"/>
      <c r="Z3839" s="9"/>
      <c r="AA3839" s="9"/>
    </row>
    <row r="3840" spans="1:27" ht="13.6">
      <c r="A3840" s="8"/>
      <c r="B3840" s="12"/>
      <c r="C3840" s="9"/>
      <c r="D3840" s="9"/>
      <c r="E3840" s="9"/>
      <c r="F3840" s="9"/>
      <c r="G3840" s="9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9"/>
      <c r="U3840" s="9"/>
      <c r="V3840" s="9"/>
      <c r="W3840" s="9"/>
      <c r="X3840" s="9"/>
      <c r="Y3840" s="9"/>
      <c r="Z3840" s="9"/>
      <c r="AA3840" s="9"/>
    </row>
    <row r="3841" spans="1:27" ht="13.6">
      <c r="A3841" s="8"/>
      <c r="B3841" s="12"/>
      <c r="C3841" s="9"/>
      <c r="D3841" s="9"/>
      <c r="E3841" s="9"/>
      <c r="F3841" s="9"/>
      <c r="G3841" s="9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9"/>
      <c r="U3841" s="9"/>
      <c r="V3841" s="9"/>
      <c r="W3841" s="9"/>
      <c r="X3841" s="9"/>
      <c r="Y3841" s="9"/>
      <c r="Z3841" s="9"/>
      <c r="AA3841" s="9"/>
    </row>
    <row r="3842" spans="1:27" ht="13.6">
      <c r="A3842" s="8"/>
      <c r="B3842" s="12"/>
      <c r="C3842" s="9"/>
      <c r="D3842" s="9"/>
      <c r="E3842" s="9"/>
      <c r="F3842" s="9"/>
      <c r="G3842" s="9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9"/>
      <c r="U3842" s="9"/>
      <c r="V3842" s="9"/>
      <c r="W3842" s="9"/>
      <c r="X3842" s="9"/>
      <c r="Y3842" s="9"/>
      <c r="Z3842" s="9"/>
      <c r="AA3842" s="9"/>
    </row>
    <row r="3843" spans="1:27" ht="13.6">
      <c r="A3843" s="8"/>
      <c r="B3843" s="12"/>
      <c r="C3843" s="9"/>
      <c r="D3843" s="9"/>
      <c r="E3843" s="9"/>
      <c r="F3843" s="9"/>
      <c r="G3843" s="9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9"/>
      <c r="U3843" s="9"/>
      <c r="V3843" s="9"/>
      <c r="W3843" s="9"/>
      <c r="X3843" s="9"/>
      <c r="Y3843" s="9"/>
      <c r="Z3843" s="9"/>
      <c r="AA3843" s="9"/>
    </row>
    <row r="3844" spans="1:27" ht="13.6">
      <c r="A3844" s="8"/>
      <c r="B3844" s="12"/>
      <c r="C3844" s="9"/>
      <c r="D3844" s="9"/>
      <c r="E3844" s="9"/>
      <c r="F3844" s="9"/>
      <c r="G3844" s="9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9"/>
      <c r="U3844" s="9"/>
      <c r="V3844" s="9"/>
      <c r="W3844" s="9"/>
      <c r="X3844" s="9"/>
      <c r="Y3844" s="9"/>
      <c r="Z3844" s="9"/>
      <c r="AA3844" s="9"/>
    </row>
    <row r="3845" spans="1:27" ht="13.6">
      <c r="A3845" s="8"/>
      <c r="B3845" s="12"/>
      <c r="C3845" s="9"/>
      <c r="D3845" s="9"/>
      <c r="E3845" s="9"/>
      <c r="F3845" s="9"/>
      <c r="G3845" s="9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9"/>
      <c r="U3845" s="9"/>
      <c r="V3845" s="9"/>
      <c r="W3845" s="9"/>
      <c r="X3845" s="9"/>
      <c r="Y3845" s="9"/>
      <c r="Z3845" s="9"/>
      <c r="AA3845" s="9"/>
    </row>
    <row r="3846" spans="1:27" ht="13.6">
      <c r="A3846" s="8"/>
      <c r="B3846" s="12"/>
      <c r="C3846" s="9"/>
      <c r="D3846" s="9"/>
      <c r="E3846" s="9"/>
      <c r="F3846" s="9"/>
      <c r="G3846" s="9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9"/>
      <c r="U3846" s="9"/>
      <c r="V3846" s="9"/>
      <c r="W3846" s="9"/>
      <c r="X3846" s="9"/>
      <c r="Y3846" s="9"/>
      <c r="Z3846" s="9"/>
      <c r="AA3846" s="9"/>
    </row>
    <row r="3847" spans="1:27" ht="13.6">
      <c r="A3847" s="8"/>
      <c r="B3847" s="12"/>
      <c r="C3847" s="9"/>
      <c r="D3847" s="9"/>
      <c r="E3847" s="9"/>
      <c r="F3847" s="9"/>
      <c r="G3847" s="9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9"/>
      <c r="U3847" s="9"/>
      <c r="V3847" s="9"/>
      <c r="W3847" s="9"/>
      <c r="X3847" s="9"/>
      <c r="Y3847" s="9"/>
      <c r="Z3847" s="9"/>
      <c r="AA3847" s="9"/>
    </row>
    <row r="3848" spans="1:27" ht="13.6">
      <c r="A3848" s="8"/>
      <c r="B3848" s="12"/>
      <c r="C3848" s="9"/>
      <c r="D3848" s="9"/>
      <c r="E3848" s="9"/>
      <c r="F3848" s="9"/>
      <c r="G3848" s="9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9"/>
      <c r="U3848" s="9"/>
      <c r="V3848" s="9"/>
      <c r="W3848" s="9"/>
      <c r="X3848" s="9"/>
      <c r="Y3848" s="9"/>
      <c r="Z3848" s="9"/>
      <c r="AA3848" s="9"/>
    </row>
    <row r="3849" spans="1:27" ht="13.6">
      <c r="A3849" s="8"/>
      <c r="B3849" s="12"/>
      <c r="C3849" s="9"/>
      <c r="D3849" s="9"/>
      <c r="E3849" s="9"/>
      <c r="F3849" s="9"/>
      <c r="G3849" s="9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9"/>
      <c r="U3849" s="9"/>
      <c r="V3849" s="9"/>
      <c r="W3849" s="9"/>
      <c r="X3849" s="9"/>
      <c r="Y3849" s="9"/>
      <c r="Z3849" s="9"/>
      <c r="AA3849" s="9"/>
    </row>
    <row r="3850" spans="1:27" ht="13.6">
      <c r="A3850" s="8"/>
      <c r="B3850" s="12"/>
      <c r="C3850" s="9"/>
      <c r="D3850" s="9"/>
      <c r="E3850" s="9"/>
      <c r="F3850" s="9"/>
      <c r="G3850" s="9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9"/>
      <c r="U3850" s="9"/>
      <c r="V3850" s="9"/>
      <c r="W3850" s="9"/>
      <c r="X3850" s="9"/>
      <c r="Y3850" s="9"/>
      <c r="Z3850" s="9"/>
      <c r="AA3850" s="9"/>
    </row>
    <row r="3851" spans="1:27" ht="13.6">
      <c r="A3851" s="8"/>
      <c r="B3851" s="12"/>
      <c r="C3851" s="9"/>
      <c r="D3851" s="9"/>
      <c r="E3851" s="9"/>
      <c r="F3851" s="9"/>
      <c r="G3851" s="9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9"/>
      <c r="U3851" s="9"/>
      <c r="V3851" s="9"/>
      <c r="W3851" s="9"/>
      <c r="X3851" s="9"/>
      <c r="Y3851" s="9"/>
      <c r="Z3851" s="9"/>
      <c r="AA3851" s="9"/>
    </row>
    <row r="3852" spans="1:27" ht="13.6">
      <c r="A3852" s="8"/>
      <c r="B3852" s="12"/>
      <c r="C3852" s="9"/>
      <c r="D3852" s="9"/>
      <c r="E3852" s="9"/>
      <c r="F3852" s="9"/>
      <c r="G3852" s="9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9"/>
      <c r="U3852" s="9"/>
      <c r="V3852" s="9"/>
      <c r="W3852" s="9"/>
      <c r="X3852" s="9"/>
      <c r="Y3852" s="9"/>
      <c r="Z3852" s="9"/>
      <c r="AA3852" s="9"/>
    </row>
    <row r="3853" spans="1:27" ht="13.6">
      <c r="A3853" s="8"/>
      <c r="B3853" s="12"/>
      <c r="C3853" s="9"/>
      <c r="D3853" s="9"/>
      <c r="E3853" s="9"/>
      <c r="F3853" s="9"/>
      <c r="G3853" s="9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9"/>
      <c r="U3853" s="9"/>
      <c r="V3853" s="9"/>
      <c r="W3853" s="9"/>
      <c r="X3853" s="9"/>
      <c r="Y3853" s="9"/>
      <c r="Z3853" s="9"/>
      <c r="AA3853" s="9"/>
    </row>
    <row r="3854" spans="1:27" ht="13.6">
      <c r="A3854" s="8"/>
      <c r="B3854" s="12"/>
      <c r="C3854" s="9"/>
      <c r="D3854" s="9"/>
      <c r="E3854" s="9"/>
      <c r="F3854" s="9"/>
      <c r="G3854" s="9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9"/>
      <c r="U3854" s="9"/>
      <c r="V3854" s="9"/>
      <c r="W3854" s="9"/>
      <c r="X3854" s="9"/>
      <c r="Y3854" s="9"/>
      <c r="Z3854" s="9"/>
      <c r="AA3854" s="9"/>
    </row>
    <row r="3855" spans="1:27" ht="13.6">
      <c r="A3855" s="8"/>
      <c r="B3855" s="12"/>
      <c r="C3855" s="9"/>
      <c r="D3855" s="9"/>
      <c r="E3855" s="9"/>
      <c r="F3855" s="9"/>
      <c r="G3855" s="9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9"/>
      <c r="U3855" s="9"/>
      <c r="V3855" s="9"/>
      <c r="W3855" s="9"/>
      <c r="X3855" s="9"/>
      <c r="Y3855" s="9"/>
      <c r="Z3855" s="9"/>
      <c r="AA3855" s="9"/>
    </row>
    <row r="3856" spans="1:27" ht="13.6">
      <c r="A3856" s="8"/>
      <c r="B3856" s="12"/>
      <c r="C3856" s="9"/>
      <c r="D3856" s="9"/>
      <c r="E3856" s="9"/>
      <c r="F3856" s="9"/>
      <c r="G3856" s="9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9"/>
      <c r="U3856" s="9"/>
      <c r="V3856" s="9"/>
      <c r="W3856" s="9"/>
      <c r="X3856" s="9"/>
      <c r="Y3856" s="9"/>
      <c r="Z3856" s="9"/>
      <c r="AA3856" s="9"/>
    </row>
    <row r="3857" spans="1:27" ht="13.6">
      <c r="A3857" s="8"/>
      <c r="B3857" s="12"/>
      <c r="C3857" s="9"/>
      <c r="D3857" s="9"/>
      <c r="E3857" s="9"/>
      <c r="F3857" s="9"/>
      <c r="G3857" s="9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9"/>
      <c r="U3857" s="9"/>
      <c r="V3857" s="9"/>
      <c r="W3857" s="9"/>
      <c r="X3857" s="9"/>
      <c r="Y3857" s="9"/>
      <c r="Z3857" s="9"/>
      <c r="AA3857" s="9"/>
    </row>
    <row r="3858" spans="1:27" ht="13.6">
      <c r="A3858" s="8"/>
      <c r="B3858" s="12"/>
      <c r="C3858" s="9"/>
      <c r="D3858" s="9"/>
      <c r="E3858" s="9"/>
      <c r="F3858" s="9"/>
      <c r="G3858" s="9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9"/>
      <c r="U3858" s="9"/>
      <c r="V3858" s="9"/>
      <c r="W3858" s="9"/>
      <c r="X3858" s="9"/>
      <c r="Y3858" s="9"/>
      <c r="Z3858" s="9"/>
      <c r="AA3858" s="9"/>
    </row>
    <row r="3859" spans="1:27" ht="13.6">
      <c r="A3859" s="8"/>
      <c r="B3859" s="12"/>
      <c r="C3859" s="9"/>
      <c r="D3859" s="9"/>
      <c r="E3859" s="9"/>
      <c r="F3859" s="9"/>
      <c r="G3859" s="9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9"/>
      <c r="U3859" s="9"/>
      <c r="V3859" s="9"/>
      <c r="W3859" s="9"/>
      <c r="X3859" s="9"/>
      <c r="Y3859" s="9"/>
      <c r="Z3859" s="9"/>
      <c r="AA3859" s="9"/>
    </row>
    <row r="3860" spans="1:27" ht="13.6">
      <c r="A3860" s="8"/>
      <c r="B3860" s="12"/>
      <c r="C3860" s="9"/>
      <c r="D3860" s="9"/>
      <c r="E3860" s="9"/>
      <c r="F3860" s="9"/>
      <c r="G3860" s="9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9"/>
      <c r="U3860" s="9"/>
      <c r="V3860" s="9"/>
      <c r="W3860" s="9"/>
      <c r="X3860" s="9"/>
      <c r="Y3860" s="9"/>
      <c r="Z3860" s="9"/>
      <c r="AA3860" s="9"/>
    </row>
    <row r="3861" spans="1:27" ht="13.6">
      <c r="A3861" s="8"/>
      <c r="B3861" s="12"/>
      <c r="C3861" s="9"/>
      <c r="D3861" s="9"/>
      <c r="E3861" s="9"/>
      <c r="F3861" s="9"/>
      <c r="G3861" s="9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9"/>
      <c r="U3861" s="9"/>
      <c r="V3861" s="9"/>
      <c r="W3861" s="9"/>
      <c r="X3861" s="9"/>
      <c r="Y3861" s="9"/>
      <c r="Z3861" s="9"/>
      <c r="AA3861" s="9"/>
    </row>
    <row r="3862" spans="1:27" ht="13.6">
      <c r="A3862" s="8"/>
      <c r="B3862" s="12"/>
      <c r="C3862" s="9"/>
      <c r="D3862" s="9"/>
      <c r="E3862" s="9"/>
      <c r="F3862" s="9"/>
      <c r="G3862" s="9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9"/>
      <c r="U3862" s="9"/>
      <c r="V3862" s="9"/>
      <c r="W3862" s="9"/>
      <c r="X3862" s="9"/>
      <c r="Y3862" s="9"/>
      <c r="Z3862" s="9"/>
      <c r="AA3862" s="9"/>
    </row>
    <row r="3863" spans="1:27" ht="13.6">
      <c r="A3863" s="8"/>
      <c r="B3863" s="12"/>
      <c r="C3863" s="9"/>
      <c r="D3863" s="9"/>
      <c r="E3863" s="9"/>
      <c r="F3863" s="9"/>
      <c r="G3863" s="9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9"/>
      <c r="U3863" s="9"/>
      <c r="V3863" s="9"/>
      <c r="W3863" s="9"/>
      <c r="X3863" s="9"/>
      <c r="Y3863" s="9"/>
      <c r="Z3863" s="9"/>
      <c r="AA3863" s="9"/>
    </row>
    <row r="3864" spans="1:27" ht="13.6">
      <c r="A3864" s="8"/>
      <c r="B3864" s="12"/>
      <c r="C3864" s="9"/>
      <c r="D3864" s="9"/>
      <c r="E3864" s="9"/>
      <c r="F3864" s="9"/>
      <c r="G3864" s="9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9"/>
      <c r="U3864" s="9"/>
      <c r="V3864" s="9"/>
      <c r="W3864" s="9"/>
      <c r="X3864" s="9"/>
      <c r="Y3864" s="9"/>
      <c r="Z3864" s="9"/>
      <c r="AA3864" s="9"/>
    </row>
    <row r="3865" spans="1:27" ht="13.6">
      <c r="A3865" s="8"/>
      <c r="B3865" s="12"/>
      <c r="C3865" s="9"/>
      <c r="D3865" s="9"/>
      <c r="E3865" s="9"/>
      <c r="F3865" s="9"/>
      <c r="G3865" s="9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9"/>
      <c r="U3865" s="9"/>
      <c r="V3865" s="9"/>
      <c r="W3865" s="9"/>
      <c r="X3865" s="9"/>
      <c r="Y3865" s="9"/>
      <c r="Z3865" s="9"/>
      <c r="AA3865" s="9"/>
    </row>
    <row r="3866" spans="1:27" ht="13.6">
      <c r="A3866" s="8"/>
      <c r="B3866" s="12"/>
      <c r="C3866" s="9"/>
      <c r="D3866" s="9"/>
      <c r="E3866" s="9"/>
      <c r="F3866" s="9"/>
      <c r="G3866" s="9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9"/>
      <c r="U3866" s="9"/>
      <c r="V3866" s="9"/>
      <c r="W3866" s="9"/>
      <c r="X3866" s="9"/>
      <c r="Y3866" s="9"/>
      <c r="Z3866" s="9"/>
      <c r="AA3866" s="9"/>
    </row>
    <row r="3867" spans="1:27" ht="13.6">
      <c r="A3867" s="8"/>
      <c r="B3867" s="12"/>
      <c r="C3867" s="9"/>
      <c r="D3867" s="9"/>
      <c r="E3867" s="9"/>
      <c r="F3867" s="9"/>
      <c r="G3867" s="9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9"/>
      <c r="U3867" s="9"/>
      <c r="V3867" s="9"/>
      <c r="W3867" s="9"/>
      <c r="X3867" s="9"/>
      <c r="Y3867" s="9"/>
      <c r="Z3867" s="9"/>
      <c r="AA3867" s="9"/>
    </row>
    <row r="3868" spans="1:27" ht="13.6">
      <c r="A3868" s="8"/>
      <c r="B3868" s="12"/>
      <c r="C3868" s="9"/>
      <c r="D3868" s="9"/>
      <c r="E3868" s="9"/>
      <c r="F3868" s="9"/>
      <c r="G3868" s="9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9"/>
      <c r="U3868" s="9"/>
      <c r="V3868" s="9"/>
      <c r="W3868" s="9"/>
      <c r="X3868" s="9"/>
      <c r="Y3868" s="9"/>
      <c r="Z3868" s="9"/>
      <c r="AA3868" s="9"/>
    </row>
    <row r="3869" spans="1:27" ht="13.6">
      <c r="A3869" s="8"/>
      <c r="B3869" s="12"/>
      <c r="C3869" s="9"/>
      <c r="D3869" s="9"/>
      <c r="E3869" s="9"/>
      <c r="F3869" s="9"/>
      <c r="G3869" s="9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9"/>
      <c r="U3869" s="9"/>
      <c r="V3869" s="9"/>
      <c r="W3869" s="9"/>
      <c r="X3869" s="9"/>
      <c r="Y3869" s="9"/>
      <c r="Z3869" s="9"/>
      <c r="AA3869" s="9"/>
    </row>
    <row r="3870" spans="1:27" ht="13.6">
      <c r="A3870" s="8"/>
      <c r="B3870" s="12"/>
      <c r="C3870" s="9"/>
      <c r="D3870" s="9"/>
      <c r="E3870" s="9"/>
      <c r="F3870" s="9"/>
      <c r="G3870" s="9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9"/>
      <c r="U3870" s="9"/>
      <c r="V3870" s="9"/>
      <c r="W3870" s="9"/>
      <c r="X3870" s="9"/>
      <c r="Y3870" s="9"/>
      <c r="Z3870" s="9"/>
      <c r="AA3870" s="9"/>
    </row>
    <row r="3871" spans="1:27" ht="13.6">
      <c r="A3871" s="8"/>
      <c r="B3871" s="12"/>
      <c r="C3871" s="9"/>
      <c r="D3871" s="9"/>
      <c r="E3871" s="9"/>
      <c r="F3871" s="9"/>
      <c r="G3871" s="9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9"/>
      <c r="U3871" s="9"/>
      <c r="V3871" s="9"/>
      <c r="W3871" s="9"/>
      <c r="X3871" s="9"/>
      <c r="Y3871" s="9"/>
      <c r="Z3871" s="9"/>
      <c r="AA3871" s="9"/>
    </row>
    <row r="3872" spans="1:27" ht="13.6">
      <c r="A3872" s="8"/>
      <c r="B3872" s="12"/>
      <c r="C3872" s="9"/>
      <c r="D3872" s="9"/>
      <c r="E3872" s="9"/>
      <c r="F3872" s="9"/>
      <c r="G3872" s="9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9"/>
      <c r="U3872" s="9"/>
      <c r="V3872" s="9"/>
      <c r="W3872" s="9"/>
      <c r="X3872" s="9"/>
      <c r="Y3872" s="9"/>
      <c r="Z3872" s="9"/>
      <c r="AA3872" s="9"/>
    </row>
    <row r="3873" spans="1:27" ht="13.6">
      <c r="A3873" s="8"/>
      <c r="B3873" s="12"/>
      <c r="C3873" s="9"/>
      <c r="D3873" s="9"/>
      <c r="E3873" s="9"/>
      <c r="F3873" s="9"/>
      <c r="G3873" s="9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9"/>
      <c r="U3873" s="9"/>
      <c r="V3873" s="9"/>
      <c r="W3873" s="9"/>
      <c r="X3873" s="9"/>
      <c r="Y3873" s="9"/>
      <c r="Z3873" s="9"/>
      <c r="AA3873" s="9"/>
    </row>
    <row r="3874" spans="1:27" ht="13.6">
      <c r="A3874" s="8"/>
      <c r="B3874" s="12"/>
      <c r="C3874" s="9"/>
      <c r="D3874" s="9"/>
      <c r="E3874" s="9"/>
      <c r="F3874" s="9"/>
      <c r="G3874" s="9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9"/>
      <c r="U3874" s="9"/>
      <c r="V3874" s="9"/>
      <c r="W3874" s="9"/>
      <c r="X3874" s="9"/>
      <c r="Y3874" s="9"/>
      <c r="Z3874" s="9"/>
      <c r="AA3874" s="9"/>
    </row>
    <row r="3875" spans="1:27" ht="13.6">
      <c r="A3875" s="8"/>
      <c r="B3875" s="12"/>
      <c r="C3875" s="9"/>
      <c r="D3875" s="9"/>
      <c r="E3875" s="9"/>
      <c r="F3875" s="9"/>
      <c r="G3875" s="9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9"/>
      <c r="U3875" s="9"/>
      <c r="V3875" s="9"/>
      <c r="W3875" s="9"/>
      <c r="X3875" s="9"/>
      <c r="Y3875" s="9"/>
      <c r="Z3875" s="9"/>
      <c r="AA3875" s="9"/>
    </row>
    <row r="3876" spans="1:27" ht="13.6">
      <c r="A3876" s="8"/>
      <c r="B3876" s="12"/>
      <c r="C3876" s="9"/>
      <c r="D3876" s="9"/>
      <c r="E3876" s="9"/>
      <c r="F3876" s="9"/>
      <c r="G3876" s="9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9"/>
      <c r="U3876" s="9"/>
      <c r="V3876" s="9"/>
      <c r="W3876" s="9"/>
      <c r="X3876" s="9"/>
      <c r="Y3876" s="9"/>
      <c r="Z3876" s="9"/>
      <c r="AA3876" s="9"/>
    </row>
    <row r="3877" spans="1:27" ht="13.6">
      <c r="A3877" s="8"/>
      <c r="B3877" s="12"/>
      <c r="C3877" s="9"/>
      <c r="D3877" s="9"/>
      <c r="E3877" s="9"/>
      <c r="F3877" s="9"/>
      <c r="G3877" s="9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9"/>
      <c r="U3877" s="9"/>
      <c r="V3877" s="9"/>
      <c r="W3877" s="9"/>
      <c r="X3877" s="9"/>
      <c r="Y3877" s="9"/>
      <c r="Z3877" s="9"/>
      <c r="AA3877" s="9"/>
    </row>
    <row r="3878" spans="1:27" ht="13.6">
      <c r="A3878" s="8"/>
      <c r="B3878" s="12"/>
      <c r="C3878" s="9"/>
      <c r="D3878" s="9"/>
      <c r="E3878" s="9"/>
      <c r="F3878" s="9"/>
      <c r="G3878" s="9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9"/>
      <c r="U3878" s="9"/>
      <c r="V3878" s="9"/>
      <c r="W3878" s="9"/>
      <c r="X3878" s="9"/>
      <c r="Y3878" s="9"/>
      <c r="Z3878" s="9"/>
      <c r="AA3878" s="9"/>
    </row>
    <row r="3879" spans="1:27" ht="13.6">
      <c r="A3879" s="8"/>
      <c r="B3879" s="12"/>
      <c r="C3879" s="9"/>
      <c r="D3879" s="9"/>
      <c r="E3879" s="9"/>
      <c r="F3879" s="9"/>
      <c r="G3879" s="9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9"/>
      <c r="U3879" s="9"/>
      <c r="V3879" s="9"/>
      <c r="W3879" s="9"/>
      <c r="X3879" s="9"/>
      <c r="Y3879" s="9"/>
      <c r="Z3879" s="9"/>
      <c r="AA3879" s="9"/>
    </row>
    <row r="3880" spans="1:27" ht="13.6">
      <c r="A3880" s="8"/>
      <c r="B3880" s="12"/>
      <c r="C3880" s="9"/>
      <c r="D3880" s="9"/>
      <c r="E3880" s="9"/>
      <c r="F3880" s="9"/>
      <c r="G3880" s="9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9"/>
      <c r="U3880" s="9"/>
      <c r="V3880" s="9"/>
      <c r="W3880" s="9"/>
      <c r="X3880" s="9"/>
      <c r="Y3880" s="9"/>
      <c r="Z3880" s="9"/>
      <c r="AA3880" s="9"/>
    </row>
    <row r="3881" spans="1:27" ht="13.6">
      <c r="A3881" s="8"/>
      <c r="B3881" s="12"/>
      <c r="C3881" s="9"/>
      <c r="D3881" s="9"/>
      <c r="E3881" s="9"/>
      <c r="F3881" s="9"/>
      <c r="G3881" s="9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9"/>
      <c r="U3881" s="9"/>
      <c r="V3881" s="9"/>
      <c r="W3881" s="9"/>
      <c r="X3881" s="9"/>
      <c r="Y3881" s="9"/>
      <c r="Z3881" s="9"/>
      <c r="AA3881" s="9"/>
    </row>
    <row r="3882" spans="1:27" ht="13.6">
      <c r="A3882" s="8"/>
      <c r="B3882" s="12"/>
      <c r="C3882" s="9"/>
      <c r="D3882" s="9"/>
      <c r="E3882" s="9"/>
      <c r="F3882" s="9"/>
      <c r="G3882" s="9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9"/>
      <c r="U3882" s="9"/>
      <c r="V3882" s="9"/>
      <c r="W3882" s="9"/>
      <c r="X3882" s="9"/>
      <c r="Y3882" s="9"/>
      <c r="Z3882" s="9"/>
      <c r="AA3882" s="9"/>
    </row>
    <row r="3883" spans="1:27" ht="13.6">
      <c r="A3883" s="8"/>
      <c r="B3883" s="12"/>
      <c r="C3883" s="9"/>
      <c r="D3883" s="9"/>
      <c r="E3883" s="9"/>
      <c r="F3883" s="9"/>
      <c r="G3883" s="9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9"/>
      <c r="U3883" s="9"/>
      <c r="V3883" s="9"/>
      <c r="W3883" s="9"/>
      <c r="X3883" s="9"/>
      <c r="Y3883" s="9"/>
      <c r="Z3883" s="9"/>
      <c r="AA3883" s="9"/>
    </row>
    <row r="3884" spans="1:27" ht="13.6">
      <c r="A3884" s="8"/>
      <c r="B3884" s="12"/>
      <c r="C3884" s="9"/>
      <c r="D3884" s="9"/>
      <c r="E3884" s="9"/>
      <c r="F3884" s="9"/>
      <c r="G3884" s="9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9"/>
      <c r="U3884" s="9"/>
      <c r="V3884" s="9"/>
      <c r="W3884" s="9"/>
      <c r="X3884" s="9"/>
      <c r="Y3884" s="9"/>
      <c r="Z3884" s="9"/>
      <c r="AA3884" s="9"/>
    </row>
    <row r="3885" spans="1:27" ht="13.6">
      <c r="A3885" s="8"/>
      <c r="B3885" s="12"/>
      <c r="C3885" s="9"/>
      <c r="D3885" s="9"/>
      <c r="E3885" s="9"/>
      <c r="F3885" s="9"/>
      <c r="G3885" s="9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9"/>
      <c r="U3885" s="9"/>
      <c r="V3885" s="9"/>
      <c r="W3885" s="9"/>
      <c r="X3885" s="9"/>
      <c r="Y3885" s="9"/>
      <c r="Z3885" s="9"/>
      <c r="AA3885" s="9"/>
    </row>
    <row r="3886" spans="1:27" ht="13.6">
      <c r="A3886" s="8"/>
      <c r="B3886" s="12"/>
      <c r="C3886" s="9"/>
      <c r="D3886" s="9"/>
      <c r="E3886" s="9"/>
      <c r="F3886" s="9"/>
      <c r="G3886" s="9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9"/>
      <c r="U3886" s="9"/>
      <c r="V3886" s="9"/>
      <c r="W3886" s="9"/>
      <c r="X3886" s="9"/>
      <c r="Y3886" s="9"/>
      <c r="Z3886" s="9"/>
      <c r="AA3886" s="9"/>
    </row>
    <row r="3887" spans="1:27" ht="13.6">
      <c r="A3887" s="8"/>
      <c r="B3887" s="12"/>
      <c r="C3887" s="9"/>
      <c r="D3887" s="9"/>
      <c r="E3887" s="9"/>
      <c r="F3887" s="9"/>
      <c r="G3887" s="9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9"/>
      <c r="U3887" s="9"/>
      <c r="V3887" s="9"/>
      <c r="W3887" s="9"/>
      <c r="X3887" s="9"/>
      <c r="Y3887" s="9"/>
      <c r="Z3887" s="9"/>
      <c r="AA3887" s="9"/>
    </row>
    <row r="3888" spans="1:27" ht="13.6">
      <c r="A3888" s="8"/>
      <c r="B3888" s="12"/>
      <c r="C3888" s="9"/>
      <c r="D3888" s="9"/>
      <c r="E3888" s="9"/>
      <c r="F3888" s="9"/>
      <c r="G3888" s="9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9"/>
      <c r="U3888" s="9"/>
      <c r="V3888" s="9"/>
      <c r="W3888" s="9"/>
      <c r="X3888" s="9"/>
      <c r="Y3888" s="9"/>
      <c r="Z3888" s="9"/>
      <c r="AA3888" s="9"/>
    </row>
    <row r="3889" spans="1:27" ht="13.6">
      <c r="A3889" s="8"/>
      <c r="B3889" s="12"/>
      <c r="C3889" s="9"/>
      <c r="D3889" s="9"/>
      <c r="E3889" s="9"/>
      <c r="F3889" s="9"/>
      <c r="G3889" s="9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9"/>
      <c r="U3889" s="9"/>
      <c r="V3889" s="9"/>
      <c r="W3889" s="9"/>
      <c r="X3889" s="9"/>
      <c r="Y3889" s="9"/>
      <c r="Z3889" s="9"/>
      <c r="AA3889" s="9"/>
    </row>
    <row r="3890" spans="1:27" ht="13.6">
      <c r="A3890" s="8"/>
      <c r="B3890" s="12"/>
      <c r="C3890" s="9"/>
      <c r="D3890" s="9"/>
      <c r="E3890" s="9"/>
      <c r="F3890" s="9"/>
      <c r="G3890" s="9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9"/>
      <c r="U3890" s="9"/>
      <c r="V3890" s="9"/>
      <c r="W3890" s="9"/>
      <c r="X3890" s="9"/>
      <c r="Y3890" s="9"/>
      <c r="Z3890" s="9"/>
      <c r="AA3890" s="9"/>
    </row>
    <row r="3891" spans="1:27" ht="13.6">
      <c r="A3891" s="8"/>
      <c r="B3891" s="12"/>
      <c r="C3891" s="9"/>
      <c r="D3891" s="9"/>
      <c r="E3891" s="9"/>
      <c r="F3891" s="9"/>
      <c r="G3891" s="9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9"/>
      <c r="U3891" s="9"/>
      <c r="V3891" s="9"/>
      <c r="W3891" s="9"/>
      <c r="X3891" s="9"/>
      <c r="Y3891" s="9"/>
      <c r="Z3891" s="9"/>
      <c r="AA3891" s="9"/>
    </row>
    <row r="3892" spans="1:27" ht="13.6">
      <c r="A3892" s="8"/>
      <c r="B3892" s="12"/>
      <c r="C3892" s="9"/>
      <c r="D3892" s="9"/>
      <c r="E3892" s="9"/>
      <c r="F3892" s="9"/>
      <c r="G3892" s="9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9"/>
      <c r="U3892" s="9"/>
      <c r="V3892" s="9"/>
      <c r="W3892" s="9"/>
      <c r="X3892" s="9"/>
      <c r="Y3892" s="9"/>
      <c r="Z3892" s="9"/>
      <c r="AA3892" s="9"/>
    </row>
    <row r="3893" spans="1:27" ht="13.6">
      <c r="A3893" s="8"/>
      <c r="B3893" s="12"/>
      <c r="C3893" s="9"/>
      <c r="D3893" s="9"/>
      <c r="E3893" s="9"/>
      <c r="F3893" s="9"/>
      <c r="G3893" s="9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9"/>
      <c r="U3893" s="9"/>
      <c r="V3893" s="9"/>
      <c r="W3893" s="9"/>
      <c r="X3893" s="9"/>
      <c r="Y3893" s="9"/>
      <c r="Z3893" s="9"/>
      <c r="AA3893" s="9"/>
    </row>
    <row r="3894" spans="1:27" ht="13.6">
      <c r="A3894" s="8"/>
      <c r="B3894" s="12"/>
      <c r="C3894" s="9"/>
      <c r="D3894" s="9"/>
      <c r="E3894" s="9"/>
      <c r="F3894" s="9"/>
      <c r="G3894" s="9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9"/>
      <c r="U3894" s="9"/>
      <c r="V3894" s="9"/>
      <c r="W3894" s="9"/>
      <c r="X3894" s="9"/>
      <c r="Y3894" s="9"/>
      <c r="Z3894" s="9"/>
      <c r="AA3894" s="9"/>
    </row>
    <row r="3895" spans="1:27" ht="13.6">
      <c r="A3895" s="8"/>
      <c r="B3895" s="12"/>
      <c r="C3895" s="9"/>
      <c r="D3895" s="9"/>
      <c r="E3895" s="9"/>
      <c r="F3895" s="9"/>
      <c r="G3895" s="9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9"/>
      <c r="U3895" s="9"/>
      <c r="V3895" s="9"/>
      <c r="W3895" s="9"/>
      <c r="X3895" s="9"/>
      <c r="Y3895" s="9"/>
      <c r="Z3895" s="9"/>
      <c r="AA3895" s="9"/>
    </row>
    <row r="3896" spans="1:27" ht="13.6">
      <c r="A3896" s="8"/>
      <c r="B3896" s="12"/>
      <c r="C3896" s="9"/>
      <c r="D3896" s="9"/>
      <c r="E3896" s="9"/>
      <c r="F3896" s="9"/>
      <c r="G3896" s="9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9"/>
      <c r="U3896" s="9"/>
      <c r="V3896" s="9"/>
      <c r="W3896" s="9"/>
      <c r="X3896" s="9"/>
      <c r="Y3896" s="9"/>
      <c r="Z3896" s="9"/>
      <c r="AA3896" s="9"/>
    </row>
    <row r="3897" spans="1:27" ht="13.6">
      <c r="A3897" s="8"/>
      <c r="B3897" s="12"/>
      <c r="C3897" s="9"/>
      <c r="D3897" s="9"/>
      <c r="E3897" s="9"/>
      <c r="F3897" s="9"/>
      <c r="G3897" s="9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9"/>
      <c r="U3897" s="9"/>
      <c r="V3897" s="9"/>
      <c r="W3897" s="9"/>
      <c r="X3897" s="9"/>
      <c r="Y3897" s="9"/>
      <c r="Z3897" s="9"/>
      <c r="AA3897" s="9"/>
    </row>
    <row r="3898" spans="1:27" ht="13.6">
      <c r="A3898" s="8"/>
      <c r="B3898" s="12"/>
      <c r="C3898" s="9"/>
      <c r="D3898" s="9"/>
      <c r="E3898" s="9"/>
      <c r="F3898" s="9"/>
      <c r="G3898" s="9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9"/>
      <c r="U3898" s="9"/>
      <c r="V3898" s="9"/>
      <c r="W3898" s="9"/>
      <c r="X3898" s="9"/>
      <c r="Y3898" s="9"/>
      <c r="Z3898" s="9"/>
      <c r="AA3898" s="9"/>
    </row>
    <row r="3899" spans="1:27" ht="13.6">
      <c r="A3899" s="8"/>
      <c r="B3899" s="12"/>
      <c r="C3899" s="9"/>
      <c r="D3899" s="9"/>
      <c r="E3899" s="9"/>
      <c r="F3899" s="9"/>
      <c r="G3899" s="9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9"/>
      <c r="U3899" s="9"/>
      <c r="V3899" s="9"/>
      <c r="W3899" s="9"/>
      <c r="X3899" s="9"/>
      <c r="Y3899" s="9"/>
      <c r="Z3899" s="9"/>
      <c r="AA3899" s="9"/>
    </row>
    <row r="3900" spans="1:27" ht="13.6">
      <c r="A3900" s="8"/>
      <c r="B3900" s="12"/>
      <c r="C3900" s="9"/>
      <c r="D3900" s="9"/>
      <c r="E3900" s="9"/>
      <c r="F3900" s="9"/>
      <c r="G3900" s="9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9"/>
      <c r="U3900" s="9"/>
      <c r="V3900" s="9"/>
      <c r="W3900" s="9"/>
      <c r="X3900" s="9"/>
      <c r="Y3900" s="9"/>
      <c r="Z3900" s="9"/>
      <c r="AA3900" s="9"/>
    </row>
    <row r="3901" spans="1:27" ht="13.6">
      <c r="A3901" s="8"/>
      <c r="B3901" s="12"/>
      <c r="C3901" s="9"/>
      <c r="D3901" s="9"/>
      <c r="E3901" s="9"/>
      <c r="F3901" s="9"/>
      <c r="G3901" s="9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9"/>
      <c r="U3901" s="9"/>
      <c r="V3901" s="9"/>
      <c r="W3901" s="9"/>
      <c r="X3901" s="9"/>
      <c r="Y3901" s="9"/>
      <c r="Z3901" s="9"/>
      <c r="AA3901" s="9"/>
    </row>
    <row r="3902" spans="1:27" ht="13.6">
      <c r="A3902" s="8"/>
      <c r="B3902" s="12"/>
      <c r="C3902" s="9"/>
      <c r="D3902" s="9"/>
      <c r="E3902" s="9"/>
      <c r="F3902" s="9"/>
      <c r="G3902" s="9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9"/>
      <c r="U3902" s="9"/>
      <c r="V3902" s="9"/>
      <c r="W3902" s="9"/>
      <c r="X3902" s="9"/>
      <c r="Y3902" s="9"/>
      <c r="Z3902" s="9"/>
      <c r="AA3902" s="9"/>
    </row>
    <row r="3903" spans="1:27" ht="13.6">
      <c r="A3903" s="8"/>
      <c r="B3903" s="12"/>
      <c r="C3903" s="9"/>
      <c r="D3903" s="9"/>
      <c r="E3903" s="9"/>
      <c r="F3903" s="9"/>
      <c r="G3903" s="9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9"/>
      <c r="U3903" s="9"/>
      <c r="V3903" s="9"/>
      <c r="W3903" s="9"/>
      <c r="X3903" s="9"/>
      <c r="Y3903" s="9"/>
      <c r="Z3903" s="9"/>
      <c r="AA3903" s="9"/>
    </row>
    <row r="3904" spans="1:27" ht="13.6">
      <c r="A3904" s="8"/>
      <c r="B3904" s="12"/>
      <c r="C3904" s="9"/>
      <c r="D3904" s="9"/>
      <c r="E3904" s="9"/>
      <c r="F3904" s="9"/>
      <c r="G3904" s="9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9"/>
      <c r="U3904" s="9"/>
      <c r="V3904" s="9"/>
      <c r="W3904" s="9"/>
      <c r="X3904" s="9"/>
      <c r="Y3904" s="9"/>
      <c r="Z3904" s="9"/>
      <c r="AA3904" s="9"/>
    </row>
    <row r="3905" spans="1:27" ht="13.6">
      <c r="A3905" s="8"/>
      <c r="B3905" s="12"/>
      <c r="C3905" s="9"/>
      <c r="D3905" s="9"/>
      <c r="E3905" s="9"/>
      <c r="F3905" s="9"/>
      <c r="G3905" s="9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9"/>
      <c r="U3905" s="9"/>
      <c r="V3905" s="9"/>
      <c r="W3905" s="9"/>
      <c r="X3905" s="9"/>
      <c r="Y3905" s="9"/>
      <c r="Z3905" s="9"/>
      <c r="AA3905" s="9"/>
    </row>
    <row r="3906" spans="1:27" ht="13.6">
      <c r="A3906" s="8"/>
      <c r="B3906" s="12"/>
      <c r="C3906" s="9"/>
      <c r="D3906" s="9"/>
      <c r="E3906" s="9"/>
      <c r="F3906" s="9"/>
      <c r="G3906" s="9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9"/>
      <c r="U3906" s="9"/>
      <c r="V3906" s="9"/>
      <c r="W3906" s="9"/>
      <c r="X3906" s="9"/>
      <c r="Y3906" s="9"/>
      <c r="Z3906" s="9"/>
      <c r="AA3906" s="9"/>
    </row>
    <row r="3907" spans="1:27" ht="13.6">
      <c r="A3907" s="8"/>
      <c r="B3907" s="12"/>
      <c r="C3907" s="9"/>
      <c r="D3907" s="9"/>
      <c r="E3907" s="9"/>
      <c r="F3907" s="9"/>
      <c r="G3907" s="9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9"/>
      <c r="U3907" s="9"/>
      <c r="V3907" s="9"/>
      <c r="W3907" s="9"/>
      <c r="X3907" s="9"/>
      <c r="Y3907" s="9"/>
      <c r="Z3907" s="9"/>
      <c r="AA3907" s="9"/>
    </row>
    <row r="3908" spans="1:27" ht="13.6">
      <c r="A3908" s="8"/>
      <c r="B3908" s="12"/>
      <c r="C3908" s="9"/>
      <c r="D3908" s="9"/>
      <c r="E3908" s="9"/>
      <c r="F3908" s="9"/>
      <c r="G3908" s="9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9"/>
      <c r="U3908" s="9"/>
      <c r="V3908" s="9"/>
      <c r="W3908" s="9"/>
      <c r="X3908" s="9"/>
      <c r="Y3908" s="9"/>
      <c r="Z3908" s="9"/>
      <c r="AA3908" s="9"/>
    </row>
    <row r="3909" spans="1:27" ht="13.6">
      <c r="A3909" s="8"/>
      <c r="B3909" s="12"/>
      <c r="C3909" s="9"/>
      <c r="D3909" s="9"/>
      <c r="E3909" s="9"/>
      <c r="F3909" s="9"/>
      <c r="G3909" s="9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9"/>
      <c r="U3909" s="9"/>
      <c r="V3909" s="9"/>
      <c r="W3909" s="9"/>
      <c r="X3909" s="9"/>
      <c r="Y3909" s="9"/>
      <c r="Z3909" s="9"/>
      <c r="AA3909" s="9"/>
    </row>
    <row r="3910" spans="1:27" ht="13.6">
      <c r="A3910" s="8"/>
      <c r="B3910" s="12"/>
      <c r="C3910" s="9"/>
      <c r="D3910" s="9"/>
      <c r="E3910" s="9"/>
      <c r="F3910" s="9"/>
      <c r="G3910" s="9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9"/>
      <c r="U3910" s="9"/>
      <c r="V3910" s="9"/>
      <c r="W3910" s="9"/>
      <c r="X3910" s="9"/>
      <c r="Y3910" s="9"/>
      <c r="Z3910" s="9"/>
      <c r="AA3910" s="9"/>
    </row>
    <row r="3911" spans="1:27" ht="13.6">
      <c r="A3911" s="8"/>
      <c r="B3911" s="12"/>
      <c r="C3911" s="9"/>
      <c r="D3911" s="9"/>
      <c r="E3911" s="9"/>
      <c r="F3911" s="9"/>
      <c r="G3911" s="9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9"/>
      <c r="U3911" s="9"/>
      <c r="V3911" s="9"/>
      <c r="W3911" s="9"/>
      <c r="X3911" s="9"/>
      <c r="Y3911" s="9"/>
      <c r="Z3911" s="9"/>
      <c r="AA3911" s="9"/>
    </row>
    <row r="3912" spans="1:27" ht="13.6">
      <c r="A3912" s="8"/>
      <c r="B3912" s="12"/>
      <c r="C3912" s="9"/>
      <c r="D3912" s="9"/>
      <c r="E3912" s="9"/>
      <c r="F3912" s="9"/>
      <c r="G3912" s="9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9"/>
      <c r="U3912" s="9"/>
      <c r="V3912" s="9"/>
      <c r="W3912" s="9"/>
      <c r="X3912" s="9"/>
      <c r="Y3912" s="9"/>
      <c r="Z3912" s="9"/>
      <c r="AA3912" s="9"/>
    </row>
    <row r="3913" spans="1:27" ht="13.6">
      <c r="A3913" s="8"/>
      <c r="B3913" s="12"/>
      <c r="C3913" s="9"/>
      <c r="D3913" s="9"/>
      <c r="E3913" s="9"/>
      <c r="F3913" s="9"/>
      <c r="G3913" s="9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9"/>
      <c r="U3913" s="9"/>
      <c r="V3913" s="9"/>
      <c r="W3913" s="9"/>
      <c r="X3913" s="9"/>
      <c r="Y3913" s="9"/>
      <c r="Z3913" s="9"/>
      <c r="AA3913" s="9"/>
    </row>
    <row r="3914" spans="1:27" ht="13.6">
      <c r="A3914" s="8"/>
      <c r="B3914" s="12"/>
      <c r="C3914" s="9"/>
      <c r="D3914" s="9"/>
      <c r="E3914" s="9"/>
      <c r="F3914" s="9"/>
      <c r="G3914" s="9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9"/>
      <c r="U3914" s="9"/>
      <c r="V3914" s="9"/>
      <c r="W3914" s="9"/>
      <c r="X3914" s="9"/>
      <c r="Y3914" s="9"/>
      <c r="Z3914" s="9"/>
      <c r="AA3914" s="9"/>
    </row>
    <row r="3915" spans="1:27" ht="13.6">
      <c r="A3915" s="8"/>
      <c r="B3915" s="12"/>
      <c r="C3915" s="9"/>
      <c r="D3915" s="9"/>
      <c r="E3915" s="9"/>
      <c r="F3915" s="9"/>
      <c r="G3915" s="9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9"/>
      <c r="U3915" s="9"/>
      <c r="V3915" s="9"/>
      <c r="W3915" s="9"/>
      <c r="X3915" s="9"/>
      <c r="Y3915" s="9"/>
      <c r="Z3915" s="9"/>
      <c r="AA3915" s="9"/>
    </row>
    <row r="3916" spans="1:27" ht="13.6">
      <c r="A3916" s="8"/>
      <c r="B3916" s="12"/>
      <c r="C3916" s="9"/>
      <c r="D3916" s="9"/>
      <c r="E3916" s="9"/>
      <c r="F3916" s="9"/>
      <c r="G3916" s="9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9"/>
      <c r="U3916" s="9"/>
      <c r="V3916" s="9"/>
      <c r="W3916" s="9"/>
      <c r="X3916" s="9"/>
      <c r="Y3916" s="9"/>
      <c r="Z3916" s="9"/>
      <c r="AA3916" s="9"/>
    </row>
    <row r="3917" spans="1:27" ht="13.6">
      <c r="A3917" s="8"/>
      <c r="B3917" s="12"/>
      <c r="C3917" s="9"/>
      <c r="D3917" s="9"/>
      <c r="E3917" s="9"/>
      <c r="F3917" s="9"/>
      <c r="G3917" s="9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9"/>
      <c r="U3917" s="9"/>
      <c r="V3917" s="9"/>
      <c r="W3917" s="9"/>
      <c r="X3917" s="9"/>
      <c r="Y3917" s="9"/>
      <c r="Z3917" s="9"/>
      <c r="AA3917" s="9"/>
    </row>
    <row r="3918" spans="1:27" ht="13.6">
      <c r="A3918" s="8"/>
      <c r="B3918" s="12"/>
      <c r="C3918" s="9"/>
      <c r="D3918" s="9"/>
      <c r="E3918" s="9"/>
      <c r="F3918" s="9"/>
      <c r="G3918" s="9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9"/>
      <c r="U3918" s="9"/>
      <c r="V3918" s="9"/>
      <c r="W3918" s="9"/>
      <c r="X3918" s="9"/>
      <c r="Y3918" s="9"/>
      <c r="Z3918" s="9"/>
      <c r="AA3918" s="9"/>
    </row>
    <row r="3919" spans="1:27" ht="13.6">
      <c r="A3919" s="8"/>
      <c r="B3919" s="12"/>
      <c r="C3919" s="9"/>
      <c r="D3919" s="9"/>
      <c r="E3919" s="9"/>
      <c r="F3919" s="9"/>
      <c r="G3919" s="9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9"/>
      <c r="U3919" s="9"/>
      <c r="V3919" s="9"/>
      <c r="W3919" s="9"/>
      <c r="X3919" s="9"/>
      <c r="Y3919" s="9"/>
      <c r="Z3919" s="9"/>
      <c r="AA3919" s="9"/>
    </row>
    <row r="3920" spans="1:27" ht="13.6">
      <c r="A3920" s="8"/>
      <c r="B3920" s="12"/>
      <c r="C3920" s="9"/>
      <c r="D3920" s="9"/>
      <c r="E3920" s="9"/>
      <c r="F3920" s="9"/>
      <c r="G3920" s="9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9"/>
      <c r="U3920" s="9"/>
      <c r="V3920" s="9"/>
      <c r="W3920" s="9"/>
      <c r="X3920" s="9"/>
      <c r="Y3920" s="9"/>
      <c r="Z3920" s="9"/>
      <c r="AA3920" s="9"/>
    </row>
    <row r="3921" spans="1:27" ht="13.6">
      <c r="A3921" s="8"/>
      <c r="B3921" s="12"/>
      <c r="C3921" s="9"/>
      <c r="D3921" s="9"/>
      <c r="E3921" s="9"/>
      <c r="F3921" s="9"/>
      <c r="G3921" s="9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9"/>
      <c r="U3921" s="9"/>
      <c r="V3921" s="9"/>
      <c r="W3921" s="9"/>
      <c r="X3921" s="9"/>
      <c r="Y3921" s="9"/>
      <c r="Z3921" s="9"/>
      <c r="AA3921" s="9"/>
    </row>
    <row r="3922" spans="1:27" ht="13.6">
      <c r="A3922" s="8"/>
      <c r="B3922" s="12"/>
      <c r="C3922" s="9"/>
      <c r="D3922" s="9"/>
      <c r="E3922" s="9"/>
      <c r="F3922" s="9"/>
      <c r="G3922" s="9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9"/>
      <c r="U3922" s="9"/>
      <c r="V3922" s="9"/>
      <c r="W3922" s="9"/>
      <c r="X3922" s="9"/>
      <c r="Y3922" s="9"/>
      <c r="Z3922" s="9"/>
      <c r="AA3922" s="9"/>
    </row>
    <row r="3923" spans="1:27" ht="13.6">
      <c r="A3923" s="8"/>
      <c r="B3923" s="12"/>
      <c r="C3923" s="9"/>
      <c r="D3923" s="9"/>
      <c r="E3923" s="9"/>
      <c r="F3923" s="9"/>
      <c r="G3923" s="9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9"/>
      <c r="U3923" s="9"/>
      <c r="V3923" s="9"/>
      <c r="W3923" s="9"/>
      <c r="X3923" s="9"/>
      <c r="Y3923" s="9"/>
      <c r="Z3923" s="9"/>
      <c r="AA3923" s="9"/>
    </row>
    <row r="3924" spans="1:27" ht="13.6">
      <c r="A3924" s="8"/>
      <c r="B3924" s="12"/>
      <c r="C3924" s="9"/>
      <c r="D3924" s="9"/>
      <c r="E3924" s="9"/>
      <c r="F3924" s="9"/>
      <c r="G3924" s="9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9"/>
      <c r="U3924" s="9"/>
      <c r="V3924" s="9"/>
      <c r="W3924" s="9"/>
      <c r="X3924" s="9"/>
      <c r="Y3924" s="9"/>
      <c r="Z3924" s="9"/>
      <c r="AA3924" s="9"/>
    </row>
    <row r="3925" spans="1:27" ht="13.6">
      <c r="A3925" s="8"/>
      <c r="B3925" s="12"/>
      <c r="C3925" s="9"/>
      <c r="D3925" s="9"/>
      <c r="E3925" s="9"/>
      <c r="F3925" s="9"/>
      <c r="G3925" s="9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9"/>
      <c r="U3925" s="9"/>
      <c r="V3925" s="9"/>
      <c r="W3925" s="9"/>
      <c r="X3925" s="9"/>
      <c r="Y3925" s="9"/>
      <c r="Z3925" s="9"/>
      <c r="AA3925" s="9"/>
    </row>
    <row r="3926" spans="1:27" ht="13.6">
      <c r="A3926" s="8"/>
      <c r="B3926" s="12"/>
      <c r="C3926" s="9"/>
      <c r="D3926" s="9"/>
      <c r="E3926" s="9"/>
      <c r="F3926" s="9"/>
      <c r="G3926" s="9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9"/>
      <c r="U3926" s="9"/>
      <c r="V3926" s="9"/>
      <c r="W3926" s="9"/>
      <c r="X3926" s="9"/>
      <c r="Y3926" s="9"/>
      <c r="Z3926" s="9"/>
      <c r="AA3926" s="9"/>
    </row>
    <row r="3927" spans="1:27" ht="13.6">
      <c r="A3927" s="8"/>
      <c r="B3927" s="12"/>
      <c r="C3927" s="9"/>
      <c r="D3927" s="9"/>
      <c r="E3927" s="9"/>
      <c r="F3927" s="9"/>
      <c r="G3927" s="9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9"/>
      <c r="U3927" s="9"/>
      <c r="V3927" s="9"/>
      <c r="W3927" s="9"/>
      <c r="X3927" s="9"/>
      <c r="Y3927" s="9"/>
      <c r="Z3927" s="9"/>
      <c r="AA3927" s="9"/>
    </row>
    <row r="3928" spans="1:27" ht="13.6">
      <c r="A3928" s="8"/>
      <c r="B3928" s="12"/>
      <c r="C3928" s="9"/>
      <c r="D3928" s="9"/>
      <c r="E3928" s="9"/>
      <c r="F3928" s="9"/>
      <c r="G3928" s="9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9"/>
      <c r="U3928" s="9"/>
      <c r="V3928" s="9"/>
      <c r="W3928" s="9"/>
      <c r="X3928" s="9"/>
      <c r="Y3928" s="9"/>
      <c r="Z3928" s="9"/>
      <c r="AA3928" s="9"/>
    </row>
    <row r="3929" spans="1:27" ht="13.6">
      <c r="A3929" s="8"/>
      <c r="B3929" s="12"/>
      <c r="C3929" s="9"/>
      <c r="D3929" s="9"/>
      <c r="E3929" s="9"/>
      <c r="F3929" s="9"/>
      <c r="G3929" s="9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9"/>
      <c r="U3929" s="9"/>
      <c r="V3929" s="9"/>
      <c r="W3929" s="9"/>
      <c r="X3929" s="9"/>
      <c r="Y3929" s="9"/>
      <c r="Z3929" s="9"/>
      <c r="AA3929" s="9"/>
    </row>
    <row r="3930" spans="1:27" ht="13.6">
      <c r="A3930" s="8"/>
      <c r="B3930" s="12"/>
      <c r="C3930" s="9"/>
      <c r="D3930" s="9"/>
      <c r="E3930" s="9"/>
      <c r="F3930" s="9"/>
      <c r="G3930" s="9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9"/>
      <c r="U3930" s="9"/>
      <c r="V3930" s="9"/>
      <c r="W3930" s="9"/>
      <c r="X3930" s="9"/>
      <c r="Y3930" s="9"/>
      <c r="Z3930" s="9"/>
      <c r="AA3930" s="9"/>
    </row>
    <row r="3931" spans="1:27" ht="13.6">
      <c r="A3931" s="8"/>
      <c r="B3931" s="12"/>
      <c r="C3931" s="9"/>
      <c r="D3931" s="9"/>
      <c r="E3931" s="9"/>
      <c r="F3931" s="9"/>
      <c r="G3931" s="9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9"/>
      <c r="U3931" s="9"/>
      <c r="V3931" s="9"/>
      <c r="W3931" s="9"/>
      <c r="X3931" s="9"/>
      <c r="Y3931" s="9"/>
      <c r="Z3931" s="9"/>
      <c r="AA3931" s="9"/>
    </row>
    <row r="3932" spans="1:27" ht="13.6">
      <c r="A3932" s="8"/>
      <c r="B3932" s="12"/>
      <c r="C3932" s="9"/>
      <c r="D3932" s="9"/>
      <c r="E3932" s="9"/>
      <c r="F3932" s="9"/>
      <c r="G3932" s="9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9"/>
      <c r="U3932" s="9"/>
      <c r="V3932" s="9"/>
      <c r="W3932" s="9"/>
      <c r="X3932" s="9"/>
      <c r="Y3932" s="9"/>
      <c r="Z3932" s="9"/>
      <c r="AA3932" s="9"/>
    </row>
    <row r="3933" spans="1:27" ht="13.6">
      <c r="A3933" s="8"/>
      <c r="B3933" s="12"/>
      <c r="C3933" s="9"/>
      <c r="D3933" s="9"/>
      <c r="E3933" s="9"/>
      <c r="F3933" s="9"/>
      <c r="G3933" s="9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9"/>
      <c r="U3933" s="9"/>
      <c r="V3933" s="9"/>
      <c r="W3933" s="9"/>
      <c r="X3933" s="9"/>
      <c r="Y3933" s="9"/>
      <c r="Z3933" s="9"/>
      <c r="AA3933" s="9"/>
    </row>
    <row r="3934" spans="1:27" ht="13.6">
      <c r="A3934" s="8"/>
      <c r="B3934" s="12"/>
      <c r="C3934" s="9"/>
      <c r="D3934" s="9"/>
      <c r="E3934" s="9"/>
      <c r="F3934" s="9"/>
      <c r="G3934" s="9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9"/>
      <c r="U3934" s="9"/>
      <c r="V3934" s="9"/>
      <c r="W3934" s="9"/>
      <c r="X3934" s="9"/>
      <c r="Y3934" s="9"/>
      <c r="Z3934" s="9"/>
      <c r="AA3934" s="9"/>
    </row>
    <row r="3935" spans="1:27" ht="13.6">
      <c r="A3935" s="8"/>
      <c r="B3935" s="12"/>
      <c r="C3935" s="9"/>
      <c r="D3935" s="9"/>
      <c r="E3935" s="9"/>
      <c r="F3935" s="9"/>
      <c r="G3935" s="9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9"/>
      <c r="U3935" s="9"/>
      <c r="V3935" s="9"/>
      <c r="W3935" s="9"/>
      <c r="X3935" s="9"/>
      <c r="Y3935" s="9"/>
      <c r="Z3935" s="9"/>
      <c r="AA3935" s="9"/>
    </row>
    <row r="3936" spans="1:27" ht="13.6">
      <c r="A3936" s="8"/>
      <c r="B3936" s="12"/>
      <c r="C3936" s="9"/>
      <c r="D3936" s="9"/>
      <c r="E3936" s="9"/>
      <c r="F3936" s="9"/>
      <c r="G3936" s="9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9"/>
      <c r="U3936" s="9"/>
      <c r="V3936" s="9"/>
      <c r="W3936" s="9"/>
      <c r="X3936" s="9"/>
      <c r="Y3936" s="9"/>
      <c r="Z3936" s="9"/>
      <c r="AA3936" s="9"/>
    </row>
    <row r="3937" spans="1:27" ht="13.6">
      <c r="A3937" s="8"/>
      <c r="B3937" s="12"/>
      <c r="C3937" s="9"/>
      <c r="D3937" s="9"/>
      <c r="E3937" s="9"/>
      <c r="F3937" s="9"/>
      <c r="G3937" s="9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9"/>
      <c r="U3937" s="9"/>
      <c r="V3937" s="9"/>
      <c r="W3937" s="9"/>
      <c r="X3937" s="9"/>
      <c r="Y3937" s="9"/>
      <c r="Z3937" s="9"/>
      <c r="AA3937" s="9"/>
    </row>
    <row r="3938" spans="1:27" ht="13.6">
      <c r="A3938" s="8"/>
      <c r="B3938" s="12"/>
      <c r="C3938" s="9"/>
      <c r="D3938" s="9"/>
      <c r="E3938" s="9"/>
      <c r="F3938" s="9"/>
      <c r="G3938" s="9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9"/>
      <c r="U3938" s="9"/>
      <c r="V3938" s="9"/>
      <c r="W3938" s="9"/>
      <c r="X3938" s="9"/>
      <c r="Y3938" s="9"/>
      <c r="Z3938" s="9"/>
      <c r="AA3938" s="9"/>
    </row>
    <row r="3939" spans="1:27" ht="13.6">
      <c r="A3939" s="8"/>
      <c r="B3939" s="12"/>
      <c r="C3939" s="9"/>
      <c r="D3939" s="9"/>
      <c r="E3939" s="9"/>
      <c r="F3939" s="9"/>
      <c r="G3939" s="9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9"/>
      <c r="U3939" s="9"/>
      <c r="V3939" s="9"/>
      <c r="W3939" s="9"/>
      <c r="X3939" s="9"/>
      <c r="Y3939" s="9"/>
      <c r="Z3939" s="9"/>
      <c r="AA3939" s="9"/>
    </row>
    <row r="3940" spans="1:27" ht="13.6">
      <c r="A3940" s="8"/>
      <c r="B3940" s="12"/>
      <c r="C3940" s="9"/>
      <c r="D3940" s="9"/>
      <c r="E3940" s="9"/>
      <c r="F3940" s="9"/>
      <c r="G3940" s="9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9"/>
      <c r="U3940" s="9"/>
      <c r="V3940" s="9"/>
      <c r="W3940" s="9"/>
      <c r="X3940" s="9"/>
      <c r="Y3940" s="9"/>
      <c r="Z3940" s="9"/>
      <c r="AA3940" s="9"/>
    </row>
    <row r="3941" spans="1:27" ht="13.6">
      <c r="A3941" s="8"/>
      <c r="B3941" s="12"/>
      <c r="C3941" s="9"/>
      <c r="D3941" s="9"/>
      <c r="E3941" s="9"/>
      <c r="F3941" s="9"/>
      <c r="G3941" s="9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9"/>
      <c r="U3941" s="9"/>
      <c r="V3941" s="9"/>
      <c r="W3941" s="9"/>
      <c r="X3941" s="9"/>
      <c r="Y3941" s="9"/>
      <c r="Z3941" s="9"/>
      <c r="AA3941" s="9"/>
    </row>
    <row r="3942" spans="1:27" ht="13.6">
      <c r="A3942" s="8"/>
      <c r="B3942" s="12"/>
      <c r="C3942" s="9"/>
      <c r="D3942" s="9"/>
      <c r="E3942" s="9"/>
      <c r="F3942" s="9"/>
      <c r="G3942" s="9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9"/>
      <c r="U3942" s="9"/>
      <c r="V3942" s="9"/>
      <c r="W3942" s="9"/>
      <c r="X3942" s="9"/>
      <c r="Y3942" s="9"/>
      <c r="Z3942" s="9"/>
      <c r="AA3942" s="9"/>
    </row>
    <row r="3943" spans="1:27" ht="13.6">
      <c r="A3943" s="8"/>
      <c r="B3943" s="12"/>
      <c r="C3943" s="9"/>
      <c r="D3943" s="9"/>
      <c r="E3943" s="9"/>
      <c r="F3943" s="9"/>
      <c r="G3943" s="9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9"/>
      <c r="U3943" s="9"/>
      <c r="V3943" s="9"/>
      <c r="W3943" s="9"/>
      <c r="X3943" s="9"/>
      <c r="Y3943" s="9"/>
      <c r="Z3943" s="9"/>
      <c r="AA3943" s="9"/>
    </row>
    <row r="3944" spans="1:27" ht="13.6">
      <c r="A3944" s="8"/>
      <c r="B3944" s="12"/>
      <c r="C3944" s="9"/>
      <c r="D3944" s="9"/>
      <c r="E3944" s="9"/>
      <c r="F3944" s="9"/>
      <c r="G3944" s="9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9"/>
      <c r="U3944" s="9"/>
      <c r="V3944" s="9"/>
      <c r="W3944" s="9"/>
      <c r="X3944" s="9"/>
      <c r="Y3944" s="9"/>
      <c r="Z3944" s="9"/>
      <c r="AA3944" s="9"/>
    </row>
    <row r="3945" spans="1:27" ht="13.6">
      <c r="A3945" s="8"/>
      <c r="B3945" s="12"/>
      <c r="C3945" s="9"/>
      <c r="D3945" s="9"/>
      <c r="E3945" s="9"/>
      <c r="F3945" s="9"/>
      <c r="G3945" s="9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9"/>
      <c r="U3945" s="9"/>
      <c r="V3945" s="9"/>
      <c r="W3945" s="9"/>
      <c r="X3945" s="9"/>
      <c r="Y3945" s="9"/>
      <c r="Z3945" s="9"/>
      <c r="AA3945" s="9"/>
    </row>
    <row r="3946" spans="1:27" ht="13.6">
      <c r="A3946" s="8"/>
      <c r="B3946" s="12"/>
      <c r="C3946" s="9"/>
      <c r="D3946" s="9"/>
      <c r="E3946" s="9"/>
      <c r="F3946" s="9"/>
      <c r="G3946" s="9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9"/>
      <c r="U3946" s="9"/>
      <c r="V3946" s="9"/>
      <c r="W3946" s="9"/>
      <c r="X3946" s="9"/>
      <c r="Y3946" s="9"/>
      <c r="Z3946" s="9"/>
      <c r="AA3946" s="9"/>
    </row>
    <row r="3947" spans="1:27" ht="13.6">
      <c r="A3947" s="8"/>
      <c r="B3947" s="12"/>
      <c r="C3947" s="9"/>
      <c r="D3947" s="9"/>
      <c r="E3947" s="9"/>
      <c r="F3947" s="9"/>
      <c r="G3947" s="9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9"/>
      <c r="U3947" s="9"/>
      <c r="V3947" s="9"/>
      <c r="W3947" s="9"/>
      <c r="X3947" s="9"/>
      <c r="Y3947" s="9"/>
      <c r="Z3947" s="9"/>
      <c r="AA3947" s="9"/>
    </row>
    <row r="3948" spans="1:27" ht="13.6">
      <c r="A3948" s="8"/>
      <c r="B3948" s="12"/>
      <c r="C3948" s="9"/>
      <c r="D3948" s="9"/>
      <c r="E3948" s="9"/>
      <c r="F3948" s="9"/>
      <c r="G3948" s="9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9"/>
      <c r="U3948" s="9"/>
      <c r="V3948" s="9"/>
      <c r="W3948" s="9"/>
      <c r="X3948" s="9"/>
      <c r="Y3948" s="9"/>
      <c r="Z3948" s="9"/>
      <c r="AA3948" s="9"/>
    </row>
    <row r="3949" spans="1:27" ht="13.6">
      <c r="A3949" s="8"/>
      <c r="B3949" s="12"/>
      <c r="C3949" s="9"/>
      <c r="D3949" s="9"/>
      <c r="E3949" s="9"/>
      <c r="F3949" s="9"/>
      <c r="G3949" s="9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9"/>
      <c r="U3949" s="9"/>
      <c r="V3949" s="9"/>
      <c r="W3949" s="9"/>
      <c r="X3949" s="9"/>
      <c r="Y3949" s="9"/>
      <c r="Z3949" s="9"/>
      <c r="AA3949" s="9"/>
    </row>
    <row r="3950" spans="1:27" ht="13.6">
      <c r="A3950" s="8"/>
      <c r="B3950" s="12"/>
      <c r="C3950" s="9"/>
      <c r="D3950" s="9"/>
      <c r="E3950" s="9"/>
      <c r="F3950" s="9"/>
      <c r="G3950" s="9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9"/>
      <c r="U3950" s="9"/>
      <c r="V3950" s="9"/>
      <c r="W3950" s="9"/>
      <c r="X3950" s="9"/>
      <c r="Y3950" s="9"/>
      <c r="Z3950" s="9"/>
      <c r="AA3950" s="9"/>
    </row>
    <row r="3951" spans="1:27" ht="13.6">
      <c r="A3951" s="8"/>
      <c r="B3951" s="12"/>
      <c r="C3951" s="9"/>
      <c r="D3951" s="9"/>
      <c r="E3951" s="9"/>
      <c r="F3951" s="9"/>
      <c r="G3951" s="9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9"/>
      <c r="U3951" s="9"/>
      <c r="V3951" s="9"/>
      <c r="W3951" s="9"/>
      <c r="X3951" s="9"/>
      <c r="Y3951" s="9"/>
      <c r="Z3951" s="9"/>
      <c r="AA3951" s="9"/>
    </row>
    <row r="3952" spans="1:27" ht="13.6">
      <c r="A3952" s="8"/>
      <c r="B3952" s="12"/>
      <c r="C3952" s="9"/>
      <c r="D3952" s="9"/>
      <c r="E3952" s="9"/>
      <c r="F3952" s="9"/>
      <c r="G3952" s="9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9"/>
      <c r="U3952" s="9"/>
      <c r="V3952" s="9"/>
      <c r="W3952" s="9"/>
      <c r="X3952" s="9"/>
      <c r="Y3952" s="9"/>
      <c r="Z3952" s="9"/>
      <c r="AA3952" s="9"/>
    </row>
    <row r="3953" spans="1:27" ht="13.6">
      <c r="A3953" s="8"/>
      <c r="B3953" s="12"/>
      <c r="C3953" s="9"/>
      <c r="D3953" s="9"/>
      <c r="E3953" s="9"/>
      <c r="F3953" s="9"/>
      <c r="G3953" s="9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9"/>
      <c r="U3953" s="9"/>
      <c r="V3953" s="9"/>
      <c r="W3953" s="9"/>
      <c r="X3953" s="9"/>
      <c r="Y3953" s="9"/>
      <c r="Z3953" s="9"/>
      <c r="AA3953" s="9"/>
    </row>
    <row r="3954" spans="1:27" ht="13.6">
      <c r="A3954" s="8"/>
      <c r="B3954" s="12"/>
      <c r="C3954" s="9"/>
      <c r="D3954" s="9"/>
      <c r="E3954" s="9"/>
      <c r="F3954" s="9"/>
      <c r="G3954" s="9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9"/>
      <c r="U3954" s="9"/>
      <c r="V3954" s="9"/>
      <c r="W3954" s="9"/>
      <c r="X3954" s="9"/>
      <c r="Y3954" s="9"/>
      <c r="Z3954" s="9"/>
      <c r="AA3954" s="9"/>
    </row>
    <row r="3955" spans="1:27" ht="13.6">
      <c r="A3955" s="8"/>
      <c r="B3955" s="12"/>
      <c r="C3955" s="9"/>
      <c r="D3955" s="9"/>
      <c r="E3955" s="9"/>
      <c r="F3955" s="9"/>
      <c r="G3955" s="9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9"/>
      <c r="U3955" s="9"/>
      <c r="V3955" s="9"/>
      <c r="W3955" s="9"/>
      <c r="X3955" s="9"/>
      <c r="Y3955" s="9"/>
      <c r="Z3955" s="9"/>
      <c r="AA3955" s="9"/>
    </row>
    <row r="3956" spans="1:27" ht="13.6">
      <c r="A3956" s="8"/>
      <c r="B3956" s="12"/>
      <c r="C3956" s="9"/>
      <c r="D3956" s="9"/>
      <c r="E3956" s="9"/>
      <c r="F3956" s="9"/>
      <c r="G3956" s="9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9"/>
    </row>
    <row r="3957" spans="1:27" ht="13.6">
      <c r="A3957" s="8"/>
      <c r="B3957" s="12"/>
      <c r="C3957" s="9"/>
      <c r="D3957" s="9"/>
      <c r="E3957" s="9"/>
      <c r="F3957" s="9"/>
      <c r="G3957" s="9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9"/>
      <c r="U3957" s="9"/>
      <c r="V3957" s="9"/>
      <c r="W3957" s="9"/>
      <c r="X3957" s="9"/>
      <c r="Y3957" s="9"/>
      <c r="Z3957" s="9"/>
      <c r="AA3957" s="9"/>
    </row>
    <row r="3958" spans="1:27" ht="13.6">
      <c r="A3958" s="8"/>
      <c r="B3958" s="12"/>
      <c r="C3958" s="9"/>
      <c r="D3958" s="9"/>
      <c r="E3958" s="9"/>
      <c r="F3958" s="9"/>
      <c r="G3958" s="9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9"/>
      <c r="U3958" s="9"/>
      <c r="V3958" s="9"/>
      <c r="W3958" s="9"/>
      <c r="X3958" s="9"/>
      <c r="Y3958" s="9"/>
      <c r="Z3958" s="9"/>
      <c r="AA3958" s="9"/>
    </row>
    <row r="3959" spans="1:27" ht="13.6">
      <c r="A3959" s="8"/>
      <c r="B3959" s="12"/>
      <c r="C3959" s="9"/>
      <c r="D3959" s="9"/>
      <c r="E3959" s="9"/>
      <c r="F3959" s="9"/>
      <c r="G3959" s="9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9"/>
      <c r="U3959" s="9"/>
      <c r="V3959" s="9"/>
      <c r="W3959" s="9"/>
      <c r="X3959" s="9"/>
      <c r="Y3959" s="9"/>
      <c r="Z3959" s="9"/>
      <c r="AA3959" s="9"/>
    </row>
    <row r="3960" spans="1:27" ht="13.6">
      <c r="A3960" s="8"/>
      <c r="B3960" s="12"/>
      <c r="C3960" s="9"/>
      <c r="D3960" s="9"/>
      <c r="E3960" s="9"/>
      <c r="F3960" s="9"/>
      <c r="G3960" s="9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9"/>
      <c r="U3960" s="9"/>
      <c r="V3960" s="9"/>
      <c r="W3960" s="9"/>
      <c r="X3960" s="9"/>
      <c r="Y3960" s="9"/>
      <c r="Z3960" s="9"/>
      <c r="AA3960" s="9"/>
    </row>
    <row r="3961" spans="1:27" ht="13.6">
      <c r="A3961" s="8"/>
      <c r="B3961" s="12"/>
      <c r="C3961" s="9"/>
      <c r="D3961" s="9"/>
      <c r="E3961" s="9"/>
      <c r="F3961" s="9"/>
      <c r="G3961" s="9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9"/>
      <c r="U3961" s="9"/>
      <c r="V3961" s="9"/>
      <c r="W3961" s="9"/>
      <c r="X3961" s="9"/>
      <c r="Y3961" s="9"/>
      <c r="Z3961" s="9"/>
      <c r="AA3961" s="9"/>
    </row>
    <row r="3962" spans="1:27" ht="13.6">
      <c r="A3962" s="8"/>
      <c r="B3962" s="12"/>
      <c r="C3962" s="9"/>
      <c r="D3962" s="9"/>
      <c r="E3962" s="9"/>
      <c r="F3962" s="9"/>
      <c r="G3962" s="9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9"/>
      <c r="U3962" s="9"/>
      <c r="V3962" s="9"/>
      <c r="W3962" s="9"/>
      <c r="X3962" s="9"/>
      <c r="Y3962" s="9"/>
      <c r="Z3962" s="9"/>
      <c r="AA3962" s="9"/>
    </row>
    <row r="3963" spans="1:27" ht="13.6">
      <c r="A3963" s="8"/>
      <c r="B3963" s="12"/>
      <c r="C3963" s="9"/>
      <c r="D3963" s="9"/>
      <c r="E3963" s="9"/>
      <c r="F3963" s="9"/>
      <c r="G3963" s="9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9"/>
      <c r="U3963" s="9"/>
      <c r="V3963" s="9"/>
      <c r="W3963" s="9"/>
      <c r="X3963" s="9"/>
      <c r="Y3963" s="9"/>
      <c r="Z3963" s="9"/>
      <c r="AA3963" s="9"/>
    </row>
    <row r="3964" spans="1:27" ht="13.6">
      <c r="A3964" s="8"/>
      <c r="B3964" s="12"/>
      <c r="C3964" s="9"/>
      <c r="D3964" s="9"/>
      <c r="E3964" s="9"/>
      <c r="F3964" s="9"/>
      <c r="G3964" s="9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9"/>
      <c r="U3964" s="9"/>
      <c r="V3964" s="9"/>
      <c r="W3964" s="9"/>
      <c r="X3964" s="9"/>
      <c r="Y3964" s="9"/>
      <c r="Z3964" s="9"/>
      <c r="AA3964" s="9"/>
    </row>
    <row r="3965" spans="1:27" ht="13.6">
      <c r="A3965" s="8"/>
      <c r="B3965" s="12"/>
      <c r="C3965" s="9"/>
      <c r="D3965" s="9"/>
      <c r="E3965" s="9"/>
      <c r="F3965" s="9"/>
      <c r="G3965" s="9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9"/>
      <c r="U3965" s="9"/>
      <c r="V3965" s="9"/>
      <c r="W3965" s="9"/>
      <c r="X3965" s="9"/>
      <c r="Y3965" s="9"/>
      <c r="Z3965" s="9"/>
      <c r="AA3965" s="9"/>
    </row>
    <row r="3966" spans="1:27" ht="13.6">
      <c r="A3966" s="8"/>
      <c r="B3966" s="12"/>
      <c r="C3966" s="9"/>
      <c r="D3966" s="9"/>
      <c r="E3966" s="9"/>
      <c r="F3966" s="9"/>
      <c r="G3966" s="9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9"/>
      <c r="U3966" s="9"/>
      <c r="V3966" s="9"/>
      <c r="W3966" s="9"/>
      <c r="X3966" s="9"/>
      <c r="Y3966" s="9"/>
      <c r="Z3966" s="9"/>
      <c r="AA3966" s="9"/>
    </row>
    <row r="3967" spans="1:27" ht="13.6">
      <c r="A3967" s="8"/>
      <c r="B3967" s="12"/>
      <c r="C3967" s="9"/>
      <c r="D3967" s="9"/>
      <c r="E3967" s="9"/>
      <c r="F3967" s="9"/>
      <c r="G3967" s="9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9"/>
      <c r="U3967" s="9"/>
      <c r="V3967" s="9"/>
      <c r="W3967" s="9"/>
      <c r="X3967" s="9"/>
      <c r="Y3967" s="9"/>
      <c r="Z3967" s="9"/>
      <c r="AA3967" s="9"/>
    </row>
    <row r="3968" spans="1:27" ht="13.6">
      <c r="A3968" s="8"/>
      <c r="B3968" s="12"/>
      <c r="C3968" s="9"/>
      <c r="D3968" s="9"/>
      <c r="E3968" s="9"/>
      <c r="F3968" s="9"/>
      <c r="G3968" s="9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9"/>
      <c r="U3968" s="9"/>
      <c r="V3968" s="9"/>
      <c r="W3968" s="9"/>
      <c r="X3968" s="9"/>
      <c r="Y3968" s="9"/>
      <c r="Z3968" s="9"/>
      <c r="AA3968" s="9"/>
    </row>
    <row r="3969" spans="1:27" ht="13.6">
      <c r="A3969" s="8"/>
      <c r="B3969" s="12"/>
      <c r="C3969" s="9"/>
      <c r="D3969" s="9"/>
      <c r="E3969" s="9"/>
      <c r="F3969" s="9"/>
      <c r="G3969" s="9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9"/>
      <c r="U3969" s="9"/>
      <c r="V3969" s="9"/>
      <c r="W3969" s="9"/>
      <c r="X3969" s="9"/>
      <c r="Y3969" s="9"/>
      <c r="Z3969" s="9"/>
      <c r="AA3969" s="9"/>
    </row>
    <row r="3970" spans="1:27" ht="13.6">
      <c r="A3970" s="8"/>
      <c r="B3970" s="12"/>
      <c r="C3970" s="9"/>
      <c r="D3970" s="9"/>
      <c r="E3970" s="9"/>
      <c r="F3970" s="9"/>
      <c r="G3970" s="9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9"/>
      <c r="U3970" s="9"/>
      <c r="V3970" s="9"/>
      <c r="W3970" s="9"/>
      <c r="X3970" s="9"/>
      <c r="Y3970" s="9"/>
      <c r="Z3970" s="9"/>
      <c r="AA3970" s="9"/>
    </row>
    <row r="3971" spans="1:27" ht="13.6">
      <c r="A3971" s="8"/>
      <c r="B3971" s="12"/>
      <c r="C3971" s="9"/>
      <c r="D3971" s="9"/>
      <c r="E3971" s="9"/>
      <c r="F3971" s="9"/>
      <c r="G3971" s="9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9"/>
      <c r="U3971" s="9"/>
      <c r="V3971" s="9"/>
      <c r="W3971" s="9"/>
      <c r="X3971" s="9"/>
      <c r="Y3971" s="9"/>
      <c r="Z3971" s="9"/>
      <c r="AA3971" s="9"/>
    </row>
    <row r="3972" spans="1:27" ht="13.6">
      <c r="A3972" s="8"/>
      <c r="B3972" s="12"/>
      <c r="C3972" s="9"/>
      <c r="D3972" s="9"/>
      <c r="E3972" s="9"/>
      <c r="F3972" s="9"/>
      <c r="G3972" s="9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9"/>
      <c r="U3972" s="9"/>
      <c r="V3972" s="9"/>
      <c r="W3972" s="9"/>
      <c r="X3972" s="9"/>
      <c r="Y3972" s="9"/>
      <c r="Z3972" s="9"/>
      <c r="AA3972" s="9"/>
    </row>
    <row r="3973" spans="1:27" ht="13.6">
      <c r="A3973" s="8"/>
      <c r="B3973" s="12"/>
      <c r="C3973" s="9"/>
      <c r="D3973" s="9"/>
      <c r="E3973" s="9"/>
      <c r="F3973" s="9"/>
      <c r="G3973" s="9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9"/>
      <c r="U3973" s="9"/>
      <c r="V3973" s="9"/>
      <c r="W3973" s="9"/>
      <c r="X3973" s="9"/>
      <c r="Y3973" s="9"/>
      <c r="Z3973" s="9"/>
      <c r="AA3973" s="9"/>
    </row>
    <row r="3974" spans="1:27" ht="13.6">
      <c r="A3974" s="8"/>
      <c r="B3974" s="12"/>
      <c r="C3974" s="9"/>
      <c r="D3974" s="9"/>
      <c r="E3974" s="9"/>
      <c r="F3974" s="9"/>
      <c r="G3974" s="9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9"/>
      <c r="U3974" s="9"/>
      <c r="V3974" s="9"/>
      <c r="W3974" s="9"/>
      <c r="X3974" s="9"/>
      <c r="Y3974" s="9"/>
      <c r="Z3974" s="9"/>
      <c r="AA3974" s="9"/>
    </row>
    <row r="3975" spans="1:27" ht="13.6">
      <c r="A3975" s="8"/>
      <c r="B3975" s="12"/>
      <c r="C3975" s="9"/>
      <c r="D3975" s="9"/>
      <c r="E3975" s="9"/>
      <c r="F3975" s="9"/>
      <c r="G3975" s="9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9"/>
      <c r="U3975" s="9"/>
      <c r="V3975" s="9"/>
      <c r="W3975" s="9"/>
      <c r="X3975" s="9"/>
      <c r="Y3975" s="9"/>
      <c r="Z3975" s="9"/>
      <c r="AA3975" s="9"/>
    </row>
    <row r="3976" spans="1:27" ht="13.6">
      <c r="A3976" s="8"/>
      <c r="B3976" s="12"/>
      <c r="C3976" s="9"/>
      <c r="D3976" s="9"/>
      <c r="E3976" s="9"/>
      <c r="F3976" s="9"/>
      <c r="G3976" s="9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9"/>
      <c r="U3976" s="9"/>
      <c r="V3976" s="9"/>
      <c r="W3976" s="9"/>
      <c r="X3976" s="9"/>
      <c r="Y3976" s="9"/>
      <c r="Z3976" s="9"/>
      <c r="AA3976" s="9"/>
    </row>
    <row r="3977" spans="1:27" ht="13.6">
      <c r="A3977" s="8"/>
      <c r="B3977" s="12"/>
      <c r="C3977" s="9"/>
      <c r="D3977" s="9"/>
      <c r="E3977" s="9"/>
      <c r="F3977" s="9"/>
      <c r="G3977" s="9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9"/>
      <c r="U3977" s="9"/>
      <c r="V3977" s="9"/>
      <c r="W3977" s="9"/>
      <c r="X3977" s="9"/>
      <c r="Y3977" s="9"/>
      <c r="Z3977" s="9"/>
      <c r="AA3977" s="9"/>
    </row>
    <row r="3978" spans="1:27" ht="13.6">
      <c r="A3978" s="8"/>
      <c r="B3978" s="12"/>
      <c r="C3978" s="9"/>
      <c r="D3978" s="9"/>
      <c r="E3978" s="9"/>
      <c r="F3978" s="9"/>
      <c r="G3978" s="9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9"/>
      <c r="U3978" s="9"/>
      <c r="V3978" s="9"/>
      <c r="W3978" s="9"/>
      <c r="X3978" s="9"/>
      <c r="Y3978" s="9"/>
      <c r="Z3978" s="9"/>
      <c r="AA3978" s="9"/>
    </row>
    <row r="3979" spans="1:27" ht="13.6">
      <c r="A3979" s="8"/>
      <c r="B3979" s="12"/>
      <c r="C3979" s="9"/>
      <c r="D3979" s="9"/>
      <c r="E3979" s="9"/>
      <c r="F3979" s="9"/>
      <c r="G3979" s="9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9"/>
      <c r="U3979" s="9"/>
      <c r="V3979" s="9"/>
      <c r="W3979" s="9"/>
      <c r="X3979" s="9"/>
      <c r="Y3979" s="9"/>
      <c r="Z3979" s="9"/>
      <c r="AA3979" s="9"/>
    </row>
    <row r="3980" spans="1:27" ht="13.6">
      <c r="A3980" s="8"/>
      <c r="B3980" s="12"/>
      <c r="C3980" s="9"/>
      <c r="D3980" s="9"/>
      <c r="E3980" s="9"/>
      <c r="F3980" s="9"/>
      <c r="G3980" s="9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9"/>
      <c r="U3980" s="9"/>
      <c r="V3980" s="9"/>
      <c r="W3980" s="9"/>
      <c r="X3980" s="9"/>
      <c r="Y3980" s="9"/>
      <c r="Z3980" s="9"/>
      <c r="AA3980" s="9"/>
    </row>
    <row r="3981" spans="1:27" ht="13.6">
      <c r="A3981" s="8"/>
      <c r="B3981" s="12"/>
      <c r="C3981" s="9"/>
      <c r="D3981" s="9"/>
      <c r="E3981" s="9"/>
      <c r="F3981" s="9"/>
      <c r="G3981" s="9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9"/>
      <c r="U3981" s="9"/>
      <c r="V3981" s="9"/>
      <c r="W3981" s="9"/>
      <c r="X3981" s="9"/>
      <c r="Y3981" s="9"/>
      <c r="Z3981" s="9"/>
      <c r="AA3981" s="9"/>
    </row>
    <row r="3982" spans="1:27" ht="13.6">
      <c r="A3982" s="8"/>
      <c r="B3982" s="12"/>
      <c r="C3982" s="9"/>
      <c r="D3982" s="9"/>
      <c r="E3982" s="9"/>
      <c r="F3982" s="9"/>
      <c r="G3982" s="9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9"/>
      <c r="U3982" s="9"/>
      <c r="V3982" s="9"/>
      <c r="W3982" s="9"/>
      <c r="X3982" s="9"/>
      <c r="Y3982" s="9"/>
      <c r="Z3982" s="9"/>
      <c r="AA3982" s="9"/>
    </row>
    <row r="3983" spans="1:27" ht="13.6">
      <c r="A3983" s="8"/>
      <c r="B3983" s="12"/>
      <c r="C3983" s="9"/>
      <c r="D3983" s="9"/>
      <c r="E3983" s="9"/>
      <c r="F3983" s="9"/>
      <c r="G3983" s="9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9"/>
      <c r="U3983" s="9"/>
      <c r="V3983" s="9"/>
      <c r="W3983" s="9"/>
      <c r="X3983" s="9"/>
      <c r="Y3983" s="9"/>
      <c r="Z3983" s="9"/>
      <c r="AA3983" s="9"/>
    </row>
    <row r="3984" spans="1:27" ht="13.6">
      <c r="A3984" s="8"/>
      <c r="B3984" s="12"/>
      <c r="C3984" s="9"/>
      <c r="D3984" s="9"/>
      <c r="E3984" s="9"/>
      <c r="F3984" s="9"/>
      <c r="G3984" s="9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9"/>
      <c r="U3984" s="9"/>
      <c r="V3984" s="9"/>
      <c r="W3984" s="9"/>
      <c r="X3984" s="9"/>
      <c r="Y3984" s="9"/>
      <c r="Z3984" s="9"/>
      <c r="AA3984" s="9"/>
    </row>
    <row r="3985" spans="1:27" ht="13.6">
      <c r="A3985" s="8"/>
      <c r="B3985" s="12"/>
      <c r="C3985" s="9"/>
      <c r="D3985" s="9"/>
      <c r="E3985" s="9"/>
      <c r="F3985" s="9"/>
      <c r="G3985" s="9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9"/>
      <c r="U3985" s="9"/>
      <c r="V3985" s="9"/>
      <c r="W3985" s="9"/>
      <c r="X3985" s="9"/>
      <c r="Y3985" s="9"/>
      <c r="Z3985" s="9"/>
      <c r="AA3985" s="9"/>
    </row>
    <row r="3986" spans="1:27" ht="13.6">
      <c r="A3986" s="8"/>
      <c r="B3986" s="12"/>
      <c r="C3986" s="9"/>
      <c r="D3986" s="9"/>
      <c r="E3986" s="9"/>
      <c r="F3986" s="9"/>
      <c r="G3986" s="9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9"/>
      <c r="U3986" s="9"/>
      <c r="V3986" s="9"/>
      <c r="W3986" s="9"/>
      <c r="X3986" s="9"/>
      <c r="Y3986" s="9"/>
      <c r="Z3986" s="9"/>
      <c r="AA3986" s="9"/>
    </row>
    <row r="3987" spans="1:27" ht="13.6">
      <c r="A3987" s="8"/>
      <c r="B3987" s="12"/>
      <c r="C3987" s="9"/>
      <c r="D3987" s="9"/>
      <c r="E3987" s="9"/>
      <c r="F3987" s="9"/>
      <c r="G3987" s="9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9"/>
      <c r="U3987" s="9"/>
      <c r="V3987" s="9"/>
      <c r="W3987" s="9"/>
      <c r="X3987" s="9"/>
      <c r="Y3987" s="9"/>
      <c r="Z3987" s="9"/>
      <c r="AA3987" s="9"/>
    </row>
    <row r="3988" spans="1:27" ht="13.6">
      <c r="A3988" s="8"/>
      <c r="B3988" s="12"/>
      <c r="C3988" s="9"/>
      <c r="D3988" s="9"/>
      <c r="E3988" s="9"/>
      <c r="F3988" s="9"/>
      <c r="G3988" s="9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9"/>
      <c r="U3988" s="9"/>
      <c r="V3988" s="9"/>
      <c r="W3988" s="9"/>
      <c r="X3988" s="9"/>
      <c r="Y3988" s="9"/>
      <c r="Z3988" s="9"/>
      <c r="AA3988" s="9"/>
    </row>
    <row r="3989" spans="1:27" ht="13.6">
      <c r="A3989" s="8"/>
      <c r="B3989" s="12"/>
      <c r="C3989" s="9"/>
      <c r="D3989" s="9"/>
      <c r="E3989" s="9"/>
      <c r="F3989" s="9"/>
      <c r="G3989" s="9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9"/>
      <c r="U3989" s="9"/>
      <c r="V3989" s="9"/>
      <c r="W3989" s="9"/>
      <c r="X3989" s="9"/>
      <c r="Y3989" s="9"/>
      <c r="Z3989" s="9"/>
      <c r="AA3989" s="9"/>
    </row>
    <row r="3990" spans="1:27" ht="13.6">
      <c r="A3990" s="8"/>
      <c r="B3990" s="12"/>
      <c r="C3990" s="9"/>
      <c r="D3990" s="9"/>
      <c r="E3990" s="9"/>
      <c r="F3990" s="9"/>
      <c r="G3990" s="9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9"/>
      <c r="U3990" s="9"/>
      <c r="V3990" s="9"/>
      <c r="W3990" s="9"/>
      <c r="X3990" s="9"/>
      <c r="Y3990" s="9"/>
      <c r="Z3990" s="9"/>
      <c r="AA3990" s="9"/>
    </row>
    <row r="3991" spans="1:27" ht="13.6">
      <c r="A3991" s="8"/>
      <c r="B3991" s="12"/>
      <c r="C3991" s="9"/>
      <c r="D3991" s="9"/>
      <c r="E3991" s="9"/>
      <c r="F3991" s="9"/>
      <c r="G3991" s="9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9"/>
      <c r="U3991" s="9"/>
      <c r="V3991" s="9"/>
      <c r="W3991" s="9"/>
      <c r="X3991" s="9"/>
      <c r="Y3991" s="9"/>
      <c r="Z3991" s="9"/>
      <c r="AA3991" s="9"/>
    </row>
    <row r="3992" spans="1:27" ht="13.6">
      <c r="A3992" s="8"/>
      <c r="B3992" s="12"/>
      <c r="C3992" s="9"/>
      <c r="D3992" s="9"/>
      <c r="E3992" s="9"/>
      <c r="F3992" s="9"/>
      <c r="G3992" s="9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9"/>
      <c r="U3992" s="9"/>
      <c r="V3992" s="9"/>
      <c r="W3992" s="9"/>
      <c r="X3992" s="9"/>
      <c r="Y3992" s="9"/>
      <c r="Z3992" s="9"/>
      <c r="AA3992" s="9"/>
    </row>
    <row r="3993" spans="1:27" ht="13.6">
      <c r="A3993" s="8"/>
      <c r="B3993" s="12"/>
      <c r="C3993" s="9"/>
      <c r="D3993" s="9"/>
      <c r="E3993" s="9"/>
      <c r="F3993" s="9"/>
      <c r="G3993" s="9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9"/>
      <c r="U3993" s="9"/>
      <c r="V3993" s="9"/>
      <c r="W3993" s="9"/>
      <c r="X3993" s="9"/>
      <c r="Y3993" s="9"/>
      <c r="Z3993" s="9"/>
      <c r="AA3993" s="9"/>
    </row>
    <row r="3994" spans="1:27" ht="13.6">
      <c r="A3994" s="8"/>
      <c r="B3994" s="12"/>
      <c r="C3994" s="9"/>
      <c r="D3994" s="9"/>
      <c r="E3994" s="9"/>
      <c r="F3994" s="9"/>
      <c r="G3994" s="9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9"/>
      <c r="U3994" s="9"/>
      <c r="V3994" s="9"/>
      <c r="W3994" s="9"/>
      <c r="X3994" s="9"/>
      <c r="Y3994" s="9"/>
      <c r="Z3994" s="9"/>
      <c r="AA3994" s="9"/>
    </row>
    <row r="3995" spans="1:27" ht="13.6">
      <c r="A3995" s="8"/>
      <c r="B3995" s="12"/>
      <c r="C3995" s="9"/>
      <c r="D3995" s="9"/>
      <c r="E3995" s="9"/>
      <c r="F3995" s="9"/>
      <c r="G3995" s="9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9"/>
      <c r="U3995" s="9"/>
      <c r="V3995" s="9"/>
      <c r="W3995" s="9"/>
      <c r="X3995" s="9"/>
      <c r="Y3995" s="9"/>
      <c r="Z3995" s="9"/>
      <c r="AA3995" s="9"/>
    </row>
    <row r="3996" spans="1:27" ht="13.6">
      <c r="A3996" s="8"/>
      <c r="B3996" s="12"/>
      <c r="C3996" s="9"/>
      <c r="D3996" s="9"/>
      <c r="E3996" s="9"/>
      <c r="F3996" s="9"/>
      <c r="G3996" s="9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9"/>
      <c r="U3996" s="9"/>
      <c r="V3996" s="9"/>
      <c r="W3996" s="9"/>
      <c r="X3996" s="9"/>
      <c r="Y3996" s="9"/>
      <c r="Z3996" s="9"/>
      <c r="AA3996" s="9"/>
    </row>
    <row r="3997" spans="1:27" ht="13.6">
      <c r="A3997" s="8"/>
      <c r="B3997" s="12"/>
      <c r="C3997" s="9"/>
      <c r="D3997" s="9"/>
      <c r="E3997" s="9"/>
      <c r="F3997" s="9"/>
      <c r="G3997" s="9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9"/>
      <c r="U3997" s="9"/>
      <c r="V3997" s="9"/>
      <c r="W3997" s="9"/>
      <c r="X3997" s="9"/>
      <c r="Y3997" s="9"/>
      <c r="Z3997" s="9"/>
      <c r="AA3997" s="9"/>
    </row>
    <row r="3998" spans="1:27" ht="13.6">
      <c r="A3998" s="8"/>
      <c r="B3998" s="12"/>
      <c r="C3998" s="9"/>
      <c r="D3998" s="9"/>
      <c r="E3998" s="9"/>
      <c r="F3998" s="9"/>
      <c r="G3998" s="9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9"/>
      <c r="U3998" s="9"/>
      <c r="V3998" s="9"/>
      <c r="W3998" s="9"/>
      <c r="X3998" s="9"/>
      <c r="Y3998" s="9"/>
      <c r="Z3998" s="9"/>
      <c r="AA3998" s="9"/>
    </row>
    <row r="3999" spans="1:27" ht="13.6">
      <c r="A3999" s="8"/>
      <c r="B3999" s="12"/>
      <c r="C3999" s="9"/>
      <c r="D3999" s="9"/>
      <c r="E3999" s="9"/>
      <c r="F3999" s="9"/>
      <c r="G3999" s="9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9"/>
      <c r="U3999" s="9"/>
      <c r="V3999" s="9"/>
      <c r="W3999" s="9"/>
      <c r="X3999" s="9"/>
      <c r="Y3999" s="9"/>
      <c r="Z3999" s="9"/>
      <c r="AA3999" s="9"/>
    </row>
    <row r="4000" spans="1:27" ht="13.6">
      <c r="A4000" s="8"/>
      <c r="B4000" s="12"/>
      <c r="C4000" s="9"/>
      <c r="D4000" s="9"/>
      <c r="E4000" s="9"/>
      <c r="F4000" s="9"/>
      <c r="G4000" s="9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9"/>
      <c r="U4000" s="9"/>
      <c r="V4000" s="9"/>
      <c r="W4000" s="9"/>
      <c r="X4000" s="9"/>
      <c r="Y4000" s="9"/>
      <c r="Z4000" s="9"/>
      <c r="AA4000" s="9"/>
    </row>
    <row r="4001" spans="1:27" ht="13.6">
      <c r="A4001" s="8"/>
      <c r="B4001" s="12"/>
      <c r="C4001" s="9"/>
      <c r="D4001" s="9"/>
      <c r="E4001" s="9"/>
      <c r="F4001" s="9"/>
      <c r="G4001" s="9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9"/>
      <c r="U4001" s="9"/>
      <c r="V4001" s="9"/>
      <c r="W4001" s="9"/>
      <c r="X4001" s="9"/>
      <c r="Y4001" s="9"/>
      <c r="Z4001" s="9"/>
      <c r="AA4001" s="9"/>
    </row>
    <row r="4002" spans="1:27" ht="13.6">
      <c r="A4002" s="8"/>
      <c r="B4002" s="12"/>
      <c r="C4002" s="9"/>
      <c r="D4002" s="9"/>
      <c r="E4002" s="9"/>
      <c r="F4002" s="9"/>
      <c r="G4002" s="9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9"/>
      <c r="U4002" s="9"/>
      <c r="V4002" s="9"/>
      <c r="W4002" s="9"/>
      <c r="X4002" s="9"/>
      <c r="Y4002" s="9"/>
      <c r="Z4002" s="9"/>
      <c r="AA4002" s="9"/>
    </row>
    <row r="4003" spans="1:27" ht="13.6">
      <c r="A4003" s="8"/>
      <c r="B4003" s="12"/>
      <c r="C4003" s="9"/>
      <c r="D4003" s="9"/>
      <c r="E4003" s="9"/>
      <c r="F4003" s="9"/>
      <c r="G4003" s="9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9"/>
      <c r="U4003" s="9"/>
      <c r="V4003" s="9"/>
      <c r="W4003" s="9"/>
      <c r="X4003" s="9"/>
      <c r="Y4003" s="9"/>
      <c r="Z4003" s="9"/>
      <c r="AA4003" s="9"/>
    </row>
    <row r="4004" spans="1:27" ht="13.6">
      <c r="A4004" s="8"/>
      <c r="B4004" s="12"/>
      <c r="C4004" s="9"/>
      <c r="D4004" s="9"/>
      <c r="E4004" s="9"/>
      <c r="F4004" s="9"/>
      <c r="G4004" s="9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9"/>
      <c r="U4004" s="9"/>
      <c r="V4004" s="9"/>
      <c r="W4004" s="9"/>
      <c r="X4004" s="9"/>
      <c r="Y4004" s="9"/>
      <c r="Z4004" s="9"/>
      <c r="AA4004" s="9"/>
    </row>
    <row r="4005" spans="1:27" ht="13.6">
      <c r="A4005" s="8"/>
      <c r="B4005" s="12"/>
      <c r="C4005" s="9"/>
      <c r="D4005" s="9"/>
      <c r="E4005" s="9"/>
      <c r="F4005" s="9"/>
      <c r="G4005" s="9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9"/>
      <c r="U4005" s="9"/>
      <c r="V4005" s="9"/>
      <c r="W4005" s="9"/>
      <c r="X4005" s="9"/>
      <c r="Y4005" s="9"/>
      <c r="Z4005" s="9"/>
      <c r="AA4005" s="9"/>
    </row>
    <row r="4006" spans="1:27" ht="13.6">
      <c r="A4006" s="8"/>
      <c r="B4006" s="12"/>
      <c r="C4006" s="9"/>
      <c r="D4006" s="9"/>
      <c r="E4006" s="9"/>
      <c r="F4006" s="9"/>
      <c r="G4006" s="9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9"/>
      <c r="U4006" s="9"/>
      <c r="V4006" s="9"/>
      <c r="W4006" s="9"/>
      <c r="X4006" s="9"/>
      <c r="Y4006" s="9"/>
      <c r="Z4006" s="9"/>
      <c r="AA4006" s="9"/>
    </row>
    <row r="4007" spans="1:27" ht="13.6">
      <c r="A4007" s="8"/>
      <c r="B4007" s="12"/>
      <c r="C4007" s="9"/>
      <c r="D4007" s="9"/>
      <c r="E4007" s="9"/>
      <c r="F4007" s="9"/>
      <c r="G4007" s="9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9"/>
      <c r="U4007" s="9"/>
      <c r="V4007" s="9"/>
      <c r="W4007" s="9"/>
      <c r="X4007" s="9"/>
      <c r="Y4007" s="9"/>
      <c r="Z4007" s="9"/>
      <c r="AA4007" s="9"/>
    </row>
    <row r="4008" spans="1:27" ht="13.6">
      <c r="A4008" s="8"/>
      <c r="B4008" s="12"/>
      <c r="C4008" s="9"/>
      <c r="D4008" s="9"/>
      <c r="E4008" s="9"/>
      <c r="F4008" s="9"/>
      <c r="G4008" s="9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9"/>
      <c r="U4008" s="9"/>
      <c r="V4008" s="9"/>
      <c r="W4008" s="9"/>
      <c r="X4008" s="9"/>
      <c r="Y4008" s="9"/>
      <c r="Z4008" s="9"/>
      <c r="AA4008" s="9"/>
    </row>
    <row r="4009" spans="1:27" ht="13.6">
      <c r="A4009" s="8"/>
      <c r="B4009" s="12"/>
      <c r="C4009" s="9"/>
      <c r="D4009" s="9"/>
      <c r="E4009" s="9"/>
      <c r="F4009" s="9"/>
      <c r="G4009" s="9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9"/>
      <c r="U4009" s="9"/>
      <c r="V4009" s="9"/>
      <c r="W4009" s="9"/>
      <c r="X4009" s="9"/>
      <c r="Y4009" s="9"/>
      <c r="Z4009" s="9"/>
      <c r="AA4009" s="9"/>
    </row>
    <row r="4010" spans="1:27" ht="13.6">
      <c r="A4010" s="8"/>
      <c r="B4010" s="12"/>
      <c r="C4010" s="9"/>
      <c r="D4010" s="9"/>
      <c r="E4010" s="9"/>
      <c r="F4010" s="9"/>
      <c r="G4010" s="9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9"/>
      <c r="U4010" s="9"/>
      <c r="V4010" s="9"/>
      <c r="W4010" s="9"/>
      <c r="X4010" s="9"/>
      <c r="Y4010" s="9"/>
      <c r="Z4010" s="9"/>
      <c r="AA4010" s="9"/>
    </row>
    <row r="4011" spans="1:27" ht="13.6">
      <c r="A4011" s="8"/>
      <c r="B4011" s="12"/>
      <c r="C4011" s="9"/>
      <c r="D4011" s="9"/>
      <c r="E4011" s="9"/>
      <c r="F4011" s="9"/>
      <c r="G4011" s="9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9"/>
      <c r="U4011" s="9"/>
      <c r="V4011" s="9"/>
      <c r="W4011" s="9"/>
      <c r="X4011" s="9"/>
      <c r="Y4011" s="9"/>
      <c r="Z4011" s="9"/>
      <c r="AA4011" s="9"/>
    </row>
    <row r="4012" spans="1:27" ht="13.6">
      <c r="A4012" s="8"/>
      <c r="B4012" s="12"/>
      <c r="C4012" s="9"/>
      <c r="D4012" s="9"/>
      <c r="E4012" s="9"/>
      <c r="F4012" s="9"/>
      <c r="G4012" s="9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9"/>
      <c r="U4012" s="9"/>
      <c r="V4012" s="9"/>
      <c r="W4012" s="9"/>
      <c r="X4012" s="9"/>
      <c r="Y4012" s="9"/>
      <c r="Z4012" s="9"/>
      <c r="AA4012" s="9"/>
    </row>
    <row r="4013" spans="1:27" ht="13.6">
      <c r="A4013" s="8"/>
      <c r="B4013" s="12"/>
      <c r="C4013" s="9"/>
      <c r="D4013" s="9"/>
      <c r="E4013" s="9"/>
      <c r="F4013" s="9"/>
      <c r="G4013" s="9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9"/>
      <c r="U4013" s="9"/>
      <c r="V4013" s="9"/>
      <c r="W4013" s="9"/>
      <c r="X4013" s="9"/>
      <c r="Y4013" s="9"/>
      <c r="Z4013" s="9"/>
      <c r="AA4013" s="9"/>
    </row>
    <row r="4014" spans="1:27" ht="13.6">
      <c r="A4014" s="8"/>
      <c r="B4014" s="12"/>
      <c r="C4014" s="9"/>
      <c r="D4014" s="9"/>
      <c r="E4014" s="9"/>
      <c r="F4014" s="9"/>
      <c r="G4014" s="9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9"/>
      <c r="U4014" s="9"/>
      <c r="V4014" s="9"/>
      <c r="W4014" s="9"/>
      <c r="X4014" s="9"/>
      <c r="Y4014" s="9"/>
      <c r="Z4014" s="9"/>
      <c r="AA4014" s="9"/>
    </row>
    <row r="4015" spans="1:27" ht="13.6">
      <c r="A4015" s="8"/>
      <c r="B4015" s="12"/>
      <c r="C4015" s="9"/>
      <c r="D4015" s="9"/>
      <c r="E4015" s="9"/>
      <c r="F4015" s="9"/>
      <c r="G4015" s="9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9"/>
      <c r="U4015" s="9"/>
      <c r="V4015" s="9"/>
      <c r="W4015" s="9"/>
      <c r="X4015" s="9"/>
      <c r="Y4015" s="9"/>
      <c r="Z4015" s="9"/>
      <c r="AA4015" s="9"/>
    </row>
    <row r="4016" spans="1:27" ht="13.6">
      <c r="A4016" s="8"/>
      <c r="B4016" s="12"/>
      <c r="C4016" s="9"/>
      <c r="D4016" s="9"/>
      <c r="E4016" s="9"/>
      <c r="F4016" s="9"/>
      <c r="G4016" s="9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9"/>
      <c r="U4016" s="9"/>
      <c r="V4016" s="9"/>
      <c r="W4016" s="9"/>
      <c r="X4016" s="9"/>
      <c r="Y4016" s="9"/>
      <c r="Z4016" s="9"/>
      <c r="AA4016" s="9"/>
    </row>
    <row r="4017" spans="1:27" ht="13.6">
      <c r="A4017" s="8"/>
      <c r="B4017" s="12"/>
      <c r="C4017" s="9"/>
      <c r="D4017" s="9"/>
      <c r="E4017" s="9"/>
      <c r="F4017" s="9"/>
      <c r="G4017" s="9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9"/>
      <c r="U4017" s="9"/>
      <c r="V4017" s="9"/>
      <c r="W4017" s="9"/>
      <c r="X4017" s="9"/>
      <c r="Y4017" s="9"/>
      <c r="Z4017" s="9"/>
      <c r="AA4017" s="9"/>
    </row>
    <row r="4018" spans="1:27" ht="13.6">
      <c r="A4018" s="8"/>
      <c r="B4018" s="12"/>
      <c r="C4018" s="9"/>
      <c r="D4018" s="9"/>
      <c r="E4018" s="9"/>
      <c r="F4018" s="9"/>
      <c r="G4018" s="9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9"/>
      <c r="U4018" s="9"/>
      <c r="V4018" s="9"/>
      <c r="W4018" s="9"/>
      <c r="X4018" s="9"/>
      <c r="Y4018" s="9"/>
      <c r="Z4018" s="9"/>
      <c r="AA4018" s="9"/>
    </row>
    <row r="4019" spans="1:27" ht="13.6">
      <c r="A4019" s="8"/>
      <c r="B4019" s="12"/>
      <c r="C4019" s="9"/>
      <c r="D4019" s="9"/>
      <c r="E4019" s="9"/>
      <c r="F4019" s="9"/>
      <c r="G4019" s="9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9"/>
      <c r="U4019" s="9"/>
      <c r="V4019" s="9"/>
      <c r="W4019" s="9"/>
      <c r="X4019" s="9"/>
      <c r="Y4019" s="9"/>
      <c r="Z4019" s="9"/>
      <c r="AA4019" s="9"/>
    </row>
    <row r="4020" spans="1:27" ht="13.6">
      <c r="A4020" s="8"/>
      <c r="B4020" s="12"/>
      <c r="C4020" s="9"/>
      <c r="D4020" s="9"/>
      <c r="E4020" s="9"/>
      <c r="F4020" s="9"/>
      <c r="G4020" s="9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9"/>
      <c r="U4020" s="9"/>
      <c r="V4020" s="9"/>
      <c r="W4020" s="9"/>
      <c r="X4020" s="9"/>
      <c r="Y4020" s="9"/>
      <c r="Z4020" s="9"/>
      <c r="AA4020" s="9"/>
    </row>
    <row r="4021" spans="1:27" ht="13.6">
      <c r="A4021" s="8"/>
      <c r="B4021" s="12"/>
      <c r="C4021" s="9"/>
      <c r="D4021" s="9"/>
      <c r="E4021" s="9"/>
      <c r="F4021" s="9"/>
      <c r="G4021" s="9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9"/>
      <c r="U4021" s="9"/>
      <c r="V4021" s="9"/>
      <c r="W4021" s="9"/>
      <c r="X4021" s="9"/>
      <c r="Y4021" s="9"/>
      <c r="Z4021" s="9"/>
      <c r="AA4021" s="9"/>
    </row>
    <row r="4022" spans="1:27" ht="13.6">
      <c r="A4022" s="8"/>
      <c r="B4022" s="12"/>
      <c r="C4022" s="9"/>
      <c r="D4022" s="9"/>
      <c r="E4022" s="9"/>
      <c r="F4022" s="9"/>
      <c r="G4022" s="9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9"/>
      <c r="U4022" s="9"/>
      <c r="V4022" s="9"/>
      <c r="W4022" s="9"/>
      <c r="X4022" s="9"/>
      <c r="Y4022" s="9"/>
      <c r="Z4022" s="9"/>
      <c r="AA4022" s="9"/>
    </row>
    <row r="4023" spans="1:27" ht="13.6">
      <c r="A4023" s="8"/>
      <c r="B4023" s="12"/>
      <c r="C4023" s="9"/>
      <c r="D4023" s="9"/>
      <c r="E4023" s="9"/>
      <c r="F4023" s="9"/>
      <c r="G4023" s="9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9"/>
      <c r="U4023" s="9"/>
      <c r="V4023" s="9"/>
      <c r="W4023" s="9"/>
      <c r="X4023" s="9"/>
      <c r="Y4023" s="9"/>
      <c r="Z4023" s="9"/>
      <c r="AA4023" s="9"/>
    </row>
    <row r="4024" spans="1:27" ht="13.6">
      <c r="A4024" s="8"/>
      <c r="B4024" s="12"/>
      <c r="C4024" s="9"/>
      <c r="D4024" s="9"/>
      <c r="E4024" s="9"/>
      <c r="F4024" s="9"/>
      <c r="G4024" s="9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9"/>
      <c r="U4024" s="9"/>
      <c r="V4024" s="9"/>
      <c r="W4024" s="9"/>
      <c r="X4024" s="9"/>
      <c r="Y4024" s="9"/>
      <c r="Z4024" s="9"/>
      <c r="AA4024" s="9"/>
    </row>
    <row r="4025" spans="1:27" ht="13.6">
      <c r="A4025" s="8"/>
      <c r="B4025" s="12"/>
      <c r="C4025" s="9"/>
      <c r="D4025" s="9"/>
      <c r="E4025" s="9"/>
      <c r="F4025" s="9"/>
      <c r="G4025" s="9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9"/>
      <c r="U4025" s="9"/>
      <c r="V4025" s="9"/>
      <c r="W4025" s="9"/>
      <c r="X4025" s="9"/>
      <c r="Y4025" s="9"/>
      <c r="Z4025" s="9"/>
      <c r="AA4025" s="9"/>
    </row>
    <row r="4026" spans="1:27" ht="13.6">
      <c r="A4026" s="8"/>
      <c r="B4026" s="12"/>
      <c r="C4026" s="9"/>
      <c r="D4026" s="9"/>
      <c r="E4026" s="9"/>
      <c r="F4026" s="9"/>
      <c r="G4026" s="9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9"/>
      <c r="U4026" s="9"/>
      <c r="V4026" s="9"/>
      <c r="W4026" s="9"/>
      <c r="X4026" s="9"/>
      <c r="Y4026" s="9"/>
      <c r="Z4026" s="9"/>
      <c r="AA4026" s="9"/>
    </row>
    <row r="4027" spans="1:27" ht="13.6">
      <c r="A4027" s="8"/>
      <c r="B4027" s="12"/>
      <c r="C4027" s="9"/>
      <c r="D4027" s="9"/>
      <c r="E4027" s="9"/>
      <c r="F4027" s="9"/>
      <c r="G4027" s="9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9"/>
      <c r="U4027" s="9"/>
      <c r="V4027" s="9"/>
      <c r="W4027" s="9"/>
      <c r="X4027" s="9"/>
      <c r="Y4027" s="9"/>
      <c r="Z4027" s="9"/>
      <c r="AA4027" s="9"/>
    </row>
    <row r="4028" spans="1:27" ht="13.6">
      <c r="A4028" s="8"/>
      <c r="B4028" s="12"/>
      <c r="C4028" s="9"/>
      <c r="D4028" s="9"/>
      <c r="E4028" s="9"/>
      <c r="F4028" s="9"/>
      <c r="G4028" s="9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9"/>
      <c r="U4028" s="9"/>
      <c r="V4028" s="9"/>
      <c r="W4028" s="9"/>
      <c r="X4028" s="9"/>
      <c r="Y4028" s="9"/>
      <c r="Z4028" s="9"/>
      <c r="AA4028" s="9"/>
    </row>
    <row r="4029" spans="1:27" ht="13.6">
      <c r="A4029" s="8"/>
      <c r="B4029" s="12"/>
      <c r="C4029" s="9"/>
      <c r="D4029" s="9"/>
      <c r="E4029" s="9"/>
      <c r="F4029" s="9"/>
      <c r="G4029" s="9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9"/>
      <c r="U4029" s="9"/>
      <c r="V4029" s="9"/>
      <c r="W4029" s="9"/>
      <c r="X4029" s="9"/>
      <c r="Y4029" s="9"/>
      <c r="Z4029" s="9"/>
      <c r="AA4029" s="9"/>
    </row>
    <row r="4030" spans="1:27" ht="13.6">
      <c r="A4030" s="8"/>
      <c r="B4030" s="12"/>
      <c r="C4030" s="9"/>
      <c r="D4030" s="9"/>
      <c r="E4030" s="9"/>
      <c r="F4030" s="9"/>
      <c r="G4030" s="9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9"/>
      <c r="U4030" s="9"/>
      <c r="V4030" s="9"/>
      <c r="W4030" s="9"/>
      <c r="X4030" s="9"/>
      <c r="Y4030" s="9"/>
      <c r="Z4030" s="9"/>
      <c r="AA4030" s="9"/>
    </row>
    <row r="4031" spans="1:27" ht="13.6">
      <c r="A4031" s="8"/>
      <c r="B4031" s="12"/>
      <c r="C4031" s="9"/>
      <c r="D4031" s="9"/>
      <c r="E4031" s="9"/>
      <c r="F4031" s="9"/>
      <c r="G4031" s="9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9"/>
      <c r="U4031" s="9"/>
      <c r="V4031" s="9"/>
      <c r="W4031" s="9"/>
      <c r="X4031" s="9"/>
      <c r="Y4031" s="9"/>
      <c r="Z4031" s="9"/>
      <c r="AA4031" s="9"/>
    </row>
    <row r="4032" spans="1:27" ht="13.6">
      <c r="A4032" s="8"/>
      <c r="B4032" s="12"/>
      <c r="C4032" s="9"/>
      <c r="D4032" s="9"/>
      <c r="E4032" s="9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9"/>
      <c r="U4032" s="9"/>
      <c r="V4032" s="9"/>
      <c r="W4032" s="9"/>
      <c r="X4032" s="9"/>
      <c r="Y4032" s="9"/>
      <c r="Z4032" s="9"/>
      <c r="AA4032" s="9"/>
    </row>
    <row r="4033" spans="1:27" ht="13.6">
      <c r="A4033" s="8"/>
      <c r="B4033" s="12"/>
      <c r="C4033" s="9"/>
      <c r="D4033" s="9"/>
      <c r="E4033" s="9"/>
      <c r="F4033" s="9"/>
      <c r="G4033" s="9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9"/>
      <c r="U4033" s="9"/>
      <c r="V4033" s="9"/>
      <c r="W4033" s="9"/>
      <c r="X4033" s="9"/>
      <c r="Y4033" s="9"/>
      <c r="Z4033" s="9"/>
      <c r="AA4033" s="9"/>
    </row>
    <row r="4034" spans="1:27" ht="13.6">
      <c r="A4034" s="8"/>
      <c r="B4034" s="12"/>
      <c r="C4034" s="9"/>
      <c r="D4034" s="9"/>
      <c r="E4034" s="9"/>
      <c r="F4034" s="9"/>
      <c r="G4034" s="9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9"/>
      <c r="U4034" s="9"/>
      <c r="V4034" s="9"/>
      <c r="W4034" s="9"/>
      <c r="X4034" s="9"/>
      <c r="Y4034" s="9"/>
      <c r="Z4034" s="9"/>
      <c r="AA4034" s="9"/>
    </row>
    <row r="4035" spans="1:27" ht="13.6">
      <c r="A4035" s="8"/>
      <c r="B4035" s="12"/>
      <c r="C4035" s="9"/>
      <c r="D4035" s="9"/>
      <c r="E4035" s="9"/>
      <c r="F4035" s="9"/>
      <c r="G4035" s="9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9"/>
      <c r="U4035" s="9"/>
      <c r="V4035" s="9"/>
      <c r="W4035" s="9"/>
      <c r="X4035" s="9"/>
      <c r="Y4035" s="9"/>
      <c r="Z4035" s="9"/>
      <c r="AA4035" s="9"/>
    </row>
    <row r="4036" spans="1:27" ht="13.6">
      <c r="A4036" s="8"/>
      <c r="B4036" s="12"/>
      <c r="C4036" s="9"/>
      <c r="D4036" s="9"/>
      <c r="E4036" s="9"/>
      <c r="F4036" s="9"/>
      <c r="G4036" s="9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9"/>
      <c r="U4036" s="9"/>
      <c r="V4036" s="9"/>
      <c r="W4036" s="9"/>
      <c r="X4036" s="9"/>
      <c r="Y4036" s="9"/>
      <c r="Z4036" s="9"/>
      <c r="AA4036" s="9"/>
    </row>
    <row r="4037" spans="1:27" ht="13.6">
      <c r="A4037" s="8"/>
      <c r="B4037" s="12"/>
      <c r="C4037" s="9"/>
      <c r="D4037" s="9"/>
      <c r="E4037" s="9"/>
      <c r="F4037" s="9"/>
      <c r="G4037" s="9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9"/>
      <c r="U4037" s="9"/>
      <c r="V4037" s="9"/>
      <c r="W4037" s="9"/>
      <c r="X4037" s="9"/>
      <c r="Y4037" s="9"/>
      <c r="Z4037" s="9"/>
      <c r="AA4037" s="9"/>
    </row>
    <row r="4038" spans="1:27" ht="13.6">
      <c r="A4038" s="8"/>
      <c r="B4038" s="12"/>
      <c r="C4038" s="9"/>
      <c r="D4038" s="9"/>
      <c r="E4038" s="9"/>
      <c r="F4038" s="9"/>
      <c r="G4038" s="9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9"/>
      <c r="U4038" s="9"/>
      <c r="V4038" s="9"/>
      <c r="W4038" s="9"/>
      <c r="X4038" s="9"/>
      <c r="Y4038" s="9"/>
      <c r="Z4038" s="9"/>
      <c r="AA4038" s="9"/>
    </row>
    <row r="4039" spans="1:27" ht="13.6">
      <c r="A4039" s="8"/>
      <c r="B4039" s="12"/>
      <c r="C4039" s="9"/>
      <c r="D4039" s="9"/>
      <c r="E4039" s="9"/>
      <c r="F4039" s="9"/>
      <c r="G4039" s="9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9"/>
      <c r="U4039" s="9"/>
      <c r="V4039" s="9"/>
      <c r="W4039" s="9"/>
      <c r="X4039" s="9"/>
      <c r="Y4039" s="9"/>
      <c r="Z4039" s="9"/>
      <c r="AA4039" s="9"/>
    </row>
    <row r="4040" spans="1:27" ht="13.6">
      <c r="A4040" s="8"/>
      <c r="B4040" s="12"/>
      <c r="C4040" s="9"/>
      <c r="D4040" s="9"/>
      <c r="E4040" s="9"/>
      <c r="F4040" s="9"/>
      <c r="G4040" s="9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9"/>
      <c r="U4040" s="9"/>
      <c r="V4040" s="9"/>
      <c r="W4040" s="9"/>
      <c r="X4040" s="9"/>
      <c r="Y4040" s="9"/>
      <c r="Z4040" s="9"/>
      <c r="AA4040" s="9"/>
    </row>
    <row r="4041" spans="1:27" ht="13.6">
      <c r="A4041" s="8"/>
      <c r="B4041" s="12"/>
      <c r="C4041" s="9"/>
      <c r="D4041" s="9"/>
      <c r="E4041" s="9"/>
      <c r="F4041" s="9"/>
      <c r="G4041" s="9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9"/>
      <c r="U4041" s="9"/>
      <c r="V4041" s="9"/>
      <c r="W4041" s="9"/>
      <c r="X4041" s="9"/>
      <c r="Y4041" s="9"/>
      <c r="Z4041" s="9"/>
      <c r="AA4041" s="9"/>
    </row>
    <row r="4042" spans="1:27" ht="13.6">
      <c r="A4042" s="8"/>
      <c r="B4042" s="12"/>
      <c r="C4042" s="9"/>
      <c r="D4042" s="9"/>
      <c r="E4042" s="9"/>
      <c r="F4042" s="9"/>
      <c r="G4042" s="9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9"/>
      <c r="U4042" s="9"/>
      <c r="V4042" s="9"/>
      <c r="W4042" s="9"/>
      <c r="X4042" s="9"/>
      <c r="Y4042" s="9"/>
      <c r="Z4042" s="9"/>
      <c r="AA4042" s="9"/>
    </row>
    <row r="4043" spans="1:27" ht="13.6">
      <c r="A4043" s="8"/>
      <c r="B4043" s="12"/>
      <c r="C4043" s="9"/>
      <c r="D4043" s="9"/>
      <c r="E4043" s="9"/>
      <c r="F4043" s="9"/>
      <c r="G4043" s="9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9"/>
      <c r="U4043" s="9"/>
      <c r="V4043" s="9"/>
      <c r="W4043" s="9"/>
      <c r="X4043" s="9"/>
      <c r="Y4043" s="9"/>
      <c r="Z4043" s="9"/>
      <c r="AA4043" s="9"/>
    </row>
    <row r="4044" spans="1:27" ht="13.6">
      <c r="A4044" s="8"/>
      <c r="B4044" s="12"/>
      <c r="C4044" s="9"/>
      <c r="D4044" s="9"/>
      <c r="E4044" s="9"/>
      <c r="F4044" s="9"/>
      <c r="G4044" s="9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9"/>
      <c r="U4044" s="9"/>
      <c r="V4044" s="9"/>
      <c r="W4044" s="9"/>
      <c r="X4044" s="9"/>
      <c r="Y4044" s="9"/>
      <c r="Z4044" s="9"/>
      <c r="AA4044" s="9"/>
    </row>
    <row r="4045" spans="1:27" ht="13.6">
      <c r="A4045" s="8"/>
      <c r="B4045" s="12"/>
      <c r="C4045" s="9"/>
      <c r="D4045" s="9"/>
      <c r="E4045" s="9"/>
      <c r="F4045" s="9"/>
      <c r="G4045" s="9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9"/>
      <c r="U4045" s="9"/>
      <c r="V4045" s="9"/>
      <c r="W4045" s="9"/>
      <c r="X4045" s="9"/>
      <c r="Y4045" s="9"/>
      <c r="Z4045" s="9"/>
      <c r="AA4045" s="9"/>
    </row>
    <row r="4046" spans="1:27" ht="13.6">
      <c r="A4046" s="8"/>
      <c r="B4046" s="12"/>
      <c r="C4046" s="9"/>
      <c r="D4046" s="9"/>
      <c r="E4046" s="9"/>
      <c r="F4046" s="9"/>
      <c r="G4046" s="9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9"/>
      <c r="U4046" s="9"/>
      <c r="V4046" s="9"/>
      <c r="W4046" s="9"/>
      <c r="X4046" s="9"/>
      <c r="Y4046" s="9"/>
      <c r="Z4046" s="9"/>
      <c r="AA4046" s="9"/>
    </row>
    <row r="4047" spans="1:27" ht="13.6">
      <c r="A4047" s="8"/>
      <c r="B4047" s="12"/>
      <c r="C4047" s="9"/>
      <c r="D4047" s="9"/>
      <c r="E4047" s="9"/>
      <c r="F4047" s="9"/>
      <c r="G4047" s="9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9"/>
      <c r="U4047" s="9"/>
      <c r="V4047" s="9"/>
      <c r="W4047" s="9"/>
      <c r="X4047" s="9"/>
      <c r="Y4047" s="9"/>
      <c r="Z4047" s="9"/>
      <c r="AA4047" s="9"/>
    </row>
    <row r="4048" spans="1:27" ht="13.6">
      <c r="A4048" s="8"/>
      <c r="B4048" s="12"/>
      <c r="C4048" s="9"/>
      <c r="D4048" s="9"/>
      <c r="E4048" s="9"/>
      <c r="F4048" s="9"/>
      <c r="G4048" s="9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9"/>
      <c r="U4048" s="9"/>
      <c r="V4048" s="9"/>
      <c r="W4048" s="9"/>
      <c r="X4048" s="9"/>
      <c r="Y4048" s="9"/>
      <c r="Z4048" s="9"/>
      <c r="AA4048" s="9"/>
    </row>
    <row r="4049" spans="1:27" ht="13.6">
      <c r="A4049" s="8"/>
      <c r="B4049" s="12"/>
      <c r="C4049" s="9"/>
      <c r="D4049" s="9"/>
      <c r="E4049" s="9"/>
      <c r="F4049" s="9"/>
      <c r="G4049" s="9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9"/>
      <c r="U4049" s="9"/>
      <c r="V4049" s="9"/>
      <c r="W4049" s="9"/>
      <c r="X4049" s="9"/>
      <c r="Y4049" s="9"/>
      <c r="Z4049" s="9"/>
      <c r="AA4049" s="9"/>
    </row>
    <row r="4050" spans="1:27" ht="13.6">
      <c r="A4050" s="8"/>
      <c r="B4050" s="12"/>
      <c r="C4050" s="9"/>
      <c r="D4050" s="9"/>
      <c r="E4050" s="9"/>
      <c r="F4050" s="9"/>
      <c r="G4050" s="9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9"/>
      <c r="U4050" s="9"/>
      <c r="V4050" s="9"/>
      <c r="W4050" s="9"/>
      <c r="X4050" s="9"/>
      <c r="Y4050" s="9"/>
      <c r="Z4050" s="9"/>
      <c r="AA4050" s="9"/>
    </row>
    <row r="4051" spans="1:27" ht="13.6">
      <c r="A4051" s="8"/>
      <c r="B4051" s="12"/>
      <c r="C4051" s="9"/>
      <c r="D4051" s="9"/>
      <c r="E4051" s="9"/>
      <c r="F4051" s="9"/>
      <c r="G4051" s="9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9"/>
      <c r="U4051" s="9"/>
      <c r="V4051" s="9"/>
      <c r="W4051" s="9"/>
      <c r="X4051" s="9"/>
      <c r="Y4051" s="9"/>
      <c r="Z4051" s="9"/>
      <c r="AA4051" s="9"/>
    </row>
    <row r="4052" spans="1:27" ht="13.6">
      <c r="A4052" s="8"/>
      <c r="B4052" s="12"/>
      <c r="C4052" s="9"/>
      <c r="D4052" s="9"/>
      <c r="E4052" s="9"/>
      <c r="F4052" s="9"/>
      <c r="G4052" s="9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9"/>
      <c r="U4052" s="9"/>
      <c r="V4052" s="9"/>
      <c r="W4052" s="9"/>
      <c r="X4052" s="9"/>
      <c r="Y4052" s="9"/>
      <c r="Z4052" s="9"/>
      <c r="AA4052" s="9"/>
    </row>
    <row r="4053" spans="1:27" ht="13.6">
      <c r="A4053" s="8"/>
      <c r="B4053" s="12"/>
      <c r="C4053" s="9"/>
      <c r="D4053" s="9"/>
      <c r="E4053" s="9"/>
      <c r="F4053" s="9"/>
      <c r="G4053" s="9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9"/>
      <c r="U4053" s="9"/>
      <c r="V4053" s="9"/>
      <c r="W4053" s="9"/>
      <c r="X4053" s="9"/>
      <c r="Y4053" s="9"/>
      <c r="Z4053" s="9"/>
      <c r="AA4053" s="9"/>
    </row>
    <row r="4054" spans="1:27" ht="13.6">
      <c r="A4054" s="8"/>
      <c r="B4054" s="12"/>
      <c r="C4054" s="9"/>
      <c r="D4054" s="9"/>
      <c r="E4054" s="9"/>
      <c r="F4054" s="9"/>
      <c r="G4054" s="9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9"/>
      <c r="U4054" s="9"/>
      <c r="V4054" s="9"/>
      <c r="W4054" s="9"/>
      <c r="X4054" s="9"/>
      <c r="Y4054" s="9"/>
      <c r="Z4054" s="9"/>
      <c r="AA4054" s="9"/>
    </row>
    <row r="4055" spans="1:27" ht="13.6">
      <c r="A4055" s="8"/>
      <c r="B4055" s="12"/>
      <c r="C4055" s="9"/>
      <c r="D4055" s="9"/>
      <c r="E4055" s="9"/>
      <c r="F4055" s="9"/>
      <c r="G4055" s="9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9"/>
      <c r="U4055" s="9"/>
      <c r="V4055" s="9"/>
      <c r="W4055" s="9"/>
      <c r="X4055" s="9"/>
      <c r="Y4055" s="9"/>
      <c r="Z4055" s="9"/>
      <c r="AA4055" s="9"/>
    </row>
    <row r="4056" spans="1:27" ht="13.6">
      <c r="A4056" s="8"/>
      <c r="B4056" s="12"/>
      <c r="C4056" s="9"/>
      <c r="D4056" s="9"/>
      <c r="E4056" s="9"/>
      <c r="F4056" s="9"/>
      <c r="G4056" s="9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9"/>
      <c r="U4056" s="9"/>
      <c r="V4056" s="9"/>
      <c r="W4056" s="9"/>
      <c r="X4056" s="9"/>
      <c r="Y4056" s="9"/>
      <c r="Z4056" s="9"/>
      <c r="AA4056" s="9"/>
    </row>
    <row r="4057" spans="1:27" ht="13.6">
      <c r="A4057" s="8"/>
      <c r="B4057" s="12"/>
      <c r="C4057" s="9"/>
      <c r="D4057" s="9"/>
      <c r="E4057" s="9"/>
      <c r="F4057" s="9"/>
      <c r="G4057" s="9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9"/>
      <c r="U4057" s="9"/>
      <c r="V4057" s="9"/>
      <c r="W4057" s="9"/>
      <c r="X4057" s="9"/>
      <c r="Y4057" s="9"/>
      <c r="Z4057" s="9"/>
      <c r="AA4057" s="9"/>
    </row>
    <row r="4058" spans="1:27" ht="13.6">
      <c r="A4058" s="8"/>
      <c r="B4058" s="12"/>
      <c r="C4058" s="9"/>
      <c r="D4058" s="9"/>
      <c r="E4058" s="9"/>
      <c r="F4058" s="9"/>
      <c r="G4058" s="9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9"/>
      <c r="U4058" s="9"/>
      <c r="V4058" s="9"/>
      <c r="W4058" s="9"/>
      <c r="X4058" s="9"/>
      <c r="Y4058" s="9"/>
      <c r="Z4058" s="9"/>
      <c r="AA4058" s="9"/>
    </row>
    <row r="4059" spans="1:27" ht="13.6">
      <c r="A4059" s="8"/>
      <c r="B4059" s="12"/>
      <c r="C4059" s="9"/>
      <c r="D4059" s="9"/>
      <c r="E4059" s="9"/>
      <c r="F4059" s="9"/>
      <c r="G4059" s="9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9"/>
      <c r="U4059" s="9"/>
      <c r="V4059" s="9"/>
      <c r="W4059" s="9"/>
      <c r="X4059" s="9"/>
      <c r="Y4059" s="9"/>
      <c r="Z4059" s="9"/>
      <c r="AA4059" s="9"/>
    </row>
    <row r="4060" spans="1:27" ht="13.6">
      <c r="A4060" s="8"/>
      <c r="B4060" s="12"/>
      <c r="C4060" s="9"/>
      <c r="D4060" s="9"/>
      <c r="E4060" s="9"/>
      <c r="F4060" s="9"/>
      <c r="G4060" s="9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9"/>
      <c r="U4060" s="9"/>
      <c r="V4060" s="9"/>
      <c r="W4060" s="9"/>
      <c r="X4060" s="9"/>
      <c r="Y4060" s="9"/>
      <c r="Z4060" s="9"/>
      <c r="AA4060" s="9"/>
    </row>
    <row r="4061" spans="1:27" ht="13.6">
      <c r="A4061" s="8"/>
      <c r="B4061" s="12"/>
      <c r="C4061" s="9"/>
      <c r="D4061" s="9"/>
      <c r="E4061" s="9"/>
      <c r="F4061" s="9"/>
      <c r="G4061" s="9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9"/>
      <c r="U4061" s="9"/>
      <c r="V4061" s="9"/>
      <c r="W4061" s="9"/>
      <c r="X4061" s="9"/>
      <c r="Y4061" s="9"/>
      <c r="Z4061" s="9"/>
      <c r="AA4061" s="9"/>
    </row>
    <row r="4062" spans="1:27" ht="13.6">
      <c r="A4062" s="8"/>
      <c r="B4062" s="12"/>
      <c r="C4062" s="9"/>
      <c r="D4062" s="9"/>
      <c r="E4062" s="9"/>
      <c r="F4062" s="9"/>
      <c r="G4062" s="9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9"/>
      <c r="U4062" s="9"/>
      <c r="V4062" s="9"/>
      <c r="W4062" s="9"/>
      <c r="X4062" s="9"/>
      <c r="Y4062" s="9"/>
      <c r="Z4062" s="9"/>
      <c r="AA4062" s="9"/>
    </row>
    <row r="4063" spans="1:27" ht="13.6">
      <c r="A4063" s="8"/>
      <c r="B4063" s="12"/>
      <c r="C4063" s="9"/>
      <c r="D4063" s="9"/>
      <c r="E4063" s="9"/>
      <c r="F4063" s="9"/>
      <c r="G4063" s="9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9"/>
      <c r="U4063" s="9"/>
      <c r="V4063" s="9"/>
      <c r="W4063" s="9"/>
      <c r="X4063" s="9"/>
      <c r="Y4063" s="9"/>
      <c r="Z4063" s="9"/>
      <c r="AA4063" s="9"/>
    </row>
    <row r="4064" spans="1:27" ht="13.6">
      <c r="A4064" s="8"/>
      <c r="B4064" s="12"/>
      <c r="C4064" s="9"/>
      <c r="D4064" s="9"/>
      <c r="E4064" s="9"/>
      <c r="F4064" s="9"/>
      <c r="G4064" s="9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9"/>
      <c r="U4064" s="9"/>
      <c r="V4064" s="9"/>
      <c r="W4064" s="9"/>
      <c r="X4064" s="9"/>
      <c r="Y4064" s="9"/>
      <c r="Z4064" s="9"/>
      <c r="AA4064" s="9"/>
    </row>
    <row r="4065" spans="1:27" ht="13.6">
      <c r="A4065" s="8"/>
      <c r="B4065" s="12"/>
      <c r="C4065" s="9"/>
      <c r="D4065" s="9"/>
      <c r="E4065" s="9"/>
      <c r="F4065" s="9"/>
      <c r="G4065" s="9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9"/>
      <c r="U4065" s="9"/>
      <c r="V4065" s="9"/>
      <c r="W4065" s="9"/>
      <c r="X4065" s="9"/>
      <c r="Y4065" s="9"/>
      <c r="Z4065" s="9"/>
      <c r="AA4065" s="9"/>
    </row>
    <row r="4066" spans="1:27" ht="13.6">
      <c r="A4066" s="8"/>
      <c r="B4066" s="12"/>
      <c r="C4066" s="9"/>
      <c r="D4066" s="9"/>
      <c r="E4066" s="9"/>
      <c r="F4066" s="9"/>
      <c r="G4066" s="9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9"/>
      <c r="U4066" s="9"/>
      <c r="V4066" s="9"/>
      <c r="W4066" s="9"/>
      <c r="X4066" s="9"/>
      <c r="Y4066" s="9"/>
      <c r="Z4066" s="9"/>
      <c r="AA4066" s="9"/>
    </row>
    <row r="4067" spans="1:27" ht="13.6">
      <c r="A4067" s="8"/>
      <c r="B4067" s="12"/>
      <c r="C4067" s="9"/>
      <c r="D4067" s="9"/>
      <c r="E4067" s="9"/>
      <c r="F4067" s="9"/>
      <c r="G4067" s="9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9"/>
      <c r="U4067" s="9"/>
      <c r="V4067" s="9"/>
      <c r="W4067" s="9"/>
      <c r="X4067" s="9"/>
      <c r="Y4067" s="9"/>
      <c r="Z4067" s="9"/>
      <c r="AA4067" s="9"/>
    </row>
    <row r="4068" spans="1:27" ht="13.6">
      <c r="A4068" s="8"/>
      <c r="B4068" s="12"/>
      <c r="C4068" s="9"/>
      <c r="D4068" s="9"/>
      <c r="E4068" s="9"/>
      <c r="F4068" s="9"/>
      <c r="G4068" s="9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9"/>
      <c r="U4068" s="9"/>
      <c r="V4068" s="9"/>
      <c r="W4068" s="9"/>
      <c r="X4068" s="9"/>
      <c r="Y4068" s="9"/>
      <c r="Z4068" s="9"/>
      <c r="AA4068" s="9"/>
    </row>
    <row r="4069" spans="1:27" ht="13.6">
      <c r="A4069" s="8"/>
      <c r="B4069" s="12"/>
      <c r="C4069" s="9"/>
      <c r="D4069" s="9"/>
      <c r="E4069" s="9"/>
      <c r="F4069" s="9"/>
      <c r="G4069" s="9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9"/>
      <c r="U4069" s="9"/>
      <c r="V4069" s="9"/>
      <c r="W4069" s="9"/>
      <c r="X4069" s="9"/>
      <c r="Y4069" s="9"/>
      <c r="Z4069" s="9"/>
      <c r="AA4069" s="9"/>
    </row>
    <row r="4070" spans="1:27" ht="13.6">
      <c r="A4070" s="8"/>
      <c r="B4070" s="12"/>
      <c r="C4070" s="9"/>
      <c r="D4070" s="9"/>
      <c r="E4070" s="9"/>
      <c r="F4070" s="9"/>
      <c r="G4070" s="9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9"/>
      <c r="U4070" s="9"/>
      <c r="V4070" s="9"/>
      <c r="W4070" s="9"/>
      <c r="X4070" s="9"/>
      <c r="Y4070" s="9"/>
      <c r="Z4070" s="9"/>
      <c r="AA4070" s="9"/>
    </row>
    <row r="4071" spans="1:27" ht="13.6">
      <c r="A4071" s="8"/>
      <c r="B4071" s="12"/>
      <c r="C4071" s="9"/>
      <c r="D4071" s="9"/>
      <c r="E4071" s="9"/>
      <c r="F4071" s="9"/>
      <c r="G4071" s="9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9"/>
      <c r="U4071" s="9"/>
      <c r="V4071" s="9"/>
      <c r="W4071" s="9"/>
      <c r="X4071" s="9"/>
      <c r="Y4071" s="9"/>
      <c r="Z4071" s="9"/>
      <c r="AA4071" s="9"/>
    </row>
    <row r="4072" spans="1:27" ht="13.6">
      <c r="A4072" s="8"/>
      <c r="B4072" s="12"/>
      <c r="C4072" s="9"/>
      <c r="D4072" s="9"/>
      <c r="E4072" s="9"/>
      <c r="F4072" s="9"/>
      <c r="G4072" s="9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9"/>
      <c r="U4072" s="9"/>
      <c r="V4072" s="9"/>
      <c r="W4072" s="9"/>
      <c r="X4072" s="9"/>
      <c r="Y4072" s="9"/>
      <c r="Z4072" s="9"/>
      <c r="AA4072" s="9"/>
    </row>
    <row r="4073" spans="1:27" ht="13.6">
      <c r="A4073" s="8"/>
      <c r="B4073" s="12"/>
      <c r="C4073" s="9"/>
      <c r="D4073" s="9"/>
      <c r="E4073" s="9"/>
      <c r="F4073" s="9"/>
      <c r="G4073" s="9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9"/>
      <c r="U4073" s="9"/>
      <c r="V4073" s="9"/>
      <c r="W4073" s="9"/>
      <c r="X4073" s="9"/>
      <c r="Y4073" s="9"/>
      <c r="Z4073" s="9"/>
      <c r="AA4073" s="9"/>
    </row>
    <row r="4074" spans="1:27" ht="13.6">
      <c r="A4074" s="8"/>
      <c r="B4074" s="12"/>
      <c r="C4074" s="9"/>
      <c r="D4074" s="9"/>
      <c r="E4074" s="9"/>
      <c r="F4074" s="9"/>
      <c r="G4074" s="9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9"/>
      <c r="U4074" s="9"/>
      <c r="V4074" s="9"/>
      <c r="W4074" s="9"/>
      <c r="X4074" s="9"/>
      <c r="Y4074" s="9"/>
      <c r="Z4074" s="9"/>
      <c r="AA4074" s="9"/>
    </row>
    <row r="4075" spans="1:27" ht="13.6">
      <c r="A4075" s="8"/>
      <c r="B4075" s="12"/>
      <c r="C4075" s="9"/>
      <c r="D4075" s="9"/>
      <c r="E4075" s="9"/>
      <c r="F4075" s="9"/>
      <c r="G4075" s="9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9"/>
      <c r="U4075" s="9"/>
      <c r="V4075" s="9"/>
      <c r="W4075" s="9"/>
      <c r="X4075" s="9"/>
      <c r="Y4075" s="9"/>
      <c r="Z4075" s="9"/>
      <c r="AA4075" s="9"/>
    </row>
    <row r="4076" spans="1:27" ht="13.6">
      <c r="A4076" s="8"/>
      <c r="B4076" s="12"/>
      <c r="C4076" s="9"/>
      <c r="D4076" s="9"/>
      <c r="E4076" s="9"/>
      <c r="F4076" s="9"/>
      <c r="G4076" s="9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9"/>
      <c r="U4076" s="9"/>
      <c r="V4076" s="9"/>
      <c r="W4076" s="9"/>
      <c r="X4076" s="9"/>
      <c r="Y4076" s="9"/>
      <c r="Z4076" s="9"/>
      <c r="AA4076" s="9"/>
    </row>
    <row r="4077" spans="1:27" ht="13.6">
      <c r="A4077" s="8"/>
      <c r="B4077" s="12"/>
      <c r="C4077" s="9"/>
      <c r="D4077" s="9"/>
      <c r="E4077" s="9"/>
      <c r="F4077" s="9"/>
      <c r="G4077" s="9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9"/>
      <c r="U4077" s="9"/>
      <c r="V4077" s="9"/>
      <c r="W4077" s="9"/>
      <c r="X4077" s="9"/>
      <c r="Y4077" s="9"/>
      <c r="Z4077" s="9"/>
      <c r="AA4077" s="9"/>
    </row>
    <row r="4078" spans="1:27" ht="13.6">
      <c r="A4078" s="8"/>
      <c r="B4078" s="12"/>
      <c r="C4078" s="9"/>
      <c r="D4078" s="9"/>
      <c r="E4078" s="9"/>
      <c r="F4078" s="9"/>
      <c r="G4078" s="9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9"/>
      <c r="U4078" s="9"/>
      <c r="V4078" s="9"/>
      <c r="W4078" s="9"/>
      <c r="X4078" s="9"/>
      <c r="Y4078" s="9"/>
      <c r="Z4078" s="9"/>
      <c r="AA4078" s="9"/>
    </row>
    <row r="4079" spans="1:27" ht="13.6">
      <c r="A4079" s="8"/>
      <c r="B4079" s="12"/>
      <c r="C4079" s="9"/>
      <c r="D4079" s="9"/>
      <c r="E4079" s="9"/>
      <c r="F4079" s="9"/>
      <c r="G4079" s="9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9"/>
      <c r="U4079" s="9"/>
      <c r="V4079" s="9"/>
      <c r="W4079" s="9"/>
      <c r="X4079" s="9"/>
      <c r="Y4079" s="9"/>
      <c r="Z4079" s="9"/>
      <c r="AA4079" s="9"/>
    </row>
    <row r="4080" spans="1:27" ht="13.6">
      <c r="A4080" s="8"/>
      <c r="B4080" s="12"/>
      <c r="C4080" s="9"/>
      <c r="D4080" s="9"/>
      <c r="E4080" s="9"/>
      <c r="F4080" s="9"/>
      <c r="G4080" s="9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9"/>
      <c r="U4080" s="9"/>
      <c r="V4080" s="9"/>
      <c r="W4080" s="9"/>
      <c r="X4080" s="9"/>
      <c r="Y4080" s="9"/>
      <c r="Z4080" s="9"/>
      <c r="AA4080" s="9"/>
    </row>
    <row r="4081" spans="1:27" ht="13.6">
      <c r="A4081" s="8"/>
      <c r="B4081" s="12"/>
      <c r="C4081" s="9"/>
      <c r="D4081" s="9"/>
      <c r="E4081" s="9"/>
      <c r="F4081" s="9"/>
      <c r="G4081" s="9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9"/>
      <c r="U4081" s="9"/>
      <c r="V4081" s="9"/>
      <c r="W4081" s="9"/>
      <c r="X4081" s="9"/>
      <c r="Y4081" s="9"/>
      <c r="Z4081" s="9"/>
      <c r="AA4081" s="9"/>
    </row>
    <row r="4082" spans="1:27" ht="13.6">
      <c r="A4082" s="8"/>
      <c r="B4082" s="12"/>
      <c r="C4082" s="9"/>
      <c r="D4082" s="9"/>
      <c r="E4082" s="9"/>
      <c r="F4082" s="9"/>
      <c r="G4082" s="9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9"/>
      <c r="U4082" s="9"/>
      <c r="V4082" s="9"/>
      <c r="W4082" s="9"/>
      <c r="X4082" s="9"/>
      <c r="Y4082" s="9"/>
      <c r="Z4082" s="9"/>
      <c r="AA4082" s="9"/>
    </row>
    <row r="4083" spans="1:27" ht="13.6">
      <c r="A4083" s="8"/>
      <c r="B4083" s="12"/>
      <c r="C4083" s="9"/>
      <c r="D4083" s="9"/>
      <c r="E4083" s="9"/>
      <c r="F4083" s="9"/>
      <c r="G4083" s="9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9"/>
      <c r="U4083" s="9"/>
      <c r="V4083" s="9"/>
      <c r="W4083" s="9"/>
      <c r="X4083" s="9"/>
      <c r="Y4083" s="9"/>
      <c r="Z4083" s="9"/>
      <c r="AA4083" s="9"/>
    </row>
    <row r="4084" spans="1:27" ht="13.6">
      <c r="A4084" s="8"/>
      <c r="B4084" s="12"/>
      <c r="C4084" s="9"/>
      <c r="D4084" s="9"/>
      <c r="E4084" s="9"/>
      <c r="F4084" s="9"/>
      <c r="G4084" s="9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9"/>
      <c r="U4084" s="9"/>
      <c r="V4084" s="9"/>
      <c r="W4084" s="9"/>
      <c r="X4084" s="9"/>
      <c r="Y4084" s="9"/>
      <c r="Z4084" s="9"/>
      <c r="AA4084" s="9"/>
    </row>
    <row r="4085" spans="1:27" ht="13.6">
      <c r="A4085" s="8"/>
      <c r="B4085" s="12"/>
      <c r="C4085" s="9"/>
      <c r="D4085" s="9"/>
      <c r="E4085" s="9"/>
      <c r="F4085" s="9"/>
      <c r="G4085" s="9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9"/>
      <c r="U4085" s="9"/>
      <c r="V4085" s="9"/>
      <c r="W4085" s="9"/>
      <c r="X4085" s="9"/>
      <c r="Y4085" s="9"/>
      <c r="Z4085" s="9"/>
      <c r="AA4085" s="9"/>
    </row>
    <row r="4086" spans="1:27" ht="13.6">
      <c r="A4086" s="8"/>
      <c r="B4086" s="12"/>
      <c r="C4086" s="9"/>
      <c r="D4086" s="9"/>
      <c r="E4086" s="9"/>
      <c r="F4086" s="9"/>
      <c r="G4086" s="9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9"/>
      <c r="U4086" s="9"/>
      <c r="V4086" s="9"/>
      <c r="W4086" s="9"/>
      <c r="X4086" s="9"/>
      <c r="Y4086" s="9"/>
      <c r="Z4086" s="9"/>
      <c r="AA4086" s="9"/>
    </row>
    <row r="4087" spans="1:27" ht="13.6">
      <c r="A4087" s="8"/>
      <c r="B4087" s="12"/>
      <c r="C4087" s="9"/>
      <c r="D4087" s="9"/>
      <c r="E4087" s="9"/>
      <c r="F4087" s="9"/>
      <c r="G4087" s="9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9"/>
      <c r="U4087" s="9"/>
      <c r="V4087" s="9"/>
      <c r="W4087" s="9"/>
      <c r="X4087" s="9"/>
      <c r="Y4087" s="9"/>
      <c r="Z4087" s="9"/>
      <c r="AA4087" s="9"/>
    </row>
    <row r="4088" spans="1:27" ht="13.6">
      <c r="A4088" s="8"/>
      <c r="B4088" s="12"/>
      <c r="C4088" s="9"/>
      <c r="D4088" s="9"/>
      <c r="E4088" s="9"/>
      <c r="F4088" s="9"/>
      <c r="G4088" s="9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9"/>
      <c r="U4088" s="9"/>
      <c r="V4088" s="9"/>
      <c r="W4088" s="9"/>
      <c r="X4088" s="9"/>
      <c r="Y4088" s="9"/>
      <c r="Z4088" s="9"/>
      <c r="AA4088" s="9"/>
    </row>
    <row r="4089" spans="1:27" ht="13.6">
      <c r="A4089" s="8"/>
      <c r="B4089" s="12"/>
      <c r="C4089" s="9"/>
      <c r="D4089" s="9"/>
      <c r="E4089" s="9"/>
      <c r="F4089" s="9"/>
      <c r="G4089" s="9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9"/>
      <c r="U4089" s="9"/>
      <c r="V4089" s="9"/>
      <c r="W4089" s="9"/>
      <c r="X4089" s="9"/>
      <c r="Y4089" s="9"/>
      <c r="Z4089" s="9"/>
      <c r="AA4089" s="9"/>
    </row>
    <row r="4090" spans="1:27" ht="13.6">
      <c r="A4090" s="8"/>
      <c r="B4090" s="12"/>
      <c r="C4090" s="9"/>
      <c r="D4090" s="9"/>
      <c r="E4090" s="9"/>
      <c r="F4090" s="9"/>
      <c r="G4090" s="9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9"/>
      <c r="U4090" s="9"/>
      <c r="V4090" s="9"/>
      <c r="W4090" s="9"/>
      <c r="X4090" s="9"/>
      <c r="Y4090" s="9"/>
      <c r="Z4090" s="9"/>
      <c r="AA4090" s="9"/>
    </row>
    <row r="4091" spans="1:27" ht="13.6">
      <c r="A4091" s="8"/>
      <c r="B4091" s="12"/>
      <c r="C4091" s="9"/>
      <c r="D4091" s="9"/>
      <c r="E4091" s="9"/>
      <c r="F4091" s="9"/>
      <c r="G4091" s="9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9"/>
      <c r="U4091" s="9"/>
      <c r="V4091" s="9"/>
      <c r="W4091" s="9"/>
      <c r="X4091" s="9"/>
      <c r="Y4091" s="9"/>
      <c r="Z4091" s="9"/>
      <c r="AA4091" s="9"/>
    </row>
    <row r="4092" spans="1:27" ht="13.6">
      <c r="A4092" s="8"/>
      <c r="B4092" s="12"/>
      <c r="C4092" s="9"/>
      <c r="D4092" s="9"/>
      <c r="E4092" s="9"/>
      <c r="F4092" s="9"/>
      <c r="G4092" s="9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9"/>
      <c r="U4092" s="9"/>
      <c r="V4092" s="9"/>
      <c r="W4092" s="9"/>
      <c r="X4092" s="9"/>
      <c r="Y4092" s="9"/>
      <c r="Z4092" s="9"/>
      <c r="AA4092" s="9"/>
    </row>
    <row r="4093" spans="1:27" ht="13.6">
      <c r="A4093" s="8"/>
      <c r="B4093" s="12"/>
      <c r="C4093" s="9"/>
      <c r="D4093" s="9"/>
      <c r="E4093" s="9"/>
      <c r="F4093" s="9"/>
      <c r="G4093" s="9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9"/>
      <c r="U4093" s="9"/>
      <c r="V4093" s="9"/>
      <c r="W4093" s="9"/>
      <c r="X4093" s="9"/>
      <c r="Y4093" s="9"/>
      <c r="Z4093" s="9"/>
      <c r="AA4093" s="9"/>
    </row>
    <row r="4094" spans="1:27" ht="13.6">
      <c r="A4094" s="8"/>
      <c r="B4094" s="12"/>
      <c r="C4094" s="9"/>
      <c r="D4094" s="9"/>
      <c r="E4094" s="9"/>
      <c r="F4094" s="9"/>
      <c r="G4094" s="9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9"/>
      <c r="U4094" s="9"/>
      <c r="V4094" s="9"/>
      <c r="W4094" s="9"/>
      <c r="X4094" s="9"/>
      <c r="Y4094" s="9"/>
      <c r="Z4094" s="9"/>
      <c r="AA4094" s="9"/>
    </row>
    <row r="4095" spans="1:27" ht="13.6">
      <c r="A4095" s="8"/>
      <c r="B4095" s="12"/>
      <c r="C4095" s="9"/>
      <c r="D4095" s="9"/>
      <c r="E4095" s="9"/>
      <c r="F4095" s="9"/>
      <c r="G4095" s="9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9"/>
      <c r="U4095" s="9"/>
      <c r="V4095" s="9"/>
      <c r="W4095" s="9"/>
      <c r="X4095" s="9"/>
      <c r="Y4095" s="9"/>
      <c r="Z4095" s="9"/>
      <c r="AA4095" s="9"/>
    </row>
    <row r="4096" spans="1:27" ht="13.6">
      <c r="A4096" s="8"/>
      <c r="B4096" s="12"/>
      <c r="C4096" s="9"/>
      <c r="D4096" s="9"/>
      <c r="E4096" s="9"/>
      <c r="F4096" s="9"/>
      <c r="G4096" s="9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9"/>
      <c r="U4096" s="9"/>
      <c r="V4096" s="9"/>
      <c r="W4096" s="9"/>
      <c r="X4096" s="9"/>
      <c r="Y4096" s="9"/>
      <c r="Z4096" s="9"/>
      <c r="AA4096" s="9"/>
    </row>
    <row r="4097" spans="1:27" ht="13.6">
      <c r="A4097" s="8"/>
      <c r="B4097" s="12"/>
      <c r="C4097" s="9"/>
      <c r="D4097" s="9"/>
      <c r="E4097" s="9"/>
      <c r="F4097" s="9"/>
      <c r="G4097" s="9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9"/>
      <c r="U4097" s="9"/>
      <c r="V4097" s="9"/>
      <c r="W4097" s="9"/>
      <c r="X4097" s="9"/>
      <c r="Y4097" s="9"/>
      <c r="Z4097" s="9"/>
      <c r="AA4097" s="9"/>
    </row>
    <row r="4098" spans="1:27" ht="13.6">
      <c r="A4098" s="8"/>
      <c r="B4098" s="12"/>
      <c r="C4098" s="9"/>
      <c r="D4098" s="9"/>
      <c r="E4098" s="9"/>
      <c r="F4098" s="9"/>
      <c r="G4098" s="9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9"/>
      <c r="U4098" s="9"/>
      <c r="V4098" s="9"/>
      <c r="W4098" s="9"/>
      <c r="X4098" s="9"/>
      <c r="Y4098" s="9"/>
      <c r="Z4098" s="9"/>
      <c r="AA4098" s="9"/>
    </row>
    <row r="4099" spans="1:27" ht="13.6">
      <c r="A4099" s="8"/>
      <c r="B4099" s="12"/>
      <c r="C4099" s="9"/>
      <c r="D4099" s="9"/>
      <c r="E4099" s="9"/>
      <c r="F4099" s="9"/>
      <c r="G4099" s="9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9"/>
      <c r="U4099" s="9"/>
      <c r="V4099" s="9"/>
      <c r="W4099" s="9"/>
      <c r="X4099" s="9"/>
      <c r="Y4099" s="9"/>
      <c r="Z4099" s="9"/>
      <c r="AA4099" s="9"/>
    </row>
    <row r="4100" spans="1:27" ht="13.6">
      <c r="A4100" s="8"/>
      <c r="B4100" s="12"/>
      <c r="C4100" s="9"/>
      <c r="D4100" s="9"/>
      <c r="E4100" s="9"/>
      <c r="F4100" s="9"/>
      <c r="G4100" s="9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9"/>
      <c r="U4100" s="9"/>
      <c r="V4100" s="9"/>
      <c r="W4100" s="9"/>
      <c r="X4100" s="9"/>
      <c r="Y4100" s="9"/>
      <c r="Z4100" s="9"/>
      <c r="AA4100" s="9"/>
    </row>
    <row r="4101" spans="1:27" ht="13.6">
      <c r="A4101" s="8"/>
      <c r="B4101" s="12"/>
      <c r="C4101" s="9"/>
      <c r="D4101" s="9"/>
      <c r="E4101" s="9"/>
      <c r="F4101" s="9"/>
      <c r="G4101" s="9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9"/>
      <c r="U4101" s="9"/>
      <c r="V4101" s="9"/>
      <c r="W4101" s="9"/>
      <c r="X4101" s="9"/>
      <c r="Y4101" s="9"/>
      <c r="Z4101" s="9"/>
      <c r="AA4101" s="9"/>
    </row>
    <row r="4102" spans="1:27" ht="13.6">
      <c r="A4102" s="8"/>
      <c r="B4102" s="12"/>
      <c r="C4102" s="9"/>
      <c r="D4102" s="9"/>
      <c r="E4102" s="9"/>
      <c r="F4102" s="9"/>
      <c r="G4102" s="9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9"/>
      <c r="U4102" s="9"/>
      <c r="V4102" s="9"/>
      <c r="W4102" s="9"/>
      <c r="X4102" s="9"/>
      <c r="Y4102" s="9"/>
      <c r="Z4102" s="9"/>
      <c r="AA4102" s="9"/>
    </row>
    <row r="4103" spans="1:27" ht="13.6">
      <c r="A4103" s="8"/>
      <c r="B4103" s="12"/>
      <c r="C4103" s="9"/>
      <c r="D4103" s="9"/>
      <c r="E4103" s="9"/>
      <c r="F4103" s="9"/>
      <c r="G4103" s="9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9"/>
      <c r="U4103" s="9"/>
      <c r="V4103" s="9"/>
      <c r="W4103" s="9"/>
      <c r="X4103" s="9"/>
      <c r="Y4103" s="9"/>
      <c r="Z4103" s="9"/>
      <c r="AA4103" s="9"/>
    </row>
    <row r="4104" spans="1:27" ht="13.6">
      <c r="A4104" s="8"/>
      <c r="B4104" s="12"/>
      <c r="C4104" s="9"/>
      <c r="D4104" s="9"/>
      <c r="E4104" s="9"/>
      <c r="F4104" s="9"/>
      <c r="G4104" s="9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9"/>
      <c r="U4104" s="9"/>
      <c r="V4104" s="9"/>
      <c r="W4104" s="9"/>
      <c r="X4104" s="9"/>
      <c r="Y4104" s="9"/>
      <c r="Z4104" s="9"/>
      <c r="AA4104" s="9"/>
    </row>
    <row r="4105" spans="1:27" ht="13.6">
      <c r="A4105" s="8"/>
      <c r="B4105" s="12"/>
      <c r="C4105" s="9"/>
      <c r="D4105" s="9"/>
      <c r="E4105" s="9"/>
      <c r="F4105" s="9"/>
      <c r="G4105" s="9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9"/>
      <c r="U4105" s="9"/>
      <c r="V4105" s="9"/>
      <c r="W4105" s="9"/>
      <c r="X4105" s="9"/>
      <c r="Y4105" s="9"/>
      <c r="Z4105" s="9"/>
      <c r="AA4105" s="9"/>
    </row>
    <row r="4106" spans="1:27" ht="13.6">
      <c r="A4106" s="8"/>
      <c r="B4106" s="12"/>
      <c r="C4106" s="9"/>
      <c r="D4106" s="9"/>
      <c r="E4106" s="9"/>
      <c r="F4106" s="9"/>
      <c r="G4106" s="9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9"/>
      <c r="U4106" s="9"/>
      <c r="V4106" s="9"/>
      <c r="W4106" s="9"/>
      <c r="X4106" s="9"/>
      <c r="Y4106" s="9"/>
      <c r="Z4106" s="9"/>
      <c r="AA4106" s="9"/>
    </row>
    <row r="4107" spans="1:27" ht="13.6">
      <c r="A4107" s="8"/>
      <c r="B4107" s="12"/>
      <c r="C4107" s="9"/>
      <c r="D4107" s="9"/>
      <c r="E4107" s="9"/>
      <c r="F4107" s="9"/>
      <c r="G4107" s="9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9"/>
      <c r="U4107" s="9"/>
      <c r="V4107" s="9"/>
      <c r="W4107" s="9"/>
      <c r="X4107" s="9"/>
      <c r="Y4107" s="9"/>
      <c r="Z4107" s="9"/>
      <c r="AA4107" s="9"/>
    </row>
    <row r="4108" spans="1:27" ht="13.6">
      <c r="A4108" s="8"/>
      <c r="B4108" s="12"/>
      <c r="C4108" s="9"/>
      <c r="D4108" s="9"/>
      <c r="E4108" s="9"/>
      <c r="F4108" s="9"/>
      <c r="G4108" s="9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9"/>
      <c r="U4108" s="9"/>
      <c r="V4108" s="9"/>
      <c r="W4108" s="9"/>
      <c r="X4108" s="9"/>
      <c r="Y4108" s="9"/>
      <c r="Z4108" s="9"/>
      <c r="AA4108" s="9"/>
    </row>
    <row r="4109" spans="1:27" ht="13.6">
      <c r="A4109" s="8"/>
      <c r="B4109" s="12"/>
      <c r="C4109" s="9"/>
      <c r="D4109" s="9"/>
      <c r="E4109" s="9"/>
      <c r="F4109" s="9"/>
      <c r="G4109" s="9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9"/>
      <c r="U4109" s="9"/>
      <c r="V4109" s="9"/>
      <c r="W4109" s="9"/>
      <c r="X4109" s="9"/>
      <c r="Y4109" s="9"/>
      <c r="Z4109" s="9"/>
      <c r="AA4109" s="9"/>
    </row>
    <row r="4110" spans="1:27" ht="13.6">
      <c r="A4110" s="8"/>
      <c r="B4110" s="12"/>
      <c r="C4110" s="9"/>
      <c r="D4110" s="9"/>
      <c r="E4110" s="9"/>
      <c r="F4110" s="9"/>
      <c r="G4110" s="9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9"/>
      <c r="U4110" s="9"/>
      <c r="V4110" s="9"/>
      <c r="W4110" s="9"/>
      <c r="X4110" s="9"/>
      <c r="Y4110" s="9"/>
      <c r="Z4110" s="9"/>
      <c r="AA4110" s="9"/>
    </row>
    <row r="4111" spans="1:27" ht="13.6">
      <c r="A4111" s="8"/>
      <c r="B4111" s="12"/>
      <c r="C4111" s="9"/>
      <c r="D4111" s="9"/>
      <c r="E4111" s="9"/>
      <c r="F4111" s="9"/>
      <c r="G4111" s="9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9"/>
      <c r="U4111" s="9"/>
      <c r="V4111" s="9"/>
      <c r="W4111" s="9"/>
      <c r="X4111" s="9"/>
      <c r="Y4111" s="9"/>
      <c r="Z4111" s="9"/>
      <c r="AA4111" s="9"/>
    </row>
    <row r="4112" spans="1:27" ht="13.6">
      <c r="A4112" s="8"/>
      <c r="B4112" s="12"/>
      <c r="C4112" s="9"/>
      <c r="D4112" s="9"/>
      <c r="E4112" s="9"/>
      <c r="F4112" s="9"/>
      <c r="G4112" s="9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9"/>
      <c r="U4112" s="9"/>
      <c r="V4112" s="9"/>
      <c r="W4112" s="9"/>
      <c r="X4112" s="9"/>
      <c r="Y4112" s="9"/>
      <c r="Z4112" s="9"/>
      <c r="AA4112" s="9"/>
    </row>
    <row r="4113" spans="1:27" ht="13.6">
      <c r="A4113" s="8"/>
      <c r="B4113" s="12"/>
      <c r="C4113" s="9"/>
      <c r="D4113" s="9"/>
      <c r="E4113" s="9"/>
      <c r="F4113" s="9"/>
      <c r="G4113" s="9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9"/>
      <c r="U4113" s="9"/>
      <c r="V4113" s="9"/>
      <c r="W4113" s="9"/>
      <c r="X4113" s="9"/>
      <c r="Y4113" s="9"/>
      <c r="Z4113" s="9"/>
      <c r="AA4113" s="9"/>
    </row>
    <row r="4114" spans="1:27" ht="13.6">
      <c r="A4114" s="8"/>
      <c r="B4114" s="12"/>
      <c r="C4114" s="9"/>
      <c r="D4114" s="9"/>
      <c r="E4114" s="9"/>
      <c r="F4114" s="9"/>
      <c r="G4114" s="9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9"/>
      <c r="U4114" s="9"/>
      <c r="V4114" s="9"/>
      <c r="W4114" s="9"/>
      <c r="X4114" s="9"/>
      <c r="Y4114" s="9"/>
      <c r="Z4114" s="9"/>
      <c r="AA4114" s="9"/>
    </row>
    <row r="4115" spans="1:27" ht="13.6">
      <c r="A4115" s="8"/>
      <c r="B4115" s="12"/>
      <c r="C4115" s="9"/>
      <c r="D4115" s="9"/>
      <c r="E4115" s="9"/>
      <c r="F4115" s="9"/>
      <c r="G4115" s="9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9"/>
      <c r="U4115" s="9"/>
      <c r="V4115" s="9"/>
      <c r="W4115" s="9"/>
      <c r="X4115" s="9"/>
      <c r="Y4115" s="9"/>
      <c r="Z4115" s="9"/>
      <c r="AA4115" s="9"/>
    </row>
    <row r="4116" spans="1:27" ht="13.6">
      <c r="A4116" s="8"/>
      <c r="B4116" s="12"/>
      <c r="C4116" s="9"/>
      <c r="D4116" s="9"/>
      <c r="E4116" s="9"/>
      <c r="F4116" s="9"/>
      <c r="G4116" s="9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9"/>
      <c r="U4116" s="9"/>
      <c r="V4116" s="9"/>
      <c r="W4116" s="9"/>
      <c r="X4116" s="9"/>
      <c r="Y4116" s="9"/>
      <c r="Z4116" s="9"/>
      <c r="AA4116" s="9"/>
    </row>
    <row r="4117" spans="1:27" ht="13.6">
      <c r="A4117" s="8"/>
      <c r="B4117" s="12"/>
      <c r="C4117" s="9"/>
      <c r="D4117" s="9"/>
      <c r="E4117" s="9"/>
      <c r="F4117" s="9"/>
      <c r="G4117" s="9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9"/>
      <c r="U4117" s="9"/>
      <c r="V4117" s="9"/>
      <c r="W4117" s="9"/>
      <c r="X4117" s="9"/>
      <c r="Y4117" s="9"/>
      <c r="Z4117" s="9"/>
      <c r="AA4117" s="9"/>
    </row>
    <row r="4118" spans="1:27" ht="13.6">
      <c r="A4118" s="8"/>
      <c r="B4118" s="12"/>
      <c r="C4118" s="9"/>
      <c r="D4118" s="9"/>
      <c r="E4118" s="9"/>
      <c r="F4118" s="9"/>
      <c r="G4118" s="9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9"/>
      <c r="U4118" s="9"/>
      <c r="V4118" s="9"/>
      <c r="W4118" s="9"/>
      <c r="X4118" s="9"/>
      <c r="Y4118" s="9"/>
      <c r="Z4118" s="9"/>
      <c r="AA4118" s="9"/>
    </row>
    <row r="4119" spans="1:27" ht="13.6">
      <c r="A4119" s="8"/>
      <c r="B4119" s="12"/>
      <c r="C4119" s="9"/>
      <c r="D4119" s="9"/>
      <c r="E4119" s="9"/>
      <c r="F4119" s="9"/>
      <c r="G4119" s="9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9"/>
      <c r="U4119" s="9"/>
      <c r="V4119" s="9"/>
      <c r="W4119" s="9"/>
      <c r="X4119" s="9"/>
      <c r="Y4119" s="9"/>
      <c r="Z4119" s="9"/>
      <c r="AA4119" s="9"/>
    </row>
    <row r="4120" spans="1:27" ht="13.6">
      <c r="A4120" s="8"/>
      <c r="B4120" s="12"/>
      <c r="C4120" s="9"/>
      <c r="D4120" s="9"/>
      <c r="E4120" s="9"/>
      <c r="F4120" s="9"/>
      <c r="G4120" s="9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9"/>
      <c r="U4120" s="9"/>
      <c r="V4120" s="9"/>
      <c r="W4120" s="9"/>
      <c r="X4120" s="9"/>
      <c r="Y4120" s="9"/>
      <c r="Z4120" s="9"/>
      <c r="AA4120" s="9"/>
    </row>
    <row r="4121" spans="1:27" ht="13.6">
      <c r="A4121" s="8"/>
      <c r="B4121" s="12"/>
      <c r="C4121" s="9"/>
      <c r="D4121" s="9"/>
      <c r="E4121" s="9"/>
      <c r="F4121" s="9"/>
      <c r="G4121" s="9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9"/>
      <c r="U4121" s="9"/>
      <c r="V4121" s="9"/>
      <c r="W4121" s="9"/>
      <c r="X4121" s="9"/>
      <c r="Y4121" s="9"/>
      <c r="Z4121" s="9"/>
      <c r="AA4121" s="9"/>
    </row>
    <row r="4122" spans="1:27" ht="13.6">
      <c r="A4122" s="8"/>
      <c r="B4122" s="12"/>
      <c r="C4122" s="9"/>
      <c r="D4122" s="9"/>
      <c r="E4122" s="9"/>
      <c r="F4122" s="9"/>
      <c r="G4122" s="9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9"/>
      <c r="U4122" s="9"/>
      <c r="V4122" s="9"/>
      <c r="W4122" s="9"/>
      <c r="X4122" s="9"/>
      <c r="Y4122" s="9"/>
      <c r="Z4122" s="9"/>
      <c r="AA4122" s="9"/>
    </row>
    <row r="4123" spans="1:27" ht="13.6">
      <c r="A4123" s="8"/>
      <c r="B4123" s="12"/>
      <c r="C4123" s="9"/>
      <c r="D4123" s="9"/>
      <c r="E4123" s="9"/>
      <c r="F4123" s="9"/>
      <c r="G4123" s="9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9"/>
      <c r="U4123" s="9"/>
      <c r="V4123" s="9"/>
      <c r="W4123" s="9"/>
      <c r="X4123" s="9"/>
      <c r="Y4123" s="9"/>
      <c r="Z4123" s="9"/>
      <c r="AA4123" s="9"/>
    </row>
    <row r="4124" spans="1:27" ht="13.6">
      <c r="A4124" s="8"/>
      <c r="B4124" s="12"/>
      <c r="C4124" s="9"/>
      <c r="D4124" s="9"/>
      <c r="E4124" s="9"/>
      <c r="F4124" s="9"/>
      <c r="G4124" s="9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9"/>
      <c r="U4124" s="9"/>
      <c r="V4124" s="9"/>
      <c r="W4124" s="9"/>
      <c r="X4124" s="9"/>
      <c r="Y4124" s="9"/>
      <c r="Z4124" s="9"/>
      <c r="AA4124" s="9"/>
    </row>
    <row r="4125" spans="1:27" ht="13.6">
      <c r="A4125" s="8"/>
      <c r="B4125" s="12"/>
      <c r="C4125" s="9"/>
      <c r="D4125" s="9"/>
      <c r="E4125" s="9"/>
      <c r="F4125" s="9"/>
      <c r="G4125" s="9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9"/>
      <c r="U4125" s="9"/>
      <c r="V4125" s="9"/>
      <c r="W4125" s="9"/>
      <c r="X4125" s="9"/>
      <c r="Y4125" s="9"/>
      <c r="Z4125" s="9"/>
      <c r="AA4125" s="9"/>
    </row>
    <row r="4126" spans="1:27" ht="13.6">
      <c r="A4126" s="8"/>
      <c r="B4126" s="12"/>
      <c r="C4126" s="9"/>
      <c r="D4126" s="9"/>
      <c r="E4126" s="9"/>
      <c r="F4126" s="9"/>
      <c r="G4126" s="9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9"/>
      <c r="U4126" s="9"/>
      <c r="V4126" s="9"/>
      <c r="W4126" s="9"/>
      <c r="X4126" s="9"/>
      <c r="Y4126" s="9"/>
      <c r="Z4126" s="9"/>
      <c r="AA4126" s="9"/>
    </row>
    <row r="4127" spans="1:27" ht="13.6">
      <c r="A4127" s="8"/>
      <c r="B4127" s="12"/>
      <c r="C4127" s="9"/>
      <c r="D4127" s="9"/>
      <c r="E4127" s="9"/>
      <c r="F4127" s="9"/>
      <c r="G4127" s="9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9"/>
      <c r="U4127" s="9"/>
      <c r="V4127" s="9"/>
      <c r="W4127" s="9"/>
      <c r="X4127" s="9"/>
      <c r="Y4127" s="9"/>
      <c r="Z4127" s="9"/>
      <c r="AA4127" s="9"/>
    </row>
    <row r="4128" spans="1:27" ht="13.6">
      <c r="A4128" s="8"/>
      <c r="B4128" s="12"/>
      <c r="C4128" s="9"/>
      <c r="D4128" s="9"/>
      <c r="E4128" s="9"/>
      <c r="F4128" s="9"/>
      <c r="G4128" s="9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9"/>
      <c r="U4128" s="9"/>
      <c r="V4128" s="9"/>
      <c r="W4128" s="9"/>
      <c r="X4128" s="9"/>
      <c r="Y4128" s="9"/>
      <c r="Z4128" s="9"/>
      <c r="AA4128" s="9"/>
    </row>
    <row r="4129" spans="1:27" ht="13.6">
      <c r="A4129" s="8"/>
      <c r="B4129" s="12"/>
      <c r="C4129" s="9"/>
      <c r="D4129" s="9"/>
      <c r="E4129" s="9"/>
      <c r="F4129" s="9"/>
      <c r="G4129" s="9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9"/>
      <c r="U4129" s="9"/>
      <c r="V4129" s="9"/>
      <c r="W4129" s="9"/>
      <c r="X4129" s="9"/>
      <c r="Y4129" s="9"/>
      <c r="Z4129" s="9"/>
      <c r="AA4129" s="9"/>
    </row>
    <row r="4130" spans="1:27" ht="13.6">
      <c r="A4130" s="8"/>
      <c r="B4130" s="12"/>
      <c r="C4130" s="9"/>
      <c r="D4130" s="9"/>
      <c r="E4130" s="9"/>
      <c r="F4130" s="9"/>
      <c r="G4130" s="9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9"/>
      <c r="U4130" s="9"/>
      <c r="V4130" s="9"/>
      <c r="W4130" s="9"/>
      <c r="X4130" s="9"/>
      <c r="Y4130" s="9"/>
      <c r="Z4130" s="9"/>
      <c r="AA4130" s="9"/>
    </row>
    <row r="4131" spans="1:27" ht="13.6">
      <c r="A4131" s="8"/>
      <c r="B4131" s="12"/>
      <c r="C4131" s="9"/>
      <c r="D4131" s="9"/>
      <c r="E4131" s="9"/>
      <c r="F4131" s="9"/>
      <c r="G4131" s="9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9"/>
      <c r="U4131" s="9"/>
      <c r="V4131" s="9"/>
      <c r="W4131" s="9"/>
      <c r="X4131" s="9"/>
      <c r="Y4131" s="9"/>
      <c r="Z4131" s="9"/>
      <c r="AA4131" s="9"/>
    </row>
    <row r="4132" spans="1:27" ht="13.6">
      <c r="A4132" s="8"/>
      <c r="B4132" s="12"/>
      <c r="C4132" s="9"/>
      <c r="D4132" s="9"/>
      <c r="E4132" s="9"/>
      <c r="F4132" s="9"/>
      <c r="G4132" s="9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9"/>
      <c r="U4132" s="9"/>
      <c r="V4132" s="9"/>
      <c r="W4132" s="9"/>
      <c r="X4132" s="9"/>
      <c r="Y4132" s="9"/>
      <c r="Z4132" s="9"/>
      <c r="AA4132" s="9"/>
    </row>
    <row r="4133" spans="1:27" ht="13.6">
      <c r="A4133" s="8"/>
      <c r="B4133" s="12"/>
      <c r="C4133" s="9"/>
      <c r="D4133" s="9"/>
      <c r="E4133" s="9"/>
      <c r="F4133" s="9"/>
      <c r="G4133" s="9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9"/>
      <c r="U4133" s="9"/>
      <c r="V4133" s="9"/>
      <c r="W4133" s="9"/>
      <c r="X4133" s="9"/>
      <c r="Y4133" s="9"/>
      <c r="Z4133" s="9"/>
      <c r="AA4133" s="9"/>
    </row>
    <row r="4134" spans="1:27" ht="13.6">
      <c r="A4134" s="8"/>
      <c r="B4134" s="12"/>
      <c r="C4134" s="9"/>
      <c r="D4134" s="9"/>
      <c r="E4134" s="9"/>
      <c r="F4134" s="9"/>
      <c r="G4134" s="9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9"/>
      <c r="U4134" s="9"/>
      <c r="V4134" s="9"/>
      <c r="W4134" s="9"/>
      <c r="X4134" s="9"/>
      <c r="Y4134" s="9"/>
      <c r="Z4134" s="9"/>
      <c r="AA4134" s="9"/>
    </row>
    <row r="4135" spans="1:27" ht="13.6">
      <c r="A4135" s="8"/>
      <c r="B4135" s="12"/>
      <c r="C4135" s="9"/>
      <c r="D4135" s="9"/>
      <c r="E4135" s="9"/>
      <c r="F4135" s="9"/>
      <c r="G4135" s="9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9"/>
      <c r="U4135" s="9"/>
      <c r="V4135" s="9"/>
      <c r="W4135" s="9"/>
      <c r="X4135" s="9"/>
      <c r="Y4135" s="9"/>
      <c r="Z4135" s="9"/>
      <c r="AA4135" s="9"/>
    </row>
    <row r="4136" spans="1:27" ht="13.6">
      <c r="A4136" s="8"/>
      <c r="B4136" s="12"/>
      <c r="C4136" s="9"/>
      <c r="D4136" s="9"/>
      <c r="E4136" s="9"/>
      <c r="F4136" s="9"/>
      <c r="G4136" s="9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9"/>
      <c r="U4136" s="9"/>
      <c r="V4136" s="9"/>
      <c r="W4136" s="9"/>
      <c r="X4136" s="9"/>
      <c r="Y4136" s="9"/>
      <c r="Z4136" s="9"/>
      <c r="AA4136" s="9"/>
    </row>
    <row r="4137" spans="1:27" ht="13.6">
      <c r="A4137" s="8"/>
      <c r="B4137" s="12"/>
      <c r="C4137" s="9"/>
      <c r="D4137" s="9"/>
      <c r="E4137" s="9"/>
      <c r="F4137" s="9"/>
      <c r="G4137" s="9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9"/>
      <c r="U4137" s="9"/>
      <c r="V4137" s="9"/>
      <c r="W4137" s="9"/>
      <c r="X4137" s="9"/>
      <c r="Y4137" s="9"/>
      <c r="Z4137" s="9"/>
      <c r="AA4137" s="9"/>
    </row>
    <row r="4138" spans="1:27" ht="13.6">
      <c r="A4138" s="8"/>
      <c r="B4138" s="12"/>
      <c r="C4138" s="9"/>
      <c r="D4138" s="9"/>
      <c r="E4138" s="9"/>
      <c r="F4138" s="9"/>
      <c r="G4138" s="9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9"/>
      <c r="U4138" s="9"/>
      <c r="V4138" s="9"/>
      <c r="W4138" s="9"/>
      <c r="X4138" s="9"/>
      <c r="Y4138" s="9"/>
      <c r="Z4138" s="9"/>
      <c r="AA4138" s="9"/>
    </row>
    <row r="4139" spans="1:27" ht="13.6">
      <c r="A4139" s="8"/>
      <c r="B4139" s="12"/>
      <c r="C4139" s="9"/>
      <c r="D4139" s="9"/>
      <c r="E4139" s="9"/>
      <c r="F4139" s="9"/>
      <c r="G4139" s="9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9"/>
      <c r="U4139" s="9"/>
      <c r="V4139" s="9"/>
      <c r="W4139" s="9"/>
      <c r="X4139" s="9"/>
      <c r="Y4139" s="9"/>
      <c r="Z4139" s="9"/>
      <c r="AA4139" s="9"/>
    </row>
    <row r="4140" spans="1:27" ht="13.6">
      <c r="A4140" s="8"/>
      <c r="B4140" s="12"/>
      <c r="C4140" s="9"/>
      <c r="D4140" s="9"/>
      <c r="E4140" s="9"/>
      <c r="F4140" s="9"/>
      <c r="G4140" s="9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9"/>
      <c r="U4140" s="9"/>
      <c r="V4140" s="9"/>
      <c r="W4140" s="9"/>
      <c r="X4140" s="9"/>
      <c r="Y4140" s="9"/>
      <c r="Z4140" s="9"/>
      <c r="AA4140" s="9"/>
    </row>
    <row r="4141" spans="1:27" ht="13.6">
      <c r="A4141" s="8"/>
      <c r="B4141" s="12"/>
      <c r="C4141" s="9"/>
      <c r="D4141" s="9"/>
      <c r="E4141" s="9"/>
      <c r="F4141" s="9"/>
      <c r="G4141" s="9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9"/>
      <c r="U4141" s="9"/>
      <c r="V4141" s="9"/>
      <c r="W4141" s="9"/>
      <c r="X4141" s="9"/>
      <c r="Y4141" s="9"/>
      <c r="Z4141" s="9"/>
      <c r="AA4141" s="9"/>
    </row>
    <row r="4142" spans="1:27" ht="13.6">
      <c r="A4142" s="8"/>
      <c r="B4142" s="12"/>
      <c r="C4142" s="9"/>
      <c r="D4142" s="9"/>
      <c r="E4142" s="9"/>
      <c r="F4142" s="9"/>
      <c r="G4142" s="9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9"/>
      <c r="U4142" s="9"/>
      <c r="V4142" s="9"/>
      <c r="W4142" s="9"/>
      <c r="X4142" s="9"/>
      <c r="Y4142" s="9"/>
      <c r="Z4142" s="9"/>
      <c r="AA4142" s="9"/>
    </row>
    <row r="4143" spans="1:27" ht="13.6">
      <c r="A4143" s="8"/>
      <c r="B4143" s="12"/>
      <c r="C4143" s="9"/>
      <c r="D4143" s="9"/>
      <c r="E4143" s="9"/>
      <c r="F4143" s="9"/>
      <c r="G4143" s="9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9"/>
      <c r="U4143" s="9"/>
      <c r="V4143" s="9"/>
      <c r="W4143" s="9"/>
      <c r="X4143" s="9"/>
      <c r="Y4143" s="9"/>
      <c r="Z4143" s="9"/>
      <c r="AA4143" s="9"/>
    </row>
    <row r="4144" spans="1:27" ht="13.6">
      <c r="A4144" s="8"/>
      <c r="B4144" s="12"/>
      <c r="C4144" s="9"/>
      <c r="D4144" s="9"/>
      <c r="E4144" s="9"/>
      <c r="F4144" s="9"/>
      <c r="G4144" s="9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9"/>
      <c r="U4144" s="9"/>
      <c r="V4144" s="9"/>
      <c r="W4144" s="9"/>
      <c r="X4144" s="9"/>
      <c r="Y4144" s="9"/>
      <c r="Z4144" s="9"/>
      <c r="AA4144" s="9"/>
    </row>
    <row r="4145" spans="1:27" ht="13.6">
      <c r="A4145" s="8"/>
      <c r="B4145" s="12"/>
      <c r="C4145" s="9"/>
      <c r="D4145" s="9"/>
      <c r="E4145" s="9"/>
      <c r="F4145" s="9"/>
      <c r="G4145" s="9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9"/>
      <c r="U4145" s="9"/>
      <c r="V4145" s="9"/>
      <c r="W4145" s="9"/>
      <c r="X4145" s="9"/>
      <c r="Y4145" s="9"/>
      <c r="Z4145" s="9"/>
      <c r="AA4145" s="9"/>
    </row>
    <row r="4146" spans="1:27" ht="13.6">
      <c r="A4146" s="8"/>
      <c r="B4146" s="12"/>
      <c r="C4146" s="9"/>
      <c r="D4146" s="9"/>
      <c r="E4146" s="9"/>
      <c r="F4146" s="9"/>
      <c r="G4146" s="9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9"/>
      <c r="U4146" s="9"/>
      <c r="V4146" s="9"/>
      <c r="W4146" s="9"/>
      <c r="X4146" s="9"/>
      <c r="Y4146" s="9"/>
      <c r="Z4146" s="9"/>
      <c r="AA4146" s="9"/>
    </row>
    <row r="4147" spans="1:27" ht="13.6">
      <c r="A4147" s="8"/>
      <c r="B4147" s="12"/>
      <c r="C4147" s="9"/>
      <c r="D4147" s="9"/>
      <c r="E4147" s="9"/>
      <c r="F4147" s="9"/>
      <c r="G4147" s="9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9"/>
      <c r="U4147" s="9"/>
      <c r="V4147" s="9"/>
      <c r="W4147" s="9"/>
      <c r="X4147" s="9"/>
      <c r="Y4147" s="9"/>
      <c r="Z4147" s="9"/>
      <c r="AA4147" s="9"/>
    </row>
    <row r="4148" spans="1:27" ht="13.6">
      <c r="A4148" s="8"/>
      <c r="B4148" s="12"/>
      <c r="C4148" s="9"/>
      <c r="D4148" s="9"/>
      <c r="E4148" s="9"/>
      <c r="F4148" s="9"/>
      <c r="G4148" s="9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9"/>
      <c r="U4148" s="9"/>
      <c r="V4148" s="9"/>
      <c r="W4148" s="9"/>
      <c r="X4148" s="9"/>
      <c r="Y4148" s="9"/>
      <c r="Z4148" s="9"/>
      <c r="AA4148" s="9"/>
    </row>
    <row r="4149" spans="1:27" ht="13.6">
      <c r="A4149" s="8"/>
      <c r="B4149" s="12"/>
      <c r="C4149" s="9"/>
      <c r="D4149" s="9"/>
      <c r="E4149" s="9"/>
      <c r="F4149" s="9"/>
      <c r="G4149" s="9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9"/>
      <c r="U4149" s="9"/>
      <c r="V4149" s="9"/>
      <c r="W4149" s="9"/>
      <c r="X4149" s="9"/>
      <c r="Y4149" s="9"/>
      <c r="Z4149" s="9"/>
      <c r="AA4149" s="9"/>
    </row>
    <row r="4150" spans="1:27" ht="13.6">
      <c r="A4150" s="8"/>
      <c r="B4150" s="12"/>
      <c r="C4150" s="9"/>
      <c r="D4150" s="9"/>
      <c r="E4150" s="9"/>
      <c r="F4150" s="9"/>
      <c r="G4150" s="9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9"/>
      <c r="U4150" s="9"/>
      <c r="V4150" s="9"/>
      <c r="W4150" s="9"/>
      <c r="X4150" s="9"/>
      <c r="Y4150" s="9"/>
      <c r="Z4150" s="9"/>
      <c r="AA4150" s="9"/>
    </row>
    <row r="4151" spans="1:27" ht="13.6">
      <c r="A4151" s="8"/>
      <c r="B4151" s="12"/>
      <c r="C4151" s="9"/>
      <c r="D4151" s="9"/>
      <c r="E4151" s="9"/>
      <c r="F4151" s="9"/>
      <c r="G4151" s="9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9"/>
      <c r="U4151" s="9"/>
      <c r="V4151" s="9"/>
      <c r="W4151" s="9"/>
      <c r="X4151" s="9"/>
      <c r="Y4151" s="9"/>
      <c r="Z4151" s="9"/>
      <c r="AA4151" s="9"/>
    </row>
    <row r="4152" spans="1:27" ht="13.6">
      <c r="A4152" s="8"/>
      <c r="B4152" s="12"/>
      <c r="C4152" s="9"/>
      <c r="D4152" s="9"/>
      <c r="E4152" s="9"/>
      <c r="F4152" s="9"/>
      <c r="G4152" s="9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9"/>
      <c r="U4152" s="9"/>
      <c r="V4152" s="9"/>
      <c r="W4152" s="9"/>
      <c r="X4152" s="9"/>
      <c r="Y4152" s="9"/>
      <c r="Z4152" s="9"/>
      <c r="AA4152" s="9"/>
    </row>
    <row r="4153" spans="1:27" ht="13.6">
      <c r="A4153" s="8"/>
      <c r="B4153" s="12"/>
      <c r="C4153" s="9"/>
      <c r="D4153" s="9"/>
      <c r="E4153" s="9"/>
      <c r="F4153" s="9"/>
      <c r="G4153" s="9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9"/>
      <c r="U4153" s="9"/>
      <c r="V4153" s="9"/>
      <c r="W4153" s="9"/>
      <c r="X4153" s="9"/>
      <c r="Y4153" s="9"/>
      <c r="Z4153" s="9"/>
      <c r="AA4153" s="9"/>
    </row>
    <row r="4154" spans="1:27" ht="13.6">
      <c r="A4154" s="8"/>
      <c r="B4154" s="12"/>
      <c r="C4154" s="9"/>
      <c r="D4154" s="9"/>
      <c r="E4154" s="9"/>
      <c r="F4154" s="9"/>
      <c r="G4154" s="9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9"/>
      <c r="U4154" s="9"/>
      <c r="V4154" s="9"/>
      <c r="W4154" s="9"/>
      <c r="X4154" s="9"/>
      <c r="Y4154" s="9"/>
      <c r="Z4154" s="9"/>
      <c r="AA4154" s="9"/>
    </row>
    <row r="4155" spans="1:27" ht="13.6">
      <c r="A4155" s="8"/>
      <c r="B4155" s="12"/>
      <c r="C4155" s="9"/>
      <c r="D4155" s="9"/>
      <c r="E4155" s="9"/>
      <c r="F4155" s="9"/>
      <c r="G4155" s="9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9"/>
      <c r="U4155" s="9"/>
      <c r="V4155" s="9"/>
      <c r="W4155" s="9"/>
      <c r="X4155" s="9"/>
      <c r="Y4155" s="9"/>
      <c r="Z4155" s="9"/>
      <c r="AA4155" s="9"/>
    </row>
    <row r="4156" spans="1:27" ht="13.6">
      <c r="A4156" s="8"/>
      <c r="B4156" s="12"/>
      <c r="C4156" s="9"/>
      <c r="D4156" s="9"/>
      <c r="E4156" s="9"/>
      <c r="F4156" s="9"/>
      <c r="G4156" s="9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9"/>
      <c r="U4156" s="9"/>
      <c r="V4156" s="9"/>
      <c r="W4156" s="9"/>
      <c r="X4156" s="9"/>
      <c r="Y4156" s="9"/>
      <c r="Z4156" s="9"/>
      <c r="AA4156" s="9"/>
    </row>
    <row r="4157" spans="1:27" ht="13.6">
      <c r="A4157" s="8"/>
      <c r="B4157" s="12"/>
      <c r="C4157" s="9"/>
      <c r="D4157" s="9"/>
      <c r="E4157" s="9"/>
      <c r="F4157" s="9"/>
      <c r="G4157" s="9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9"/>
      <c r="U4157" s="9"/>
      <c r="V4157" s="9"/>
      <c r="W4157" s="9"/>
      <c r="X4157" s="9"/>
      <c r="Y4157" s="9"/>
      <c r="Z4157" s="9"/>
      <c r="AA4157" s="9"/>
    </row>
    <row r="4158" spans="1:27" ht="13.6">
      <c r="A4158" s="8"/>
      <c r="B4158" s="12"/>
      <c r="C4158" s="9"/>
      <c r="D4158" s="9"/>
      <c r="E4158" s="9"/>
      <c r="F4158" s="9"/>
      <c r="G4158" s="9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9"/>
      <c r="U4158" s="9"/>
      <c r="V4158" s="9"/>
      <c r="W4158" s="9"/>
      <c r="X4158" s="9"/>
      <c r="Y4158" s="9"/>
      <c r="Z4158" s="9"/>
      <c r="AA4158" s="9"/>
    </row>
    <row r="4159" spans="1:27" ht="13.6">
      <c r="A4159" s="8"/>
      <c r="B4159" s="12"/>
      <c r="C4159" s="9"/>
      <c r="D4159" s="9"/>
      <c r="E4159" s="9"/>
      <c r="F4159" s="9"/>
      <c r="G4159" s="9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9"/>
      <c r="U4159" s="9"/>
      <c r="V4159" s="9"/>
      <c r="W4159" s="9"/>
      <c r="X4159" s="9"/>
      <c r="Y4159" s="9"/>
      <c r="Z4159" s="9"/>
      <c r="AA4159" s="9"/>
    </row>
    <row r="4160" spans="1:27" ht="13.6">
      <c r="A4160" s="8"/>
      <c r="B4160" s="12"/>
      <c r="C4160" s="9"/>
      <c r="D4160" s="9"/>
      <c r="E4160" s="9"/>
      <c r="F4160" s="9"/>
      <c r="G4160" s="9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9"/>
      <c r="U4160" s="9"/>
      <c r="V4160" s="9"/>
      <c r="W4160" s="9"/>
      <c r="X4160" s="9"/>
      <c r="Y4160" s="9"/>
      <c r="Z4160" s="9"/>
      <c r="AA4160" s="9"/>
    </row>
    <row r="4161" spans="1:27" ht="13.6">
      <c r="A4161" s="8"/>
      <c r="B4161" s="12"/>
      <c r="C4161" s="9"/>
      <c r="D4161" s="9"/>
      <c r="E4161" s="9"/>
      <c r="F4161" s="9"/>
      <c r="G4161" s="9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9"/>
      <c r="U4161" s="9"/>
      <c r="V4161" s="9"/>
      <c r="W4161" s="9"/>
      <c r="X4161" s="9"/>
      <c r="Y4161" s="9"/>
      <c r="Z4161" s="9"/>
      <c r="AA4161" s="9"/>
    </row>
    <row r="4162" spans="1:27" ht="13.6">
      <c r="A4162" s="8"/>
      <c r="B4162" s="12"/>
      <c r="C4162" s="9"/>
      <c r="D4162" s="9"/>
      <c r="E4162" s="9"/>
      <c r="F4162" s="9"/>
      <c r="G4162" s="9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9"/>
      <c r="U4162" s="9"/>
      <c r="V4162" s="9"/>
      <c r="W4162" s="9"/>
      <c r="X4162" s="9"/>
      <c r="Y4162" s="9"/>
      <c r="Z4162" s="9"/>
      <c r="AA4162" s="9"/>
    </row>
    <row r="4163" spans="1:27" ht="13.6">
      <c r="A4163" s="8"/>
      <c r="B4163" s="12"/>
      <c r="C4163" s="9"/>
      <c r="D4163" s="9"/>
      <c r="E4163" s="9"/>
      <c r="F4163" s="9"/>
      <c r="G4163" s="9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9"/>
      <c r="U4163" s="9"/>
      <c r="V4163" s="9"/>
      <c r="W4163" s="9"/>
      <c r="X4163" s="9"/>
      <c r="Y4163" s="9"/>
      <c r="Z4163" s="9"/>
      <c r="AA4163" s="9"/>
    </row>
    <row r="4164" spans="1:27" ht="13.6">
      <c r="A4164" s="8"/>
      <c r="B4164" s="12"/>
      <c r="C4164" s="9"/>
      <c r="D4164" s="9"/>
      <c r="E4164" s="9"/>
      <c r="F4164" s="9"/>
      <c r="G4164" s="9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9"/>
      <c r="U4164" s="9"/>
      <c r="V4164" s="9"/>
      <c r="W4164" s="9"/>
      <c r="X4164" s="9"/>
      <c r="Y4164" s="9"/>
      <c r="Z4164" s="9"/>
      <c r="AA4164" s="9"/>
    </row>
    <row r="4165" spans="1:27" ht="13.6">
      <c r="A4165" s="8"/>
      <c r="B4165" s="12"/>
      <c r="C4165" s="9"/>
      <c r="D4165" s="9"/>
      <c r="E4165" s="9"/>
      <c r="F4165" s="9"/>
      <c r="G4165" s="9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9"/>
      <c r="U4165" s="9"/>
      <c r="V4165" s="9"/>
      <c r="W4165" s="9"/>
      <c r="X4165" s="9"/>
      <c r="Y4165" s="9"/>
      <c r="Z4165" s="9"/>
      <c r="AA4165" s="9"/>
    </row>
    <row r="4166" spans="1:27" ht="13.6">
      <c r="A4166" s="8"/>
      <c r="B4166" s="12"/>
      <c r="C4166" s="9"/>
      <c r="D4166" s="9"/>
      <c r="E4166" s="9"/>
      <c r="F4166" s="9"/>
      <c r="G4166" s="9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9"/>
      <c r="U4166" s="9"/>
      <c r="V4166" s="9"/>
      <c r="W4166" s="9"/>
      <c r="X4166" s="9"/>
      <c r="Y4166" s="9"/>
      <c r="Z4166" s="9"/>
      <c r="AA4166" s="9"/>
    </row>
    <row r="4167" spans="1:27" ht="13.6">
      <c r="A4167" s="8"/>
      <c r="B4167" s="12"/>
      <c r="C4167" s="9"/>
      <c r="D4167" s="9"/>
      <c r="E4167" s="9"/>
      <c r="F4167" s="9"/>
      <c r="G4167" s="9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9"/>
      <c r="U4167" s="9"/>
      <c r="V4167" s="9"/>
      <c r="W4167" s="9"/>
      <c r="X4167" s="9"/>
      <c r="Y4167" s="9"/>
      <c r="Z4167" s="9"/>
      <c r="AA4167" s="9"/>
    </row>
    <row r="4168" spans="1:27" ht="13.6">
      <c r="A4168" s="8"/>
      <c r="B4168" s="12"/>
      <c r="C4168" s="9"/>
      <c r="D4168" s="9"/>
      <c r="E4168" s="9"/>
      <c r="F4168" s="9"/>
      <c r="G4168" s="9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9"/>
      <c r="U4168" s="9"/>
      <c r="V4168" s="9"/>
      <c r="W4168" s="9"/>
      <c r="X4168" s="9"/>
      <c r="Y4168" s="9"/>
      <c r="Z4168" s="9"/>
      <c r="AA4168" s="9"/>
    </row>
    <row r="4169" spans="1:27" ht="13.6">
      <c r="A4169" s="8"/>
      <c r="B4169" s="12"/>
      <c r="C4169" s="9"/>
      <c r="D4169" s="9"/>
      <c r="E4169" s="9"/>
      <c r="F4169" s="9"/>
      <c r="G4169" s="9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9"/>
      <c r="U4169" s="9"/>
      <c r="V4169" s="9"/>
      <c r="W4169" s="9"/>
      <c r="X4169" s="9"/>
      <c r="Y4169" s="9"/>
      <c r="Z4169" s="9"/>
      <c r="AA4169" s="9"/>
    </row>
    <row r="4170" spans="1:27" ht="13.6">
      <c r="A4170" s="8"/>
      <c r="B4170" s="12"/>
      <c r="C4170" s="9"/>
      <c r="D4170" s="9"/>
      <c r="E4170" s="9"/>
      <c r="F4170" s="9"/>
      <c r="G4170" s="9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9"/>
      <c r="U4170" s="9"/>
      <c r="V4170" s="9"/>
      <c r="W4170" s="9"/>
      <c r="X4170" s="9"/>
      <c r="Y4170" s="9"/>
      <c r="Z4170" s="9"/>
      <c r="AA4170" s="9"/>
    </row>
    <row r="4171" spans="1:27" ht="13.6">
      <c r="A4171" s="8"/>
      <c r="B4171" s="12"/>
      <c r="C4171" s="9"/>
      <c r="D4171" s="9"/>
      <c r="E4171" s="9"/>
      <c r="F4171" s="9"/>
      <c r="G4171" s="9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9"/>
      <c r="U4171" s="9"/>
      <c r="V4171" s="9"/>
      <c r="W4171" s="9"/>
      <c r="X4171" s="9"/>
      <c r="Y4171" s="9"/>
      <c r="Z4171" s="9"/>
      <c r="AA4171" s="9"/>
    </row>
    <row r="4172" spans="1:27" ht="13.6">
      <c r="A4172" s="8"/>
      <c r="B4172" s="12"/>
      <c r="C4172" s="9"/>
      <c r="D4172" s="9"/>
      <c r="E4172" s="9"/>
      <c r="F4172" s="9"/>
      <c r="G4172" s="9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9"/>
      <c r="U4172" s="9"/>
      <c r="V4172" s="9"/>
      <c r="W4172" s="9"/>
      <c r="X4172" s="9"/>
      <c r="Y4172" s="9"/>
      <c r="Z4172" s="9"/>
      <c r="AA4172" s="9"/>
    </row>
    <row r="4173" spans="1:27" ht="13.6">
      <c r="A4173" s="8"/>
      <c r="B4173" s="12"/>
      <c r="C4173" s="9"/>
      <c r="D4173" s="9"/>
      <c r="E4173" s="9"/>
      <c r="F4173" s="9"/>
      <c r="G4173" s="9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9"/>
      <c r="U4173" s="9"/>
      <c r="V4173" s="9"/>
      <c r="W4173" s="9"/>
      <c r="X4173" s="9"/>
      <c r="Y4173" s="9"/>
      <c r="Z4173" s="9"/>
      <c r="AA4173" s="9"/>
    </row>
    <row r="4174" spans="1:27" ht="13.6">
      <c r="A4174" s="8"/>
      <c r="B4174" s="12"/>
      <c r="C4174" s="9"/>
      <c r="D4174" s="9"/>
      <c r="E4174" s="9"/>
      <c r="F4174" s="9"/>
      <c r="G4174" s="9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9"/>
      <c r="U4174" s="9"/>
      <c r="V4174" s="9"/>
      <c r="W4174" s="9"/>
      <c r="X4174" s="9"/>
      <c r="Y4174" s="9"/>
      <c r="Z4174" s="9"/>
      <c r="AA4174" s="9"/>
    </row>
    <row r="4175" spans="1:27" ht="13.6">
      <c r="A4175" s="8"/>
      <c r="B4175" s="12"/>
      <c r="C4175" s="9"/>
      <c r="D4175" s="9"/>
      <c r="E4175" s="9"/>
      <c r="F4175" s="9"/>
      <c r="G4175" s="9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9"/>
      <c r="U4175" s="9"/>
      <c r="V4175" s="9"/>
      <c r="W4175" s="9"/>
      <c r="X4175" s="9"/>
      <c r="Y4175" s="9"/>
      <c r="Z4175" s="9"/>
      <c r="AA4175" s="9"/>
    </row>
    <row r="4176" spans="1:27" ht="13.6">
      <c r="A4176" s="8"/>
      <c r="B4176" s="12"/>
      <c r="C4176" s="9"/>
      <c r="D4176" s="9"/>
      <c r="E4176" s="9"/>
      <c r="F4176" s="9"/>
      <c r="G4176" s="9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9"/>
      <c r="U4176" s="9"/>
      <c r="V4176" s="9"/>
      <c r="W4176" s="9"/>
      <c r="X4176" s="9"/>
      <c r="Y4176" s="9"/>
      <c r="Z4176" s="9"/>
      <c r="AA4176" s="9"/>
    </row>
    <row r="4177" spans="1:27" ht="13.6">
      <c r="A4177" s="8"/>
      <c r="B4177" s="12"/>
      <c r="C4177" s="9"/>
      <c r="D4177" s="9"/>
      <c r="E4177" s="9"/>
      <c r="F4177" s="9"/>
      <c r="G4177" s="9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9"/>
      <c r="U4177" s="9"/>
      <c r="V4177" s="9"/>
      <c r="W4177" s="9"/>
      <c r="X4177" s="9"/>
      <c r="Y4177" s="9"/>
      <c r="Z4177" s="9"/>
      <c r="AA4177" s="9"/>
    </row>
    <row r="4178" spans="1:27" ht="13.6">
      <c r="A4178" s="8"/>
      <c r="B4178" s="12"/>
      <c r="C4178" s="9"/>
      <c r="D4178" s="9"/>
      <c r="E4178" s="9"/>
      <c r="F4178" s="9"/>
      <c r="G4178" s="9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9"/>
      <c r="U4178" s="9"/>
      <c r="V4178" s="9"/>
      <c r="W4178" s="9"/>
      <c r="X4178" s="9"/>
      <c r="Y4178" s="9"/>
      <c r="Z4178" s="9"/>
      <c r="AA4178" s="9"/>
    </row>
    <row r="4179" spans="1:27" ht="13.6">
      <c r="A4179" s="8"/>
      <c r="B4179" s="12"/>
      <c r="C4179" s="9"/>
      <c r="D4179" s="9"/>
      <c r="E4179" s="9"/>
      <c r="F4179" s="9"/>
      <c r="G4179" s="9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9"/>
      <c r="U4179" s="9"/>
      <c r="V4179" s="9"/>
      <c r="W4179" s="9"/>
      <c r="X4179" s="9"/>
      <c r="Y4179" s="9"/>
      <c r="Z4179" s="9"/>
      <c r="AA4179" s="9"/>
    </row>
    <row r="4180" spans="1:27" ht="13.6">
      <c r="A4180" s="8"/>
      <c r="B4180" s="12"/>
      <c r="C4180" s="9"/>
      <c r="D4180" s="9"/>
      <c r="E4180" s="9"/>
      <c r="F4180" s="9"/>
      <c r="G4180" s="9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9"/>
      <c r="U4180" s="9"/>
      <c r="V4180" s="9"/>
      <c r="W4180" s="9"/>
      <c r="X4180" s="9"/>
      <c r="Y4180" s="9"/>
      <c r="Z4180" s="9"/>
      <c r="AA4180" s="9"/>
    </row>
    <row r="4181" spans="1:27" ht="13.6">
      <c r="A4181" s="8"/>
      <c r="B4181" s="12"/>
      <c r="C4181" s="9"/>
      <c r="D4181" s="9"/>
      <c r="E4181" s="9"/>
      <c r="F4181" s="9"/>
      <c r="G4181" s="9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9"/>
      <c r="U4181" s="9"/>
      <c r="V4181" s="9"/>
      <c r="W4181" s="9"/>
      <c r="X4181" s="9"/>
      <c r="Y4181" s="9"/>
      <c r="Z4181" s="9"/>
      <c r="AA4181" s="9"/>
    </row>
    <row r="4182" spans="1:27" ht="13.6">
      <c r="A4182" s="8"/>
      <c r="B4182" s="12"/>
      <c r="C4182" s="9"/>
      <c r="D4182" s="9"/>
      <c r="E4182" s="9"/>
      <c r="F4182" s="9"/>
      <c r="G4182" s="9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9"/>
      <c r="U4182" s="9"/>
      <c r="V4182" s="9"/>
      <c r="W4182" s="9"/>
      <c r="X4182" s="9"/>
      <c r="Y4182" s="9"/>
      <c r="Z4182" s="9"/>
      <c r="AA4182" s="9"/>
    </row>
    <row r="4183" spans="1:27" ht="13.6">
      <c r="A4183" s="8"/>
      <c r="B4183" s="12"/>
      <c r="C4183" s="9"/>
      <c r="D4183" s="9"/>
      <c r="E4183" s="9"/>
      <c r="F4183" s="9"/>
      <c r="G4183" s="9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9"/>
      <c r="U4183" s="9"/>
      <c r="V4183" s="9"/>
      <c r="W4183" s="9"/>
      <c r="X4183" s="9"/>
      <c r="Y4183" s="9"/>
      <c r="Z4183" s="9"/>
      <c r="AA4183" s="9"/>
    </row>
    <row r="4184" spans="1:27" ht="13.6">
      <c r="A4184" s="8"/>
      <c r="B4184" s="12"/>
      <c r="C4184" s="9"/>
      <c r="D4184" s="9"/>
      <c r="E4184" s="9"/>
      <c r="F4184" s="9"/>
      <c r="G4184" s="9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9"/>
      <c r="U4184" s="9"/>
      <c r="V4184" s="9"/>
      <c r="W4184" s="9"/>
      <c r="X4184" s="9"/>
      <c r="Y4184" s="9"/>
      <c r="Z4184" s="9"/>
      <c r="AA4184" s="9"/>
    </row>
    <row r="4185" spans="1:27" ht="13.6">
      <c r="A4185" s="8"/>
      <c r="B4185" s="12"/>
      <c r="C4185" s="9"/>
      <c r="D4185" s="9"/>
      <c r="E4185" s="9"/>
      <c r="F4185" s="9"/>
      <c r="G4185" s="9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9"/>
      <c r="U4185" s="9"/>
      <c r="V4185" s="9"/>
      <c r="W4185" s="9"/>
      <c r="X4185" s="9"/>
      <c r="Y4185" s="9"/>
      <c r="Z4185" s="9"/>
      <c r="AA4185" s="9"/>
    </row>
    <row r="4186" spans="1:27" ht="13.6">
      <c r="A4186" s="8"/>
      <c r="B4186" s="12"/>
      <c r="C4186" s="9"/>
      <c r="D4186" s="9"/>
      <c r="E4186" s="9"/>
      <c r="F4186" s="9"/>
      <c r="G4186" s="9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9"/>
      <c r="U4186" s="9"/>
      <c r="V4186" s="9"/>
      <c r="W4186" s="9"/>
      <c r="X4186" s="9"/>
      <c r="Y4186" s="9"/>
      <c r="Z4186" s="9"/>
      <c r="AA4186" s="9"/>
    </row>
    <row r="4187" spans="1:27" ht="13.6">
      <c r="A4187" s="8"/>
      <c r="B4187" s="12"/>
      <c r="C4187" s="9"/>
      <c r="D4187" s="9"/>
      <c r="E4187" s="9"/>
      <c r="F4187" s="9"/>
      <c r="G4187" s="9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9"/>
      <c r="U4187" s="9"/>
      <c r="V4187" s="9"/>
      <c r="W4187" s="9"/>
      <c r="X4187" s="9"/>
      <c r="Y4187" s="9"/>
      <c r="Z4187" s="9"/>
      <c r="AA4187" s="9"/>
    </row>
    <row r="4188" spans="1:27" ht="13.6">
      <c r="A4188" s="8"/>
      <c r="B4188" s="12"/>
      <c r="C4188" s="9"/>
      <c r="D4188" s="9"/>
      <c r="E4188" s="9"/>
      <c r="F4188" s="9"/>
      <c r="G4188" s="9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9"/>
      <c r="U4188" s="9"/>
      <c r="V4188" s="9"/>
      <c r="W4188" s="9"/>
      <c r="X4188" s="9"/>
      <c r="Y4188" s="9"/>
      <c r="Z4188" s="9"/>
      <c r="AA4188" s="9"/>
    </row>
    <row r="4189" spans="1:27" ht="13.6">
      <c r="A4189" s="8"/>
      <c r="B4189" s="12"/>
      <c r="C4189" s="9"/>
      <c r="D4189" s="9"/>
      <c r="E4189" s="9"/>
      <c r="F4189" s="9"/>
      <c r="G4189" s="9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9"/>
      <c r="U4189" s="9"/>
      <c r="V4189" s="9"/>
      <c r="W4189" s="9"/>
      <c r="X4189" s="9"/>
      <c r="Y4189" s="9"/>
      <c r="Z4189" s="9"/>
      <c r="AA4189" s="9"/>
    </row>
    <row r="4190" spans="1:27" ht="13.6">
      <c r="A4190" s="8"/>
      <c r="B4190" s="12"/>
      <c r="C4190" s="9"/>
      <c r="D4190" s="9"/>
      <c r="E4190" s="9"/>
      <c r="F4190" s="9"/>
      <c r="G4190" s="9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9"/>
      <c r="U4190" s="9"/>
      <c r="V4190" s="9"/>
      <c r="W4190" s="9"/>
      <c r="X4190" s="9"/>
      <c r="Y4190" s="9"/>
      <c r="Z4190" s="9"/>
      <c r="AA4190" s="9"/>
    </row>
    <row r="4191" spans="1:27" ht="13.6">
      <c r="A4191" s="8"/>
      <c r="B4191" s="12"/>
      <c r="C4191" s="9"/>
      <c r="D4191" s="9"/>
      <c r="E4191" s="9"/>
      <c r="F4191" s="9"/>
      <c r="G4191" s="9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9"/>
      <c r="U4191" s="9"/>
      <c r="V4191" s="9"/>
      <c r="W4191" s="9"/>
      <c r="X4191" s="9"/>
      <c r="Y4191" s="9"/>
      <c r="Z4191" s="9"/>
      <c r="AA4191" s="9"/>
    </row>
    <row r="4192" spans="1:27" ht="13.6">
      <c r="A4192" s="8"/>
      <c r="B4192" s="12"/>
      <c r="C4192" s="9"/>
      <c r="D4192" s="9"/>
      <c r="E4192" s="9"/>
      <c r="F4192" s="9"/>
      <c r="G4192" s="9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9"/>
      <c r="U4192" s="9"/>
      <c r="V4192" s="9"/>
      <c r="W4192" s="9"/>
      <c r="X4192" s="9"/>
      <c r="Y4192" s="9"/>
      <c r="Z4192" s="9"/>
      <c r="AA4192" s="9"/>
    </row>
    <row r="4193" spans="1:27" ht="13.6">
      <c r="A4193" s="8"/>
      <c r="B4193" s="12"/>
      <c r="C4193" s="9"/>
      <c r="D4193" s="9"/>
      <c r="E4193" s="9"/>
      <c r="F4193" s="9"/>
      <c r="G4193" s="9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9"/>
      <c r="U4193" s="9"/>
      <c r="V4193" s="9"/>
      <c r="W4193" s="9"/>
      <c r="X4193" s="9"/>
      <c r="Y4193" s="9"/>
      <c r="Z4193" s="9"/>
      <c r="AA4193" s="9"/>
    </row>
    <row r="4194" spans="1:27" ht="13.6">
      <c r="A4194" s="8"/>
      <c r="B4194" s="12"/>
      <c r="C4194" s="9"/>
      <c r="D4194" s="9"/>
      <c r="E4194" s="9"/>
      <c r="F4194" s="9"/>
      <c r="G4194" s="9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9"/>
      <c r="U4194" s="9"/>
      <c r="V4194" s="9"/>
      <c r="W4194" s="9"/>
      <c r="X4194" s="9"/>
      <c r="Y4194" s="9"/>
      <c r="Z4194" s="9"/>
      <c r="AA4194" s="9"/>
    </row>
    <row r="4195" spans="1:27" ht="13.6">
      <c r="A4195" s="8"/>
      <c r="B4195" s="12"/>
      <c r="C4195" s="9"/>
      <c r="D4195" s="9"/>
      <c r="E4195" s="9"/>
      <c r="F4195" s="9"/>
      <c r="G4195" s="9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9"/>
      <c r="U4195" s="9"/>
      <c r="V4195" s="9"/>
      <c r="W4195" s="9"/>
      <c r="X4195" s="9"/>
      <c r="Y4195" s="9"/>
      <c r="Z4195" s="9"/>
      <c r="AA4195" s="9"/>
    </row>
    <row r="4196" spans="1:27" ht="13.6">
      <c r="A4196" s="8"/>
      <c r="B4196" s="12"/>
      <c r="C4196" s="9"/>
      <c r="D4196" s="9"/>
      <c r="E4196" s="9"/>
      <c r="F4196" s="9"/>
      <c r="G4196" s="9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9"/>
      <c r="U4196" s="9"/>
      <c r="V4196" s="9"/>
      <c r="W4196" s="9"/>
      <c r="X4196" s="9"/>
      <c r="Y4196" s="9"/>
      <c r="Z4196" s="9"/>
      <c r="AA4196" s="9"/>
    </row>
    <row r="4197" spans="1:27" ht="13.6">
      <c r="A4197" s="8"/>
      <c r="B4197" s="12"/>
      <c r="C4197" s="9"/>
      <c r="D4197" s="9"/>
      <c r="E4197" s="9"/>
      <c r="F4197" s="9"/>
      <c r="G4197" s="9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9"/>
      <c r="U4197" s="9"/>
      <c r="V4197" s="9"/>
      <c r="W4197" s="9"/>
      <c r="X4197" s="9"/>
      <c r="Y4197" s="9"/>
      <c r="Z4197" s="9"/>
      <c r="AA4197" s="9"/>
    </row>
    <row r="4198" spans="1:27" ht="13.6">
      <c r="A4198" s="8"/>
      <c r="B4198" s="12"/>
      <c r="C4198" s="9"/>
      <c r="D4198" s="9"/>
      <c r="E4198" s="9"/>
      <c r="F4198" s="9"/>
      <c r="G4198" s="9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9"/>
      <c r="U4198" s="9"/>
      <c r="V4198" s="9"/>
      <c r="W4198" s="9"/>
      <c r="X4198" s="9"/>
      <c r="Y4198" s="9"/>
      <c r="Z4198" s="9"/>
      <c r="AA4198" s="9"/>
    </row>
    <row r="4199" spans="1:27" ht="13.6">
      <c r="A4199" s="8"/>
      <c r="B4199" s="12"/>
      <c r="C4199" s="9"/>
      <c r="D4199" s="9"/>
      <c r="E4199" s="9"/>
      <c r="F4199" s="9"/>
      <c r="G4199" s="9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9"/>
      <c r="U4199" s="9"/>
      <c r="V4199" s="9"/>
      <c r="W4199" s="9"/>
      <c r="X4199" s="9"/>
      <c r="Y4199" s="9"/>
      <c r="Z4199" s="9"/>
      <c r="AA4199" s="9"/>
    </row>
    <row r="4200" spans="1:27" ht="13.6">
      <c r="A4200" s="8"/>
      <c r="B4200" s="12"/>
      <c r="C4200" s="9"/>
      <c r="D4200" s="9"/>
      <c r="E4200" s="9"/>
      <c r="F4200" s="9"/>
      <c r="G4200" s="9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9"/>
      <c r="U4200" s="9"/>
      <c r="V4200" s="9"/>
      <c r="W4200" s="9"/>
      <c r="X4200" s="9"/>
      <c r="Y4200" s="9"/>
      <c r="Z4200" s="9"/>
      <c r="AA4200" s="9"/>
    </row>
    <row r="4201" spans="1:27" ht="13.6">
      <c r="A4201" s="8"/>
      <c r="B4201" s="12"/>
      <c r="C4201" s="9"/>
      <c r="D4201" s="9"/>
      <c r="E4201" s="9"/>
      <c r="F4201" s="9"/>
      <c r="G4201" s="9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9"/>
      <c r="U4201" s="9"/>
      <c r="V4201" s="9"/>
      <c r="W4201" s="9"/>
      <c r="X4201" s="9"/>
      <c r="Y4201" s="9"/>
      <c r="Z4201" s="9"/>
      <c r="AA4201" s="9"/>
    </row>
    <row r="4202" spans="1:27" ht="13.6">
      <c r="A4202" s="8"/>
      <c r="B4202" s="12"/>
      <c r="C4202" s="9"/>
      <c r="D4202" s="9"/>
      <c r="E4202" s="9"/>
      <c r="F4202" s="9"/>
      <c r="G4202" s="9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9"/>
      <c r="U4202" s="9"/>
      <c r="V4202" s="9"/>
      <c r="W4202" s="9"/>
      <c r="X4202" s="9"/>
      <c r="Y4202" s="9"/>
      <c r="Z4202" s="9"/>
      <c r="AA4202" s="9"/>
    </row>
    <row r="4203" spans="1:27" ht="13.6">
      <c r="A4203" s="8"/>
      <c r="B4203" s="12"/>
      <c r="C4203" s="9"/>
      <c r="D4203" s="9"/>
      <c r="E4203" s="9"/>
      <c r="F4203" s="9"/>
      <c r="G4203" s="9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9"/>
      <c r="U4203" s="9"/>
      <c r="V4203" s="9"/>
      <c r="W4203" s="9"/>
      <c r="X4203" s="9"/>
      <c r="Y4203" s="9"/>
      <c r="Z4203" s="9"/>
      <c r="AA4203" s="9"/>
    </row>
    <row r="4204" spans="1:27" ht="13.6">
      <c r="A4204" s="8"/>
      <c r="B4204" s="12"/>
      <c r="C4204" s="9"/>
      <c r="D4204" s="9"/>
      <c r="E4204" s="9"/>
      <c r="F4204" s="9"/>
      <c r="G4204" s="9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9"/>
      <c r="U4204" s="9"/>
      <c r="V4204" s="9"/>
      <c r="W4204" s="9"/>
      <c r="X4204" s="9"/>
      <c r="Y4204" s="9"/>
      <c r="Z4204" s="9"/>
      <c r="AA4204" s="9"/>
    </row>
    <row r="4205" spans="1:27" ht="13.6">
      <c r="A4205" s="8"/>
      <c r="B4205" s="12"/>
      <c r="C4205" s="9"/>
      <c r="D4205" s="9"/>
      <c r="E4205" s="9"/>
      <c r="F4205" s="9"/>
      <c r="G4205" s="9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9"/>
      <c r="U4205" s="9"/>
      <c r="V4205" s="9"/>
      <c r="W4205" s="9"/>
      <c r="X4205" s="9"/>
      <c r="Y4205" s="9"/>
      <c r="Z4205" s="9"/>
      <c r="AA4205" s="9"/>
    </row>
    <row r="4206" spans="1:27" ht="13.6">
      <c r="A4206" s="8"/>
      <c r="B4206" s="12"/>
      <c r="C4206" s="9"/>
      <c r="D4206" s="9"/>
      <c r="E4206" s="9"/>
      <c r="F4206" s="9"/>
      <c r="G4206" s="9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9"/>
      <c r="U4206" s="9"/>
      <c r="V4206" s="9"/>
      <c r="W4206" s="9"/>
      <c r="X4206" s="9"/>
      <c r="Y4206" s="9"/>
      <c r="Z4206" s="9"/>
      <c r="AA4206" s="9"/>
    </row>
    <row r="4207" spans="1:27" ht="13.6">
      <c r="A4207" s="8"/>
      <c r="B4207" s="12"/>
      <c r="C4207" s="9"/>
      <c r="D4207" s="9"/>
      <c r="E4207" s="9"/>
      <c r="F4207" s="9"/>
      <c r="G4207" s="9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9"/>
      <c r="U4207" s="9"/>
      <c r="V4207" s="9"/>
      <c r="W4207" s="9"/>
      <c r="X4207" s="9"/>
      <c r="Y4207" s="9"/>
      <c r="Z4207" s="9"/>
      <c r="AA4207" s="9"/>
    </row>
    <row r="4208" spans="1:27" ht="13.6">
      <c r="A4208" s="8"/>
      <c r="B4208" s="12"/>
      <c r="C4208" s="9"/>
      <c r="D4208" s="9"/>
      <c r="E4208" s="9"/>
      <c r="F4208" s="9"/>
      <c r="G4208" s="9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9"/>
      <c r="U4208" s="9"/>
      <c r="V4208" s="9"/>
      <c r="W4208" s="9"/>
      <c r="X4208" s="9"/>
      <c r="Y4208" s="9"/>
      <c r="Z4208" s="9"/>
      <c r="AA4208" s="9"/>
    </row>
    <row r="4209" spans="1:27" ht="13.6">
      <c r="A4209" s="8"/>
      <c r="B4209" s="12"/>
      <c r="C4209" s="9"/>
      <c r="D4209" s="9"/>
      <c r="E4209" s="9"/>
      <c r="F4209" s="9"/>
      <c r="G4209" s="9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9"/>
      <c r="U4209" s="9"/>
      <c r="V4209" s="9"/>
      <c r="W4209" s="9"/>
      <c r="X4209" s="9"/>
      <c r="Y4209" s="9"/>
      <c r="Z4209" s="9"/>
      <c r="AA4209" s="9"/>
    </row>
    <row r="4210" spans="1:27" ht="13.6">
      <c r="A4210" s="8"/>
      <c r="B4210" s="12"/>
      <c r="C4210" s="9"/>
      <c r="D4210" s="9"/>
      <c r="E4210" s="9"/>
      <c r="F4210" s="9"/>
      <c r="G4210" s="9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9"/>
      <c r="U4210" s="9"/>
      <c r="V4210" s="9"/>
      <c r="W4210" s="9"/>
      <c r="X4210" s="9"/>
      <c r="Y4210" s="9"/>
      <c r="Z4210" s="9"/>
      <c r="AA4210" s="9"/>
    </row>
    <row r="4211" spans="1:27" ht="13.6">
      <c r="A4211" s="8"/>
      <c r="B4211" s="12"/>
      <c r="C4211" s="9"/>
      <c r="D4211" s="9"/>
      <c r="E4211" s="9"/>
      <c r="F4211" s="9"/>
      <c r="G4211" s="9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9"/>
      <c r="U4211" s="9"/>
      <c r="V4211" s="9"/>
      <c r="W4211" s="9"/>
      <c r="X4211" s="9"/>
      <c r="Y4211" s="9"/>
      <c r="Z4211" s="9"/>
      <c r="AA4211" s="9"/>
    </row>
    <row r="4212" spans="1:27" ht="13.6">
      <c r="A4212" s="8"/>
      <c r="B4212" s="12"/>
      <c r="C4212" s="9"/>
      <c r="D4212" s="9"/>
      <c r="E4212" s="9"/>
      <c r="F4212" s="9"/>
      <c r="G4212" s="9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9"/>
      <c r="U4212" s="9"/>
      <c r="V4212" s="9"/>
      <c r="W4212" s="9"/>
      <c r="X4212" s="9"/>
      <c r="Y4212" s="9"/>
      <c r="Z4212" s="9"/>
      <c r="AA4212" s="9"/>
    </row>
    <row r="4213" spans="1:27" ht="13.6">
      <c r="A4213" s="8"/>
      <c r="B4213" s="12"/>
      <c r="C4213" s="9"/>
      <c r="D4213" s="9"/>
      <c r="E4213" s="9"/>
      <c r="F4213" s="9"/>
      <c r="G4213" s="9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9"/>
      <c r="U4213" s="9"/>
      <c r="V4213" s="9"/>
      <c r="W4213" s="9"/>
      <c r="X4213" s="9"/>
      <c r="Y4213" s="9"/>
      <c r="Z4213" s="9"/>
      <c r="AA4213" s="9"/>
    </row>
    <row r="4214" spans="1:27" ht="13.6">
      <c r="A4214" s="8"/>
      <c r="B4214" s="12"/>
      <c r="C4214" s="9"/>
      <c r="D4214" s="9"/>
      <c r="E4214" s="9"/>
      <c r="F4214" s="9"/>
      <c r="G4214" s="9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9"/>
      <c r="U4214" s="9"/>
      <c r="V4214" s="9"/>
      <c r="W4214" s="9"/>
      <c r="X4214" s="9"/>
      <c r="Y4214" s="9"/>
      <c r="Z4214" s="9"/>
      <c r="AA4214" s="9"/>
    </row>
    <row r="4215" spans="1:27" ht="13.6">
      <c r="A4215" s="8"/>
      <c r="B4215" s="12"/>
      <c r="C4215" s="9"/>
      <c r="D4215" s="9"/>
      <c r="E4215" s="9"/>
      <c r="F4215" s="9"/>
      <c r="G4215" s="9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9"/>
      <c r="U4215" s="9"/>
      <c r="V4215" s="9"/>
      <c r="W4215" s="9"/>
      <c r="X4215" s="9"/>
      <c r="Y4215" s="9"/>
      <c r="Z4215" s="9"/>
      <c r="AA4215" s="9"/>
    </row>
    <row r="4216" spans="1:27" ht="13.6">
      <c r="A4216" s="8"/>
      <c r="B4216" s="12"/>
      <c r="C4216" s="9"/>
      <c r="D4216" s="9"/>
      <c r="E4216" s="9"/>
      <c r="F4216" s="9"/>
      <c r="G4216" s="9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9"/>
      <c r="U4216" s="9"/>
      <c r="V4216" s="9"/>
      <c r="W4216" s="9"/>
      <c r="X4216" s="9"/>
      <c r="Y4216" s="9"/>
      <c r="Z4216" s="9"/>
      <c r="AA4216" s="9"/>
    </row>
    <row r="4217" spans="1:27" ht="13.6">
      <c r="A4217" s="8"/>
      <c r="B4217" s="12"/>
      <c r="C4217" s="9"/>
      <c r="D4217" s="9"/>
      <c r="E4217" s="9"/>
      <c r="F4217" s="9"/>
      <c r="G4217" s="9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9"/>
      <c r="U4217" s="9"/>
      <c r="V4217" s="9"/>
      <c r="W4217" s="9"/>
      <c r="X4217" s="9"/>
      <c r="Y4217" s="9"/>
      <c r="Z4217" s="9"/>
      <c r="AA4217" s="9"/>
    </row>
    <row r="4218" spans="1:27" ht="13.6">
      <c r="A4218" s="8"/>
      <c r="B4218" s="12"/>
      <c r="C4218" s="9"/>
      <c r="D4218" s="9"/>
      <c r="E4218" s="9"/>
      <c r="F4218" s="9"/>
      <c r="G4218" s="9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9"/>
      <c r="U4218" s="9"/>
      <c r="V4218" s="9"/>
      <c r="W4218" s="9"/>
      <c r="X4218" s="9"/>
      <c r="Y4218" s="9"/>
      <c r="Z4218" s="9"/>
      <c r="AA4218" s="9"/>
    </row>
    <row r="4219" spans="1:27" ht="13.6">
      <c r="A4219" s="8"/>
      <c r="B4219" s="12"/>
      <c r="C4219" s="9"/>
      <c r="D4219" s="9"/>
      <c r="E4219" s="9"/>
      <c r="F4219" s="9"/>
      <c r="G4219" s="9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9"/>
      <c r="U4219" s="9"/>
      <c r="V4219" s="9"/>
      <c r="W4219" s="9"/>
      <c r="X4219" s="9"/>
      <c r="Y4219" s="9"/>
      <c r="Z4219" s="9"/>
      <c r="AA4219" s="9"/>
    </row>
    <row r="4220" spans="1:27" ht="13.6">
      <c r="A4220" s="8"/>
      <c r="B4220" s="12"/>
      <c r="C4220" s="9"/>
      <c r="D4220" s="9"/>
      <c r="E4220" s="9"/>
      <c r="F4220" s="9"/>
      <c r="G4220" s="9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9"/>
      <c r="U4220" s="9"/>
      <c r="V4220" s="9"/>
      <c r="W4220" s="9"/>
      <c r="X4220" s="9"/>
      <c r="Y4220" s="9"/>
      <c r="Z4220" s="9"/>
      <c r="AA4220" s="9"/>
    </row>
    <row r="4221" spans="1:27" ht="13.6">
      <c r="A4221" s="8"/>
      <c r="B4221" s="12"/>
      <c r="C4221" s="9"/>
      <c r="D4221" s="9"/>
      <c r="E4221" s="9"/>
      <c r="F4221" s="9"/>
      <c r="G4221" s="9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9"/>
      <c r="U4221" s="9"/>
      <c r="V4221" s="9"/>
      <c r="W4221" s="9"/>
      <c r="X4221" s="9"/>
      <c r="Y4221" s="9"/>
      <c r="Z4221" s="9"/>
      <c r="AA4221" s="9"/>
    </row>
    <row r="4222" spans="1:27" ht="13.6">
      <c r="A4222" s="8"/>
      <c r="B4222" s="12"/>
      <c r="C4222" s="9"/>
      <c r="D4222" s="9"/>
      <c r="E4222" s="9"/>
      <c r="F4222" s="9"/>
      <c r="G4222" s="9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9"/>
      <c r="U4222" s="9"/>
      <c r="V4222" s="9"/>
      <c r="W4222" s="9"/>
      <c r="X4222" s="9"/>
      <c r="Y4222" s="9"/>
      <c r="Z4222" s="9"/>
      <c r="AA4222" s="9"/>
    </row>
    <row r="4223" spans="1:27" ht="13.6">
      <c r="A4223" s="8"/>
      <c r="B4223" s="12"/>
      <c r="C4223" s="9"/>
      <c r="D4223" s="9"/>
      <c r="E4223" s="9"/>
      <c r="F4223" s="9"/>
      <c r="G4223" s="9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9"/>
      <c r="U4223" s="9"/>
      <c r="V4223" s="9"/>
      <c r="W4223" s="9"/>
      <c r="X4223" s="9"/>
      <c r="Y4223" s="9"/>
      <c r="Z4223" s="9"/>
      <c r="AA4223" s="9"/>
    </row>
    <row r="4224" spans="1:27" ht="13.6">
      <c r="A4224" s="8"/>
      <c r="B4224" s="12"/>
      <c r="C4224" s="9"/>
      <c r="D4224" s="9"/>
      <c r="E4224" s="9"/>
      <c r="F4224" s="9"/>
      <c r="G4224" s="9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9"/>
      <c r="U4224" s="9"/>
      <c r="V4224" s="9"/>
      <c r="W4224" s="9"/>
      <c r="X4224" s="9"/>
      <c r="Y4224" s="9"/>
      <c r="Z4224" s="9"/>
      <c r="AA4224" s="9"/>
    </row>
    <row r="4225" spans="1:27" ht="13.6">
      <c r="A4225" s="8"/>
      <c r="B4225" s="12"/>
      <c r="C4225" s="9"/>
      <c r="D4225" s="9"/>
      <c r="E4225" s="9"/>
      <c r="F4225" s="9"/>
      <c r="G4225" s="9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9"/>
      <c r="U4225" s="9"/>
      <c r="V4225" s="9"/>
      <c r="W4225" s="9"/>
      <c r="X4225" s="9"/>
      <c r="Y4225" s="9"/>
      <c r="Z4225" s="9"/>
      <c r="AA4225" s="9"/>
    </row>
    <row r="4226" spans="1:27" ht="13.6">
      <c r="A4226" s="8"/>
      <c r="B4226" s="12"/>
      <c r="C4226" s="9"/>
      <c r="D4226" s="9"/>
      <c r="E4226" s="9"/>
      <c r="F4226" s="9"/>
      <c r="G4226" s="9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9"/>
      <c r="U4226" s="9"/>
      <c r="V4226" s="9"/>
      <c r="W4226" s="9"/>
      <c r="X4226" s="9"/>
      <c r="Y4226" s="9"/>
      <c r="Z4226" s="9"/>
      <c r="AA4226" s="9"/>
    </row>
    <row r="4227" spans="1:27" ht="13.6">
      <c r="A4227" s="8"/>
      <c r="B4227" s="12"/>
      <c r="C4227" s="9"/>
      <c r="D4227" s="9"/>
      <c r="E4227" s="9"/>
      <c r="F4227" s="9"/>
      <c r="G4227" s="9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9"/>
      <c r="U4227" s="9"/>
      <c r="V4227" s="9"/>
      <c r="W4227" s="9"/>
      <c r="X4227" s="9"/>
      <c r="Y4227" s="9"/>
      <c r="Z4227" s="9"/>
      <c r="AA4227" s="9"/>
    </row>
    <row r="4228" spans="1:27" ht="13.6">
      <c r="A4228" s="8"/>
      <c r="B4228" s="12"/>
      <c r="C4228" s="9"/>
      <c r="D4228" s="9"/>
      <c r="E4228" s="9"/>
      <c r="F4228" s="9"/>
      <c r="G4228" s="9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9"/>
      <c r="U4228" s="9"/>
      <c r="V4228" s="9"/>
      <c r="W4228" s="9"/>
      <c r="X4228" s="9"/>
      <c r="Y4228" s="9"/>
      <c r="Z4228" s="9"/>
      <c r="AA4228" s="9"/>
    </row>
    <row r="4229" spans="1:27" ht="13.6">
      <c r="A4229" s="8"/>
      <c r="B4229" s="12"/>
      <c r="C4229" s="9"/>
      <c r="D4229" s="9"/>
      <c r="E4229" s="9"/>
      <c r="F4229" s="9"/>
      <c r="G4229" s="9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9"/>
      <c r="U4229" s="9"/>
      <c r="V4229" s="9"/>
      <c r="W4229" s="9"/>
      <c r="X4229" s="9"/>
      <c r="Y4229" s="9"/>
      <c r="Z4229" s="9"/>
      <c r="AA4229" s="9"/>
    </row>
    <row r="4230" spans="1:27" ht="13.6">
      <c r="A4230" s="8"/>
      <c r="B4230" s="12"/>
      <c r="C4230" s="9"/>
      <c r="D4230" s="9"/>
      <c r="E4230" s="9"/>
      <c r="F4230" s="9"/>
      <c r="G4230" s="9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9"/>
      <c r="U4230" s="9"/>
      <c r="V4230" s="9"/>
      <c r="W4230" s="9"/>
      <c r="X4230" s="9"/>
      <c r="Y4230" s="9"/>
      <c r="Z4230" s="9"/>
      <c r="AA4230" s="9"/>
    </row>
    <row r="4231" spans="1:27" ht="13.6">
      <c r="A4231" s="8"/>
      <c r="B4231" s="12"/>
      <c r="C4231" s="9"/>
      <c r="D4231" s="9"/>
      <c r="E4231" s="9"/>
      <c r="F4231" s="9"/>
      <c r="G4231" s="9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9"/>
      <c r="U4231" s="9"/>
      <c r="V4231" s="9"/>
      <c r="W4231" s="9"/>
      <c r="X4231" s="9"/>
      <c r="Y4231" s="9"/>
      <c r="Z4231" s="9"/>
      <c r="AA4231" s="9"/>
    </row>
    <row r="4232" spans="1:27" ht="13.6">
      <c r="A4232" s="8"/>
      <c r="B4232" s="12"/>
      <c r="C4232" s="9"/>
      <c r="D4232" s="9"/>
      <c r="E4232" s="9"/>
      <c r="F4232" s="9"/>
      <c r="G4232" s="9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9"/>
      <c r="U4232" s="9"/>
      <c r="V4232" s="9"/>
      <c r="W4232" s="9"/>
      <c r="X4232" s="9"/>
      <c r="Y4232" s="9"/>
      <c r="Z4232" s="9"/>
      <c r="AA4232" s="9"/>
    </row>
    <row r="4233" spans="1:27" ht="13.6">
      <c r="A4233" s="8"/>
      <c r="B4233" s="12"/>
      <c r="C4233" s="9"/>
      <c r="D4233" s="9"/>
      <c r="E4233" s="9"/>
      <c r="F4233" s="9"/>
      <c r="G4233" s="9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9"/>
      <c r="U4233" s="9"/>
      <c r="V4233" s="9"/>
      <c r="W4233" s="9"/>
      <c r="X4233" s="9"/>
      <c r="Y4233" s="9"/>
      <c r="Z4233" s="9"/>
      <c r="AA4233" s="9"/>
    </row>
    <row r="4234" spans="1:27" ht="13.6">
      <c r="A4234" s="8"/>
      <c r="B4234" s="12"/>
      <c r="C4234" s="9"/>
      <c r="D4234" s="9"/>
      <c r="E4234" s="9"/>
      <c r="F4234" s="9"/>
      <c r="G4234" s="9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9"/>
      <c r="U4234" s="9"/>
      <c r="V4234" s="9"/>
      <c r="W4234" s="9"/>
      <c r="X4234" s="9"/>
      <c r="Y4234" s="9"/>
      <c r="Z4234" s="9"/>
      <c r="AA4234" s="9"/>
    </row>
    <row r="4235" spans="1:27" ht="13.6">
      <c r="A4235" s="8"/>
      <c r="B4235" s="12"/>
      <c r="C4235" s="9"/>
      <c r="D4235" s="9"/>
      <c r="E4235" s="9"/>
      <c r="F4235" s="9"/>
      <c r="G4235" s="9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9"/>
      <c r="U4235" s="9"/>
      <c r="V4235" s="9"/>
      <c r="W4235" s="9"/>
      <c r="X4235" s="9"/>
      <c r="Y4235" s="9"/>
      <c r="Z4235" s="9"/>
      <c r="AA4235" s="9"/>
    </row>
    <row r="4236" spans="1:27" ht="13.6">
      <c r="A4236" s="8"/>
      <c r="B4236" s="12"/>
      <c r="C4236" s="9"/>
      <c r="D4236" s="9"/>
      <c r="E4236" s="9"/>
      <c r="F4236" s="9"/>
      <c r="G4236" s="9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9"/>
      <c r="U4236" s="9"/>
      <c r="V4236" s="9"/>
      <c r="W4236" s="9"/>
      <c r="X4236" s="9"/>
      <c r="Y4236" s="9"/>
      <c r="Z4236" s="9"/>
      <c r="AA4236" s="9"/>
    </row>
    <row r="4237" spans="1:27" ht="13.6">
      <c r="A4237" s="8"/>
      <c r="B4237" s="12"/>
      <c r="C4237" s="9"/>
      <c r="D4237" s="9"/>
      <c r="E4237" s="9"/>
      <c r="F4237" s="9"/>
      <c r="G4237" s="9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9"/>
      <c r="U4237" s="9"/>
      <c r="V4237" s="9"/>
      <c r="W4237" s="9"/>
      <c r="X4237" s="9"/>
      <c r="Y4237" s="9"/>
      <c r="Z4237" s="9"/>
      <c r="AA4237" s="9"/>
    </row>
    <row r="4238" spans="1:27" ht="13.6">
      <c r="A4238" s="8"/>
      <c r="B4238" s="12"/>
      <c r="C4238" s="9"/>
      <c r="D4238" s="9"/>
      <c r="E4238" s="9"/>
      <c r="F4238" s="9"/>
      <c r="G4238" s="9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9"/>
      <c r="U4238" s="9"/>
      <c r="V4238" s="9"/>
      <c r="W4238" s="9"/>
      <c r="X4238" s="9"/>
      <c r="Y4238" s="9"/>
      <c r="Z4238" s="9"/>
      <c r="AA4238" s="9"/>
    </row>
    <row r="4239" spans="1:27" ht="13.6">
      <c r="A4239" s="8"/>
      <c r="B4239" s="12"/>
      <c r="C4239" s="9"/>
      <c r="D4239" s="9"/>
      <c r="E4239" s="9"/>
      <c r="F4239" s="9"/>
      <c r="G4239" s="9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9"/>
      <c r="U4239" s="9"/>
      <c r="V4239" s="9"/>
      <c r="W4239" s="9"/>
      <c r="X4239" s="9"/>
      <c r="Y4239" s="9"/>
      <c r="Z4239" s="9"/>
      <c r="AA4239" s="9"/>
    </row>
    <row r="4240" spans="1:27" ht="13.6">
      <c r="A4240" s="8"/>
      <c r="B4240" s="12"/>
      <c r="C4240" s="9"/>
      <c r="D4240" s="9"/>
      <c r="E4240" s="9"/>
      <c r="F4240" s="9"/>
      <c r="G4240" s="9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9"/>
      <c r="U4240" s="9"/>
      <c r="V4240" s="9"/>
      <c r="W4240" s="9"/>
      <c r="X4240" s="9"/>
      <c r="Y4240" s="9"/>
      <c r="Z4240" s="9"/>
      <c r="AA4240" s="9"/>
    </row>
    <row r="4241" spans="1:27" ht="13.6">
      <c r="A4241" s="8"/>
      <c r="B4241" s="12"/>
      <c r="C4241" s="9"/>
      <c r="D4241" s="9"/>
      <c r="E4241" s="9"/>
      <c r="F4241" s="9"/>
      <c r="G4241" s="9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9"/>
      <c r="U4241" s="9"/>
      <c r="V4241" s="9"/>
      <c r="W4241" s="9"/>
      <c r="X4241" s="9"/>
      <c r="Y4241" s="9"/>
      <c r="Z4241" s="9"/>
      <c r="AA4241" s="9"/>
    </row>
    <row r="4242" spans="1:27" ht="13.6">
      <c r="A4242" s="8"/>
      <c r="B4242" s="12"/>
      <c r="C4242" s="9"/>
      <c r="D4242" s="9"/>
      <c r="E4242" s="9"/>
      <c r="F4242" s="9"/>
      <c r="G4242" s="9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9"/>
      <c r="U4242" s="9"/>
      <c r="V4242" s="9"/>
      <c r="W4242" s="9"/>
      <c r="X4242" s="9"/>
      <c r="Y4242" s="9"/>
      <c r="Z4242" s="9"/>
      <c r="AA4242" s="9"/>
    </row>
    <row r="4243" spans="1:27" ht="13.6">
      <c r="A4243" s="8"/>
      <c r="B4243" s="12"/>
      <c r="C4243" s="9"/>
      <c r="D4243" s="9"/>
      <c r="E4243" s="9"/>
      <c r="F4243" s="9"/>
      <c r="G4243" s="9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9"/>
      <c r="U4243" s="9"/>
      <c r="V4243" s="9"/>
      <c r="W4243" s="9"/>
      <c r="X4243" s="9"/>
      <c r="Y4243" s="9"/>
      <c r="Z4243" s="9"/>
      <c r="AA4243" s="9"/>
    </row>
    <row r="4244" spans="1:27" ht="13.6">
      <c r="A4244" s="8"/>
      <c r="B4244" s="12"/>
      <c r="C4244" s="9"/>
      <c r="D4244" s="9"/>
      <c r="E4244" s="9"/>
      <c r="F4244" s="9"/>
      <c r="G4244" s="9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9"/>
      <c r="U4244" s="9"/>
      <c r="V4244" s="9"/>
      <c r="W4244" s="9"/>
      <c r="X4244" s="9"/>
      <c r="Y4244" s="9"/>
      <c r="Z4244" s="9"/>
      <c r="AA4244" s="9"/>
    </row>
    <row r="4245" spans="1:27" ht="13.6">
      <c r="A4245" s="8"/>
      <c r="B4245" s="12"/>
      <c r="C4245" s="9"/>
      <c r="D4245" s="9"/>
      <c r="E4245" s="9"/>
      <c r="F4245" s="9"/>
      <c r="G4245" s="9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9"/>
      <c r="U4245" s="9"/>
      <c r="V4245" s="9"/>
      <c r="W4245" s="9"/>
      <c r="X4245" s="9"/>
      <c r="Y4245" s="9"/>
      <c r="Z4245" s="9"/>
      <c r="AA4245" s="9"/>
    </row>
    <row r="4246" spans="1:27" ht="13.6">
      <c r="A4246" s="8"/>
      <c r="B4246" s="12"/>
      <c r="C4246" s="9"/>
      <c r="D4246" s="9"/>
      <c r="E4246" s="9"/>
      <c r="F4246" s="9"/>
      <c r="G4246" s="9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9"/>
      <c r="U4246" s="9"/>
      <c r="V4246" s="9"/>
      <c r="W4246" s="9"/>
      <c r="X4246" s="9"/>
      <c r="Y4246" s="9"/>
      <c r="Z4246" s="9"/>
      <c r="AA4246" s="9"/>
    </row>
    <row r="4247" spans="1:27" ht="13.6">
      <c r="A4247" s="8"/>
      <c r="B4247" s="12"/>
      <c r="C4247" s="9"/>
      <c r="D4247" s="9"/>
      <c r="E4247" s="9"/>
      <c r="F4247" s="9"/>
      <c r="G4247" s="9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9"/>
      <c r="U4247" s="9"/>
      <c r="V4247" s="9"/>
      <c r="W4247" s="9"/>
      <c r="X4247" s="9"/>
      <c r="Y4247" s="9"/>
      <c r="Z4247" s="9"/>
      <c r="AA4247" s="9"/>
    </row>
    <row r="4248" spans="1:27" ht="13.6">
      <c r="A4248" s="8"/>
      <c r="B4248" s="12"/>
      <c r="C4248" s="9"/>
      <c r="D4248" s="9"/>
      <c r="E4248" s="9"/>
      <c r="F4248" s="9"/>
      <c r="G4248" s="9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9"/>
      <c r="U4248" s="9"/>
      <c r="V4248" s="9"/>
      <c r="W4248" s="9"/>
      <c r="X4248" s="9"/>
      <c r="Y4248" s="9"/>
      <c r="Z4248" s="9"/>
      <c r="AA4248" s="9"/>
    </row>
    <row r="4249" spans="1:27" ht="13.6">
      <c r="A4249" s="8"/>
      <c r="B4249" s="12"/>
      <c r="C4249" s="9"/>
      <c r="D4249" s="9"/>
      <c r="E4249" s="9"/>
      <c r="F4249" s="9"/>
      <c r="G4249" s="9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9"/>
      <c r="U4249" s="9"/>
      <c r="V4249" s="9"/>
      <c r="W4249" s="9"/>
      <c r="X4249" s="9"/>
      <c r="Y4249" s="9"/>
      <c r="Z4249" s="9"/>
      <c r="AA4249" s="9"/>
    </row>
    <row r="4250" spans="1:27" ht="13.6">
      <c r="A4250" s="8"/>
      <c r="B4250" s="12"/>
      <c r="C4250" s="9"/>
      <c r="D4250" s="9"/>
      <c r="E4250" s="9"/>
      <c r="F4250" s="9"/>
      <c r="G4250" s="9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9"/>
      <c r="U4250" s="9"/>
      <c r="V4250" s="9"/>
      <c r="W4250" s="9"/>
      <c r="X4250" s="9"/>
      <c r="Y4250" s="9"/>
      <c r="Z4250" s="9"/>
      <c r="AA4250" s="9"/>
    </row>
    <row r="4251" spans="1:27" ht="13.6">
      <c r="A4251" s="8"/>
      <c r="B4251" s="12"/>
      <c r="C4251" s="9"/>
      <c r="D4251" s="9"/>
      <c r="E4251" s="9"/>
      <c r="F4251" s="9"/>
      <c r="G4251" s="9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9"/>
      <c r="U4251" s="9"/>
      <c r="V4251" s="9"/>
      <c r="W4251" s="9"/>
      <c r="X4251" s="9"/>
      <c r="Y4251" s="9"/>
      <c r="Z4251" s="9"/>
      <c r="AA4251" s="9"/>
    </row>
    <row r="4252" spans="1:27" ht="13.6">
      <c r="A4252" s="8"/>
      <c r="B4252" s="12"/>
      <c r="C4252" s="9"/>
      <c r="D4252" s="9"/>
      <c r="E4252" s="9"/>
      <c r="F4252" s="9"/>
      <c r="G4252" s="9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9"/>
      <c r="U4252" s="9"/>
      <c r="V4252" s="9"/>
      <c r="W4252" s="9"/>
      <c r="X4252" s="9"/>
      <c r="Y4252" s="9"/>
      <c r="Z4252" s="9"/>
      <c r="AA4252" s="9"/>
    </row>
    <row r="4253" spans="1:27" ht="13.6">
      <c r="A4253" s="8"/>
      <c r="B4253" s="12"/>
      <c r="C4253" s="9"/>
      <c r="D4253" s="9"/>
      <c r="E4253" s="9"/>
      <c r="F4253" s="9"/>
      <c r="G4253" s="9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9"/>
      <c r="U4253" s="9"/>
      <c r="V4253" s="9"/>
      <c r="W4253" s="9"/>
      <c r="X4253" s="9"/>
      <c r="Y4253" s="9"/>
      <c r="Z4253" s="9"/>
      <c r="AA4253" s="9"/>
    </row>
    <row r="4254" spans="1:27" ht="13.6">
      <c r="A4254" s="8"/>
      <c r="B4254" s="12"/>
      <c r="C4254" s="9"/>
      <c r="D4254" s="9"/>
      <c r="E4254" s="9"/>
      <c r="F4254" s="9"/>
      <c r="G4254" s="9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9"/>
      <c r="U4254" s="9"/>
      <c r="V4254" s="9"/>
      <c r="W4254" s="9"/>
      <c r="X4254" s="9"/>
      <c r="Y4254" s="9"/>
      <c r="Z4254" s="9"/>
      <c r="AA4254" s="9"/>
    </row>
    <row r="4255" spans="1:27" ht="13.6">
      <c r="A4255" s="8"/>
      <c r="B4255" s="12"/>
      <c r="C4255" s="9"/>
      <c r="D4255" s="9"/>
      <c r="E4255" s="9"/>
      <c r="F4255" s="9"/>
      <c r="G4255" s="9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9"/>
      <c r="U4255" s="9"/>
      <c r="V4255" s="9"/>
      <c r="W4255" s="9"/>
      <c r="X4255" s="9"/>
      <c r="Y4255" s="9"/>
      <c r="Z4255" s="9"/>
      <c r="AA4255" s="9"/>
    </row>
    <row r="4256" spans="1:27" ht="13.6">
      <c r="A4256" s="8"/>
      <c r="B4256" s="12"/>
      <c r="C4256" s="9"/>
      <c r="D4256" s="9"/>
      <c r="E4256" s="9"/>
      <c r="F4256" s="9"/>
      <c r="G4256" s="9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9"/>
      <c r="U4256" s="9"/>
      <c r="V4256" s="9"/>
      <c r="W4256" s="9"/>
      <c r="X4256" s="9"/>
      <c r="Y4256" s="9"/>
      <c r="Z4256" s="9"/>
      <c r="AA4256" s="9"/>
    </row>
    <row r="4257" spans="1:27" ht="13.6">
      <c r="A4257" s="8"/>
      <c r="B4257" s="12"/>
      <c r="C4257" s="9"/>
      <c r="D4257" s="9"/>
      <c r="E4257" s="9"/>
      <c r="F4257" s="9"/>
      <c r="G4257" s="9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9"/>
      <c r="U4257" s="9"/>
      <c r="V4257" s="9"/>
      <c r="W4257" s="9"/>
      <c r="X4257" s="9"/>
      <c r="Y4257" s="9"/>
      <c r="Z4257" s="9"/>
      <c r="AA4257" s="9"/>
    </row>
    <row r="4258" spans="1:27" ht="13.6">
      <c r="A4258" s="8"/>
      <c r="B4258" s="12"/>
      <c r="C4258" s="9"/>
      <c r="D4258" s="9"/>
      <c r="E4258" s="9"/>
      <c r="F4258" s="9"/>
      <c r="G4258" s="9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9"/>
      <c r="U4258" s="9"/>
      <c r="V4258" s="9"/>
      <c r="W4258" s="9"/>
      <c r="X4258" s="9"/>
      <c r="Y4258" s="9"/>
      <c r="Z4258" s="9"/>
      <c r="AA4258" s="9"/>
    </row>
    <row r="4259" spans="1:27" ht="13.6">
      <c r="A4259" s="8"/>
      <c r="B4259" s="12"/>
      <c r="C4259" s="9"/>
      <c r="D4259" s="9"/>
      <c r="E4259" s="9"/>
      <c r="F4259" s="9"/>
      <c r="G4259" s="9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9"/>
      <c r="U4259" s="9"/>
      <c r="V4259" s="9"/>
      <c r="W4259" s="9"/>
      <c r="X4259" s="9"/>
      <c r="Y4259" s="9"/>
      <c r="Z4259" s="9"/>
      <c r="AA4259" s="9"/>
    </row>
    <row r="4260" spans="1:27" ht="13.6">
      <c r="A4260" s="8"/>
      <c r="B4260" s="12"/>
      <c r="C4260" s="9"/>
      <c r="D4260" s="9"/>
      <c r="E4260" s="9"/>
      <c r="F4260" s="9"/>
      <c r="G4260" s="9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9"/>
      <c r="U4260" s="9"/>
      <c r="V4260" s="9"/>
      <c r="W4260" s="9"/>
      <c r="X4260" s="9"/>
      <c r="Y4260" s="9"/>
      <c r="Z4260" s="9"/>
      <c r="AA4260" s="9"/>
    </row>
    <row r="4261" spans="1:27" ht="13.6">
      <c r="A4261" s="8"/>
      <c r="B4261" s="12"/>
      <c r="C4261" s="9"/>
      <c r="D4261" s="9"/>
      <c r="E4261" s="9"/>
      <c r="F4261" s="9"/>
      <c r="G4261" s="9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9"/>
      <c r="U4261" s="9"/>
      <c r="V4261" s="9"/>
      <c r="W4261" s="9"/>
      <c r="X4261" s="9"/>
      <c r="Y4261" s="9"/>
      <c r="Z4261" s="9"/>
      <c r="AA4261" s="9"/>
    </row>
    <row r="4262" spans="1:27" ht="13.6">
      <c r="A4262" s="8"/>
      <c r="B4262" s="12"/>
      <c r="C4262" s="9"/>
      <c r="D4262" s="9"/>
      <c r="E4262" s="9"/>
      <c r="F4262" s="9"/>
      <c r="G4262" s="9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9"/>
      <c r="U4262" s="9"/>
      <c r="V4262" s="9"/>
      <c r="W4262" s="9"/>
      <c r="X4262" s="9"/>
      <c r="Y4262" s="9"/>
      <c r="Z4262" s="9"/>
      <c r="AA4262" s="9"/>
    </row>
    <row r="4263" spans="1:27" ht="13.6">
      <c r="A4263" s="8"/>
      <c r="B4263" s="12"/>
      <c r="C4263" s="9"/>
      <c r="D4263" s="9"/>
      <c r="E4263" s="9"/>
      <c r="F4263" s="9"/>
      <c r="G4263" s="9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9"/>
      <c r="U4263" s="9"/>
      <c r="V4263" s="9"/>
      <c r="W4263" s="9"/>
      <c r="X4263" s="9"/>
      <c r="Y4263" s="9"/>
      <c r="Z4263" s="9"/>
      <c r="AA4263" s="9"/>
    </row>
    <row r="4264" spans="1:27" ht="13.6">
      <c r="A4264" s="8"/>
      <c r="B4264" s="12"/>
      <c r="C4264" s="9"/>
      <c r="D4264" s="9"/>
      <c r="E4264" s="9"/>
      <c r="F4264" s="9"/>
      <c r="G4264" s="9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9"/>
      <c r="U4264" s="9"/>
      <c r="V4264" s="9"/>
      <c r="W4264" s="9"/>
      <c r="X4264" s="9"/>
      <c r="Y4264" s="9"/>
      <c r="Z4264" s="9"/>
      <c r="AA4264" s="9"/>
    </row>
    <row r="4265" spans="1:27" ht="13.6">
      <c r="A4265" s="8"/>
      <c r="B4265" s="12"/>
      <c r="C4265" s="9"/>
      <c r="D4265" s="9"/>
      <c r="E4265" s="9"/>
      <c r="F4265" s="9"/>
      <c r="G4265" s="9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9"/>
      <c r="U4265" s="9"/>
      <c r="V4265" s="9"/>
      <c r="W4265" s="9"/>
      <c r="X4265" s="9"/>
      <c r="Y4265" s="9"/>
      <c r="Z4265" s="9"/>
      <c r="AA4265" s="9"/>
    </row>
    <row r="4266" spans="1:27" ht="13.6">
      <c r="A4266" s="8"/>
      <c r="B4266" s="12"/>
      <c r="C4266" s="9"/>
      <c r="D4266" s="9"/>
      <c r="E4266" s="9"/>
      <c r="F4266" s="9"/>
      <c r="G4266" s="9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9"/>
      <c r="U4266" s="9"/>
      <c r="V4266" s="9"/>
      <c r="W4266" s="9"/>
      <c r="X4266" s="9"/>
      <c r="Y4266" s="9"/>
      <c r="Z4266" s="9"/>
      <c r="AA4266" s="9"/>
    </row>
    <row r="4267" spans="1:27" ht="13.6">
      <c r="A4267" s="8"/>
      <c r="B4267" s="12"/>
      <c r="C4267" s="9"/>
      <c r="D4267" s="9"/>
      <c r="E4267" s="9"/>
      <c r="F4267" s="9"/>
      <c r="G4267" s="9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9"/>
      <c r="U4267" s="9"/>
      <c r="V4267" s="9"/>
      <c r="W4267" s="9"/>
      <c r="X4267" s="9"/>
      <c r="Y4267" s="9"/>
      <c r="Z4267" s="9"/>
      <c r="AA4267" s="9"/>
    </row>
    <row r="4268" spans="1:27" ht="13.6">
      <c r="A4268" s="8"/>
      <c r="B4268" s="12"/>
      <c r="C4268" s="9"/>
      <c r="D4268" s="9"/>
      <c r="E4268" s="9"/>
      <c r="F4268" s="9"/>
      <c r="G4268" s="9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9"/>
      <c r="U4268" s="9"/>
      <c r="V4268" s="9"/>
      <c r="W4268" s="9"/>
      <c r="X4268" s="9"/>
      <c r="Y4268" s="9"/>
      <c r="Z4268" s="9"/>
      <c r="AA4268" s="9"/>
    </row>
    <row r="4269" spans="1:27" ht="13.6">
      <c r="A4269" s="8"/>
      <c r="B4269" s="12"/>
      <c r="C4269" s="9"/>
      <c r="D4269" s="9"/>
      <c r="E4269" s="9"/>
      <c r="F4269" s="9"/>
      <c r="G4269" s="9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9"/>
      <c r="U4269" s="9"/>
      <c r="V4269" s="9"/>
      <c r="W4269" s="9"/>
      <c r="X4269" s="9"/>
      <c r="Y4269" s="9"/>
      <c r="Z4269" s="9"/>
      <c r="AA4269" s="9"/>
    </row>
    <row r="4270" spans="1:27" ht="13.6">
      <c r="A4270" s="8"/>
      <c r="B4270" s="12"/>
      <c r="C4270" s="9"/>
      <c r="D4270" s="9"/>
      <c r="E4270" s="9"/>
      <c r="F4270" s="9"/>
      <c r="G4270" s="9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9"/>
      <c r="U4270" s="9"/>
      <c r="V4270" s="9"/>
      <c r="W4270" s="9"/>
      <c r="X4270" s="9"/>
      <c r="Y4270" s="9"/>
      <c r="Z4270" s="9"/>
      <c r="AA4270" s="9"/>
    </row>
    <row r="4271" spans="1:27" ht="13.6">
      <c r="A4271" s="8"/>
      <c r="B4271" s="12"/>
      <c r="C4271" s="9"/>
      <c r="D4271" s="9"/>
      <c r="E4271" s="9"/>
      <c r="F4271" s="9"/>
      <c r="G4271" s="9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9"/>
      <c r="U4271" s="9"/>
      <c r="V4271" s="9"/>
      <c r="W4271" s="9"/>
      <c r="X4271" s="9"/>
      <c r="Y4271" s="9"/>
      <c r="Z4271" s="9"/>
      <c r="AA4271" s="9"/>
    </row>
    <row r="4272" spans="1:27" ht="13.6">
      <c r="A4272" s="8"/>
      <c r="B4272" s="12"/>
      <c r="C4272" s="9"/>
      <c r="D4272" s="9"/>
      <c r="E4272" s="9"/>
      <c r="F4272" s="9"/>
      <c r="G4272" s="9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9"/>
      <c r="U4272" s="9"/>
      <c r="V4272" s="9"/>
      <c r="W4272" s="9"/>
      <c r="X4272" s="9"/>
      <c r="Y4272" s="9"/>
      <c r="Z4272" s="9"/>
      <c r="AA4272" s="9"/>
    </row>
    <row r="4273" spans="1:27" ht="13.6">
      <c r="A4273" s="8"/>
      <c r="B4273" s="12"/>
      <c r="C4273" s="9"/>
      <c r="D4273" s="9"/>
      <c r="E4273" s="9"/>
      <c r="F4273" s="9"/>
      <c r="G4273" s="9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9"/>
      <c r="U4273" s="9"/>
      <c r="V4273" s="9"/>
      <c r="W4273" s="9"/>
      <c r="X4273" s="9"/>
      <c r="Y4273" s="9"/>
      <c r="Z4273" s="9"/>
      <c r="AA4273" s="9"/>
    </row>
    <row r="4274" spans="1:27" ht="13.6">
      <c r="A4274" s="8"/>
      <c r="B4274" s="12"/>
      <c r="C4274" s="9"/>
      <c r="D4274" s="9"/>
      <c r="E4274" s="9"/>
      <c r="F4274" s="9"/>
      <c r="G4274" s="9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9"/>
      <c r="U4274" s="9"/>
      <c r="V4274" s="9"/>
      <c r="W4274" s="9"/>
      <c r="X4274" s="9"/>
      <c r="Y4274" s="9"/>
      <c r="Z4274" s="9"/>
      <c r="AA4274" s="9"/>
    </row>
    <row r="4275" spans="1:27" ht="13.6">
      <c r="A4275" s="8"/>
      <c r="B4275" s="12"/>
      <c r="C4275" s="9"/>
      <c r="D4275" s="9"/>
      <c r="E4275" s="9"/>
      <c r="F4275" s="9"/>
      <c r="G4275" s="9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9"/>
      <c r="U4275" s="9"/>
      <c r="V4275" s="9"/>
      <c r="W4275" s="9"/>
      <c r="X4275" s="9"/>
      <c r="Y4275" s="9"/>
      <c r="Z4275" s="9"/>
      <c r="AA4275" s="9"/>
    </row>
    <row r="4276" spans="1:27" ht="13.6">
      <c r="A4276" s="8"/>
      <c r="B4276" s="12"/>
      <c r="C4276" s="9"/>
      <c r="D4276" s="9"/>
      <c r="E4276" s="9"/>
      <c r="F4276" s="9"/>
      <c r="G4276" s="9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9"/>
      <c r="U4276" s="9"/>
      <c r="V4276" s="9"/>
      <c r="W4276" s="9"/>
      <c r="X4276" s="9"/>
      <c r="Y4276" s="9"/>
      <c r="Z4276" s="9"/>
      <c r="AA4276" s="9"/>
    </row>
    <row r="4277" spans="1:27" ht="13.6">
      <c r="A4277" s="8"/>
      <c r="B4277" s="12"/>
      <c r="C4277" s="9"/>
      <c r="D4277" s="9"/>
      <c r="E4277" s="9"/>
      <c r="F4277" s="9"/>
      <c r="G4277" s="9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9"/>
      <c r="U4277" s="9"/>
      <c r="V4277" s="9"/>
      <c r="W4277" s="9"/>
      <c r="X4277" s="9"/>
      <c r="Y4277" s="9"/>
      <c r="Z4277" s="9"/>
      <c r="AA4277" s="9"/>
    </row>
    <row r="4278" spans="1:27" ht="13.6">
      <c r="A4278" s="8"/>
      <c r="B4278" s="12"/>
      <c r="C4278" s="9"/>
      <c r="D4278" s="9"/>
      <c r="E4278" s="9"/>
      <c r="F4278" s="9"/>
      <c r="G4278" s="9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9"/>
      <c r="U4278" s="9"/>
      <c r="V4278" s="9"/>
      <c r="W4278" s="9"/>
      <c r="X4278" s="9"/>
      <c r="Y4278" s="9"/>
      <c r="Z4278" s="9"/>
      <c r="AA4278" s="9"/>
    </row>
    <row r="4279" spans="1:27" ht="13.6">
      <c r="A4279" s="8"/>
      <c r="B4279" s="12"/>
      <c r="C4279" s="9"/>
      <c r="D4279" s="9"/>
      <c r="E4279" s="9"/>
      <c r="F4279" s="9"/>
      <c r="G4279" s="9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9"/>
      <c r="U4279" s="9"/>
      <c r="V4279" s="9"/>
      <c r="W4279" s="9"/>
      <c r="X4279" s="9"/>
      <c r="Y4279" s="9"/>
      <c r="Z4279" s="9"/>
      <c r="AA4279" s="9"/>
    </row>
    <row r="4280" spans="1:27">
      <c r="A4280" s="8"/>
      <c r="B4280" s="13"/>
      <c r="C4280" s="9"/>
      <c r="D4280" s="9"/>
      <c r="E4280" s="9"/>
      <c r="F4280" s="9"/>
      <c r="G4280" s="9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9"/>
      <c r="U4280" s="9"/>
      <c r="V4280" s="9"/>
      <c r="W4280" s="9"/>
      <c r="X4280" s="9"/>
      <c r="Y4280" s="9"/>
      <c r="Z4280" s="9"/>
      <c r="AA4280" s="9"/>
    </row>
    <row r="4281" spans="1:27">
      <c r="A4281" s="8"/>
      <c r="B4281" s="13"/>
      <c r="C4281" s="9"/>
      <c r="D4281" s="9"/>
      <c r="E4281" s="9"/>
      <c r="F4281" s="9"/>
      <c r="G4281" s="9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9"/>
      <c r="U4281" s="9"/>
      <c r="V4281" s="9"/>
      <c r="W4281" s="9"/>
      <c r="X4281" s="9"/>
      <c r="Y4281" s="9"/>
      <c r="Z4281" s="9"/>
      <c r="AA4281" s="9"/>
    </row>
    <row r="4282" spans="1:27">
      <c r="A4282" s="8"/>
      <c r="B4282" s="13"/>
      <c r="C4282" s="9"/>
      <c r="D4282" s="9"/>
      <c r="E4282" s="9"/>
      <c r="F4282" s="9"/>
      <c r="G4282" s="9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9"/>
      <c r="U4282" s="9"/>
      <c r="V4282" s="9"/>
      <c r="W4282" s="9"/>
      <c r="X4282" s="9"/>
      <c r="Y4282" s="9"/>
      <c r="Z4282" s="9"/>
      <c r="AA4282" s="9"/>
    </row>
    <row r="4283" spans="1:27">
      <c r="A4283" s="8"/>
      <c r="B4283" s="13"/>
      <c r="C4283" s="9"/>
      <c r="D4283" s="9"/>
      <c r="E4283" s="9"/>
      <c r="F4283" s="9"/>
      <c r="G4283" s="9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9"/>
      <c r="U4283" s="9"/>
      <c r="V4283" s="9"/>
      <c r="W4283" s="9"/>
      <c r="X4283" s="9"/>
      <c r="Y4283" s="9"/>
      <c r="Z4283" s="9"/>
      <c r="AA4283" s="9"/>
    </row>
    <row r="4284" spans="1:27">
      <c r="A4284" s="8"/>
      <c r="B4284" s="13"/>
      <c r="C4284" s="9"/>
      <c r="D4284" s="9"/>
      <c r="E4284" s="9"/>
      <c r="F4284" s="9"/>
      <c r="G4284" s="9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9"/>
      <c r="U4284" s="9"/>
      <c r="V4284" s="9"/>
      <c r="W4284" s="9"/>
      <c r="X4284" s="9"/>
      <c r="Y4284" s="9"/>
      <c r="Z4284" s="9"/>
      <c r="AA4284" s="9"/>
    </row>
    <row r="4285" spans="1:27">
      <c r="A4285" s="8"/>
      <c r="B4285" s="13"/>
      <c r="C4285" s="9"/>
      <c r="D4285" s="9"/>
      <c r="E4285" s="9"/>
      <c r="F4285" s="9"/>
      <c r="G4285" s="9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9"/>
      <c r="U4285" s="9"/>
      <c r="V4285" s="9"/>
      <c r="W4285" s="9"/>
      <c r="X4285" s="9"/>
      <c r="Y4285" s="9"/>
      <c r="Z4285" s="9"/>
      <c r="AA4285" s="9"/>
    </row>
    <row r="4286" spans="1:27" ht="13.6">
      <c r="A4286" s="8"/>
      <c r="B4286" s="12"/>
      <c r="C4286" s="9"/>
      <c r="D4286" s="9"/>
      <c r="E4286" s="9"/>
      <c r="F4286" s="9"/>
      <c r="G4286" s="9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9"/>
      <c r="U4286" s="9"/>
      <c r="V4286" s="9"/>
      <c r="W4286" s="9"/>
      <c r="X4286" s="9"/>
      <c r="Y4286" s="9"/>
      <c r="Z4286" s="9"/>
      <c r="AA4286" s="9"/>
    </row>
    <row r="4287" spans="1:27" ht="13.6">
      <c r="A4287" s="8"/>
      <c r="B4287" s="12"/>
      <c r="C4287" s="9"/>
      <c r="D4287" s="9"/>
      <c r="E4287" s="9"/>
      <c r="F4287" s="9"/>
      <c r="G4287" s="9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9"/>
      <c r="U4287" s="9"/>
      <c r="V4287" s="9"/>
      <c r="W4287" s="9"/>
      <c r="X4287" s="9"/>
      <c r="Y4287" s="9"/>
      <c r="Z4287" s="9"/>
      <c r="AA4287" s="9"/>
    </row>
    <row r="4288" spans="1:27" ht="13.6">
      <c r="A4288" s="8"/>
      <c r="B4288" s="12"/>
      <c r="C4288" s="9"/>
      <c r="D4288" s="9"/>
      <c r="E4288" s="9"/>
      <c r="F4288" s="9"/>
      <c r="G4288" s="9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9"/>
      <c r="U4288" s="9"/>
      <c r="V4288" s="9"/>
      <c r="W4288" s="9"/>
      <c r="X4288" s="9"/>
      <c r="Y4288" s="9"/>
      <c r="Z4288" s="9"/>
      <c r="AA4288" s="9"/>
    </row>
    <row r="4289" spans="1:27" ht="13.6">
      <c r="A4289" s="8"/>
      <c r="B4289" s="12"/>
      <c r="C4289" s="9"/>
      <c r="D4289" s="9"/>
      <c r="E4289" s="9"/>
      <c r="F4289" s="9"/>
      <c r="G4289" s="9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9"/>
      <c r="U4289" s="9"/>
      <c r="V4289" s="9"/>
      <c r="W4289" s="9"/>
      <c r="X4289" s="9"/>
      <c r="Y4289" s="9"/>
      <c r="Z4289" s="9"/>
      <c r="AA4289" s="9"/>
    </row>
    <row r="4290" spans="1:27" ht="13.6">
      <c r="A4290" s="8"/>
      <c r="B4290" s="12"/>
      <c r="C4290" s="9"/>
      <c r="D4290" s="9"/>
      <c r="E4290" s="9"/>
      <c r="F4290" s="9"/>
      <c r="G4290" s="9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9"/>
      <c r="U4290" s="9"/>
      <c r="V4290" s="9"/>
      <c r="W4290" s="9"/>
      <c r="X4290" s="9"/>
      <c r="Y4290" s="9"/>
      <c r="Z4290" s="9"/>
      <c r="AA4290" s="9"/>
    </row>
    <row r="4291" spans="1:27" ht="13.6">
      <c r="A4291" s="8"/>
      <c r="B4291" s="12"/>
      <c r="C4291" s="9"/>
      <c r="D4291" s="9"/>
      <c r="E4291" s="9"/>
      <c r="F4291" s="9"/>
      <c r="G4291" s="9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9"/>
      <c r="U4291" s="9"/>
      <c r="V4291" s="9"/>
      <c r="W4291" s="9"/>
      <c r="X4291" s="9"/>
      <c r="Y4291" s="9"/>
      <c r="Z4291" s="9"/>
      <c r="AA4291" s="9"/>
    </row>
    <row r="4292" spans="1:27" ht="13.6">
      <c r="A4292" s="8"/>
      <c r="B4292" s="12"/>
      <c r="C4292" s="9"/>
      <c r="D4292" s="9"/>
      <c r="E4292" s="9"/>
      <c r="F4292" s="9"/>
      <c r="G4292" s="9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9"/>
      <c r="U4292" s="9"/>
      <c r="V4292" s="9"/>
      <c r="W4292" s="9"/>
      <c r="X4292" s="9"/>
      <c r="Y4292" s="9"/>
      <c r="Z4292" s="9"/>
      <c r="AA4292" s="9"/>
    </row>
    <row r="4293" spans="1:27" ht="13.6">
      <c r="A4293" s="8"/>
      <c r="B4293" s="12"/>
      <c r="C4293" s="9"/>
      <c r="D4293" s="9"/>
      <c r="E4293" s="9"/>
      <c r="F4293" s="9"/>
      <c r="G4293" s="9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9"/>
      <c r="U4293" s="9"/>
      <c r="V4293" s="9"/>
      <c r="W4293" s="9"/>
      <c r="X4293" s="9"/>
      <c r="Y4293" s="9"/>
      <c r="Z4293" s="9"/>
      <c r="AA4293" s="9"/>
    </row>
    <row r="4294" spans="1:27" ht="13.6">
      <c r="A4294" s="8"/>
      <c r="B4294" s="12"/>
      <c r="C4294" s="9"/>
      <c r="D4294" s="9"/>
      <c r="E4294" s="9"/>
      <c r="F4294" s="9"/>
      <c r="G4294" s="9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9"/>
      <c r="U4294" s="9"/>
      <c r="V4294" s="9"/>
      <c r="W4294" s="9"/>
      <c r="X4294" s="9"/>
      <c r="Y4294" s="9"/>
      <c r="Z4294" s="9"/>
      <c r="AA4294" s="9"/>
    </row>
    <row r="4295" spans="1:27" ht="13.6">
      <c r="A4295" s="8"/>
      <c r="B4295" s="12"/>
      <c r="C4295" s="9"/>
      <c r="D4295" s="9"/>
      <c r="E4295" s="9"/>
      <c r="F4295" s="9"/>
      <c r="G4295" s="9"/>
      <c r="H4295" s="9"/>
      <c r="I4295" s="9"/>
      <c r="J4295" s="9"/>
      <c r="K4295" s="9"/>
      <c r="L4295" s="9"/>
      <c r="M4295" s="9"/>
      <c r="N4295" s="9"/>
      <c r="O4295" s="9"/>
      <c r="P4295" s="9"/>
      <c r="Q4295" s="9"/>
      <c r="R4295" s="9"/>
      <c r="S4295" s="9"/>
      <c r="T4295" s="9"/>
      <c r="U4295" s="9"/>
      <c r="V4295" s="9"/>
      <c r="W4295" s="9"/>
      <c r="X4295" s="9"/>
      <c r="Y4295" s="9"/>
      <c r="Z4295" s="9"/>
      <c r="AA4295" s="9"/>
    </row>
    <row r="4296" spans="1:27" ht="13.6">
      <c r="A4296" s="8"/>
      <c r="B4296" s="12"/>
      <c r="C4296" s="9"/>
      <c r="D4296" s="9"/>
      <c r="E4296" s="9"/>
      <c r="F4296" s="9"/>
      <c r="G4296" s="9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9"/>
      <c r="U4296" s="9"/>
      <c r="V4296" s="9"/>
      <c r="W4296" s="9"/>
      <c r="X4296" s="9"/>
      <c r="Y4296" s="9"/>
      <c r="Z4296" s="9"/>
      <c r="AA4296" s="9"/>
    </row>
    <row r="4297" spans="1:27">
      <c r="A4297" s="8"/>
      <c r="B4297" s="8"/>
      <c r="C4297" s="9"/>
      <c r="D4297" s="9"/>
      <c r="E4297" s="9"/>
      <c r="F4297" s="9"/>
      <c r="G4297" s="9"/>
      <c r="H4297" s="9"/>
      <c r="I4297" s="9"/>
      <c r="J4297" s="9"/>
      <c r="K4297" s="9"/>
      <c r="L4297" s="9"/>
      <c r="M4297" s="9"/>
      <c r="N4297" s="9"/>
      <c r="O4297" s="9"/>
      <c r="P4297" s="9"/>
      <c r="Q4297" s="9"/>
      <c r="R4297" s="9"/>
      <c r="S4297" s="9"/>
      <c r="T4297" s="9"/>
      <c r="U4297" s="9"/>
      <c r="V4297" s="9"/>
      <c r="W4297" s="9"/>
      <c r="X4297" s="9"/>
      <c r="Y4297" s="9"/>
      <c r="Z4297" s="9"/>
      <c r="AA4297" s="9"/>
    </row>
    <row r="4298" spans="1:27">
      <c r="A4298" s="8"/>
      <c r="B4298" s="8"/>
      <c r="C4298" s="9"/>
      <c r="D4298" s="9"/>
      <c r="E4298" s="9"/>
      <c r="F4298" s="9"/>
      <c r="G4298" s="9"/>
      <c r="H4298" s="9"/>
      <c r="I4298" s="9"/>
      <c r="J4298" s="9"/>
      <c r="K4298" s="9"/>
      <c r="L4298" s="9"/>
      <c r="M4298" s="9"/>
      <c r="N4298" s="9"/>
      <c r="O4298" s="9"/>
      <c r="P4298" s="9"/>
      <c r="Q4298" s="9"/>
      <c r="R4298" s="9"/>
      <c r="S4298" s="9"/>
      <c r="T4298" s="9"/>
      <c r="U4298" s="9"/>
      <c r="V4298" s="9"/>
      <c r="W4298" s="9"/>
      <c r="X4298" s="9"/>
      <c r="Y4298" s="9"/>
      <c r="Z4298" s="9"/>
      <c r="AA4298" s="9"/>
    </row>
    <row r="4299" spans="1:27">
      <c r="A4299" s="8"/>
      <c r="B4299" s="8"/>
      <c r="C4299" s="9"/>
      <c r="D4299" s="9"/>
      <c r="E4299" s="9"/>
      <c r="F4299" s="9"/>
      <c r="G4299" s="9"/>
      <c r="H4299" s="9"/>
      <c r="I4299" s="9"/>
      <c r="J4299" s="9"/>
      <c r="K4299" s="9"/>
      <c r="L4299" s="9"/>
      <c r="M4299" s="9"/>
      <c r="N4299" s="9"/>
      <c r="O4299" s="9"/>
      <c r="P4299" s="9"/>
      <c r="Q4299" s="9"/>
      <c r="R4299" s="9"/>
      <c r="S4299" s="9"/>
      <c r="T4299" s="9"/>
      <c r="U4299" s="9"/>
      <c r="V4299" s="9"/>
      <c r="W4299" s="9"/>
      <c r="X4299" s="9"/>
      <c r="Y4299" s="9"/>
      <c r="Z4299" s="9"/>
      <c r="AA4299" s="9"/>
    </row>
    <row r="4300" spans="1:27">
      <c r="A4300" s="8"/>
      <c r="B4300" s="8"/>
      <c r="C4300" s="9"/>
      <c r="D4300" s="9"/>
      <c r="E4300" s="9"/>
      <c r="F4300" s="9"/>
      <c r="G4300" s="9"/>
      <c r="H4300" s="9"/>
      <c r="I4300" s="9"/>
      <c r="J4300" s="9"/>
      <c r="K4300" s="9"/>
      <c r="L4300" s="9"/>
      <c r="M4300" s="9"/>
      <c r="N4300" s="9"/>
      <c r="O4300" s="9"/>
      <c r="P4300" s="9"/>
      <c r="Q4300" s="9"/>
      <c r="R4300" s="9"/>
      <c r="S4300" s="9"/>
      <c r="T4300" s="9"/>
      <c r="U4300" s="9"/>
      <c r="V4300" s="9"/>
      <c r="W4300" s="9"/>
      <c r="X4300" s="9"/>
      <c r="Y4300" s="9"/>
      <c r="Z4300" s="9"/>
      <c r="AA4300" s="9"/>
    </row>
    <row r="4301" spans="1:27">
      <c r="A4301" s="8"/>
      <c r="B4301" s="8"/>
      <c r="C4301" s="9"/>
      <c r="D4301" s="9"/>
      <c r="E4301" s="9"/>
      <c r="F4301" s="9"/>
      <c r="G4301" s="9"/>
      <c r="H4301" s="9"/>
      <c r="I4301" s="9"/>
      <c r="J4301" s="9"/>
      <c r="K4301" s="9"/>
      <c r="L4301" s="9"/>
      <c r="M4301" s="9"/>
      <c r="N4301" s="9"/>
      <c r="O4301" s="9"/>
      <c r="P4301" s="9"/>
      <c r="Q4301" s="9"/>
      <c r="R4301" s="9"/>
      <c r="S4301" s="9"/>
      <c r="T4301" s="9"/>
      <c r="U4301" s="9"/>
      <c r="V4301" s="9"/>
      <c r="W4301" s="9"/>
      <c r="X4301" s="9"/>
      <c r="Y4301" s="9"/>
      <c r="Z4301" s="9"/>
      <c r="AA4301" s="9"/>
    </row>
    <row r="4302" spans="1:27">
      <c r="A4302" s="8"/>
      <c r="B4302" s="8"/>
      <c r="C4302" s="9"/>
      <c r="D4302" s="9"/>
      <c r="E4302" s="9"/>
      <c r="F4302" s="9"/>
      <c r="G4302" s="9"/>
      <c r="H4302" s="9"/>
      <c r="I4302" s="9"/>
      <c r="J4302" s="9"/>
      <c r="K4302" s="9"/>
      <c r="L4302" s="9"/>
      <c r="M4302" s="9"/>
      <c r="N4302" s="9"/>
      <c r="O4302" s="9"/>
      <c r="P4302" s="9"/>
      <c r="Q4302" s="9"/>
      <c r="R4302" s="9"/>
      <c r="S4302" s="9"/>
      <c r="T4302" s="9"/>
      <c r="U4302" s="9"/>
      <c r="V4302" s="9"/>
      <c r="W4302" s="9"/>
      <c r="X4302" s="9"/>
      <c r="Y4302" s="9"/>
      <c r="Z4302" s="9"/>
      <c r="AA4302" s="9"/>
    </row>
    <row r="4303" spans="1:27">
      <c r="A4303" s="8"/>
      <c r="B4303" s="8"/>
      <c r="C4303" s="9"/>
      <c r="D4303" s="9"/>
      <c r="E4303" s="9"/>
      <c r="F4303" s="9"/>
      <c r="G4303" s="9"/>
      <c r="H4303" s="9"/>
      <c r="I4303" s="9"/>
      <c r="J4303" s="9"/>
      <c r="K4303" s="9"/>
      <c r="L4303" s="9"/>
      <c r="M4303" s="9"/>
      <c r="N4303" s="9"/>
      <c r="O4303" s="9"/>
      <c r="P4303" s="9"/>
      <c r="Q4303" s="9"/>
      <c r="R4303" s="9"/>
      <c r="S4303" s="9"/>
      <c r="T4303" s="9"/>
      <c r="U4303" s="9"/>
      <c r="V4303" s="9"/>
      <c r="W4303" s="9"/>
      <c r="X4303" s="9"/>
      <c r="Y4303" s="9"/>
      <c r="Z4303" s="9"/>
      <c r="AA4303" s="9"/>
    </row>
    <row r="4304" spans="1:27">
      <c r="A4304" s="8"/>
      <c r="B4304" s="8"/>
      <c r="C4304" s="9"/>
      <c r="D4304" s="9"/>
      <c r="E4304" s="9"/>
      <c r="F4304" s="9"/>
      <c r="G4304" s="9"/>
      <c r="H4304" s="9"/>
      <c r="I4304" s="9"/>
      <c r="J4304" s="9"/>
      <c r="K4304" s="9"/>
      <c r="L4304" s="9"/>
      <c r="M4304" s="9"/>
      <c r="N4304" s="9"/>
      <c r="O4304" s="9"/>
      <c r="P4304" s="9"/>
      <c r="Q4304" s="9"/>
      <c r="R4304" s="9"/>
      <c r="S4304" s="9"/>
      <c r="T4304" s="9"/>
      <c r="U4304" s="9"/>
      <c r="V4304" s="9"/>
      <c r="W4304" s="9"/>
      <c r="X4304" s="9"/>
      <c r="Y4304" s="9"/>
      <c r="Z4304" s="9"/>
      <c r="AA4304" s="9"/>
    </row>
    <row r="4305" spans="1:27">
      <c r="A4305" s="8"/>
      <c r="B4305" s="8"/>
      <c r="C4305" s="9"/>
      <c r="D4305" s="9"/>
      <c r="E4305" s="9"/>
      <c r="F4305" s="9"/>
      <c r="G4305" s="9"/>
      <c r="H4305" s="9"/>
      <c r="I4305" s="9"/>
      <c r="J4305" s="9"/>
      <c r="K4305" s="9"/>
      <c r="L4305" s="9"/>
      <c r="M4305" s="9"/>
      <c r="N4305" s="9"/>
      <c r="O4305" s="9"/>
      <c r="P4305" s="9"/>
      <c r="Q4305" s="9"/>
      <c r="R4305" s="9"/>
      <c r="S4305" s="9"/>
      <c r="T4305" s="9"/>
      <c r="U4305" s="9"/>
      <c r="V4305" s="9"/>
      <c r="W4305" s="9"/>
      <c r="X4305" s="9"/>
      <c r="Y4305" s="9"/>
      <c r="Z4305" s="9"/>
      <c r="AA4305" s="9"/>
    </row>
    <row r="4306" spans="1:27">
      <c r="A4306" s="8"/>
      <c r="B4306" s="8"/>
      <c r="C4306" s="9"/>
      <c r="D4306" s="9"/>
      <c r="E4306" s="9"/>
      <c r="F4306" s="9"/>
      <c r="G4306" s="9"/>
      <c r="H4306" s="9"/>
      <c r="I4306" s="9"/>
      <c r="J4306" s="9"/>
      <c r="K4306" s="9"/>
      <c r="L4306" s="9"/>
      <c r="M4306" s="9"/>
      <c r="N4306" s="9"/>
      <c r="O4306" s="9"/>
      <c r="P4306" s="9"/>
      <c r="Q4306" s="9"/>
      <c r="R4306" s="9"/>
      <c r="S4306" s="9"/>
      <c r="T4306" s="9"/>
      <c r="U4306" s="9"/>
      <c r="V4306" s="9"/>
      <c r="W4306" s="9"/>
      <c r="X4306" s="9"/>
      <c r="Y4306" s="9"/>
      <c r="Z4306" s="9"/>
      <c r="AA4306" s="9"/>
    </row>
    <row r="4307" spans="1:27">
      <c r="A4307" s="8"/>
      <c r="B4307" s="8"/>
      <c r="C4307" s="9"/>
      <c r="D4307" s="9"/>
      <c r="E4307" s="9"/>
      <c r="F4307" s="9"/>
      <c r="G4307" s="9"/>
      <c r="H4307" s="9"/>
      <c r="I4307" s="9"/>
      <c r="J4307" s="9"/>
      <c r="K4307" s="9"/>
      <c r="L4307" s="9"/>
      <c r="M4307" s="9"/>
      <c r="N4307" s="9"/>
      <c r="O4307" s="9"/>
      <c r="P4307" s="9"/>
      <c r="Q4307" s="9"/>
      <c r="R4307" s="9"/>
      <c r="S4307" s="9"/>
      <c r="T4307" s="9"/>
      <c r="U4307" s="9"/>
      <c r="V4307" s="9"/>
      <c r="W4307" s="9"/>
      <c r="X4307" s="9"/>
      <c r="Y4307" s="9"/>
      <c r="Z4307" s="9"/>
      <c r="AA4307" s="9"/>
    </row>
    <row r="4308" spans="1:27">
      <c r="A4308" s="8"/>
      <c r="B4308" s="8"/>
      <c r="C4308" s="9"/>
      <c r="D4308" s="9"/>
      <c r="E4308" s="9"/>
      <c r="F4308" s="9"/>
      <c r="G4308" s="9"/>
      <c r="H4308" s="9"/>
      <c r="I4308" s="9"/>
      <c r="J4308" s="9"/>
      <c r="K4308" s="9"/>
      <c r="L4308" s="9"/>
      <c r="M4308" s="9"/>
      <c r="N4308" s="9"/>
      <c r="O4308" s="9"/>
      <c r="P4308" s="9"/>
      <c r="Q4308" s="9"/>
      <c r="R4308" s="9"/>
      <c r="S4308" s="9"/>
      <c r="T4308" s="9"/>
      <c r="U4308" s="9"/>
      <c r="V4308" s="9"/>
      <c r="W4308" s="9"/>
      <c r="X4308" s="9"/>
      <c r="Y4308" s="9"/>
      <c r="Z4308" s="9"/>
      <c r="AA4308" s="9"/>
    </row>
    <row r="4309" spans="1:27">
      <c r="A4309" s="8"/>
      <c r="B4309" s="8"/>
      <c r="C4309" s="9"/>
      <c r="D4309" s="9"/>
      <c r="E4309" s="9"/>
      <c r="F4309" s="9"/>
      <c r="G4309" s="9"/>
      <c r="H4309" s="9"/>
      <c r="I4309" s="9"/>
      <c r="J4309" s="9"/>
      <c r="K4309" s="9"/>
      <c r="L4309" s="9"/>
      <c r="M4309" s="9"/>
      <c r="N4309" s="9"/>
      <c r="O4309" s="9"/>
      <c r="P4309" s="9"/>
      <c r="Q4309" s="9"/>
      <c r="R4309" s="9"/>
      <c r="S4309" s="9"/>
      <c r="T4309" s="9"/>
      <c r="U4309" s="9"/>
      <c r="V4309" s="9"/>
      <c r="W4309" s="9"/>
      <c r="X4309" s="9"/>
      <c r="Y4309" s="9"/>
      <c r="Z4309" s="9"/>
      <c r="AA4309" s="9"/>
    </row>
    <row r="4310" spans="1:27">
      <c r="A4310" s="8"/>
      <c r="B4310" s="8"/>
      <c r="C4310" s="9"/>
      <c r="D4310" s="9"/>
      <c r="E4310" s="9"/>
      <c r="F4310" s="9"/>
      <c r="G4310" s="9"/>
      <c r="H4310" s="9"/>
      <c r="I4310" s="9"/>
      <c r="J4310" s="9"/>
      <c r="K4310" s="9"/>
      <c r="L4310" s="9"/>
      <c r="M4310" s="9"/>
      <c r="N4310" s="9"/>
      <c r="O4310" s="9"/>
      <c r="P4310" s="9"/>
      <c r="Q4310" s="9"/>
      <c r="R4310" s="9"/>
      <c r="S4310" s="9"/>
      <c r="T4310" s="9"/>
      <c r="U4310" s="9"/>
      <c r="V4310" s="9"/>
      <c r="W4310" s="9"/>
      <c r="X4310" s="9"/>
      <c r="Y4310" s="9"/>
      <c r="Z4310" s="9"/>
      <c r="AA4310" s="9"/>
    </row>
    <row r="4311" spans="1:27">
      <c r="A4311" s="8"/>
      <c r="B4311" s="8"/>
      <c r="C4311" s="9"/>
      <c r="D4311" s="9"/>
      <c r="E4311" s="9"/>
      <c r="F4311" s="9"/>
      <c r="G4311" s="9"/>
      <c r="H4311" s="9"/>
      <c r="I4311" s="9"/>
      <c r="J4311" s="9"/>
      <c r="K4311" s="9"/>
      <c r="L4311" s="9"/>
      <c r="M4311" s="9"/>
      <c r="N4311" s="9"/>
      <c r="O4311" s="9"/>
      <c r="P4311" s="9"/>
      <c r="Q4311" s="9"/>
      <c r="R4311" s="9"/>
      <c r="S4311" s="9"/>
      <c r="T4311" s="9"/>
      <c r="U4311" s="9"/>
      <c r="V4311" s="9"/>
      <c r="W4311" s="9"/>
      <c r="X4311" s="9"/>
      <c r="Y4311" s="9"/>
      <c r="Z4311" s="9"/>
      <c r="AA4311" s="9"/>
    </row>
    <row r="4312" spans="1:27">
      <c r="A4312" s="8"/>
      <c r="B4312" s="8"/>
      <c r="C4312" s="9"/>
      <c r="D4312" s="9"/>
      <c r="E4312" s="9"/>
      <c r="F4312" s="9"/>
      <c r="G4312" s="9"/>
      <c r="H4312" s="9"/>
      <c r="I4312" s="9"/>
      <c r="J4312" s="9"/>
      <c r="K4312" s="9"/>
      <c r="L4312" s="9"/>
      <c r="M4312" s="9"/>
      <c r="N4312" s="9"/>
      <c r="O4312" s="9"/>
      <c r="P4312" s="9"/>
      <c r="Q4312" s="9"/>
      <c r="R4312" s="9"/>
      <c r="S4312" s="9"/>
      <c r="T4312" s="9"/>
      <c r="U4312" s="9"/>
      <c r="V4312" s="9"/>
      <c r="W4312" s="9"/>
      <c r="X4312" s="9"/>
      <c r="Y4312" s="9"/>
      <c r="Z4312" s="9"/>
      <c r="AA4312" s="9"/>
    </row>
    <row r="4313" spans="1:27">
      <c r="A4313" s="8"/>
      <c r="B4313" s="8"/>
      <c r="C4313" s="9"/>
      <c r="D4313" s="9"/>
      <c r="E4313" s="9"/>
      <c r="F4313" s="9"/>
      <c r="G4313" s="9"/>
      <c r="H4313" s="9"/>
      <c r="I4313" s="9"/>
      <c r="J4313" s="9"/>
      <c r="K4313" s="9"/>
      <c r="L4313" s="9"/>
      <c r="M4313" s="9"/>
      <c r="N4313" s="9"/>
      <c r="O4313" s="9"/>
      <c r="P4313" s="9"/>
      <c r="Q4313" s="9"/>
      <c r="R4313" s="9"/>
      <c r="S4313" s="9"/>
      <c r="T4313" s="9"/>
      <c r="U4313" s="9"/>
      <c r="V4313" s="9"/>
      <c r="W4313" s="9"/>
      <c r="X4313" s="9"/>
      <c r="Y4313" s="9"/>
      <c r="Z4313" s="9"/>
      <c r="AA4313" s="9"/>
    </row>
    <row r="4314" spans="1:27">
      <c r="A4314" s="8"/>
      <c r="B4314" s="8"/>
      <c r="C4314" s="9"/>
      <c r="D4314" s="9"/>
      <c r="E4314" s="9"/>
      <c r="F4314" s="9"/>
      <c r="G4314" s="9"/>
      <c r="H4314" s="9"/>
      <c r="I4314" s="9"/>
      <c r="J4314" s="9"/>
      <c r="K4314" s="9"/>
      <c r="L4314" s="9"/>
      <c r="M4314" s="9"/>
      <c r="N4314" s="9"/>
      <c r="O4314" s="9"/>
      <c r="P4314" s="9"/>
      <c r="Q4314" s="9"/>
      <c r="R4314" s="9"/>
      <c r="S4314" s="9"/>
      <c r="T4314" s="9"/>
      <c r="U4314" s="9"/>
      <c r="V4314" s="9"/>
      <c r="W4314" s="9"/>
      <c r="X4314" s="9"/>
      <c r="Y4314" s="9"/>
      <c r="Z4314" s="9"/>
      <c r="AA4314" s="9"/>
    </row>
    <row r="4315" spans="1:27">
      <c r="A4315" s="8"/>
      <c r="B4315" s="8"/>
      <c r="C4315" s="9"/>
      <c r="D4315" s="9"/>
      <c r="E4315" s="9"/>
      <c r="F4315" s="9"/>
      <c r="G4315" s="9"/>
      <c r="H4315" s="9"/>
      <c r="I4315" s="9"/>
      <c r="J4315" s="9"/>
      <c r="K4315" s="9"/>
      <c r="L4315" s="9"/>
      <c r="M4315" s="9"/>
      <c r="N4315" s="9"/>
      <c r="O4315" s="9"/>
      <c r="P4315" s="9"/>
      <c r="Q4315" s="9"/>
      <c r="R4315" s="9"/>
      <c r="S4315" s="9"/>
      <c r="T4315" s="9"/>
      <c r="U4315" s="9"/>
      <c r="V4315" s="9"/>
      <c r="W4315" s="9"/>
      <c r="X4315" s="9"/>
      <c r="Y4315" s="9"/>
      <c r="Z4315" s="9"/>
      <c r="AA4315" s="9"/>
    </row>
    <row r="4316" spans="1:27">
      <c r="A4316" s="8"/>
      <c r="B4316" s="8"/>
      <c r="C4316" s="9"/>
      <c r="D4316" s="9"/>
      <c r="E4316" s="9"/>
      <c r="F4316" s="9"/>
      <c r="G4316" s="9"/>
      <c r="H4316" s="9"/>
      <c r="I4316" s="9"/>
      <c r="J4316" s="9"/>
      <c r="K4316" s="9"/>
      <c r="L4316" s="9"/>
      <c r="M4316" s="9"/>
      <c r="N4316" s="9"/>
      <c r="O4316" s="9"/>
      <c r="P4316" s="9"/>
      <c r="Q4316" s="9"/>
      <c r="R4316" s="9"/>
      <c r="S4316" s="9"/>
      <c r="T4316" s="9"/>
      <c r="U4316" s="9"/>
      <c r="V4316" s="9"/>
      <c r="W4316" s="9"/>
      <c r="X4316" s="9"/>
      <c r="Y4316" s="9"/>
      <c r="Z4316" s="9"/>
      <c r="AA4316" s="9"/>
    </row>
    <row r="4317" spans="1:27">
      <c r="A4317" s="8"/>
      <c r="B4317" s="8"/>
      <c r="C4317" s="9"/>
      <c r="D4317" s="9"/>
      <c r="E4317" s="9"/>
      <c r="F4317" s="9"/>
      <c r="G4317" s="9"/>
      <c r="H4317" s="9"/>
      <c r="I4317" s="9"/>
      <c r="J4317" s="9"/>
      <c r="K4317" s="9"/>
      <c r="L4317" s="9"/>
      <c r="M4317" s="9"/>
      <c r="N4317" s="9"/>
      <c r="O4317" s="9"/>
      <c r="P4317" s="9"/>
      <c r="Q4317" s="9"/>
      <c r="R4317" s="9"/>
      <c r="S4317" s="9"/>
      <c r="T4317" s="9"/>
      <c r="U4317" s="9"/>
      <c r="V4317" s="9"/>
      <c r="W4317" s="9"/>
      <c r="X4317" s="9"/>
      <c r="Y4317" s="9"/>
      <c r="Z4317" s="9"/>
      <c r="AA4317" s="9"/>
    </row>
    <row r="4318" spans="1:27">
      <c r="A4318" s="8"/>
      <c r="B4318" s="8"/>
      <c r="C4318" s="9"/>
      <c r="D4318" s="9"/>
      <c r="E4318" s="9"/>
      <c r="F4318" s="9"/>
      <c r="G4318" s="9"/>
      <c r="H4318" s="9"/>
      <c r="I4318" s="9"/>
      <c r="J4318" s="9"/>
      <c r="K4318" s="9"/>
      <c r="L4318" s="9"/>
      <c r="M4318" s="9"/>
      <c r="N4318" s="9"/>
      <c r="O4318" s="9"/>
      <c r="P4318" s="9"/>
      <c r="Q4318" s="9"/>
      <c r="R4318" s="9"/>
      <c r="S4318" s="9"/>
      <c r="T4318" s="9"/>
      <c r="U4318" s="9"/>
      <c r="V4318" s="9"/>
      <c r="W4318" s="9"/>
      <c r="X4318" s="9"/>
      <c r="Y4318" s="9"/>
      <c r="Z4318" s="9"/>
      <c r="AA4318" s="9"/>
    </row>
    <row r="4319" spans="1:27">
      <c r="A4319" s="8"/>
      <c r="B4319" s="8"/>
      <c r="C4319" s="9"/>
      <c r="D4319" s="9"/>
      <c r="E4319" s="9"/>
      <c r="F4319" s="9"/>
      <c r="G4319" s="9"/>
      <c r="H4319" s="9"/>
      <c r="I4319" s="9"/>
      <c r="J4319" s="9"/>
      <c r="K4319" s="9"/>
      <c r="L4319" s="9"/>
      <c r="M4319" s="9"/>
      <c r="N4319" s="9"/>
      <c r="O4319" s="9"/>
      <c r="P4319" s="9"/>
      <c r="Q4319" s="9"/>
      <c r="R4319" s="9"/>
      <c r="S4319" s="9"/>
      <c r="T4319" s="9"/>
      <c r="U4319" s="9"/>
      <c r="V4319" s="9"/>
      <c r="W4319" s="9"/>
      <c r="X4319" s="9"/>
      <c r="Y4319" s="9"/>
      <c r="Z4319" s="9"/>
      <c r="AA4319" s="9"/>
    </row>
    <row r="4320" spans="1:27">
      <c r="A4320" s="8"/>
      <c r="B4320" s="8"/>
      <c r="C4320" s="9"/>
      <c r="D4320" s="9"/>
      <c r="E4320" s="9"/>
      <c r="F4320" s="9"/>
      <c r="G4320" s="9"/>
      <c r="H4320" s="9"/>
      <c r="I4320" s="9"/>
      <c r="J4320" s="9"/>
      <c r="K4320" s="9"/>
      <c r="L4320" s="9"/>
      <c r="M4320" s="9"/>
      <c r="N4320" s="9"/>
      <c r="O4320" s="9"/>
      <c r="P4320" s="9"/>
      <c r="Q4320" s="9"/>
      <c r="R4320" s="9"/>
      <c r="S4320" s="9"/>
      <c r="T4320" s="9"/>
      <c r="U4320" s="9"/>
      <c r="V4320" s="9"/>
      <c r="W4320" s="9"/>
      <c r="X4320" s="9"/>
      <c r="Y4320" s="9"/>
      <c r="Z4320" s="9"/>
      <c r="AA4320" s="9"/>
    </row>
    <row r="4321" spans="1:27">
      <c r="A4321" s="8"/>
      <c r="B4321" s="8"/>
      <c r="C4321" s="9"/>
      <c r="D4321" s="9"/>
      <c r="E4321" s="9"/>
      <c r="F4321" s="9"/>
      <c r="G4321" s="9"/>
      <c r="H4321" s="9"/>
      <c r="I4321" s="9"/>
      <c r="J4321" s="9"/>
      <c r="K4321" s="9"/>
      <c r="L4321" s="9"/>
      <c r="M4321" s="9"/>
      <c r="N4321" s="9"/>
      <c r="O4321" s="9"/>
      <c r="P4321" s="9"/>
      <c r="Q4321" s="9"/>
      <c r="R4321" s="9"/>
      <c r="S4321" s="9"/>
      <c r="T4321" s="9"/>
      <c r="U4321" s="9"/>
      <c r="V4321" s="9"/>
      <c r="W4321" s="9"/>
      <c r="X4321" s="9"/>
      <c r="Y4321" s="9"/>
      <c r="Z4321" s="9"/>
      <c r="AA4321" s="9"/>
    </row>
    <row r="4322" spans="1:27">
      <c r="A4322" s="8"/>
      <c r="B4322" s="8"/>
      <c r="C4322" s="9"/>
      <c r="D4322" s="9"/>
      <c r="E4322" s="9"/>
      <c r="F4322" s="9"/>
      <c r="G4322" s="9"/>
      <c r="H4322" s="9"/>
      <c r="I4322" s="9"/>
      <c r="J4322" s="9"/>
      <c r="K4322" s="9"/>
      <c r="L4322" s="9"/>
      <c r="M4322" s="9"/>
      <c r="N4322" s="9"/>
      <c r="O4322" s="9"/>
      <c r="P4322" s="9"/>
      <c r="Q4322" s="9"/>
      <c r="R4322" s="9"/>
      <c r="S4322" s="9"/>
      <c r="T4322" s="9"/>
      <c r="U4322" s="9"/>
      <c r="V4322" s="9"/>
      <c r="W4322" s="9"/>
      <c r="X4322" s="9"/>
      <c r="Y4322" s="9"/>
      <c r="Z4322" s="9"/>
      <c r="AA4322" s="9"/>
    </row>
    <row r="4323" spans="1:27">
      <c r="A4323" s="8"/>
      <c r="B4323" s="8"/>
      <c r="C4323" s="9"/>
      <c r="D4323" s="9"/>
      <c r="E4323" s="9"/>
      <c r="F4323" s="9"/>
      <c r="G4323" s="9"/>
      <c r="H4323" s="9"/>
      <c r="I4323" s="9"/>
      <c r="J4323" s="9"/>
      <c r="K4323" s="9"/>
      <c r="L4323" s="9"/>
      <c r="M4323" s="9"/>
      <c r="N4323" s="9"/>
      <c r="O4323" s="9"/>
      <c r="P4323" s="9"/>
      <c r="Q4323" s="9"/>
      <c r="R4323" s="9"/>
      <c r="S4323" s="9"/>
      <c r="T4323" s="9"/>
      <c r="U4323" s="9"/>
      <c r="V4323" s="9"/>
      <c r="W4323" s="9"/>
      <c r="X4323" s="9"/>
      <c r="Y4323" s="9"/>
      <c r="Z4323" s="9"/>
      <c r="AA4323" s="9"/>
    </row>
    <row r="4324" spans="1:27">
      <c r="A4324" s="8"/>
      <c r="B4324" s="8"/>
      <c r="C4324" s="9"/>
      <c r="D4324" s="9"/>
      <c r="E4324" s="9"/>
      <c r="F4324" s="9"/>
      <c r="G4324" s="9"/>
      <c r="H4324" s="9"/>
      <c r="I4324" s="9"/>
      <c r="J4324" s="9"/>
      <c r="K4324" s="9"/>
      <c r="L4324" s="9"/>
      <c r="M4324" s="9"/>
      <c r="N4324" s="9"/>
      <c r="O4324" s="9"/>
      <c r="P4324" s="9"/>
      <c r="Q4324" s="9"/>
      <c r="R4324" s="9"/>
      <c r="S4324" s="9"/>
      <c r="T4324" s="9"/>
      <c r="U4324" s="9"/>
      <c r="V4324" s="9"/>
      <c r="W4324" s="9"/>
      <c r="X4324" s="9"/>
      <c r="Y4324" s="9"/>
      <c r="Z4324" s="9"/>
      <c r="AA4324" s="9"/>
    </row>
    <row r="4325" spans="1:27">
      <c r="A4325" s="8"/>
      <c r="B4325" s="8"/>
      <c r="C4325" s="9"/>
      <c r="D4325" s="9"/>
      <c r="E4325" s="9"/>
      <c r="F4325" s="9"/>
      <c r="G4325" s="9"/>
      <c r="H4325" s="9"/>
      <c r="I4325" s="9"/>
      <c r="J4325" s="9"/>
      <c r="K4325" s="9"/>
      <c r="L4325" s="9"/>
      <c r="M4325" s="9"/>
      <c r="N4325" s="9"/>
      <c r="O4325" s="9"/>
      <c r="P4325" s="9"/>
      <c r="Q4325" s="9"/>
      <c r="R4325" s="9"/>
      <c r="S4325" s="9"/>
      <c r="T4325" s="9"/>
      <c r="U4325" s="9"/>
      <c r="V4325" s="9"/>
      <c r="W4325" s="9"/>
      <c r="X4325" s="9"/>
      <c r="Y4325" s="9"/>
      <c r="Z4325" s="9"/>
      <c r="AA4325" s="9"/>
    </row>
    <row r="4326" spans="1:27">
      <c r="A4326" s="8"/>
      <c r="B4326" s="8"/>
      <c r="C4326" s="9"/>
      <c r="D4326" s="9"/>
      <c r="E4326" s="9"/>
      <c r="F4326" s="9"/>
      <c r="G4326" s="9"/>
      <c r="H4326" s="9"/>
      <c r="I4326" s="9"/>
      <c r="J4326" s="9"/>
      <c r="K4326" s="9"/>
      <c r="L4326" s="9"/>
      <c r="M4326" s="9"/>
      <c r="N4326" s="9"/>
      <c r="O4326" s="9"/>
      <c r="P4326" s="9"/>
      <c r="Q4326" s="9"/>
      <c r="R4326" s="9"/>
      <c r="S4326" s="9"/>
      <c r="T4326" s="9"/>
      <c r="U4326" s="9"/>
      <c r="V4326" s="9"/>
      <c r="W4326" s="9"/>
      <c r="X4326" s="9"/>
      <c r="Y4326" s="9"/>
      <c r="Z4326" s="9"/>
      <c r="AA4326" s="9"/>
    </row>
    <row r="4327" spans="1:27">
      <c r="A4327" s="8"/>
      <c r="B4327" s="8"/>
      <c r="C4327" s="9"/>
      <c r="D4327" s="9"/>
      <c r="E4327" s="9"/>
      <c r="F4327" s="9"/>
      <c r="G4327" s="9"/>
      <c r="H4327" s="9"/>
      <c r="I4327" s="9"/>
      <c r="J4327" s="9"/>
      <c r="K4327" s="9"/>
      <c r="L4327" s="9"/>
      <c r="M4327" s="9"/>
      <c r="N4327" s="9"/>
      <c r="O4327" s="9"/>
      <c r="P4327" s="9"/>
      <c r="Q4327" s="9"/>
      <c r="R4327" s="9"/>
      <c r="S4327" s="9"/>
      <c r="T4327" s="9"/>
      <c r="U4327" s="9"/>
      <c r="V4327" s="9"/>
      <c r="W4327" s="9"/>
      <c r="X4327" s="9"/>
      <c r="Y4327" s="9"/>
      <c r="Z4327" s="9"/>
      <c r="AA4327" s="9"/>
    </row>
    <row r="4328" spans="1:27">
      <c r="A4328" s="8"/>
      <c r="B4328" s="8"/>
      <c r="C4328" s="9"/>
      <c r="D4328" s="9"/>
      <c r="E4328" s="9"/>
      <c r="F4328" s="9"/>
      <c r="G4328" s="9"/>
      <c r="H4328" s="9"/>
      <c r="I4328" s="9"/>
      <c r="J4328" s="9"/>
      <c r="K4328" s="9"/>
      <c r="L4328" s="9"/>
      <c r="M4328" s="9"/>
      <c r="N4328" s="9"/>
      <c r="O4328" s="9"/>
      <c r="P4328" s="9"/>
      <c r="Q4328" s="9"/>
      <c r="R4328" s="9"/>
      <c r="S4328" s="9"/>
      <c r="T4328" s="9"/>
      <c r="U4328" s="9"/>
      <c r="V4328" s="9"/>
      <c r="W4328" s="9"/>
      <c r="X4328" s="9"/>
      <c r="Y4328" s="9"/>
      <c r="Z4328" s="9"/>
      <c r="AA4328" s="9"/>
    </row>
    <row r="4329" spans="1:27">
      <c r="A4329" s="8"/>
      <c r="B4329" s="8"/>
      <c r="C4329" s="9"/>
      <c r="D4329" s="9"/>
      <c r="E4329" s="9"/>
      <c r="F4329" s="9"/>
      <c r="G4329" s="9"/>
      <c r="H4329" s="9"/>
      <c r="I4329" s="9"/>
      <c r="J4329" s="9"/>
      <c r="K4329" s="9"/>
      <c r="L4329" s="9"/>
      <c r="M4329" s="9"/>
      <c r="N4329" s="9"/>
      <c r="O4329" s="9"/>
      <c r="P4329" s="9"/>
      <c r="Q4329" s="9"/>
      <c r="R4329" s="9"/>
      <c r="S4329" s="9"/>
      <c r="T4329" s="9"/>
      <c r="U4329" s="9"/>
      <c r="V4329" s="9"/>
      <c r="W4329" s="9"/>
      <c r="X4329" s="9"/>
      <c r="Y4329" s="9"/>
      <c r="Z4329" s="9"/>
      <c r="AA4329" s="9"/>
    </row>
    <row r="4330" spans="1:27">
      <c r="A4330" s="8"/>
      <c r="B4330" s="8"/>
      <c r="C4330" s="9"/>
      <c r="D4330" s="9"/>
      <c r="E4330" s="9"/>
      <c r="F4330" s="9"/>
      <c r="G4330" s="9"/>
      <c r="H4330" s="9"/>
      <c r="I4330" s="9"/>
      <c r="J4330" s="9"/>
      <c r="K4330" s="9"/>
      <c r="L4330" s="9"/>
      <c r="M4330" s="9"/>
      <c r="N4330" s="9"/>
      <c r="O4330" s="9"/>
      <c r="P4330" s="9"/>
      <c r="Q4330" s="9"/>
      <c r="R4330" s="9"/>
      <c r="S4330" s="9"/>
      <c r="T4330" s="9"/>
      <c r="U4330" s="9"/>
      <c r="V4330" s="9"/>
      <c r="W4330" s="9"/>
      <c r="X4330" s="9"/>
      <c r="Y4330" s="9"/>
      <c r="Z4330" s="9"/>
      <c r="AA4330" s="9"/>
    </row>
    <row r="4331" spans="1:27">
      <c r="A4331" s="8"/>
      <c r="B4331" s="8"/>
      <c r="C4331" s="9"/>
      <c r="D4331" s="9"/>
      <c r="E4331" s="9"/>
      <c r="F4331" s="9"/>
      <c r="G4331" s="9"/>
      <c r="H4331" s="9"/>
      <c r="I4331" s="9"/>
      <c r="J4331" s="9"/>
      <c r="K4331" s="9"/>
      <c r="L4331" s="9"/>
      <c r="M4331" s="9"/>
      <c r="N4331" s="9"/>
      <c r="O4331" s="9"/>
      <c r="P4331" s="9"/>
      <c r="Q4331" s="9"/>
      <c r="R4331" s="9"/>
      <c r="S4331" s="9"/>
      <c r="T4331" s="9"/>
      <c r="U4331" s="9"/>
      <c r="V4331" s="9"/>
      <c r="W4331" s="9"/>
      <c r="X4331" s="9"/>
      <c r="Y4331" s="9"/>
      <c r="Z4331" s="9"/>
      <c r="AA4331" s="9"/>
    </row>
    <row r="4332" spans="1:27">
      <c r="A4332" s="8"/>
      <c r="B4332" s="8"/>
      <c r="C4332" s="9"/>
      <c r="D4332" s="9"/>
      <c r="E4332" s="9"/>
      <c r="F4332" s="9"/>
      <c r="G4332" s="9"/>
      <c r="H4332" s="9"/>
      <c r="I4332" s="9"/>
      <c r="J4332" s="9"/>
      <c r="K4332" s="9"/>
      <c r="L4332" s="9"/>
      <c r="M4332" s="9"/>
      <c r="N4332" s="9"/>
      <c r="O4332" s="9"/>
      <c r="P4332" s="9"/>
      <c r="Q4332" s="9"/>
      <c r="R4332" s="9"/>
      <c r="S4332" s="9"/>
      <c r="T4332" s="9"/>
      <c r="U4332" s="9"/>
      <c r="V4332" s="9"/>
      <c r="W4332" s="9"/>
      <c r="X4332" s="9"/>
      <c r="Y4332" s="9"/>
      <c r="Z4332" s="9"/>
      <c r="AA4332" s="9"/>
    </row>
    <row r="4333" spans="1:27">
      <c r="A4333" s="8"/>
      <c r="B4333" s="8"/>
      <c r="C4333" s="9"/>
      <c r="D4333" s="9"/>
      <c r="E4333" s="9"/>
      <c r="F4333" s="9"/>
      <c r="G4333" s="9"/>
      <c r="H4333" s="9"/>
      <c r="I4333" s="9"/>
      <c r="J4333" s="9"/>
      <c r="K4333" s="9"/>
      <c r="L4333" s="9"/>
      <c r="M4333" s="9"/>
      <c r="N4333" s="9"/>
      <c r="O4333" s="9"/>
      <c r="P4333" s="9"/>
      <c r="Q4333" s="9"/>
      <c r="R4333" s="9"/>
      <c r="S4333" s="9"/>
      <c r="T4333" s="9"/>
      <c r="U4333" s="9"/>
      <c r="V4333" s="9"/>
      <c r="W4333" s="9"/>
      <c r="X4333" s="9"/>
      <c r="Y4333" s="9"/>
      <c r="Z4333" s="9"/>
      <c r="AA4333" s="9"/>
    </row>
    <row r="4334" spans="1:27">
      <c r="A4334" s="8"/>
      <c r="B4334" s="8"/>
      <c r="C4334" s="9"/>
      <c r="D4334" s="9"/>
      <c r="E4334" s="9"/>
      <c r="F4334" s="9"/>
      <c r="G4334" s="9"/>
      <c r="H4334" s="9"/>
      <c r="I4334" s="9"/>
      <c r="J4334" s="9"/>
      <c r="K4334" s="9"/>
      <c r="L4334" s="9"/>
      <c r="M4334" s="9"/>
      <c r="N4334" s="9"/>
      <c r="O4334" s="9"/>
      <c r="P4334" s="9"/>
      <c r="Q4334" s="9"/>
      <c r="R4334" s="9"/>
      <c r="S4334" s="9"/>
      <c r="T4334" s="9"/>
      <c r="U4334" s="9"/>
      <c r="V4334" s="9"/>
      <c r="W4334" s="9"/>
      <c r="X4334" s="9"/>
      <c r="Y4334" s="9"/>
      <c r="Z4334" s="9"/>
      <c r="AA4334" s="9"/>
    </row>
    <row r="4335" spans="1:27">
      <c r="A4335" s="8"/>
      <c r="B4335" s="8"/>
      <c r="C4335" s="9"/>
      <c r="D4335" s="9"/>
      <c r="E4335" s="9"/>
      <c r="F4335" s="9"/>
      <c r="G4335" s="9"/>
      <c r="H4335" s="9"/>
      <c r="I4335" s="9"/>
      <c r="J4335" s="9"/>
      <c r="K4335" s="9"/>
      <c r="L4335" s="9"/>
      <c r="M4335" s="9"/>
      <c r="N4335" s="9"/>
      <c r="O4335" s="9"/>
      <c r="P4335" s="9"/>
      <c r="Q4335" s="9"/>
      <c r="R4335" s="9"/>
      <c r="S4335" s="9"/>
      <c r="T4335" s="9"/>
      <c r="U4335" s="9"/>
      <c r="V4335" s="9"/>
      <c r="W4335" s="9"/>
      <c r="X4335" s="9"/>
      <c r="Y4335" s="9"/>
      <c r="Z4335" s="9"/>
      <c r="AA4335" s="9"/>
    </row>
    <row r="4336" spans="1:27">
      <c r="A4336" s="8"/>
      <c r="B4336" s="8"/>
      <c r="C4336" s="9"/>
      <c r="D4336" s="9"/>
      <c r="E4336" s="9"/>
      <c r="F4336" s="9"/>
      <c r="G4336" s="9"/>
      <c r="H4336" s="9"/>
      <c r="I4336" s="9"/>
      <c r="J4336" s="9"/>
      <c r="K4336" s="9"/>
      <c r="L4336" s="9"/>
      <c r="M4336" s="9"/>
      <c r="N4336" s="9"/>
      <c r="O4336" s="9"/>
      <c r="P4336" s="9"/>
      <c r="Q4336" s="9"/>
      <c r="R4336" s="9"/>
      <c r="S4336" s="9"/>
      <c r="T4336" s="9"/>
      <c r="U4336" s="9"/>
      <c r="V4336" s="9"/>
      <c r="W4336" s="9"/>
      <c r="X4336" s="9"/>
      <c r="Y4336" s="9"/>
      <c r="Z4336" s="9"/>
      <c r="AA4336" s="9"/>
    </row>
    <row r="4337" spans="1:27">
      <c r="A4337" s="8"/>
      <c r="B4337" s="8"/>
      <c r="C4337" s="9"/>
      <c r="D4337" s="9"/>
      <c r="E4337" s="9"/>
      <c r="F4337" s="9"/>
      <c r="G4337" s="9"/>
      <c r="H4337" s="9"/>
      <c r="I4337" s="9"/>
      <c r="J4337" s="9"/>
      <c r="K4337" s="9"/>
      <c r="L4337" s="9"/>
      <c r="M4337" s="9"/>
      <c r="N4337" s="9"/>
      <c r="O4337" s="9"/>
      <c r="P4337" s="9"/>
      <c r="Q4337" s="9"/>
      <c r="R4337" s="9"/>
      <c r="S4337" s="9"/>
      <c r="T4337" s="9"/>
      <c r="U4337" s="9"/>
      <c r="V4337" s="9"/>
      <c r="W4337" s="9"/>
      <c r="X4337" s="9"/>
      <c r="Y4337" s="9"/>
      <c r="Z4337" s="9"/>
      <c r="AA4337" s="9"/>
    </row>
    <row r="4338" spans="1:27">
      <c r="A4338" s="8"/>
      <c r="B4338" s="8"/>
      <c r="C4338" s="9"/>
      <c r="D4338" s="9"/>
      <c r="E4338" s="9"/>
      <c r="F4338" s="9"/>
      <c r="G4338" s="9"/>
      <c r="H4338" s="9"/>
      <c r="I4338" s="9"/>
      <c r="J4338" s="9"/>
      <c r="K4338" s="9"/>
      <c r="L4338" s="9"/>
      <c r="M4338" s="9"/>
      <c r="N4338" s="9"/>
      <c r="O4338" s="9"/>
      <c r="P4338" s="9"/>
      <c r="Q4338" s="9"/>
      <c r="R4338" s="9"/>
      <c r="S4338" s="9"/>
      <c r="T4338" s="9"/>
      <c r="U4338" s="9"/>
      <c r="V4338" s="9"/>
      <c r="W4338" s="9"/>
      <c r="X4338" s="9"/>
      <c r="Y4338" s="9"/>
      <c r="Z4338" s="9"/>
      <c r="AA4338" s="9"/>
    </row>
    <row r="4339" spans="1:27">
      <c r="A4339" s="8"/>
      <c r="B4339" s="8"/>
      <c r="C4339" s="9"/>
      <c r="D4339" s="9"/>
      <c r="E4339" s="9"/>
      <c r="F4339" s="9"/>
      <c r="G4339" s="9"/>
      <c r="H4339" s="9"/>
      <c r="I4339" s="9"/>
      <c r="J4339" s="9"/>
      <c r="K4339" s="9"/>
      <c r="L4339" s="9"/>
      <c r="M4339" s="9"/>
      <c r="N4339" s="9"/>
      <c r="O4339" s="9"/>
      <c r="P4339" s="9"/>
      <c r="Q4339" s="9"/>
      <c r="R4339" s="9"/>
      <c r="S4339" s="9"/>
      <c r="T4339" s="9"/>
      <c r="U4339" s="9"/>
      <c r="V4339" s="9"/>
      <c r="W4339" s="9"/>
      <c r="X4339" s="9"/>
      <c r="Y4339" s="9"/>
      <c r="Z4339" s="9"/>
      <c r="AA4339" s="9"/>
    </row>
    <row r="4340" spans="1:27">
      <c r="A4340" s="8"/>
      <c r="B4340" s="8"/>
      <c r="C4340" s="9"/>
      <c r="D4340" s="9"/>
      <c r="E4340" s="9"/>
      <c r="F4340" s="9"/>
      <c r="G4340" s="9"/>
      <c r="H4340" s="9"/>
      <c r="I4340" s="9"/>
      <c r="J4340" s="9"/>
      <c r="K4340" s="9"/>
      <c r="L4340" s="9"/>
      <c r="M4340" s="9"/>
      <c r="N4340" s="9"/>
      <c r="O4340" s="9"/>
      <c r="P4340" s="9"/>
      <c r="Q4340" s="9"/>
      <c r="R4340" s="9"/>
      <c r="S4340" s="9"/>
      <c r="T4340" s="9"/>
      <c r="U4340" s="9"/>
      <c r="V4340" s="9"/>
      <c r="W4340" s="9"/>
      <c r="X4340" s="9"/>
      <c r="Y4340" s="9"/>
      <c r="Z4340" s="9"/>
      <c r="AA4340" s="9"/>
    </row>
    <row r="4341" spans="1:27">
      <c r="A4341" s="8"/>
      <c r="B4341" s="8"/>
      <c r="C4341" s="9"/>
      <c r="D4341" s="9"/>
      <c r="E4341" s="9"/>
      <c r="F4341" s="9"/>
      <c r="G4341" s="9"/>
      <c r="H4341" s="9"/>
      <c r="I4341" s="9"/>
      <c r="J4341" s="9"/>
      <c r="K4341" s="9"/>
      <c r="L4341" s="9"/>
      <c r="M4341" s="9"/>
      <c r="N4341" s="9"/>
      <c r="O4341" s="9"/>
      <c r="P4341" s="9"/>
      <c r="Q4341" s="9"/>
      <c r="R4341" s="9"/>
      <c r="S4341" s="9"/>
      <c r="T4341" s="9"/>
      <c r="U4341" s="9"/>
      <c r="V4341" s="9"/>
      <c r="W4341" s="9"/>
      <c r="X4341" s="9"/>
      <c r="Y4341" s="9"/>
      <c r="Z4341" s="9"/>
      <c r="AA4341" s="9"/>
    </row>
    <row r="4342" spans="1:27">
      <c r="A4342" s="8"/>
      <c r="B4342" s="8"/>
      <c r="C4342" s="9"/>
      <c r="D4342" s="9"/>
      <c r="E4342" s="9"/>
      <c r="F4342" s="9"/>
      <c r="G4342" s="9"/>
      <c r="H4342" s="9"/>
      <c r="I4342" s="9"/>
      <c r="J4342" s="9"/>
      <c r="K4342" s="9"/>
      <c r="L4342" s="9"/>
      <c r="M4342" s="9"/>
      <c r="N4342" s="9"/>
      <c r="O4342" s="9"/>
      <c r="P4342" s="9"/>
      <c r="Q4342" s="9"/>
      <c r="R4342" s="9"/>
      <c r="S4342" s="9"/>
      <c r="T4342" s="9"/>
      <c r="U4342" s="9"/>
      <c r="V4342" s="9"/>
      <c r="W4342" s="9"/>
      <c r="X4342" s="9"/>
      <c r="Y4342" s="9"/>
      <c r="Z4342" s="9"/>
      <c r="AA4342" s="9"/>
    </row>
    <row r="4343" spans="1:27">
      <c r="A4343" s="8"/>
      <c r="B4343" s="8"/>
      <c r="C4343" s="9"/>
      <c r="D4343" s="9"/>
      <c r="E4343" s="9"/>
      <c r="F4343" s="9"/>
      <c r="G4343" s="9"/>
      <c r="H4343" s="9"/>
      <c r="I4343" s="9"/>
      <c r="J4343" s="9"/>
      <c r="K4343" s="9"/>
      <c r="L4343" s="9"/>
      <c r="M4343" s="9"/>
      <c r="N4343" s="9"/>
      <c r="O4343" s="9"/>
      <c r="P4343" s="9"/>
      <c r="Q4343" s="9"/>
      <c r="R4343" s="9"/>
      <c r="S4343" s="9"/>
      <c r="T4343" s="9"/>
      <c r="U4343" s="9"/>
      <c r="V4343" s="9"/>
      <c r="W4343" s="9"/>
      <c r="X4343" s="9"/>
      <c r="Y4343" s="9"/>
      <c r="Z4343" s="9"/>
      <c r="AA4343" s="9"/>
    </row>
    <row r="4344" spans="1:27">
      <c r="A4344" s="8"/>
      <c r="B4344" s="8"/>
      <c r="C4344" s="9"/>
      <c r="D4344" s="9"/>
      <c r="E4344" s="9"/>
      <c r="F4344" s="9"/>
      <c r="G4344" s="9"/>
      <c r="H4344" s="9"/>
      <c r="I4344" s="9"/>
      <c r="J4344" s="9"/>
      <c r="K4344" s="9"/>
      <c r="L4344" s="9"/>
      <c r="M4344" s="9"/>
      <c r="N4344" s="9"/>
      <c r="O4344" s="9"/>
      <c r="P4344" s="9"/>
      <c r="Q4344" s="9"/>
      <c r="R4344" s="9"/>
      <c r="S4344" s="9"/>
      <c r="T4344" s="9"/>
      <c r="U4344" s="9"/>
      <c r="V4344" s="9"/>
      <c r="W4344" s="9"/>
      <c r="X4344" s="9"/>
      <c r="Y4344" s="9"/>
      <c r="Z4344" s="9"/>
      <c r="AA4344" s="9"/>
    </row>
    <row r="4345" spans="1:27">
      <c r="A4345" s="8"/>
      <c r="B4345" s="8"/>
      <c r="C4345" s="9"/>
      <c r="D4345" s="9"/>
      <c r="E4345" s="9"/>
      <c r="F4345" s="9"/>
      <c r="G4345" s="9"/>
      <c r="H4345" s="9"/>
      <c r="I4345" s="9"/>
      <c r="J4345" s="9"/>
      <c r="K4345" s="9"/>
      <c r="L4345" s="9"/>
      <c r="M4345" s="9"/>
      <c r="N4345" s="9"/>
      <c r="O4345" s="9"/>
      <c r="P4345" s="9"/>
      <c r="Q4345" s="9"/>
      <c r="R4345" s="9"/>
      <c r="S4345" s="9"/>
      <c r="T4345" s="9"/>
      <c r="U4345" s="9"/>
      <c r="V4345" s="9"/>
      <c r="W4345" s="9"/>
      <c r="X4345" s="9"/>
      <c r="Y4345" s="9"/>
      <c r="Z4345" s="9"/>
      <c r="AA4345" s="9"/>
    </row>
    <row r="4346" spans="1:27">
      <c r="A4346" s="8"/>
      <c r="B4346" s="8"/>
      <c r="C4346" s="9"/>
      <c r="D4346" s="9"/>
      <c r="E4346" s="9"/>
      <c r="F4346" s="9"/>
      <c r="G4346" s="9"/>
      <c r="H4346" s="9"/>
      <c r="I4346" s="9"/>
      <c r="J4346" s="9"/>
      <c r="K4346" s="9"/>
      <c r="L4346" s="9"/>
      <c r="M4346" s="9"/>
      <c r="N4346" s="9"/>
      <c r="O4346" s="9"/>
      <c r="P4346" s="9"/>
      <c r="Q4346" s="9"/>
      <c r="R4346" s="9"/>
      <c r="S4346" s="9"/>
      <c r="T4346" s="9"/>
      <c r="U4346" s="9"/>
      <c r="V4346" s="9"/>
      <c r="W4346" s="9"/>
      <c r="X4346" s="9"/>
      <c r="Y4346" s="9"/>
      <c r="Z4346" s="9"/>
      <c r="AA4346" s="9"/>
    </row>
    <row r="4347" spans="1:27">
      <c r="A4347" s="8"/>
      <c r="B4347" s="8"/>
      <c r="C4347" s="9"/>
      <c r="D4347" s="9"/>
      <c r="E4347" s="9"/>
      <c r="F4347" s="9"/>
      <c r="G4347" s="9"/>
      <c r="H4347" s="9"/>
      <c r="I4347" s="9"/>
      <c r="J4347" s="9"/>
      <c r="K4347" s="9"/>
      <c r="L4347" s="9"/>
      <c r="M4347" s="9"/>
      <c r="N4347" s="9"/>
      <c r="O4347" s="9"/>
      <c r="P4347" s="9"/>
      <c r="Q4347" s="9"/>
      <c r="R4347" s="9"/>
      <c r="S4347" s="9"/>
      <c r="T4347" s="9"/>
      <c r="U4347" s="9"/>
      <c r="V4347" s="9"/>
      <c r="W4347" s="9"/>
      <c r="X4347" s="9"/>
      <c r="Y4347" s="9"/>
      <c r="Z4347" s="9"/>
      <c r="AA4347" s="9"/>
    </row>
    <row r="4348" spans="1:27">
      <c r="A4348" s="8"/>
      <c r="B4348" s="8"/>
      <c r="C4348" s="9"/>
      <c r="D4348" s="9"/>
      <c r="E4348" s="9"/>
      <c r="F4348" s="9"/>
      <c r="G4348" s="9"/>
      <c r="H4348" s="9"/>
      <c r="I4348" s="9"/>
      <c r="J4348" s="9"/>
      <c r="K4348" s="9"/>
      <c r="L4348" s="9"/>
      <c r="M4348" s="9"/>
      <c r="N4348" s="9"/>
      <c r="O4348" s="9"/>
      <c r="P4348" s="9"/>
      <c r="Q4348" s="9"/>
      <c r="R4348" s="9"/>
      <c r="S4348" s="9"/>
      <c r="T4348" s="9"/>
      <c r="U4348" s="9"/>
      <c r="V4348" s="9"/>
      <c r="W4348" s="9"/>
      <c r="X4348" s="9"/>
      <c r="Y4348" s="9"/>
      <c r="Z4348" s="9"/>
      <c r="AA4348" s="9"/>
    </row>
    <row r="4349" spans="1:27">
      <c r="A4349" s="8"/>
      <c r="B4349" s="8"/>
      <c r="C4349" s="9"/>
      <c r="D4349" s="9"/>
      <c r="E4349" s="9"/>
      <c r="F4349" s="9"/>
      <c r="G4349" s="9"/>
      <c r="H4349" s="9"/>
      <c r="I4349" s="9"/>
      <c r="J4349" s="9"/>
      <c r="K4349" s="9"/>
      <c r="L4349" s="9"/>
      <c r="M4349" s="9"/>
      <c r="N4349" s="9"/>
      <c r="O4349" s="9"/>
      <c r="P4349" s="9"/>
      <c r="Q4349" s="9"/>
      <c r="R4349" s="9"/>
      <c r="S4349" s="9"/>
      <c r="T4349" s="9"/>
      <c r="U4349" s="9"/>
      <c r="V4349" s="9"/>
      <c r="W4349" s="9"/>
      <c r="X4349" s="9"/>
      <c r="Y4349" s="9"/>
      <c r="Z4349" s="9"/>
      <c r="AA4349" s="9"/>
    </row>
    <row r="4350" spans="1:27">
      <c r="A4350" s="8"/>
      <c r="B4350" s="8"/>
      <c r="C4350" s="9"/>
      <c r="D4350" s="9"/>
      <c r="E4350" s="9"/>
      <c r="F4350" s="9"/>
      <c r="G4350" s="9"/>
      <c r="H4350" s="9"/>
      <c r="I4350" s="9"/>
      <c r="J4350" s="9"/>
      <c r="K4350" s="9"/>
      <c r="L4350" s="9"/>
      <c r="M4350" s="9"/>
      <c r="N4350" s="9"/>
      <c r="O4350" s="9"/>
      <c r="P4350" s="9"/>
      <c r="Q4350" s="9"/>
      <c r="R4350" s="9"/>
      <c r="S4350" s="9"/>
      <c r="T4350" s="9"/>
      <c r="U4350" s="9"/>
      <c r="V4350" s="9"/>
      <c r="W4350" s="9"/>
      <c r="X4350" s="9"/>
      <c r="Y4350" s="9"/>
      <c r="Z4350" s="9"/>
      <c r="AA4350" s="9"/>
    </row>
    <row r="4351" spans="1:27">
      <c r="A4351" s="8"/>
      <c r="B4351" s="8"/>
      <c r="C4351" s="9"/>
      <c r="D4351" s="9"/>
      <c r="E4351" s="9"/>
      <c r="F4351" s="9"/>
      <c r="G4351" s="9"/>
      <c r="H4351" s="9"/>
      <c r="I4351" s="9"/>
      <c r="J4351" s="9"/>
      <c r="K4351" s="9"/>
      <c r="L4351" s="9"/>
      <c r="M4351" s="9"/>
      <c r="N4351" s="9"/>
      <c r="O4351" s="9"/>
      <c r="P4351" s="9"/>
      <c r="Q4351" s="9"/>
      <c r="R4351" s="9"/>
      <c r="S4351" s="9"/>
      <c r="T4351" s="9"/>
      <c r="U4351" s="9"/>
      <c r="V4351" s="9"/>
      <c r="W4351" s="9"/>
      <c r="X4351" s="9"/>
      <c r="Y4351" s="9"/>
      <c r="Z4351" s="9"/>
      <c r="AA4351" s="9"/>
    </row>
    <row r="4352" spans="1:27">
      <c r="A4352" s="8"/>
      <c r="B4352" s="8"/>
      <c r="C4352" s="9"/>
      <c r="D4352" s="9"/>
      <c r="E4352" s="9"/>
      <c r="F4352" s="9"/>
      <c r="G4352" s="9"/>
      <c r="H4352" s="9"/>
      <c r="I4352" s="9"/>
      <c r="J4352" s="9"/>
      <c r="K4352" s="9"/>
      <c r="L4352" s="9"/>
      <c r="M4352" s="9"/>
      <c r="N4352" s="9"/>
      <c r="O4352" s="9"/>
      <c r="P4352" s="9"/>
      <c r="Q4352" s="9"/>
      <c r="R4352" s="9"/>
      <c r="S4352" s="9"/>
      <c r="T4352" s="9"/>
      <c r="U4352" s="9"/>
      <c r="V4352" s="9"/>
      <c r="W4352" s="9"/>
      <c r="X4352" s="9"/>
      <c r="Y4352" s="9"/>
      <c r="Z4352" s="9"/>
      <c r="AA4352" s="9"/>
    </row>
    <row r="4353" spans="1:27">
      <c r="A4353" s="8"/>
      <c r="B4353" s="8"/>
      <c r="C4353" s="9"/>
      <c r="D4353" s="9"/>
      <c r="E4353" s="9"/>
      <c r="F4353" s="9"/>
      <c r="G4353" s="9"/>
      <c r="H4353" s="9"/>
      <c r="I4353" s="9"/>
      <c r="J4353" s="9"/>
      <c r="K4353" s="9"/>
      <c r="L4353" s="9"/>
      <c r="M4353" s="9"/>
      <c r="N4353" s="9"/>
      <c r="O4353" s="9"/>
      <c r="P4353" s="9"/>
      <c r="Q4353" s="9"/>
      <c r="R4353" s="9"/>
      <c r="S4353" s="9"/>
      <c r="T4353" s="9"/>
      <c r="U4353" s="9"/>
      <c r="V4353" s="9"/>
      <c r="W4353" s="9"/>
      <c r="X4353" s="9"/>
      <c r="Y4353" s="9"/>
      <c r="Z4353" s="9"/>
      <c r="AA4353" s="9"/>
    </row>
    <row r="4354" spans="1:27">
      <c r="A4354" s="8"/>
      <c r="B4354" s="8"/>
      <c r="C4354" s="9"/>
      <c r="D4354" s="9"/>
      <c r="E4354" s="9"/>
      <c r="F4354" s="9"/>
      <c r="G4354" s="9"/>
      <c r="H4354" s="9"/>
      <c r="I4354" s="9"/>
      <c r="J4354" s="9"/>
      <c r="K4354" s="9"/>
      <c r="L4354" s="9"/>
      <c r="M4354" s="9"/>
      <c r="N4354" s="9"/>
      <c r="O4354" s="9"/>
      <c r="P4354" s="9"/>
      <c r="Q4354" s="9"/>
      <c r="R4354" s="9"/>
      <c r="S4354" s="9"/>
      <c r="T4354" s="9"/>
      <c r="U4354" s="9"/>
      <c r="V4354" s="9"/>
      <c r="W4354" s="9"/>
      <c r="X4354" s="9"/>
      <c r="Y4354" s="9"/>
      <c r="Z4354" s="9"/>
      <c r="AA4354" s="9"/>
    </row>
    <row r="4355" spans="1:27">
      <c r="A4355" s="8"/>
      <c r="B4355" s="8"/>
      <c r="C4355" s="9"/>
      <c r="D4355" s="9"/>
      <c r="E4355" s="9"/>
      <c r="F4355" s="9"/>
      <c r="G4355" s="9"/>
      <c r="H4355" s="9"/>
      <c r="I4355" s="9"/>
      <c r="J4355" s="9"/>
      <c r="K4355" s="9"/>
      <c r="L4355" s="9"/>
      <c r="M4355" s="9"/>
      <c r="N4355" s="9"/>
      <c r="O4355" s="9"/>
      <c r="P4355" s="9"/>
      <c r="Q4355" s="9"/>
      <c r="R4355" s="9"/>
      <c r="S4355" s="9"/>
      <c r="T4355" s="9"/>
      <c r="U4355" s="9"/>
      <c r="V4355" s="9"/>
      <c r="W4355" s="9"/>
      <c r="X4355" s="9"/>
      <c r="Y4355" s="9"/>
      <c r="Z4355" s="9"/>
      <c r="AA4355" s="9"/>
    </row>
    <row r="4356" spans="1:27">
      <c r="A4356" s="8"/>
      <c r="B4356" s="8"/>
      <c r="C4356" s="9"/>
      <c r="D4356" s="9"/>
      <c r="E4356" s="9"/>
      <c r="F4356" s="9"/>
      <c r="G4356" s="9"/>
      <c r="H4356" s="9"/>
      <c r="I4356" s="9"/>
      <c r="J4356" s="9"/>
      <c r="K4356" s="9"/>
      <c r="L4356" s="9"/>
      <c r="M4356" s="9"/>
      <c r="N4356" s="9"/>
      <c r="O4356" s="9"/>
      <c r="P4356" s="9"/>
      <c r="Q4356" s="9"/>
      <c r="R4356" s="9"/>
      <c r="S4356" s="9"/>
      <c r="T4356" s="9"/>
      <c r="U4356" s="9"/>
      <c r="V4356" s="9"/>
      <c r="W4356" s="9"/>
      <c r="X4356" s="9"/>
      <c r="Y4356" s="9"/>
      <c r="Z4356" s="9"/>
      <c r="AA4356" s="9"/>
    </row>
    <row r="4357" spans="1:27">
      <c r="A4357" s="8"/>
      <c r="B4357" s="8"/>
      <c r="C4357" s="9"/>
      <c r="D4357" s="9"/>
      <c r="E4357" s="9"/>
      <c r="F4357" s="9"/>
      <c r="G4357" s="9"/>
      <c r="H4357" s="9"/>
      <c r="I4357" s="9"/>
      <c r="J4357" s="9"/>
      <c r="K4357" s="9"/>
      <c r="L4357" s="9"/>
      <c r="M4357" s="9"/>
      <c r="N4357" s="9"/>
      <c r="O4357" s="9"/>
      <c r="P4357" s="9"/>
      <c r="Q4357" s="9"/>
      <c r="R4357" s="9"/>
      <c r="S4357" s="9"/>
      <c r="T4357" s="9"/>
      <c r="U4357" s="9"/>
      <c r="V4357" s="9"/>
      <c r="W4357" s="9"/>
      <c r="X4357" s="9"/>
      <c r="Y4357" s="9"/>
      <c r="Z4357" s="9"/>
      <c r="AA4357" s="9"/>
    </row>
    <row r="4358" spans="1:27">
      <c r="A4358" s="8"/>
      <c r="B4358" s="8"/>
      <c r="C4358" s="9"/>
      <c r="D4358" s="9"/>
      <c r="E4358" s="9"/>
      <c r="F4358" s="9"/>
      <c r="G4358" s="9"/>
      <c r="H4358" s="9"/>
      <c r="I4358" s="9"/>
      <c r="J4358" s="9"/>
      <c r="K4358" s="9"/>
      <c r="L4358" s="9"/>
      <c r="M4358" s="9"/>
      <c r="N4358" s="9"/>
      <c r="O4358" s="9"/>
      <c r="P4358" s="9"/>
      <c r="Q4358" s="9"/>
      <c r="R4358" s="9"/>
      <c r="S4358" s="9"/>
      <c r="T4358" s="9"/>
      <c r="U4358" s="9"/>
      <c r="V4358" s="9"/>
      <c r="W4358" s="9"/>
      <c r="X4358" s="9"/>
      <c r="Y4358" s="9"/>
      <c r="Z4358" s="9"/>
      <c r="AA4358" s="9"/>
    </row>
    <row r="4359" spans="1:27">
      <c r="A4359" s="8"/>
      <c r="B4359" s="8"/>
      <c r="C4359" s="9"/>
      <c r="D4359" s="9"/>
      <c r="E4359" s="9"/>
      <c r="F4359" s="9"/>
      <c r="G4359" s="9"/>
      <c r="H4359" s="9"/>
      <c r="I4359" s="9"/>
      <c r="J4359" s="9"/>
      <c r="K4359" s="9"/>
      <c r="L4359" s="9"/>
      <c r="M4359" s="9"/>
      <c r="N4359" s="9"/>
      <c r="O4359" s="9"/>
      <c r="P4359" s="9"/>
      <c r="Q4359" s="9"/>
      <c r="R4359" s="9"/>
      <c r="S4359" s="9"/>
      <c r="T4359" s="9"/>
      <c r="U4359" s="9"/>
      <c r="V4359" s="9"/>
      <c r="W4359" s="9"/>
      <c r="X4359" s="9"/>
      <c r="Y4359" s="9"/>
      <c r="Z4359" s="9"/>
      <c r="AA4359" s="9"/>
    </row>
    <row r="4360" spans="1:27">
      <c r="A4360" s="8"/>
      <c r="B4360" s="8"/>
      <c r="C4360" s="9"/>
      <c r="D4360" s="9"/>
      <c r="E4360" s="9"/>
      <c r="F4360" s="9"/>
      <c r="G4360" s="9"/>
      <c r="H4360" s="9"/>
      <c r="I4360" s="9"/>
      <c r="J4360" s="9"/>
      <c r="K4360" s="9"/>
      <c r="L4360" s="9"/>
      <c r="M4360" s="9"/>
      <c r="N4360" s="9"/>
      <c r="O4360" s="9"/>
      <c r="P4360" s="9"/>
      <c r="Q4360" s="9"/>
      <c r="R4360" s="9"/>
      <c r="S4360" s="9"/>
      <c r="T4360" s="9"/>
      <c r="U4360" s="9"/>
      <c r="V4360" s="9"/>
      <c r="W4360" s="9"/>
      <c r="X4360" s="9"/>
      <c r="Y4360" s="9"/>
      <c r="Z4360" s="9"/>
      <c r="AA4360" s="9"/>
    </row>
    <row r="4361" spans="1:27">
      <c r="A4361" s="8"/>
      <c r="B4361" s="8"/>
      <c r="C4361" s="9"/>
      <c r="D4361" s="9"/>
      <c r="E4361" s="9"/>
      <c r="F4361" s="9"/>
      <c r="G4361" s="9"/>
      <c r="H4361" s="9"/>
      <c r="I4361" s="9"/>
      <c r="J4361" s="9"/>
      <c r="K4361" s="9"/>
      <c r="L4361" s="9"/>
      <c r="M4361" s="9"/>
      <c r="N4361" s="9"/>
      <c r="O4361" s="9"/>
      <c r="P4361" s="9"/>
      <c r="Q4361" s="9"/>
      <c r="R4361" s="9"/>
      <c r="S4361" s="9"/>
      <c r="T4361" s="9"/>
      <c r="U4361" s="9"/>
      <c r="V4361" s="9"/>
      <c r="W4361" s="9"/>
      <c r="X4361" s="9"/>
      <c r="Y4361" s="9"/>
      <c r="Z4361" s="9"/>
      <c r="AA4361" s="9"/>
    </row>
    <row r="4362" spans="1:27">
      <c r="A4362" s="8"/>
      <c r="B4362" s="8"/>
      <c r="C4362" s="9"/>
      <c r="D4362" s="9"/>
      <c r="E4362" s="9"/>
      <c r="F4362" s="9"/>
      <c r="G4362" s="9"/>
      <c r="H4362" s="9"/>
      <c r="I4362" s="9"/>
      <c r="J4362" s="9"/>
      <c r="K4362" s="9"/>
      <c r="L4362" s="9"/>
      <c r="M4362" s="9"/>
      <c r="N4362" s="9"/>
      <c r="O4362" s="9"/>
      <c r="P4362" s="9"/>
      <c r="Q4362" s="9"/>
      <c r="R4362" s="9"/>
      <c r="S4362" s="9"/>
      <c r="T4362" s="9"/>
      <c r="U4362" s="9"/>
      <c r="V4362" s="9"/>
      <c r="W4362" s="9"/>
      <c r="X4362" s="9"/>
      <c r="Y4362" s="9"/>
      <c r="Z4362" s="9"/>
      <c r="AA4362" s="9"/>
    </row>
    <row r="4363" spans="1:27">
      <c r="A4363" s="8"/>
      <c r="B4363" s="8"/>
      <c r="C4363" s="9"/>
      <c r="D4363" s="9"/>
      <c r="E4363" s="9"/>
      <c r="F4363" s="9"/>
      <c r="G4363" s="9"/>
      <c r="H4363" s="9"/>
      <c r="I4363" s="9"/>
      <c r="J4363" s="9"/>
      <c r="K4363" s="9"/>
      <c r="L4363" s="9"/>
      <c r="M4363" s="9"/>
      <c r="N4363" s="9"/>
      <c r="O4363" s="9"/>
      <c r="P4363" s="9"/>
      <c r="Q4363" s="9"/>
      <c r="R4363" s="9"/>
      <c r="S4363" s="9"/>
      <c r="T4363" s="9"/>
      <c r="U4363" s="9"/>
      <c r="V4363" s="9"/>
      <c r="W4363" s="9"/>
      <c r="X4363" s="9"/>
      <c r="Y4363" s="9"/>
      <c r="Z4363" s="9"/>
      <c r="AA4363" s="9"/>
    </row>
    <row r="4364" spans="1:27">
      <c r="A4364" s="8"/>
      <c r="B4364" s="8"/>
      <c r="C4364" s="9"/>
      <c r="D4364" s="9"/>
      <c r="E4364" s="9"/>
      <c r="F4364" s="9"/>
      <c r="G4364" s="9"/>
      <c r="H4364" s="9"/>
      <c r="I4364" s="9"/>
      <c r="J4364" s="9"/>
      <c r="K4364" s="9"/>
      <c r="L4364" s="9"/>
      <c r="M4364" s="9"/>
      <c r="N4364" s="9"/>
      <c r="O4364" s="9"/>
      <c r="P4364" s="9"/>
      <c r="Q4364" s="9"/>
      <c r="R4364" s="9"/>
      <c r="S4364" s="9"/>
      <c r="T4364" s="9"/>
      <c r="U4364" s="9"/>
      <c r="V4364" s="9"/>
      <c r="W4364" s="9"/>
      <c r="X4364" s="9"/>
      <c r="Y4364" s="9"/>
      <c r="Z4364" s="9"/>
      <c r="AA4364" s="9"/>
    </row>
    <row r="4365" spans="1:27">
      <c r="A4365" s="8"/>
      <c r="B4365" s="8"/>
      <c r="C4365" s="9"/>
      <c r="D4365" s="9"/>
      <c r="E4365" s="9"/>
      <c r="F4365" s="9"/>
      <c r="G4365" s="9"/>
      <c r="H4365" s="9"/>
      <c r="I4365" s="9"/>
      <c r="J4365" s="9"/>
      <c r="K4365" s="9"/>
      <c r="L4365" s="9"/>
      <c r="M4365" s="9"/>
      <c r="N4365" s="9"/>
      <c r="O4365" s="9"/>
      <c r="P4365" s="9"/>
      <c r="Q4365" s="9"/>
      <c r="R4365" s="9"/>
      <c r="S4365" s="9"/>
      <c r="T4365" s="9"/>
      <c r="U4365" s="9"/>
      <c r="V4365" s="9"/>
      <c r="W4365" s="9"/>
      <c r="X4365" s="9"/>
      <c r="Y4365" s="9"/>
      <c r="Z4365" s="9"/>
      <c r="AA4365" s="9"/>
    </row>
    <row r="4366" spans="1:27">
      <c r="A4366" s="8"/>
      <c r="B4366" s="8"/>
      <c r="C4366" s="9"/>
      <c r="D4366" s="9"/>
      <c r="E4366" s="9"/>
      <c r="F4366" s="9"/>
      <c r="G4366" s="9"/>
      <c r="H4366" s="9"/>
      <c r="I4366" s="9"/>
      <c r="J4366" s="9"/>
      <c r="K4366" s="9"/>
      <c r="L4366" s="9"/>
      <c r="M4366" s="9"/>
      <c r="N4366" s="9"/>
      <c r="O4366" s="9"/>
      <c r="P4366" s="9"/>
      <c r="Q4366" s="9"/>
      <c r="R4366" s="9"/>
      <c r="S4366" s="9"/>
      <c r="T4366" s="9"/>
      <c r="U4366" s="9"/>
      <c r="V4366" s="9"/>
      <c r="W4366" s="9"/>
      <c r="X4366" s="9"/>
      <c r="Y4366" s="9"/>
      <c r="Z4366" s="9"/>
      <c r="AA4366" s="9"/>
    </row>
    <row r="4367" spans="1:27">
      <c r="A4367" s="8"/>
      <c r="B4367" s="8"/>
      <c r="C4367" s="9"/>
      <c r="D4367" s="9"/>
      <c r="E4367" s="9"/>
      <c r="F4367" s="9"/>
      <c r="G4367" s="9"/>
      <c r="H4367" s="9"/>
      <c r="I4367" s="9"/>
      <c r="J4367" s="9"/>
      <c r="K4367" s="9"/>
      <c r="L4367" s="9"/>
      <c r="M4367" s="9"/>
      <c r="N4367" s="9"/>
      <c r="O4367" s="9"/>
      <c r="P4367" s="9"/>
      <c r="Q4367" s="9"/>
      <c r="R4367" s="9"/>
      <c r="S4367" s="9"/>
      <c r="T4367" s="9"/>
      <c r="U4367" s="9"/>
      <c r="V4367" s="9"/>
      <c r="W4367" s="9"/>
      <c r="X4367" s="9"/>
      <c r="Y4367" s="9"/>
      <c r="Z4367" s="9"/>
      <c r="AA4367" s="9"/>
    </row>
    <row r="4368" spans="1:27">
      <c r="A4368" s="8"/>
      <c r="B4368" s="8"/>
      <c r="C4368" s="9"/>
      <c r="D4368" s="9"/>
      <c r="E4368" s="9"/>
      <c r="F4368" s="9"/>
      <c r="G4368" s="9"/>
      <c r="H4368" s="9"/>
      <c r="I4368" s="9"/>
      <c r="J4368" s="9"/>
      <c r="K4368" s="9"/>
      <c r="L4368" s="9"/>
      <c r="M4368" s="9"/>
      <c r="N4368" s="9"/>
      <c r="O4368" s="9"/>
      <c r="P4368" s="9"/>
      <c r="Q4368" s="9"/>
      <c r="R4368" s="9"/>
      <c r="S4368" s="9"/>
      <c r="T4368" s="9"/>
      <c r="U4368" s="9"/>
      <c r="V4368" s="9"/>
      <c r="W4368" s="9"/>
      <c r="X4368" s="9"/>
      <c r="Y4368" s="9"/>
      <c r="Z4368" s="9"/>
      <c r="AA4368" s="9"/>
    </row>
    <row r="4369" spans="1:27">
      <c r="A4369" s="8"/>
      <c r="B4369" s="8"/>
      <c r="C4369" s="9"/>
      <c r="D4369" s="9"/>
      <c r="E4369" s="9"/>
      <c r="F4369" s="9"/>
      <c r="G4369" s="9"/>
      <c r="H4369" s="9"/>
      <c r="I4369" s="9"/>
      <c r="J4369" s="9"/>
      <c r="K4369" s="9"/>
      <c r="L4369" s="9"/>
      <c r="M4369" s="9"/>
      <c r="N4369" s="9"/>
      <c r="O4369" s="9"/>
      <c r="P4369" s="9"/>
      <c r="Q4369" s="9"/>
      <c r="R4369" s="9"/>
      <c r="S4369" s="9"/>
      <c r="T4369" s="9"/>
      <c r="U4369" s="9"/>
      <c r="V4369" s="9"/>
      <c r="W4369" s="9"/>
      <c r="X4369" s="9"/>
      <c r="Y4369" s="9"/>
      <c r="Z4369" s="9"/>
      <c r="AA4369" s="9"/>
    </row>
    <row r="4370" spans="1:27">
      <c r="A4370" s="8"/>
      <c r="B4370" s="8"/>
      <c r="C4370" s="9"/>
      <c r="D4370" s="9"/>
      <c r="E4370" s="9"/>
      <c r="F4370" s="9"/>
      <c r="G4370" s="9"/>
      <c r="H4370" s="9"/>
      <c r="I4370" s="9"/>
      <c r="J4370" s="9"/>
      <c r="K4370" s="9"/>
      <c r="L4370" s="9"/>
      <c r="M4370" s="9"/>
      <c r="N4370" s="9"/>
      <c r="O4370" s="9"/>
      <c r="P4370" s="9"/>
      <c r="Q4370" s="9"/>
      <c r="R4370" s="9"/>
      <c r="S4370" s="9"/>
      <c r="T4370" s="9"/>
      <c r="U4370" s="9"/>
      <c r="V4370" s="9"/>
      <c r="W4370" s="9"/>
      <c r="X4370" s="9"/>
      <c r="Y4370" s="9"/>
      <c r="Z4370" s="9"/>
      <c r="AA4370" s="9"/>
    </row>
    <row r="4371" spans="1:27">
      <c r="A4371" s="8"/>
      <c r="B4371" s="8"/>
      <c r="C4371" s="9"/>
      <c r="D4371" s="9"/>
      <c r="E4371" s="9"/>
      <c r="F4371" s="9"/>
      <c r="G4371" s="9"/>
      <c r="H4371" s="9"/>
      <c r="I4371" s="9"/>
      <c r="J4371" s="9"/>
      <c r="K4371" s="9"/>
      <c r="L4371" s="9"/>
      <c r="M4371" s="9"/>
      <c r="N4371" s="9"/>
      <c r="O4371" s="9"/>
      <c r="P4371" s="9"/>
      <c r="Q4371" s="9"/>
      <c r="R4371" s="9"/>
      <c r="S4371" s="9"/>
      <c r="T4371" s="9"/>
      <c r="U4371" s="9"/>
      <c r="V4371" s="9"/>
      <c r="W4371" s="9"/>
      <c r="X4371" s="9"/>
      <c r="Y4371" s="9"/>
      <c r="Z4371" s="9"/>
      <c r="AA4371" s="9"/>
    </row>
    <row r="4372" spans="1:27">
      <c r="A4372" s="8"/>
      <c r="B4372" s="8"/>
      <c r="C4372" s="9"/>
      <c r="D4372" s="9"/>
      <c r="E4372" s="9"/>
      <c r="F4372" s="9"/>
      <c r="G4372" s="9"/>
      <c r="H4372" s="9"/>
      <c r="I4372" s="9"/>
      <c r="J4372" s="9"/>
      <c r="K4372" s="9"/>
      <c r="L4372" s="9"/>
      <c r="M4372" s="9"/>
      <c r="N4372" s="9"/>
      <c r="O4372" s="9"/>
      <c r="P4372" s="9"/>
      <c r="Q4372" s="9"/>
      <c r="R4372" s="9"/>
      <c r="S4372" s="9"/>
      <c r="T4372" s="9"/>
      <c r="U4372" s="9"/>
      <c r="V4372" s="9"/>
      <c r="W4372" s="9"/>
      <c r="X4372" s="9"/>
      <c r="Y4372" s="9"/>
      <c r="Z4372" s="9"/>
      <c r="AA4372" s="9"/>
    </row>
    <row r="4373" spans="1:27">
      <c r="A4373" s="8"/>
      <c r="B4373" s="8"/>
      <c r="C4373" s="9"/>
      <c r="D4373" s="9"/>
      <c r="E4373" s="9"/>
      <c r="F4373" s="9"/>
      <c r="G4373" s="9"/>
      <c r="H4373" s="9"/>
      <c r="I4373" s="9"/>
      <c r="J4373" s="9"/>
      <c r="K4373" s="9"/>
      <c r="L4373" s="9"/>
      <c r="M4373" s="9"/>
      <c r="N4373" s="9"/>
      <c r="O4373" s="9"/>
      <c r="P4373" s="9"/>
      <c r="Q4373" s="9"/>
      <c r="R4373" s="9"/>
      <c r="S4373" s="9"/>
      <c r="T4373" s="9"/>
      <c r="U4373" s="9"/>
      <c r="V4373" s="9"/>
      <c r="W4373" s="9"/>
      <c r="X4373" s="9"/>
      <c r="Y4373" s="9"/>
      <c r="Z4373" s="9"/>
      <c r="AA4373" s="9"/>
    </row>
    <row r="4374" spans="1:27">
      <c r="A4374" s="8"/>
      <c r="B4374" s="8"/>
      <c r="C4374" s="9"/>
      <c r="D4374" s="9"/>
      <c r="E4374" s="9"/>
      <c r="F4374" s="9"/>
      <c r="G4374" s="9"/>
      <c r="H4374" s="9"/>
      <c r="I4374" s="9"/>
      <c r="J4374" s="9"/>
      <c r="K4374" s="9"/>
      <c r="L4374" s="9"/>
      <c r="M4374" s="9"/>
      <c r="N4374" s="9"/>
      <c r="O4374" s="9"/>
      <c r="P4374" s="9"/>
      <c r="Q4374" s="9"/>
      <c r="R4374" s="9"/>
      <c r="S4374" s="9"/>
      <c r="T4374" s="9"/>
      <c r="U4374" s="9"/>
      <c r="V4374" s="9"/>
      <c r="W4374" s="9"/>
      <c r="X4374" s="9"/>
      <c r="Y4374" s="9"/>
      <c r="Z4374" s="9"/>
      <c r="AA4374" s="9"/>
    </row>
    <row r="4375" spans="1:27">
      <c r="A4375" s="8"/>
      <c r="B4375" s="8"/>
      <c r="C4375" s="9"/>
      <c r="D4375" s="9"/>
      <c r="E4375" s="9"/>
      <c r="F4375" s="9"/>
      <c r="G4375" s="9"/>
      <c r="H4375" s="9"/>
      <c r="I4375" s="9"/>
      <c r="J4375" s="9"/>
      <c r="K4375" s="9"/>
      <c r="L4375" s="9"/>
      <c r="M4375" s="9"/>
      <c r="N4375" s="9"/>
      <c r="O4375" s="9"/>
      <c r="P4375" s="9"/>
      <c r="Q4375" s="9"/>
      <c r="R4375" s="9"/>
      <c r="S4375" s="9"/>
      <c r="T4375" s="9"/>
      <c r="U4375" s="9"/>
      <c r="V4375" s="9"/>
      <c r="W4375" s="9"/>
      <c r="X4375" s="9"/>
      <c r="Y4375" s="9"/>
      <c r="Z4375" s="9"/>
      <c r="AA4375" s="9"/>
    </row>
    <row r="4376" spans="1:27">
      <c r="A4376" s="8"/>
      <c r="B4376" s="8"/>
      <c r="C4376" s="9"/>
      <c r="D4376" s="9"/>
      <c r="E4376" s="9"/>
      <c r="F4376" s="9"/>
      <c r="G4376" s="9"/>
      <c r="H4376" s="9"/>
      <c r="I4376" s="9"/>
      <c r="J4376" s="9"/>
      <c r="K4376" s="9"/>
      <c r="L4376" s="9"/>
      <c r="M4376" s="9"/>
      <c r="N4376" s="9"/>
      <c r="O4376" s="9"/>
      <c r="P4376" s="9"/>
      <c r="Q4376" s="9"/>
      <c r="R4376" s="9"/>
      <c r="S4376" s="9"/>
      <c r="T4376" s="9"/>
      <c r="U4376" s="9"/>
      <c r="V4376" s="9"/>
      <c r="W4376" s="9"/>
      <c r="X4376" s="9"/>
      <c r="Y4376" s="9"/>
      <c r="Z4376" s="9"/>
      <c r="AA4376" s="9"/>
    </row>
    <row r="4377" spans="1:27">
      <c r="A4377" s="8"/>
      <c r="B4377" s="8"/>
      <c r="C4377" s="9"/>
      <c r="D4377" s="9"/>
      <c r="E4377" s="9"/>
      <c r="F4377" s="9"/>
      <c r="G4377" s="9"/>
      <c r="H4377" s="9"/>
      <c r="I4377" s="9"/>
      <c r="J4377" s="9"/>
      <c r="K4377" s="9"/>
      <c r="L4377" s="9"/>
      <c r="M4377" s="9"/>
      <c r="N4377" s="9"/>
      <c r="O4377" s="9"/>
      <c r="P4377" s="9"/>
      <c r="Q4377" s="9"/>
      <c r="R4377" s="9"/>
      <c r="S4377" s="9"/>
      <c r="T4377" s="9"/>
      <c r="U4377" s="9"/>
      <c r="V4377" s="9"/>
      <c r="W4377" s="9"/>
      <c r="X4377" s="9"/>
      <c r="Y4377" s="9"/>
      <c r="Z4377" s="9"/>
      <c r="AA4377" s="9"/>
    </row>
    <row r="4378" spans="1:27">
      <c r="A4378" s="8"/>
      <c r="B4378" s="8"/>
      <c r="C4378" s="9"/>
      <c r="D4378" s="9"/>
      <c r="E4378" s="9"/>
      <c r="F4378" s="9"/>
      <c r="G4378" s="9"/>
      <c r="H4378" s="9"/>
      <c r="I4378" s="9"/>
      <c r="J4378" s="9"/>
      <c r="K4378" s="9"/>
      <c r="L4378" s="9"/>
      <c r="M4378" s="9"/>
      <c r="N4378" s="9"/>
      <c r="O4378" s="9"/>
      <c r="P4378" s="9"/>
      <c r="Q4378" s="9"/>
      <c r="R4378" s="9"/>
      <c r="S4378" s="9"/>
      <c r="T4378" s="9"/>
      <c r="U4378" s="9"/>
      <c r="V4378" s="9"/>
      <c r="W4378" s="9"/>
      <c r="X4378" s="9"/>
      <c r="Y4378" s="9"/>
      <c r="Z4378" s="9"/>
      <c r="AA4378" s="9"/>
    </row>
    <row r="4379" spans="1:27">
      <c r="A4379" s="8"/>
      <c r="B4379" s="8"/>
      <c r="C4379" s="9"/>
      <c r="D4379" s="9"/>
      <c r="E4379" s="9"/>
      <c r="F4379" s="9"/>
      <c r="G4379" s="9"/>
      <c r="H4379" s="9"/>
      <c r="I4379" s="9"/>
      <c r="J4379" s="9"/>
      <c r="K4379" s="9"/>
      <c r="L4379" s="9"/>
      <c r="M4379" s="9"/>
      <c r="N4379" s="9"/>
      <c r="O4379" s="9"/>
      <c r="P4379" s="9"/>
      <c r="Q4379" s="9"/>
      <c r="R4379" s="9"/>
      <c r="S4379" s="9"/>
      <c r="T4379" s="9"/>
      <c r="U4379" s="9"/>
      <c r="V4379" s="9"/>
      <c r="W4379" s="9"/>
      <c r="X4379" s="9"/>
      <c r="Y4379" s="9"/>
      <c r="Z4379" s="9"/>
      <c r="AA4379" s="9"/>
    </row>
    <row r="4380" spans="1:27">
      <c r="A4380" s="8"/>
      <c r="B4380" s="8"/>
      <c r="C4380" s="9"/>
      <c r="D4380" s="9"/>
      <c r="E4380" s="9"/>
      <c r="F4380" s="9"/>
      <c r="G4380" s="9"/>
      <c r="H4380" s="9"/>
      <c r="I4380" s="9"/>
      <c r="J4380" s="9"/>
      <c r="K4380" s="9"/>
      <c r="L4380" s="9"/>
      <c r="M4380" s="9"/>
      <c r="N4380" s="9"/>
      <c r="O4380" s="9"/>
      <c r="P4380" s="9"/>
      <c r="Q4380" s="9"/>
      <c r="R4380" s="9"/>
      <c r="S4380" s="9"/>
      <c r="T4380" s="9"/>
      <c r="U4380" s="9"/>
      <c r="V4380" s="9"/>
      <c r="W4380" s="9"/>
      <c r="X4380" s="9"/>
      <c r="Y4380" s="9"/>
      <c r="Z4380" s="9"/>
      <c r="AA4380" s="9"/>
    </row>
    <row r="4381" spans="1:27">
      <c r="A4381" s="8"/>
      <c r="B4381" s="8"/>
      <c r="C4381" s="9"/>
      <c r="D4381" s="9"/>
      <c r="E4381" s="9"/>
      <c r="F4381" s="9"/>
      <c r="G4381" s="9"/>
      <c r="H4381" s="9"/>
      <c r="I4381" s="9"/>
      <c r="J4381" s="9"/>
      <c r="K4381" s="9"/>
      <c r="L4381" s="9"/>
      <c r="M4381" s="9"/>
      <c r="N4381" s="9"/>
      <c r="O4381" s="9"/>
      <c r="P4381" s="9"/>
      <c r="Q4381" s="9"/>
      <c r="R4381" s="9"/>
      <c r="S4381" s="9"/>
      <c r="T4381" s="9"/>
      <c r="U4381" s="9"/>
      <c r="V4381" s="9"/>
      <c r="W4381" s="9"/>
      <c r="X4381" s="9"/>
      <c r="Y4381" s="9"/>
      <c r="Z4381" s="9"/>
      <c r="AA4381" s="9"/>
    </row>
    <row r="4382" spans="1:27">
      <c r="A4382" s="8"/>
      <c r="B4382" s="8"/>
      <c r="C4382" s="9"/>
      <c r="D4382" s="9"/>
      <c r="E4382" s="9"/>
      <c r="F4382" s="9"/>
      <c r="G4382" s="9"/>
      <c r="H4382" s="9"/>
      <c r="I4382" s="9"/>
      <c r="J4382" s="9"/>
      <c r="K4382" s="9"/>
      <c r="L4382" s="9"/>
      <c r="M4382" s="9"/>
      <c r="N4382" s="9"/>
      <c r="O4382" s="9"/>
      <c r="P4382" s="9"/>
      <c r="Q4382" s="9"/>
      <c r="R4382" s="9"/>
      <c r="S4382" s="9"/>
      <c r="T4382" s="9"/>
      <c r="U4382" s="9"/>
      <c r="V4382" s="9"/>
      <c r="W4382" s="9"/>
      <c r="X4382" s="9"/>
      <c r="Y4382" s="9"/>
      <c r="Z4382" s="9"/>
      <c r="AA4382" s="9"/>
    </row>
    <row r="4383" spans="1:27">
      <c r="A4383" s="8"/>
      <c r="B4383" s="8"/>
      <c r="C4383" s="9"/>
      <c r="D4383" s="9"/>
      <c r="E4383" s="9"/>
      <c r="F4383" s="9"/>
      <c r="G4383" s="9"/>
      <c r="H4383" s="9"/>
      <c r="I4383" s="9"/>
      <c r="J4383" s="9"/>
      <c r="K4383" s="9"/>
      <c r="L4383" s="9"/>
      <c r="M4383" s="9"/>
      <c r="N4383" s="9"/>
      <c r="O4383" s="9"/>
      <c r="P4383" s="9"/>
      <c r="Q4383" s="9"/>
      <c r="R4383" s="9"/>
      <c r="S4383" s="9"/>
      <c r="T4383" s="9"/>
      <c r="U4383" s="9"/>
      <c r="V4383" s="9"/>
      <c r="W4383" s="9"/>
      <c r="X4383" s="9"/>
      <c r="Y4383" s="9"/>
      <c r="Z4383" s="9"/>
      <c r="AA4383" s="9"/>
    </row>
    <row r="4384" spans="1:27">
      <c r="A4384" s="8"/>
      <c r="B4384" s="8"/>
      <c r="C4384" s="9"/>
      <c r="D4384" s="9"/>
      <c r="E4384" s="9"/>
      <c r="F4384" s="9"/>
      <c r="G4384" s="9"/>
      <c r="H4384" s="9"/>
      <c r="I4384" s="9"/>
      <c r="J4384" s="9"/>
      <c r="K4384" s="9"/>
      <c r="L4384" s="9"/>
      <c r="M4384" s="9"/>
      <c r="N4384" s="9"/>
      <c r="O4384" s="9"/>
      <c r="P4384" s="9"/>
      <c r="Q4384" s="9"/>
      <c r="R4384" s="9"/>
      <c r="S4384" s="9"/>
      <c r="T4384" s="9"/>
      <c r="U4384" s="9"/>
      <c r="V4384" s="9"/>
      <c r="W4384" s="9"/>
      <c r="X4384" s="9"/>
      <c r="Y4384" s="9"/>
      <c r="Z4384" s="9"/>
      <c r="AA4384" s="9"/>
    </row>
    <row r="4385" spans="1:27">
      <c r="A4385" s="8"/>
      <c r="B4385" s="8"/>
      <c r="C4385" s="9"/>
      <c r="D4385" s="9"/>
      <c r="E4385" s="9"/>
      <c r="F4385" s="9"/>
      <c r="G4385" s="9"/>
      <c r="H4385" s="9"/>
      <c r="I4385" s="9"/>
      <c r="J4385" s="9"/>
      <c r="K4385" s="9"/>
      <c r="L4385" s="9"/>
      <c r="M4385" s="9"/>
      <c r="N4385" s="9"/>
      <c r="O4385" s="9"/>
      <c r="P4385" s="9"/>
      <c r="Q4385" s="9"/>
      <c r="R4385" s="9"/>
      <c r="S4385" s="9"/>
      <c r="T4385" s="9"/>
      <c r="U4385" s="9"/>
      <c r="V4385" s="9"/>
      <c r="W4385" s="9"/>
      <c r="X4385" s="9"/>
      <c r="Y4385" s="9"/>
      <c r="Z4385" s="9"/>
      <c r="AA4385" s="9"/>
    </row>
    <row r="4386" spans="1:27">
      <c r="A4386" s="8"/>
      <c r="B4386" s="8"/>
      <c r="C4386" s="9"/>
      <c r="D4386" s="9"/>
      <c r="E4386" s="9"/>
      <c r="F4386" s="9"/>
      <c r="G4386" s="9"/>
      <c r="H4386" s="9"/>
      <c r="I4386" s="9"/>
      <c r="J4386" s="9"/>
      <c r="K4386" s="9"/>
      <c r="L4386" s="9"/>
      <c r="M4386" s="9"/>
      <c r="N4386" s="9"/>
      <c r="O4386" s="9"/>
      <c r="P4386" s="9"/>
      <c r="Q4386" s="9"/>
      <c r="R4386" s="9"/>
      <c r="S4386" s="9"/>
      <c r="T4386" s="9"/>
      <c r="U4386" s="9"/>
      <c r="V4386" s="9"/>
      <c r="W4386" s="9"/>
      <c r="X4386" s="9"/>
      <c r="Y4386" s="9"/>
      <c r="Z4386" s="9"/>
      <c r="AA4386" s="9"/>
    </row>
    <row r="4387" spans="1:27">
      <c r="A4387" s="8"/>
      <c r="B4387" s="8"/>
      <c r="C4387" s="9"/>
      <c r="D4387" s="9"/>
      <c r="E4387" s="9"/>
      <c r="F4387" s="9"/>
      <c r="G4387" s="9"/>
      <c r="H4387" s="9"/>
      <c r="I4387" s="9"/>
      <c r="J4387" s="9"/>
      <c r="K4387" s="9"/>
      <c r="L4387" s="9"/>
      <c r="M4387" s="9"/>
      <c r="N4387" s="9"/>
      <c r="O4387" s="9"/>
      <c r="P4387" s="9"/>
      <c r="Q4387" s="9"/>
      <c r="R4387" s="9"/>
      <c r="S4387" s="9"/>
      <c r="T4387" s="9"/>
      <c r="U4387" s="9"/>
      <c r="V4387" s="9"/>
      <c r="W4387" s="9"/>
      <c r="X4387" s="9"/>
      <c r="Y4387" s="9"/>
      <c r="Z4387" s="9"/>
      <c r="AA4387" s="9"/>
    </row>
    <row r="4388" spans="1:27">
      <c r="A4388" s="8"/>
      <c r="B4388" s="8"/>
      <c r="C4388" s="9"/>
      <c r="D4388" s="9"/>
      <c r="E4388" s="9"/>
      <c r="F4388" s="9"/>
      <c r="G4388" s="9"/>
      <c r="H4388" s="9"/>
      <c r="I4388" s="9"/>
      <c r="J4388" s="9"/>
      <c r="K4388" s="9"/>
      <c r="L4388" s="9"/>
      <c r="M4388" s="9"/>
      <c r="N4388" s="9"/>
      <c r="O4388" s="9"/>
      <c r="P4388" s="9"/>
      <c r="Q4388" s="9"/>
      <c r="R4388" s="9"/>
      <c r="S4388" s="9"/>
      <c r="T4388" s="9"/>
      <c r="U4388" s="9"/>
      <c r="V4388" s="9"/>
      <c r="W4388" s="9"/>
      <c r="X4388" s="9"/>
      <c r="Y4388" s="9"/>
      <c r="Z4388" s="9"/>
      <c r="AA4388" s="9"/>
    </row>
    <row r="4389" spans="1:27">
      <c r="A4389" s="8"/>
      <c r="B4389" s="8"/>
      <c r="C4389" s="9"/>
      <c r="D4389" s="9"/>
      <c r="E4389" s="9"/>
      <c r="F4389" s="9"/>
      <c r="G4389" s="9"/>
      <c r="H4389" s="9"/>
      <c r="I4389" s="9"/>
      <c r="J4389" s="9"/>
      <c r="K4389" s="9"/>
      <c r="L4389" s="9"/>
      <c r="M4389" s="9"/>
      <c r="N4389" s="9"/>
      <c r="O4389" s="9"/>
      <c r="P4389" s="9"/>
      <c r="Q4389" s="9"/>
      <c r="R4389" s="9"/>
      <c r="S4389" s="9"/>
      <c r="T4389" s="9"/>
      <c r="U4389" s="9"/>
      <c r="V4389" s="9"/>
      <c r="W4389" s="9"/>
      <c r="X4389" s="9"/>
      <c r="Y4389" s="9"/>
      <c r="Z4389" s="9"/>
      <c r="AA4389" s="9"/>
    </row>
    <row r="4390" spans="1:27">
      <c r="A4390" s="8"/>
      <c r="B4390" s="8"/>
      <c r="C4390" s="9"/>
      <c r="D4390" s="9"/>
      <c r="E4390" s="9"/>
      <c r="F4390" s="9"/>
      <c r="G4390" s="9"/>
      <c r="H4390" s="9"/>
      <c r="I4390" s="9"/>
      <c r="J4390" s="9"/>
      <c r="K4390" s="9"/>
      <c r="L4390" s="9"/>
      <c r="M4390" s="9"/>
      <c r="N4390" s="9"/>
      <c r="O4390" s="9"/>
      <c r="P4390" s="9"/>
      <c r="Q4390" s="9"/>
      <c r="R4390" s="9"/>
      <c r="S4390" s="9"/>
      <c r="T4390" s="9"/>
      <c r="U4390" s="9"/>
      <c r="V4390" s="9"/>
      <c r="W4390" s="9"/>
      <c r="X4390" s="9"/>
      <c r="Y4390" s="9"/>
      <c r="Z4390" s="9"/>
      <c r="AA4390" s="9"/>
    </row>
    <row r="4391" spans="1:27">
      <c r="A4391" s="8"/>
      <c r="B4391" s="8"/>
      <c r="C4391" s="9"/>
      <c r="D4391" s="9"/>
      <c r="E4391" s="9"/>
      <c r="F4391" s="9"/>
      <c r="G4391" s="9"/>
      <c r="H4391" s="9"/>
      <c r="I4391" s="9"/>
      <c r="J4391" s="9"/>
      <c r="K4391" s="9"/>
      <c r="L4391" s="9"/>
      <c r="M4391" s="9"/>
      <c r="N4391" s="9"/>
      <c r="O4391" s="9"/>
      <c r="P4391" s="9"/>
      <c r="Q4391" s="9"/>
      <c r="R4391" s="9"/>
      <c r="S4391" s="9"/>
      <c r="T4391" s="9"/>
      <c r="U4391" s="9"/>
      <c r="V4391" s="9"/>
      <c r="W4391" s="9"/>
      <c r="X4391" s="9"/>
      <c r="Y4391" s="9"/>
      <c r="Z4391" s="9"/>
      <c r="AA4391" s="9"/>
    </row>
    <row r="4392" spans="1:27">
      <c r="A4392" s="8"/>
      <c r="B4392" s="8"/>
      <c r="C4392" s="9"/>
      <c r="D4392" s="9"/>
      <c r="E4392" s="9"/>
      <c r="F4392" s="9"/>
      <c r="G4392" s="9"/>
      <c r="H4392" s="9"/>
      <c r="I4392" s="9"/>
      <c r="J4392" s="9"/>
      <c r="K4392" s="9"/>
      <c r="L4392" s="9"/>
      <c r="M4392" s="9"/>
      <c r="N4392" s="9"/>
      <c r="O4392" s="9"/>
      <c r="P4392" s="9"/>
      <c r="Q4392" s="9"/>
      <c r="R4392" s="9"/>
      <c r="S4392" s="9"/>
      <c r="T4392" s="9"/>
      <c r="U4392" s="9"/>
      <c r="V4392" s="9"/>
      <c r="W4392" s="9"/>
      <c r="X4392" s="9"/>
      <c r="Y4392" s="9"/>
      <c r="Z4392" s="9"/>
      <c r="AA4392" s="9"/>
    </row>
    <row r="4393" spans="1:27">
      <c r="A4393" s="8"/>
      <c r="B4393" s="8"/>
      <c r="C4393" s="9"/>
      <c r="D4393" s="9"/>
      <c r="E4393" s="9"/>
      <c r="F4393" s="9"/>
      <c r="G4393" s="9"/>
      <c r="H4393" s="9"/>
      <c r="I4393" s="9"/>
      <c r="J4393" s="9"/>
      <c r="K4393" s="9"/>
      <c r="L4393" s="9"/>
      <c r="M4393" s="9"/>
      <c r="N4393" s="9"/>
      <c r="O4393" s="9"/>
      <c r="P4393" s="9"/>
      <c r="Q4393" s="9"/>
      <c r="R4393" s="9"/>
      <c r="S4393" s="9"/>
      <c r="T4393" s="9"/>
      <c r="U4393" s="9"/>
      <c r="V4393" s="9"/>
      <c r="W4393" s="9"/>
      <c r="X4393" s="9"/>
      <c r="Y4393" s="9"/>
      <c r="Z4393" s="9"/>
      <c r="AA4393" s="9"/>
    </row>
    <row r="4394" spans="1:27">
      <c r="A4394" s="8"/>
      <c r="B4394" s="8"/>
      <c r="C4394" s="9"/>
      <c r="D4394" s="9"/>
      <c r="E4394" s="9"/>
      <c r="F4394" s="9"/>
      <c r="G4394" s="9"/>
      <c r="H4394" s="9"/>
      <c r="I4394" s="9"/>
      <c r="J4394" s="9"/>
      <c r="K4394" s="9"/>
      <c r="L4394" s="9"/>
      <c r="M4394" s="9"/>
      <c r="N4394" s="9"/>
      <c r="O4394" s="9"/>
      <c r="P4394" s="9"/>
      <c r="Q4394" s="9"/>
      <c r="R4394" s="9"/>
      <c r="S4394" s="9"/>
      <c r="T4394" s="9"/>
      <c r="U4394" s="9"/>
      <c r="V4394" s="9"/>
      <c r="W4394" s="9"/>
      <c r="X4394" s="9"/>
      <c r="Y4394" s="9"/>
      <c r="Z4394" s="9"/>
      <c r="AA4394" s="9"/>
    </row>
    <row r="4395" spans="1:27">
      <c r="A4395" s="8"/>
      <c r="B4395" s="8"/>
      <c r="C4395" s="9"/>
      <c r="D4395" s="9"/>
      <c r="E4395" s="9"/>
      <c r="F4395" s="9"/>
      <c r="G4395" s="9"/>
      <c r="H4395" s="9"/>
      <c r="I4395" s="9"/>
      <c r="J4395" s="9"/>
      <c r="K4395" s="9"/>
      <c r="L4395" s="9"/>
      <c r="M4395" s="9"/>
      <c r="N4395" s="9"/>
      <c r="O4395" s="9"/>
      <c r="P4395" s="9"/>
      <c r="Q4395" s="9"/>
      <c r="R4395" s="9"/>
      <c r="S4395" s="9"/>
      <c r="T4395" s="9"/>
      <c r="U4395" s="9"/>
      <c r="V4395" s="9"/>
      <c r="W4395" s="9"/>
      <c r="X4395" s="9"/>
      <c r="Y4395" s="9"/>
      <c r="Z4395" s="9"/>
      <c r="AA4395" s="9"/>
    </row>
    <row r="4396" spans="1:27">
      <c r="A4396" s="8"/>
      <c r="B4396" s="8"/>
      <c r="C4396" s="9"/>
      <c r="D4396" s="9"/>
      <c r="E4396" s="9"/>
      <c r="F4396" s="9"/>
      <c r="G4396" s="9"/>
      <c r="H4396" s="9"/>
      <c r="I4396" s="9"/>
      <c r="J4396" s="9"/>
      <c r="K4396" s="9"/>
      <c r="L4396" s="9"/>
      <c r="M4396" s="9"/>
      <c r="N4396" s="9"/>
      <c r="O4396" s="9"/>
      <c r="P4396" s="9"/>
      <c r="Q4396" s="9"/>
      <c r="R4396" s="9"/>
      <c r="S4396" s="9"/>
      <c r="T4396" s="9"/>
      <c r="U4396" s="9"/>
      <c r="V4396" s="9"/>
      <c r="W4396" s="9"/>
      <c r="X4396" s="9"/>
      <c r="Y4396" s="9"/>
      <c r="Z4396" s="9"/>
      <c r="AA4396" s="9"/>
    </row>
    <row r="4397" spans="1:27">
      <c r="A4397" s="8"/>
      <c r="B4397" s="8"/>
      <c r="C4397" s="9"/>
      <c r="D4397" s="9"/>
      <c r="E4397" s="9"/>
      <c r="F4397" s="9"/>
      <c r="G4397" s="9"/>
      <c r="H4397" s="9"/>
      <c r="I4397" s="9"/>
      <c r="J4397" s="9"/>
      <c r="K4397" s="9"/>
      <c r="L4397" s="9"/>
      <c r="M4397" s="9"/>
      <c r="N4397" s="9"/>
      <c r="O4397" s="9"/>
      <c r="P4397" s="9"/>
      <c r="Q4397" s="9"/>
      <c r="R4397" s="9"/>
      <c r="S4397" s="9"/>
      <c r="T4397" s="9"/>
      <c r="U4397" s="9"/>
      <c r="V4397" s="9"/>
      <c r="W4397" s="9"/>
      <c r="X4397" s="9"/>
      <c r="Y4397" s="9"/>
      <c r="Z4397" s="9"/>
      <c r="AA4397" s="9"/>
    </row>
    <row r="4398" spans="1:27">
      <c r="A4398" s="8"/>
      <c r="B4398" s="8"/>
      <c r="C4398" s="9"/>
      <c r="D4398" s="9"/>
      <c r="E4398" s="9"/>
      <c r="F4398" s="9"/>
      <c r="G4398" s="9"/>
      <c r="H4398" s="9"/>
      <c r="I4398" s="9"/>
      <c r="J4398" s="9"/>
      <c r="K4398" s="9"/>
      <c r="L4398" s="9"/>
      <c r="M4398" s="9"/>
      <c r="N4398" s="9"/>
      <c r="O4398" s="9"/>
      <c r="P4398" s="9"/>
      <c r="Q4398" s="9"/>
      <c r="R4398" s="9"/>
      <c r="S4398" s="9"/>
      <c r="T4398" s="9"/>
      <c r="U4398" s="9"/>
      <c r="V4398" s="9"/>
      <c r="W4398" s="9"/>
      <c r="X4398" s="9"/>
      <c r="Y4398" s="9"/>
      <c r="Z4398" s="9"/>
      <c r="AA4398" s="9"/>
    </row>
    <row r="4399" spans="1:27">
      <c r="A4399" s="8"/>
      <c r="B4399" s="8"/>
      <c r="C4399" s="9"/>
      <c r="D4399" s="9"/>
      <c r="E4399" s="9"/>
      <c r="F4399" s="9"/>
      <c r="G4399" s="9"/>
      <c r="H4399" s="9"/>
      <c r="I4399" s="9"/>
      <c r="J4399" s="9"/>
      <c r="K4399" s="9"/>
      <c r="L4399" s="9"/>
      <c r="M4399" s="9"/>
      <c r="N4399" s="9"/>
      <c r="O4399" s="9"/>
      <c r="P4399" s="9"/>
      <c r="Q4399" s="9"/>
      <c r="R4399" s="9"/>
      <c r="S4399" s="9"/>
      <c r="T4399" s="9"/>
      <c r="U4399" s="9"/>
      <c r="V4399" s="9"/>
      <c r="W4399" s="9"/>
      <c r="X4399" s="9"/>
      <c r="Y4399" s="9"/>
      <c r="Z4399" s="9"/>
      <c r="AA4399" s="9"/>
    </row>
    <row r="4400" spans="1:27">
      <c r="A4400" s="8"/>
      <c r="B4400" s="8"/>
      <c r="C4400" s="9"/>
      <c r="D4400" s="9"/>
      <c r="E4400" s="9"/>
      <c r="F4400" s="9"/>
      <c r="G4400" s="9"/>
      <c r="H4400" s="9"/>
      <c r="I4400" s="9"/>
      <c r="J4400" s="9"/>
      <c r="K4400" s="9"/>
      <c r="L4400" s="9"/>
      <c r="M4400" s="9"/>
      <c r="N4400" s="9"/>
      <c r="O4400" s="9"/>
      <c r="P4400" s="9"/>
      <c r="Q4400" s="9"/>
      <c r="R4400" s="9"/>
      <c r="S4400" s="9"/>
      <c r="T4400" s="9"/>
      <c r="U4400" s="9"/>
      <c r="V4400" s="9"/>
      <c r="W4400" s="9"/>
      <c r="X4400" s="9"/>
      <c r="Y4400" s="9"/>
      <c r="Z4400" s="9"/>
      <c r="AA4400" s="9"/>
    </row>
    <row r="4401" spans="1:27">
      <c r="A4401" s="8"/>
      <c r="B4401" s="8"/>
      <c r="C4401" s="9"/>
      <c r="D4401" s="9"/>
      <c r="E4401" s="9"/>
      <c r="F4401" s="9"/>
      <c r="G4401" s="9"/>
      <c r="H4401" s="9"/>
      <c r="I4401" s="9"/>
      <c r="J4401" s="9"/>
      <c r="K4401" s="9"/>
      <c r="L4401" s="9"/>
      <c r="M4401" s="9"/>
      <c r="N4401" s="9"/>
      <c r="O4401" s="9"/>
      <c r="P4401" s="9"/>
      <c r="Q4401" s="9"/>
      <c r="R4401" s="9"/>
      <c r="S4401" s="9"/>
      <c r="T4401" s="9"/>
      <c r="U4401" s="9"/>
      <c r="V4401" s="9"/>
      <c r="W4401" s="9"/>
      <c r="X4401" s="9"/>
      <c r="Y4401" s="9"/>
      <c r="Z4401" s="9"/>
      <c r="AA4401" s="9"/>
    </row>
    <row r="4402" spans="1:27">
      <c r="A4402" s="8"/>
      <c r="B4402" s="8"/>
      <c r="C4402" s="9"/>
      <c r="D4402" s="9"/>
      <c r="E4402" s="9"/>
      <c r="F4402" s="9"/>
      <c r="G4402" s="9"/>
      <c r="H4402" s="9"/>
      <c r="I4402" s="9"/>
      <c r="J4402" s="9"/>
      <c r="K4402" s="9"/>
      <c r="L4402" s="9"/>
      <c r="M4402" s="9"/>
      <c r="N4402" s="9"/>
      <c r="O4402" s="9"/>
      <c r="P4402" s="9"/>
      <c r="Q4402" s="9"/>
      <c r="R4402" s="9"/>
      <c r="S4402" s="9"/>
      <c r="T4402" s="9"/>
      <c r="U4402" s="9"/>
      <c r="V4402" s="9"/>
      <c r="W4402" s="9"/>
      <c r="X4402" s="9"/>
      <c r="Y4402" s="9"/>
      <c r="Z4402" s="9"/>
      <c r="AA4402" s="9"/>
    </row>
    <row r="4403" spans="1:27">
      <c r="A4403" s="8"/>
      <c r="B4403" s="8"/>
      <c r="C4403" s="9"/>
      <c r="D4403" s="9"/>
      <c r="E4403" s="9"/>
      <c r="F4403" s="9"/>
      <c r="G4403" s="9"/>
      <c r="H4403" s="9"/>
      <c r="I4403" s="9"/>
      <c r="J4403" s="9"/>
      <c r="K4403" s="9"/>
      <c r="L4403" s="9"/>
      <c r="M4403" s="9"/>
      <c r="N4403" s="9"/>
      <c r="O4403" s="9"/>
      <c r="P4403" s="9"/>
      <c r="Q4403" s="9"/>
      <c r="R4403" s="9"/>
      <c r="S4403" s="9"/>
      <c r="T4403" s="9"/>
      <c r="U4403" s="9"/>
      <c r="V4403" s="9"/>
      <c r="W4403" s="9"/>
      <c r="X4403" s="9"/>
      <c r="Y4403" s="9"/>
      <c r="Z4403" s="9"/>
      <c r="AA4403" s="9"/>
    </row>
    <row r="4404" spans="1:27">
      <c r="A4404" s="8"/>
      <c r="B4404" s="8"/>
      <c r="C4404" s="9"/>
      <c r="D4404" s="9"/>
      <c r="E4404" s="9"/>
      <c r="F4404" s="9"/>
      <c r="G4404" s="9"/>
      <c r="H4404" s="9"/>
      <c r="I4404" s="9"/>
      <c r="J4404" s="9"/>
      <c r="K4404" s="9"/>
      <c r="L4404" s="9"/>
      <c r="M4404" s="9"/>
      <c r="N4404" s="9"/>
      <c r="O4404" s="9"/>
      <c r="P4404" s="9"/>
      <c r="Q4404" s="9"/>
      <c r="R4404" s="9"/>
      <c r="S4404" s="9"/>
      <c r="T4404" s="9"/>
      <c r="U4404" s="9"/>
      <c r="V4404" s="9"/>
      <c r="W4404" s="9"/>
      <c r="X4404" s="9"/>
      <c r="Y4404" s="9"/>
      <c r="Z4404" s="9"/>
      <c r="AA4404" s="9"/>
    </row>
    <row r="4405" spans="1:27">
      <c r="A4405" s="8"/>
      <c r="B4405" s="8"/>
      <c r="C4405" s="9"/>
      <c r="D4405" s="9"/>
      <c r="E4405" s="9"/>
      <c r="F4405" s="9"/>
      <c r="G4405" s="9"/>
      <c r="H4405" s="9"/>
      <c r="I4405" s="9"/>
      <c r="J4405" s="9"/>
      <c r="K4405" s="9"/>
      <c r="L4405" s="9"/>
      <c r="M4405" s="9"/>
      <c r="N4405" s="9"/>
      <c r="O4405" s="9"/>
      <c r="P4405" s="9"/>
      <c r="Q4405" s="9"/>
      <c r="R4405" s="9"/>
      <c r="S4405" s="9"/>
      <c r="T4405" s="9"/>
      <c r="U4405" s="9"/>
      <c r="V4405" s="9"/>
      <c r="W4405" s="9"/>
      <c r="X4405" s="9"/>
      <c r="Y4405" s="9"/>
      <c r="Z4405" s="9"/>
      <c r="AA4405" s="9"/>
    </row>
    <row r="4406" spans="1:27">
      <c r="A4406" s="8"/>
      <c r="B4406" s="8"/>
      <c r="C4406" s="9"/>
      <c r="D4406" s="9"/>
      <c r="E4406" s="9"/>
      <c r="F4406" s="9"/>
      <c r="G4406" s="9"/>
      <c r="H4406" s="9"/>
      <c r="I4406" s="9"/>
      <c r="J4406" s="9"/>
      <c r="K4406" s="9"/>
      <c r="L4406" s="9"/>
      <c r="M4406" s="9"/>
      <c r="N4406" s="9"/>
      <c r="O4406" s="9"/>
      <c r="P4406" s="9"/>
      <c r="Q4406" s="9"/>
      <c r="R4406" s="9"/>
      <c r="S4406" s="9"/>
      <c r="T4406" s="9"/>
      <c r="U4406" s="9"/>
      <c r="V4406" s="9"/>
      <c r="W4406" s="9"/>
      <c r="X4406" s="9"/>
      <c r="Y4406" s="9"/>
      <c r="Z4406" s="9"/>
      <c r="AA4406" s="9"/>
    </row>
    <row r="4407" spans="1:27">
      <c r="A4407" s="8"/>
      <c r="B4407" s="8"/>
      <c r="C4407" s="9"/>
      <c r="D4407" s="9"/>
      <c r="E4407" s="9"/>
      <c r="F4407" s="9"/>
      <c r="G4407" s="9"/>
      <c r="H4407" s="9"/>
      <c r="I4407" s="9"/>
      <c r="J4407" s="9"/>
      <c r="K4407" s="9"/>
      <c r="L4407" s="9"/>
      <c r="M4407" s="9"/>
      <c r="N4407" s="9"/>
      <c r="O4407" s="9"/>
      <c r="P4407" s="9"/>
      <c r="Q4407" s="9"/>
      <c r="R4407" s="9"/>
      <c r="S4407" s="9"/>
      <c r="T4407" s="9"/>
      <c r="U4407" s="9"/>
      <c r="V4407" s="9"/>
      <c r="W4407" s="9"/>
      <c r="X4407" s="9"/>
      <c r="Y4407" s="9"/>
      <c r="Z4407" s="9"/>
      <c r="AA4407" s="9"/>
    </row>
    <row r="4408" spans="1:27">
      <c r="A4408" s="8"/>
      <c r="B4408" s="8"/>
      <c r="C4408" s="9"/>
      <c r="D4408" s="9"/>
      <c r="E4408" s="9"/>
      <c r="F4408" s="9"/>
      <c r="G4408" s="9"/>
      <c r="H4408" s="9"/>
      <c r="I4408" s="9"/>
      <c r="J4408" s="9"/>
      <c r="K4408" s="9"/>
      <c r="L4408" s="9"/>
      <c r="M4408" s="9"/>
      <c r="N4408" s="9"/>
      <c r="O4408" s="9"/>
      <c r="P4408" s="9"/>
      <c r="Q4408" s="9"/>
      <c r="R4408" s="9"/>
      <c r="S4408" s="9"/>
      <c r="T4408" s="9"/>
      <c r="U4408" s="9"/>
      <c r="V4408" s="9"/>
      <c r="W4408" s="9"/>
      <c r="X4408" s="9"/>
      <c r="Y4408" s="9"/>
      <c r="Z4408" s="9"/>
      <c r="AA4408" s="9"/>
    </row>
    <row r="4409" spans="1:27">
      <c r="A4409" s="8"/>
      <c r="B4409" s="8"/>
      <c r="C4409" s="9"/>
      <c r="D4409" s="9"/>
      <c r="E4409" s="9"/>
      <c r="F4409" s="9"/>
      <c r="G4409" s="9"/>
      <c r="H4409" s="9"/>
      <c r="I4409" s="9"/>
      <c r="J4409" s="9"/>
      <c r="K4409" s="9"/>
      <c r="L4409" s="9"/>
      <c r="M4409" s="9"/>
      <c r="N4409" s="9"/>
      <c r="O4409" s="9"/>
      <c r="P4409" s="9"/>
      <c r="Q4409" s="9"/>
      <c r="R4409" s="9"/>
      <c r="S4409" s="9"/>
      <c r="T4409" s="9"/>
      <c r="U4409" s="9"/>
      <c r="V4409" s="9"/>
      <c r="W4409" s="9"/>
      <c r="X4409" s="9"/>
      <c r="Y4409" s="9"/>
      <c r="Z4409" s="9"/>
      <c r="AA4409" s="9"/>
    </row>
    <row r="4410" spans="1:27">
      <c r="A4410" s="8"/>
      <c r="B4410" s="8"/>
      <c r="C4410" s="9"/>
      <c r="D4410" s="9"/>
      <c r="E4410" s="9"/>
      <c r="F4410" s="9"/>
      <c r="G4410" s="9"/>
      <c r="H4410" s="9"/>
      <c r="I4410" s="9"/>
      <c r="J4410" s="9"/>
      <c r="K4410" s="9"/>
      <c r="L4410" s="9"/>
      <c r="M4410" s="9"/>
      <c r="N4410" s="9"/>
      <c r="O4410" s="9"/>
      <c r="P4410" s="9"/>
      <c r="Q4410" s="9"/>
      <c r="R4410" s="9"/>
      <c r="S4410" s="9"/>
      <c r="T4410" s="9"/>
      <c r="U4410" s="9"/>
      <c r="V4410" s="9"/>
      <c r="W4410" s="9"/>
      <c r="X4410" s="9"/>
      <c r="Y4410" s="9"/>
      <c r="Z4410" s="9"/>
      <c r="AA4410" s="9"/>
    </row>
    <row r="4411" spans="1:27">
      <c r="A4411" s="8"/>
      <c r="B4411" s="8"/>
      <c r="C4411" s="9"/>
      <c r="D4411" s="9"/>
      <c r="E4411" s="9"/>
      <c r="F4411" s="9"/>
      <c r="G4411" s="9"/>
      <c r="H4411" s="9"/>
      <c r="I4411" s="9"/>
      <c r="J4411" s="9"/>
      <c r="K4411" s="9"/>
      <c r="L4411" s="9"/>
      <c r="M4411" s="9"/>
      <c r="N4411" s="9"/>
      <c r="O4411" s="9"/>
      <c r="P4411" s="9"/>
      <c r="Q4411" s="9"/>
      <c r="R4411" s="9"/>
      <c r="S4411" s="9"/>
      <c r="T4411" s="9"/>
      <c r="U4411" s="9"/>
      <c r="V4411" s="9"/>
      <c r="W4411" s="9"/>
      <c r="X4411" s="9"/>
      <c r="Y4411" s="9"/>
      <c r="Z4411" s="9"/>
      <c r="AA4411" s="9"/>
    </row>
    <row r="4412" spans="1:27">
      <c r="A4412" s="8"/>
      <c r="B4412" s="8"/>
      <c r="C4412" s="9"/>
      <c r="D4412" s="9"/>
      <c r="E4412" s="9"/>
      <c r="F4412" s="9"/>
      <c r="G4412" s="9"/>
      <c r="H4412" s="9"/>
      <c r="I4412" s="9"/>
      <c r="J4412" s="9"/>
      <c r="K4412" s="9"/>
      <c r="L4412" s="9"/>
      <c r="M4412" s="9"/>
      <c r="N4412" s="9"/>
      <c r="O4412" s="9"/>
      <c r="P4412" s="9"/>
      <c r="Q4412" s="9"/>
      <c r="R4412" s="9"/>
      <c r="S4412" s="9"/>
      <c r="T4412" s="9"/>
      <c r="U4412" s="9"/>
      <c r="V4412" s="9"/>
      <c r="W4412" s="9"/>
      <c r="X4412" s="9"/>
      <c r="Y4412" s="9"/>
      <c r="Z4412" s="9"/>
      <c r="AA4412" s="9"/>
    </row>
    <row r="4413" spans="1:27">
      <c r="A4413" s="8"/>
      <c r="B4413" s="8"/>
      <c r="C4413" s="9"/>
      <c r="D4413" s="9"/>
      <c r="E4413" s="9"/>
      <c r="F4413" s="9"/>
      <c r="G4413" s="9"/>
      <c r="H4413" s="9"/>
      <c r="I4413" s="9"/>
      <c r="J4413" s="9"/>
      <c r="K4413" s="9"/>
      <c r="L4413" s="9"/>
      <c r="M4413" s="9"/>
      <c r="N4413" s="9"/>
      <c r="O4413" s="9"/>
      <c r="P4413" s="9"/>
      <c r="Q4413" s="9"/>
      <c r="R4413" s="9"/>
      <c r="S4413" s="9"/>
      <c r="T4413" s="9"/>
      <c r="U4413" s="9"/>
      <c r="V4413" s="9"/>
      <c r="W4413" s="9"/>
      <c r="X4413" s="9"/>
      <c r="Y4413" s="9"/>
      <c r="Z4413" s="9"/>
      <c r="AA4413" s="9"/>
    </row>
    <row r="4414" spans="1:27">
      <c r="A4414" s="8"/>
      <c r="B4414" s="8"/>
      <c r="C4414" s="9"/>
      <c r="D4414" s="9"/>
      <c r="E4414" s="9"/>
      <c r="F4414" s="9"/>
      <c r="G4414" s="9"/>
      <c r="H4414" s="9"/>
      <c r="I4414" s="9"/>
      <c r="J4414" s="9"/>
      <c r="K4414" s="9"/>
      <c r="L4414" s="9"/>
      <c r="M4414" s="9"/>
      <c r="N4414" s="9"/>
      <c r="O4414" s="9"/>
      <c r="P4414" s="9"/>
      <c r="Q4414" s="9"/>
      <c r="R4414" s="9"/>
      <c r="S4414" s="9"/>
      <c r="T4414" s="9"/>
      <c r="U4414" s="9"/>
      <c r="V4414" s="9"/>
      <c r="W4414" s="9"/>
      <c r="X4414" s="9"/>
      <c r="Y4414" s="9"/>
      <c r="Z4414" s="9"/>
      <c r="AA4414" s="9"/>
    </row>
    <row r="4415" spans="1:27">
      <c r="A4415" s="8"/>
      <c r="B4415" s="8"/>
      <c r="C4415" s="9"/>
      <c r="D4415" s="9"/>
      <c r="E4415" s="9"/>
      <c r="F4415" s="9"/>
      <c r="G4415" s="9"/>
      <c r="H4415" s="9"/>
      <c r="I4415" s="9"/>
      <c r="J4415" s="9"/>
      <c r="K4415" s="9"/>
      <c r="L4415" s="9"/>
      <c r="M4415" s="9"/>
      <c r="N4415" s="9"/>
      <c r="O4415" s="9"/>
      <c r="P4415" s="9"/>
      <c r="Q4415" s="9"/>
      <c r="R4415" s="9"/>
      <c r="S4415" s="9"/>
      <c r="T4415" s="9"/>
      <c r="U4415" s="9"/>
      <c r="V4415" s="9"/>
      <c r="W4415" s="9"/>
      <c r="X4415" s="9"/>
      <c r="Y4415" s="9"/>
      <c r="Z4415" s="9"/>
      <c r="AA4415" s="9"/>
    </row>
    <row r="4416" spans="1:27">
      <c r="A4416" s="8"/>
      <c r="B4416" s="8"/>
      <c r="C4416" s="9"/>
      <c r="D4416" s="9"/>
      <c r="E4416" s="9"/>
      <c r="F4416" s="9"/>
      <c r="G4416" s="9"/>
      <c r="H4416" s="9"/>
      <c r="I4416" s="9"/>
      <c r="J4416" s="9"/>
      <c r="K4416" s="9"/>
      <c r="L4416" s="9"/>
      <c r="M4416" s="9"/>
      <c r="N4416" s="9"/>
      <c r="O4416" s="9"/>
      <c r="P4416" s="9"/>
      <c r="Q4416" s="9"/>
      <c r="R4416" s="9"/>
      <c r="S4416" s="9"/>
      <c r="T4416" s="9"/>
      <c r="U4416" s="9"/>
      <c r="V4416" s="9"/>
      <c r="W4416" s="9"/>
      <c r="X4416" s="9"/>
      <c r="Y4416" s="9"/>
      <c r="Z4416" s="9"/>
      <c r="AA4416" s="9"/>
    </row>
    <row r="4417" spans="1:27">
      <c r="A4417" s="8"/>
      <c r="B4417" s="8"/>
      <c r="C4417" s="9"/>
      <c r="D4417" s="9"/>
      <c r="E4417" s="9"/>
      <c r="F4417" s="9"/>
      <c r="G4417" s="9"/>
      <c r="H4417" s="9"/>
      <c r="I4417" s="9"/>
      <c r="J4417" s="9"/>
      <c r="K4417" s="9"/>
      <c r="L4417" s="9"/>
      <c r="M4417" s="9"/>
      <c r="N4417" s="9"/>
      <c r="O4417" s="9"/>
      <c r="P4417" s="9"/>
      <c r="Q4417" s="9"/>
      <c r="R4417" s="9"/>
      <c r="S4417" s="9"/>
      <c r="T4417" s="9"/>
      <c r="U4417" s="9"/>
      <c r="V4417" s="9"/>
      <c r="W4417" s="9"/>
      <c r="X4417" s="9"/>
      <c r="Y4417" s="9"/>
      <c r="Z4417" s="9"/>
      <c r="AA4417" s="9"/>
    </row>
    <row r="4418" spans="1:27">
      <c r="A4418" s="8"/>
      <c r="B4418" s="8"/>
      <c r="C4418" s="9"/>
      <c r="D4418" s="9"/>
      <c r="E4418" s="9"/>
      <c r="F4418" s="9"/>
      <c r="G4418" s="9"/>
      <c r="H4418" s="9"/>
      <c r="I4418" s="9"/>
      <c r="J4418" s="9"/>
      <c r="K4418" s="9"/>
      <c r="L4418" s="9"/>
      <c r="M4418" s="9"/>
      <c r="N4418" s="9"/>
      <c r="O4418" s="9"/>
      <c r="P4418" s="9"/>
      <c r="Q4418" s="9"/>
      <c r="R4418" s="9"/>
      <c r="S4418" s="9"/>
      <c r="T4418" s="9"/>
      <c r="U4418" s="9"/>
      <c r="V4418" s="9"/>
      <c r="W4418" s="9"/>
      <c r="X4418" s="9"/>
      <c r="Y4418" s="9"/>
      <c r="Z4418" s="9"/>
      <c r="AA4418" s="9"/>
    </row>
    <row r="4419" spans="1:27">
      <c r="A4419" s="8"/>
      <c r="B4419" s="8"/>
      <c r="C4419" s="9"/>
      <c r="D4419" s="9"/>
      <c r="E4419" s="9"/>
      <c r="F4419" s="9"/>
      <c r="G4419" s="9"/>
      <c r="H4419" s="9"/>
      <c r="I4419" s="9"/>
      <c r="J4419" s="9"/>
      <c r="K4419" s="9"/>
      <c r="L4419" s="9"/>
      <c r="M4419" s="9"/>
      <c r="N4419" s="9"/>
      <c r="O4419" s="9"/>
      <c r="P4419" s="9"/>
      <c r="Q4419" s="9"/>
      <c r="R4419" s="9"/>
      <c r="S4419" s="9"/>
      <c r="T4419" s="9"/>
      <c r="U4419" s="9"/>
      <c r="V4419" s="9"/>
      <c r="W4419" s="9"/>
      <c r="X4419" s="9"/>
      <c r="Y4419" s="9"/>
      <c r="Z4419" s="9"/>
      <c r="AA4419" s="9"/>
    </row>
    <row r="4420" spans="1:27">
      <c r="A4420" s="8"/>
      <c r="B4420" s="8"/>
      <c r="C4420" s="9"/>
      <c r="D4420" s="9"/>
      <c r="E4420" s="9"/>
      <c r="F4420" s="9"/>
      <c r="G4420" s="9"/>
      <c r="H4420" s="9"/>
      <c r="I4420" s="9"/>
      <c r="J4420" s="9"/>
      <c r="K4420" s="9"/>
      <c r="L4420" s="9"/>
      <c r="M4420" s="9"/>
      <c r="N4420" s="9"/>
      <c r="O4420" s="9"/>
      <c r="P4420" s="9"/>
      <c r="Q4420" s="9"/>
      <c r="R4420" s="9"/>
      <c r="S4420" s="9"/>
      <c r="T4420" s="9"/>
      <c r="U4420" s="9"/>
      <c r="V4420" s="9"/>
      <c r="W4420" s="9"/>
      <c r="X4420" s="9"/>
      <c r="Y4420" s="9"/>
      <c r="Z4420" s="9"/>
      <c r="AA4420" s="9"/>
    </row>
    <row r="4421" spans="1:27">
      <c r="A4421" s="8"/>
      <c r="B4421" s="8"/>
      <c r="C4421" s="9"/>
      <c r="D4421" s="9"/>
      <c r="E4421" s="9"/>
      <c r="F4421" s="9"/>
      <c r="G4421" s="9"/>
      <c r="H4421" s="9"/>
      <c r="I4421" s="9"/>
      <c r="J4421" s="9"/>
      <c r="K4421" s="9"/>
      <c r="L4421" s="9"/>
      <c r="M4421" s="9"/>
      <c r="N4421" s="9"/>
      <c r="O4421" s="9"/>
      <c r="P4421" s="9"/>
      <c r="Q4421" s="9"/>
      <c r="R4421" s="9"/>
      <c r="S4421" s="9"/>
      <c r="T4421" s="9"/>
      <c r="U4421" s="9"/>
      <c r="V4421" s="9"/>
      <c r="W4421" s="9"/>
      <c r="X4421" s="9"/>
      <c r="Y4421" s="9"/>
      <c r="Z4421" s="9"/>
      <c r="AA4421" s="9"/>
    </row>
    <row r="4422" spans="1:27">
      <c r="A4422" s="8"/>
      <c r="B4422" s="8"/>
      <c r="C4422" s="9"/>
      <c r="D4422" s="9"/>
      <c r="E4422" s="9"/>
      <c r="F4422" s="9"/>
      <c r="G4422" s="9"/>
      <c r="H4422" s="9"/>
      <c r="I4422" s="9"/>
      <c r="J4422" s="9"/>
      <c r="K4422" s="9"/>
      <c r="L4422" s="9"/>
      <c r="M4422" s="9"/>
      <c r="N4422" s="9"/>
      <c r="O4422" s="9"/>
      <c r="P4422" s="9"/>
      <c r="Q4422" s="9"/>
      <c r="R4422" s="9"/>
      <c r="S4422" s="9"/>
      <c r="T4422" s="9"/>
      <c r="U4422" s="9"/>
      <c r="V4422" s="9"/>
      <c r="W4422" s="9"/>
      <c r="X4422" s="9"/>
      <c r="Y4422" s="9"/>
      <c r="Z4422" s="9"/>
      <c r="AA4422" s="9"/>
    </row>
    <row r="4423" spans="1:27">
      <c r="A4423" s="8"/>
      <c r="B4423" s="8"/>
      <c r="C4423" s="9"/>
      <c r="D4423" s="9"/>
      <c r="E4423" s="9"/>
      <c r="F4423" s="9"/>
      <c r="G4423" s="9"/>
      <c r="H4423" s="9"/>
      <c r="I4423" s="9"/>
      <c r="J4423" s="9"/>
      <c r="K4423" s="9"/>
      <c r="L4423" s="9"/>
      <c r="M4423" s="9"/>
      <c r="N4423" s="9"/>
      <c r="O4423" s="9"/>
      <c r="P4423" s="9"/>
      <c r="Q4423" s="9"/>
      <c r="R4423" s="9"/>
      <c r="S4423" s="9"/>
      <c r="T4423" s="9"/>
      <c r="U4423" s="9"/>
      <c r="V4423" s="9"/>
      <c r="W4423" s="9"/>
      <c r="X4423" s="9"/>
      <c r="Y4423" s="9"/>
      <c r="Z4423" s="9"/>
      <c r="AA4423" s="9"/>
    </row>
    <row r="4424" spans="1:27">
      <c r="A4424" s="8"/>
      <c r="B4424" s="8"/>
      <c r="C4424" s="9"/>
      <c r="D4424" s="9"/>
      <c r="E4424" s="9"/>
      <c r="F4424" s="9"/>
      <c r="G4424" s="9"/>
      <c r="H4424" s="9"/>
      <c r="I4424" s="9"/>
      <c r="J4424" s="9"/>
      <c r="K4424" s="9"/>
      <c r="L4424" s="9"/>
      <c r="M4424" s="9"/>
      <c r="N4424" s="9"/>
      <c r="O4424" s="9"/>
      <c r="P4424" s="9"/>
      <c r="Q4424" s="9"/>
      <c r="R4424" s="9"/>
      <c r="S4424" s="9"/>
      <c r="T4424" s="9"/>
      <c r="U4424" s="9"/>
      <c r="V4424" s="9"/>
      <c r="W4424" s="9"/>
      <c r="X4424" s="9"/>
      <c r="Y4424" s="9"/>
      <c r="Z4424" s="9"/>
      <c r="AA4424" s="9"/>
    </row>
    <row r="4425" spans="1:27">
      <c r="A4425" s="8"/>
      <c r="B4425" s="8"/>
      <c r="C4425" s="9"/>
      <c r="D4425" s="9"/>
      <c r="E4425" s="9"/>
      <c r="F4425" s="9"/>
      <c r="G4425" s="9"/>
      <c r="H4425" s="9"/>
      <c r="I4425" s="9"/>
      <c r="J4425" s="9"/>
      <c r="K4425" s="9"/>
      <c r="L4425" s="9"/>
      <c r="M4425" s="9"/>
      <c r="N4425" s="9"/>
      <c r="O4425" s="9"/>
      <c r="P4425" s="9"/>
      <c r="Q4425" s="9"/>
      <c r="R4425" s="9"/>
      <c r="S4425" s="9"/>
      <c r="T4425" s="9"/>
      <c r="U4425" s="9"/>
      <c r="V4425" s="9"/>
      <c r="W4425" s="9"/>
      <c r="X4425" s="9"/>
      <c r="Y4425" s="9"/>
      <c r="Z4425" s="9"/>
      <c r="AA4425" s="9"/>
    </row>
    <row r="4426" spans="1:27">
      <c r="A4426" s="8"/>
      <c r="B4426" s="8"/>
      <c r="C4426" s="9"/>
      <c r="D4426" s="9"/>
      <c r="E4426" s="9"/>
      <c r="F4426" s="9"/>
      <c r="G4426" s="9"/>
      <c r="H4426" s="9"/>
      <c r="I4426" s="9"/>
      <c r="J4426" s="9"/>
      <c r="K4426" s="9"/>
      <c r="L4426" s="9"/>
      <c r="M4426" s="9"/>
      <c r="N4426" s="9"/>
      <c r="O4426" s="9"/>
      <c r="P4426" s="9"/>
      <c r="Q4426" s="9"/>
      <c r="R4426" s="9"/>
      <c r="S4426" s="9"/>
      <c r="T4426" s="9"/>
      <c r="U4426" s="9"/>
      <c r="V4426" s="9"/>
      <c r="W4426" s="9"/>
      <c r="X4426" s="9"/>
      <c r="Y4426" s="9"/>
      <c r="Z4426" s="9"/>
      <c r="AA4426" s="9"/>
    </row>
    <row r="4427" spans="1:27">
      <c r="A4427" s="8"/>
      <c r="B4427" s="8"/>
      <c r="C4427" s="9"/>
      <c r="D4427" s="9"/>
      <c r="E4427" s="9"/>
      <c r="F4427" s="9"/>
      <c r="G4427" s="9"/>
      <c r="H4427" s="9"/>
      <c r="I4427" s="9"/>
      <c r="J4427" s="9"/>
      <c r="K4427" s="9"/>
      <c r="L4427" s="9"/>
      <c r="M4427" s="9"/>
      <c r="N4427" s="9"/>
      <c r="O4427" s="9"/>
      <c r="P4427" s="9"/>
      <c r="Q4427" s="9"/>
      <c r="R4427" s="9"/>
      <c r="S4427" s="9"/>
      <c r="T4427" s="9"/>
      <c r="U4427" s="9"/>
      <c r="V4427" s="9"/>
      <c r="W4427" s="9"/>
      <c r="X4427" s="9"/>
      <c r="Y4427" s="9"/>
      <c r="Z4427" s="9"/>
      <c r="AA4427" s="9"/>
    </row>
    <row r="4428" spans="1:27">
      <c r="A4428" s="8"/>
      <c r="B4428" s="8"/>
      <c r="C4428" s="9"/>
      <c r="D4428" s="9"/>
      <c r="E4428" s="9"/>
      <c r="F4428" s="9"/>
      <c r="G4428" s="9"/>
      <c r="H4428" s="9"/>
      <c r="I4428" s="9"/>
      <c r="J4428" s="9"/>
      <c r="K4428" s="9"/>
      <c r="L4428" s="9"/>
      <c r="M4428" s="9"/>
      <c r="N4428" s="9"/>
      <c r="O4428" s="9"/>
      <c r="P4428" s="9"/>
      <c r="Q4428" s="9"/>
      <c r="R4428" s="9"/>
      <c r="S4428" s="9"/>
      <c r="T4428" s="9"/>
      <c r="U4428" s="9"/>
      <c r="V4428" s="9"/>
      <c r="W4428" s="9"/>
      <c r="X4428" s="9"/>
      <c r="Y4428" s="9"/>
      <c r="Z4428" s="9"/>
      <c r="AA4428" s="9"/>
    </row>
    <row r="4429" spans="1:27">
      <c r="A4429" s="8"/>
      <c r="B4429" s="8"/>
      <c r="C4429" s="9"/>
      <c r="D4429" s="9"/>
      <c r="E4429" s="9"/>
      <c r="F4429" s="9"/>
      <c r="G4429" s="9"/>
      <c r="H4429" s="9"/>
      <c r="I4429" s="9"/>
      <c r="J4429" s="9"/>
      <c r="K4429" s="9"/>
      <c r="L4429" s="9"/>
      <c r="M4429" s="9"/>
      <c r="N4429" s="9"/>
      <c r="O4429" s="9"/>
      <c r="P4429" s="9"/>
      <c r="Q4429" s="9"/>
      <c r="R4429" s="9"/>
      <c r="S4429" s="9"/>
      <c r="T4429" s="9"/>
      <c r="U4429" s="9"/>
      <c r="V4429" s="9"/>
      <c r="W4429" s="9"/>
      <c r="X4429" s="9"/>
      <c r="Y4429" s="9"/>
      <c r="Z4429" s="9"/>
      <c r="AA4429" s="9"/>
    </row>
    <row r="4430" spans="1:27">
      <c r="A4430" s="8"/>
      <c r="B4430" s="8"/>
      <c r="C4430" s="9"/>
      <c r="D4430" s="9"/>
      <c r="E4430" s="9"/>
      <c r="F4430" s="9"/>
      <c r="G4430" s="9"/>
      <c r="H4430" s="9"/>
      <c r="I4430" s="9"/>
      <c r="J4430" s="9"/>
      <c r="K4430" s="9"/>
      <c r="L4430" s="9"/>
      <c r="M4430" s="9"/>
      <c r="N4430" s="9"/>
      <c r="O4430" s="9"/>
      <c r="P4430" s="9"/>
      <c r="Q4430" s="9"/>
      <c r="R4430" s="9"/>
      <c r="S4430" s="9"/>
      <c r="T4430" s="9"/>
      <c r="U4430" s="9"/>
      <c r="V4430" s="9"/>
      <c r="W4430" s="9"/>
      <c r="X4430" s="9"/>
      <c r="Y4430" s="9"/>
      <c r="Z4430" s="9"/>
      <c r="AA4430" s="9"/>
    </row>
    <row r="4431" spans="1:27">
      <c r="A4431" s="8"/>
      <c r="B4431" s="8"/>
      <c r="C4431" s="9"/>
      <c r="D4431" s="9"/>
      <c r="E4431" s="9"/>
      <c r="F4431" s="9"/>
      <c r="G4431" s="9"/>
      <c r="H4431" s="9"/>
      <c r="I4431" s="9"/>
      <c r="J4431" s="9"/>
      <c r="K4431" s="9"/>
      <c r="L4431" s="9"/>
      <c r="M4431" s="9"/>
      <c r="N4431" s="9"/>
      <c r="O4431" s="9"/>
      <c r="P4431" s="9"/>
      <c r="Q4431" s="9"/>
      <c r="R4431" s="9"/>
      <c r="S4431" s="9"/>
      <c r="T4431" s="9"/>
      <c r="U4431" s="9"/>
      <c r="V4431" s="9"/>
      <c r="W4431" s="9"/>
      <c r="X4431" s="9"/>
      <c r="Y4431" s="9"/>
      <c r="Z4431" s="9"/>
      <c r="AA4431" s="9"/>
    </row>
    <row r="4432" spans="1:27">
      <c r="A4432" s="8"/>
      <c r="B4432" s="8"/>
      <c r="C4432" s="9"/>
      <c r="D4432" s="9"/>
      <c r="E4432" s="9"/>
      <c r="F4432" s="9"/>
      <c r="G4432" s="9"/>
      <c r="H4432" s="9"/>
      <c r="I4432" s="9"/>
      <c r="J4432" s="9"/>
      <c r="K4432" s="9"/>
      <c r="L4432" s="9"/>
      <c r="M4432" s="9"/>
      <c r="N4432" s="9"/>
      <c r="O4432" s="9"/>
      <c r="P4432" s="9"/>
      <c r="Q4432" s="9"/>
      <c r="R4432" s="9"/>
      <c r="S4432" s="9"/>
      <c r="T4432" s="9"/>
      <c r="U4432" s="9"/>
      <c r="V4432" s="9"/>
      <c r="W4432" s="9"/>
      <c r="X4432" s="9"/>
      <c r="Y4432" s="9"/>
      <c r="Z4432" s="9"/>
      <c r="AA4432" s="9"/>
    </row>
    <row r="4433" spans="1:27">
      <c r="A4433" s="8"/>
      <c r="B4433" s="8"/>
      <c r="C4433" s="9"/>
      <c r="D4433" s="9"/>
      <c r="E4433" s="9"/>
      <c r="F4433" s="9"/>
      <c r="G4433" s="9"/>
      <c r="H4433" s="9"/>
      <c r="I4433" s="9"/>
      <c r="J4433" s="9"/>
      <c r="K4433" s="9"/>
      <c r="L4433" s="9"/>
      <c r="M4433" s="9"/>
      <c r="N4433" s="9"/>
      <c r="O4433" s="9"/>
      <c r="P4433" s="9"/>
      <c r="Q4433" s="9"/>
      <c r="R4433" s="9"/>
      <c r="S4433" s="9"/>
      <c r="T4433" s="9"/>
      <c r="U4433" s="9"/>
      <c r="V4433" s="9"/>
      <c r="W4433" s="9"/>
      <c r="X4433" s="9"/>
      <c r="Y4433" s="9"/>
      <c r="Z4433" s="9"/>
      <c r="AA4433" s="9"/>
    </row>
    <row r="4434" spans="1:27">
      <c r="A4434" s="8"/>
      <c r="B4434" s="8"/>
      <c r="C4434" s="9"/>
      <c r="D4434" s="9"/>
      <c r="E4434" s="9"/>
      <c r="F4434" s="9"/>
      <c r="G4434" s="9"/>
      <c r="H4434" s="9"/>
      <c r="I4434" s="9"/>
      <c r="J4434" s="9"/>
      <c r="K4434" s="9"/>
      <c r="L4434" s="9"/>
      <c r="M4434" s="9"/>
      <c r="N4434" s="9"/>
      <c r="O4434" s="9"/>
      <c r="P4434" s="9"/>
      <c r="Q4434" s="9"/>
      <c r="R4434" s="9"/>
      <c r="S4434" s="9"/>
      <c r="T4434" s="9"/>
      <c r="U4434" s="9"/>
      <c r="V4434" s="9"/>
      <c r="W4434" s="9"/>
      <c r="X4434" s="9"/>
      <c r="Y4434" s="9"/>
      <c r="Z4434" s="9"/>
      <c r="AA4434" s="9"/>
    </row>
    <row r="4435" spans="1:27">
      <c r="A4435" s="8"/>
      <c r="B4435" s="8"/>
      <c r="C4435" s="9"/>
      <c r="D4435" s="9"/>
      <c r="E4435" s="9"/>
      <c r="F4435" s="9"/>
      <c r="G4435" s="9"/>
      <c r="H4435" s="9"/>
      <c r="I4435" s="9"/>
      <c r="J4435" s="9"/>
      <c r="K4435" s="9"/>
      <c r="L4435" s="9"/>
      <c r="M4435" s="9"/>
      <c r="N4435" s="9"/>
      <c r="O4435" s="9"/>
      <c r="P4435" s="9"/>
      <c r="Q4435" s="9"/>
      <c r="R4435" s="9"/>
      <c r="S4435" s="9"/>
      <c r="T4435" s="9"/>
      <c r="U4435" s="9"/>
      <c r="V4435" s="9"/>
      <c r="W4435" s="9"/>
      <c r="X4435" s="9"/>
      <c r="Y4435" s="9"/>
      <c r="Z4435" s="9"/>
      <c r="AA4435" s="9"/>
    </row>
    <row r="4436" spans="1:27">
      <c r="A4436" s="8"/>
      <c r="B4436" s="8"/>
      <c r="C4436" s="9"/>
      <c r="D4436" s="9"/>
      <c r="E4436" s="9"/>
      <c r="F4436" s="9"/>
      <c r="G4436" s="9"/>
      <c r="H4436" s="9"/>
      <c r="I4436" s="9"/>
      <c r="J4436" s="9"/>
      <c r="K4436" s="9"/>
      <c r="L4436" s="9"/>
      <c r="M4436" s="9"/>
      <c r="N4436" s="9"/>
      <c r="O4436" s="9"/>
      <c r="P4436" s="9"/>
      <c r="Q4436" s="9"/>
      <c r="R4436" s="9"/>
      <c r="S4436" s="9"/>
      <c r="T4436" s="9"/>
      <c r="U4436" s="9"/>
      <c r="V4436" s="9"/>
      <c r="W4436" s="9"/>
      <c r="X4436" s="9"/>
      <c r="Y4436" s="9"/>
      <c r="Z4436" s="9"/>
      <c r="AA4436" s="9"/>
    </row>
    <row r="4437" spans="1:27">
      <c r="A4437" s="8"/>
      <c r="B4437" s="8"/>
      <c r="C4437" s="9"/>
      <c r="D4437" s="9"/>
      <c r="E4437" s="9"/>
      <c r="F4437" s="9"/>
      <c r="G4437" s="9"/>
      <c r="H4437" s="9"/>
      <c r="I4437" s="9"/>
      <c r="J4437" s="9"/>
      <c r="K4437" s="9"/>
      <c r="L4437" s="9"/>
      <c r="M4437" s="9"/>
      <c r="N4437" s="9"/>
      <c r="O4437" s="9"/>
      <c r="P4437" s="9"/>
      <c r="Q4437" s="9"/>
      <c r="R4437" s="9"/>
      <c r="S4437" s="9"/>
      <c r="T4437" s="9"/>
      <c r="U4437" s="9"/>
      <c r="V4437" s="9"/>
      <c r="W4437" s="9"/>
      <c r="X4437" s="9"/>
      <c r="Y4437" s="9"/>
      <c r="Z4437" s="9"/>
      <c r="AA4437" s="9"/>
    </row>
    <row r="4438" spans="1:27">
      <c r="A4438" s="8"/>
      <c r="B4438" s="8"/>
      <c r="C4438" s="9"/>
      <c r="D4438" s="9"/>
      <c r="E4438" s="9"/>
      <c r="F4438" s="9"/>
      <c r="G4438" s="9"/>
      <c r="H4438" s="9"/>
      <c r="I4438" s="9"/>
      <c r="J4438" s="9"/>
      <c r="K4438" s="9"/>
      <c r="L4438" s="9"/>
      <c r="M4438" s="9"/>
      <c r="N4438" s="9"/>
      <c r="O4438" s="9"/>
      <c r="P4438" s="9"/>
      <c r="Q4438" s="9"/>
      <c r="R4438" s="9"/>
      <c r="S4438" s="9"/>
      <c r="T4438" s="9"/>
      <c r="U4438" s="9"/>
      <c r="V4438" s="9"/>
      <c r="W4438" s="9"/>
      <c r="X4438" s="9"/>
      <c r="Y4438" s="9"/>
      <c r="Z4438" s="9"/>
      <c r="AA4438" s="9"/>
    </row>
    <row r="4439" spans="1:27">
      <c r="A4439" s="8"/>
      <c r="B4439" s="8"/>
      <c r="C4439" s="9"/>
      <c r="D4439" s="9"/>
      <c r="E4439" s="9"/>
      <c r="F4439" s="9"/>
      <c r="G4439" s="9"/>
      <c r="H4439" s="9"/>
      <c r="I4439" s="9"/>
      <c r="J4439" s="9"/>
      <c r="K4439" s="9"/>
      <c r="L4439" s="9"/>
      <c r="M4439" s="9"/>
      <c r="N4439" s="9"/>
      <c r="O4439" s="9"/>
      <c r="P4439" s="9"/>
      <c r="Q4439" s="9"/>
      <c r="R4439" s="9"/>
      <c r="S4439" s="9"/>
      <c r="T4439" s="9"/>
      <c r="U4439" s="9"/>
      <c r="V4439" s="9"/>
      <c r="W4439" s="9"/>
      <c r="X4439" s="9"/>
      <c r="Y4439" s="9"/>
      <c r="Z4439" s="9"/>
      <c r="AA4439" s="9"/>
    </row>
    <row r="4440" spans="1:27">
      <c r="A4440" s="8"/>
      <c r="B4440" s="8"/>
      <c r="C4440" s="9"/>
      <c r="D4440" s="9"/>
      <c r="E4440" s="9"/>
      <c r="F4440" s="9"/>
      <c r="G4440" s="9"/>
      <c r="H4440" s="9"/>
      <c r="I4440" s="9"/>
      <c r="J4440" s="9"/>
      <c r="K4440" s="9"/>
      <c r="L4440" s="9"/>
      <c r="M4440" s="9"/>
      <c r="N4440" s="9"/>
      <c r="O4440" s="9"/>
      <c r="P4440" s="9"/>
      <c r="Q4440" s="9"/>
      <c r="R4440" s="9"/>
      <c r="S4440" s="9"/>
      <c r="T4440" s="9"/>
      <c r="U4440" s="9"/>
      <c r="V4440" s="9"/>
      <c r="W4440" s="9"/>
      <c r="X4440" s="9"/>
      <c r="Y4440" s="9"/>
      <c r="Z4440" s="9"/>
      <c r="AA4440" s="9"/>
    </row>
    <row r="4441" spans="1:27">
      <c r="A4441" s="8"/>
      <c r="B4441" s="8"/>
      <c r="C4441" s="9"/>
      <c r="D4441" s="9"/>
      <c r="E4441" s="9"/>
      <c r="F4441" s="9"/>
      <c r="G4441" s="9"/>
      <c r="H4441" s="9"/>
      <c r="I4441" s="9"/>
      <c r="J4441" s="9"/>
      <c r="K4441" s="9"/>
      <c r="L4441" s="9"/>
      <c r="M4441" s="9"/>
      <c r="N4441" s="9"/>
      <c r="O4441" s="9"/>
      <c r="P4441" s="9"/>
      <c r="Q4441" s="9"/>
      <c r="R4441" s="9"/>
      <c r="S4441" s="9"/>
      <c r="T4441" s="9"/>
      <c r="U4441" s="9"/>
      <c r="V4441" s="9"/>
      <c r="W4441" s="9"/>
      <c r="X4441" s="9"/>
      <c r="Y4441" s="9"/>
      <c r="Z4441" s="9"/>
      <c r="AA4441" s="9"/>
    </row>
    <row r="4442" spans="1:27">
      <c r="A4442" s="8"/>
      <c r="B4442" s="8"/>
      <c r="C4442" s="9"/>
      <c r="D4442" s="9"/>
      <c r="E4442" s="9"/>
      <c r="F4442" s="9"/>
      <c r="G4442" s="9"/>
      <c r="H4442" s="9"/>
      <c r="I4442" s="9"/>
      <c r="J4442" s="9"/>
      <c r="K4442" s="9"/>
      <c r="L4442" s="9"/>
      <c r="M4442" s="9"/>
      <c r="N4442" s="9"/>
      <c r="O4442" s="9"/>
      <c r="P4442" s="9"/>
      <c r="Q4442" s="9"/>
      <c r="R4442" s="9"/>
      <c r="S4442" s="9"/>
      <c r="T4442" s="9"/>
      <c r="U4442" s="9"/>
      <c r="V4442" s="9"/>
      <c r="W4442" s="9"/>
      <c r="X4442" s="9"/>
      <c r="Y4442" s="9"/>
      <c r="Z4442" s="9"/>
      <c r="AA4442" s="9"/>
    </row>
    <row r="4443" spans="1:27">
      <c r="A4443" s="8"/>
      <c r="B4443" s="8"/>
      <c r="C4443" s="9"/>
      <c r="D4443" s="9"/>
      <c r="E4443" s="9"/>
      <c r="F4443" s="9"/>
      <c r="G4443" s="9"/>
      <c r="H4443" s="9"/>
      <c r="I4443" s="9"/>
      <c r="J4443" s="9"/>
      <c r="K4443" s="9"/>
      <c r="L4443" s="9"/>
      <c r="M4443" s="9"/>
      <c r="N4443" s="9"/>
      <c r="O4443" s="9"/>
      <c r="P4443" s="9"/>
      <c r="Q4443" s="9"/>
      <c r="R4443" s="9"/>
      <c r="S4443" s="9"/>
      <c r="T4443" s="9"/>
      <c r="U4443" s="9"/>
      <c r="V4443" s="9"/>
      <c r="W4443" s="9"/>
      <c r="X4443" s="9"/>
      <c r="Y4443" s="9"/>
      <c r="Z4443" s="9"/>
      <c r="AA4443" s="9"/>
    </row>
    <row r="4444" spans="1:27">
      <c r="A4444" s="8"/>
      <c r="B4444" s="8"/>
      <c r="C4444" s="9"/>
      <c r="D4444" s="9"/>
      <c r="E4444" s="9"/>
      <c r="F4444" s="9"/>
      <c r="G4444" s="9"/>
      <c r="H4444" s="9"/>
      <c r="I4444" s="9"/>
      <c r="J4444" s="9"/>
      <c r="K4444" s="9"/>
      <c r="L4444" s="9"/>
      <c r="M4444" s="9"/>
      <c r="N4444" s="9"/>
      <c r="O4444" s="9"/>
      <c r="P4444" s="9"/>
      <c r="Q4444" s="9"/>
      <c r="R4444" s="9"/>
      <c r="S4444" s="9"/>
      <c r="T4444" s="9"/>
      <c r="U4444" s="9"/>
      <c r="V4444" s="9"/>
      <c r="W4444" s="9"/>
      <c r="X4444" s="9"/>
      <c r="Y4444" s="9"/>
      <c r="Z4444" s="9"/>
      <c r="AA4444" s="9"/>
    </row>
    <row r="4445" spans="1:27">
      <c r="A4445" s="8"/>
      <c r="B4445" s="8"/>
      <c r="C4445" s="9"/>
      <c r="D4445" s="9"/>
      <c r="E4445" s="9"/>
      <c r="F4445" s="9"/>
      <c r="G4445" s="9"/>
      <c r="H4445" s="9"/>
      <c r="I4445" s="9"/>
      <c r="J4445" s="9"/>
      <c r="K4445" s="9"/>
      <c r="L4445" s="9"/>
      <c r="M4445" s="9"/>
      <c r="N4445" s="9"/>
      <c r="O4445" s="9"/>
      <c r="P4445" s="9"/>
      <c r="Q4445" s="9"/>
      <c r="R4445" s="9"/>
      <c r="S4445" s="9"/>
      <c r="T4445" s="9"/>
      <c r="U4445" s="9"/>
      <c r="V4445" s="9"/>
      <c r="W4445" s="9"/>
      <c r="X4445" s="9"/>
      <c r="Y4445" s="9"/>
      <c r="Z4445" s="9"/>
      <c r="AA4445" s="9"/>
    </row>
    <row r="4446" spans="1:27">
      <c r="A4446" s="8"/>
      <c r="B4446" s="8"/>
      <c r="C4446" s="9"/>
      <c r="D4446" s="9"/>
      <c r="E4446" s="9"/>
      <c r="F4446" s="9"/>
      <c r="G4446" s="9"/>
      <c r="H4446" s="9"/>
      <c r="I4446" s="9"/>
      <c r="J4446" s="9"/>
      <c r="K4446" s="9"/>
      <c r="L4446" s="9"/>
      <c r="M4446" s="9"/>
      <c r="N4446" s="9"/>
      <c r="O4446" s="9"/>
      <c r="P4446" s="9"/>
      <c r="Q4446" s="9"/>
      <c r="R4446" s="9"/>
      <c r="S4446" s="9"/>
      <c r="T4446" s="9"/>
      <c r="U4446" s="9"/>
      <c r="V4446" s="9"/>
      <c r="W4446" s="9"/>
      <c r="X4446" s="9"/>
      <c r="Y4446" s="9"/>
      <c r="Z4446" s="9"/>
      <c r="AA4446" s="9"/>
    </row>
    <row r="4447" spans="1:27">
      <c r="A4447" s="8"/>
      <c r="B4447" s="8"/>
      <c r="C4447" s="9"/>
      <c r="D4447" s="9"/>
      <c r="E4447" s="9"/>
      <c r="F4447" s="9"/>
      <c r="G4447" s="9"/>
      <c r="H4447" s="9"/>
      <c r="I4447" s="9"/>
      <c r="J4447" s="9"/>
      <c r="K4447" s="9"/>
      <c r="L4447" s="9"/>
      <c r="M4447" s="9"/>
      <c r="N4447" s="9"/>
      <c r="O4447" s="9"/>
      <c r="P4447" s="9"/>
      <c r="Q4447" s="9"/>
      <c r="R4447" s="9"/>
      <c r="S4447" s="9"/>
      <c r="T4447" s="9"/>
      <c r="U4447" s="9"/>
      <c r="V4447" s="9"/>
      <c r="W4447" s="9"/>
      <c r="X4447" s="9"/>
      <c r="Y4447" s="9"/>
      <c r="Z4447" s="9"/>
      <c r="AA4447" s="9"/>
    </row>
    <row r="4448" spans="1:27">
      <c r="A4448" s="8"/>
      <c r="B4448" s="8"/>
      <c r="C4448" s="9"/>
      <c r="D4448" s="9"/>
      <c r="E4448" s="9"/>
      <c r="F4448" s="9"/>
      <c r="G4448" s="9"/>
      <c r="H4448" s="9"/>
      <c r="I4448" s="9"/>
      <c r="J4448" s="9"/>
      <c r="K4448" s="9"/>
      <c r="L4448" s="9"/>
      <c r="M4448" s="9"/>
      <c r="N4448" s="9"/>
      <c r="O4448" s="9"/>
      <c r="P4448" s="9"/>
      <c r="Q4448" s="9"/>
      <c r="R4448" s="9"/>
      <c r="S4448" s="9"/>
      <c r="T4448" s="9"/>
      <c r="U4448" s="9"/>
      <c r="V4448" s="9"/>
      <c r="W4448" s="9"/>
      <c r="X4448" s="9"/>
      <c r="Y4448" s="9"/>
      <c r="Z4448" s="9"/>
      <c r="AA4448" s="9"/>
    </row>
    <row r="4449" spans="1:27">
      <c r="A4449" s="8"/>
      <c r="B4449" s="8"/>
      <c r="C4449" s="9"/>
      <c r="D4449" s="9"/>
      <c r="E4449" s="9"/>
      <c r="F4449" s="9"/>
      <c r="G4449" s="9"/>
      <c r="H4449" s="9"/>
      <c r="I4449" s="9"/>
      <c r="J4449" s="9"/>
      <c r="K4449" s="9"/>
      <c r="L4449" s="9"/>
      <c r="M4449" s="9"/>
      <c r="N4449" s="9"/>
      <c r="O4449" s="9"/>
      <c r="P4449" s="9"/>
      <c r="Q4449" s="9"/>
      <c r="R4449" s="9"/>
      <c r="S4449" s="9"/>
      <c r="T4449" s="9"/>
      <c r="U4449" s="9"/>
      <c r="V4449" s="9"/>
      <c r="W4449" s="9"/>
      <c r="X4449" s="9"/>
      <c r="Y4449" s="9"/>
      <c r="Z4449" s="9"/>
      <c r="AA4449" s="9"/>
    </row>
    <row r="4450" spans="1:27">
      <c r="A4450" s="8"/>
      <c r="B4450" s="8"/>
      <c r="C4450" s="9"/>
      <c r="D4450" s="9"/>
      <c r="E4450" s="9"/>
      <c r="F4450" s="9"/>
      <c r="G4450" s="9"/>
      <c r="H4450" s="9"/>
      <c r="I4450" s="9"/>
      <c r="J4450" s="9"/>
      <c r="K4450" s="9"/>
      <c r="L4450" s="9"/>
      <c r="M4450" s="9"/>
      <c r="N4450" s="9"/>
      <c r="O4450" s="9"/>
      <c r="P4450" s="9"/>
      <c r="Q4450" s="9"/>
      <c r="R4450" s="9"/>
      <c r="S4450" s="9"/>
      <c r="T4450" s="9"/>
      <c r="U4450" s="9"/>
      <c r="V4450" s="9"/>
      <c r="W4450" s="9"/>
      <c r="X4450" s="9"/>
      <c r="Y4450" s="9"/>
      <c r="Z4450" s="9"/>
      <c r="AA4450" s="9"/>
    </row>
    <row r="4451" spans="1:27">
      <c r="A4451" s="8"/>
      <c r="B4451" s="8"/>
      <c r="C4451" s="9"/>
      <c r="D4451" s="9"/>
      <c r="E4451" s="9"/>
      <c r="F4451" s="9"/>
      <c r="G4451" s="9"/>
      <c r="H4451" s="9"/>
      <c r="I4451" s="9"/>
      <c r="J4451" s="9"/>
      <c r="K4451" s="9"/>
      <c r="L4451" s="9"/>
      <c r="M4451" s="9"/>
      <c r="N4451" s="9"/>
      <c r="O4451" s="9"/>
      <c r="P4451" s="9"/>
      <c r="Q4451" s="9"/>
      <c r="R4451" s="9"/>
      <c r="S4451" s="9"/>
      <c r="T4451" s="9"/>
      <c r="U4451" s="9"/>
      <c r="V4451" s="9"/>
      <c r="W4451" s="9"/>
      <c r="X4451" s="9"/>
      <c r="Y4451" s="9"/>
      <c r="Z4451" s="9"/>
      <c r="AA4451" s="9"/>
    </row>
    <row r="4452" spans="1:27">
      <c r="A4452" s="8"/>
      <c r="B4452" s="8"/>
      <c r="C4452" s="9"/>
      <c r="D4452" s="9"/>
      <c r="E4452" s="9"/>
      <c r="F4452" s="9"/>
      <c r="G4452" s="9"/>
      <c r="H4452" s="9"/>
      <c r="I4452" s="9"/>
      <c r="J4452" s="9"/>
      <c r="K4452" s="9"/>
      <c r="L4452" s="9"/>
      <c r="M4452" s="9"/>
      <c r="N4452" s="9"/>
      <c r="O4452" s="9"/>
      <c r="P4452" s="9"/>
      <c r="Q4452" s="9"/>
      <c r="R4452" s="9"/>
      <c r="S4452" s="9"/>
      <c r="T4452" s="9"/>
      <c r="U4452" s="9"/>
      <c r="V4452" s="9"/>
      <c r="W4452" s="9"/>
      <c r="X4452" s="9"/>
      <c r="Y4452" s="9"/>
      <c r="Z4452" s="9"/>
      <c r="AA4452" s="9"/>
    </row>
    <row r="4453" spans="1:27">
      <c r="A4453" s="8"/>
      <c r="B4453" s="8"/>
      <c r="C4453" s="9"/>
      <c r="D4453" s="9"/>
      <c r="E4453" s="9"/>
      <c r="F4453" s="9"/>
      <c r="G4453" s="9"/>
      <c r="H4453" s="9"/>
      <c r="I4453" s="9"/>
      <c r="J4453" s="9"/>
      <c r="K4453" s="9"/>
      <c r="L4453" s="9"/>
      <c r="M4453" s="9"/>
      <c r="N4453" s="9"/>
      <c r="O4453" s="9"/>
      <c r="P4453" s="9"/>
      <c r="Q4453" s="9"/>
      <c r="R4453" s="9"/>
      <c r="S4453" s="9"/>
      <c r="T4453" s="9"/>
      <c r="U4453" s="9"/>
      <c r="V4453" s="9"/>
      <c r="W4453" s="9"/>
      <c r="X4453" s="9"/>
      <c r="Y4453" s="9"/>
      <c r="Z4453" s="9"/>
      <c r="AA4453" s="9"/>
    </row>
    <row r="4454" spans="1:27">
      <c r="A4454" s="8"/>
      <c r="B4454" s="8"/>
      <c r="C4454" s="9"/>
      <c r="D4454" s="9"/>
      <c r="E4454" s="9"/>
      <c r="F4454" s="9"/>
      <c r="G4454" s="9"/>
      <c r="H4454" s="9"/>
      <c r="I4454" s="9"/>
      <c r="J4454" s="9"/>
      <c r="K4454" s="9"/>
      <c r="L4454" s="9"/>
      <c r="M4454" s="9"/>
      <c r="N4454" s="9"/>
      <c r="O4454" s="9"/>
      <c r="P4454" s="9"/>
      <c r="Q4454" s="9"/>
      <c r="R4454" s="9"/>
      <c r="S4454" s="9"/>
      <c r="T4454" s="9"/>
      <c r="U4454" s="9"/>
      <c r="V4454" s="9"/>
      <c r="W4454" s="9"/>
      <c r="X4454" s="9"/>
      <c r="Y4454" s="9"/>
      <c r="Z4454" s="9"/>
      <c r="AA4454" s="9"/>
    </row>
    <row r="4455" spans="1:27">
      <c r="A4455" s="8"/>
      <c r="B4455" s="8"/>
      <c r="C4455" s="9"/>
      <c r="D4455" s="9"/>
      <c r="E4455" s="9"/>
      <c r="F4455" s="9"/>
      <c r="G4455" s="9"/>
      <c r="H4455" s="9"/>
      <c r="I4455" s="9"/>
      <c r="J4455" s="9"/>
      <c r="K4455" s="9"/>
      <c r="L4455" s="9"/>
      <c r="M4455" s="9"/>
      <c r="N4455" s="9"/>
      <c r="O4455" s="9"/>
      <c r="P4455" s="9"/>
      <c r="Q4455" s="9"/>
      <c r="R4455" s="9"/>
      <c r="S4455" s="9"/>
      <c r="T4455" s="9"/>
      <c r="U4455" s="9"/>
      <c r="V4455" s="9"/>
      <c r="W4455" s="9"/>
      <c r="X4455" s="9"/>
      <c r="Y4455" s="9"/>
      <c r="Z4455" s="9"/>
      <c r="AA4455" s="9"/>
    </row>
    <row r="4456" spans="1:27">
      <c r="A4456" s="8"/>
      <c r="B4456" s="8"/>
      <c r="C4456" s="9"/>
      <c r="D4456" s="9"/>
      <c r="E4456" s="9"/>
      <c r="F4456" s="9"/>
      <c r="G4456" s="9"/>
      <c r="H4456" s="9"/>
      <c r="I4456" s="9"/>
      <c r="J4456" s="9"/>
      <c r="K4456" s="9"/>
      <c r="L4456" s="9"/>
      <c r="M4456" s="9"/>
      <c r="N4456" s="9"/>
      <c r="O4456" s="9"/>
      <c r="P4456" s="9"/>
      <c r="Q4456" s="9"/>
      <c r="R4456" s="9"/>
      <c r="S4456" s="9"/>
      <c r="T4456" s="9"/>
      <c r="U4456" s="9"/>
      <c r="V4456" s="9"/>
      <c r="W4456" s="9"/>
      <c r="X4456" s="9"/>
      <c r="Y4456" s="9"/>
      <c r="Z4456" s="9"/>
      <c r="AA4456" s="9"/>
    </row>
    <row r="4457" spans="1:27">
      <c r="A4457" s="8"/>
      <c r="B4457" s="8"/>
      <c r="C4457" s="9"/>
      <c r="D4457" s="9"/>
      <c r="E4457" s="9"/>
      <c r="F4457" s="9"/>
      <c r="G4457" s="9"/>
      <c r="H4457" s="9"/>
      <c r="I4457" s="9"/>
      <c r="J4457" s="9"/>
      <c r="K4457" s="9"/>
      <c r="L4457" s="9"/>
      <c r="M4457" s="9"/>
      <c r="N4457" s="9"/>
      <c r="O4457" s="9"/>
      <c r="P4457" s="9"/>
      <c r="Q4457" s="9"/>
      <c r="R4457" s="9"/>
      <c r="S4457" s="9"/>
      <c r="T4457" s="9"/>
      <c r="U4457" s="9"/>
      <c r="V4457" s="9"/>
      <c r="W4457" s="9"/>
      <c r="X4457" s="9"/>
      <c r="Y4457" s="9"/>
      <c r="Z4457" s="9"/>
      <c r="AA4457" s="9"/>
    </row>
    <row r="4458" spans="1:27">
      <c r="A4458" s="8"/>
      <c r="B4458" s="8"/>
      <c r="C4458" s="9"/>
      <c r="D4458" s="9"/>
      <c r="E4458" s="9"/>
      <c r="F4458" s="9"/>
      <c r="G4458" s="9"/>
      <c r="H4458" s="9"/>
      <c r="I4458" s="9"/>
      <c r="J4458" s="9"/>
      <c r="K4458" s="9"/>
      <c r="L4458" s="9"/>
      <c r="M4458" s="9"/>
      <c r="N4458" s="9"/>
      <c r="O4458" s="9"/>
      <c r="P4458" s="9"/>
      <c r="Q4458" s="9"/>
      <c r="R4458" s="9"/>
      <c r="S4458" s="9"/>
      <c r="T4458" s="9"/>
      <c r="U4458" s="9"/>
      <c r="V4458" s="9"/>
      <c r="W4458" s="9"/>
      <c r="X4458" s="9"/>
      <c r="Y4458" s="9"/>
      <c r="Z4458" s="9"/>
      <c r="AA4458" s="9"/>
    </row>
    <row r="4459" spans="1:27">
      <c r="A4459" s="8"/>
      <c r="B4459" s="8"/>
      <c r="C4459" s="9"/>
      <c r="D4459" s="9"/>
      <c r="E4459" s="9"/>
      <c r="F4459" s="9"/>
      <c r="G4459" s="9"/>
      <c r="H4459" s="9"/>
      <c r="I4459" s="9"/>
      <c r="J4459" s="9"/>
      <c r="K4459" s="9"/>
      <c r="L4459" s="9"/>
      <c r="M4459" s="9"/>
      <c r="N4459" s="9"/>
      <c r="O4459" s="9"/>
      <c r="P4459" s="9"/>
      <c r="Q4459" s="9"/>
      <c r="R4459" s="9"/>
      <c r="S4459" s="9"/>
      <c r="T4459" s="9"/>
      <c r="U4459" s="9"/>
      <c r="V4459" s="9"/>
      <c r="W4459" s="9"/>
      <c r="X4459" s="9"/>
      <c r="Y4459" s="9"/>
      <c r="Z4459" s="9"/>
      <c r="AA4459" s="9"/>
    </row>
    <row r="4460" spans="1:27">
      <c r="A4460" s="8"/>
      <c r="B4460" s="8"/>
      <c r="C4460" s="9"/>
      <c r="D4460" s="9"/>
      <c r="E4460" s="9"/>
      <c r="F4460" s="9"/>
      <c r="G4460" s="9"/>
      <c r="H4460" s="9"/>
      <c r="I4460" s="9"/>
      <c r="J4460" s="9"/>
      <c r="K4460" s="9"/>
      <c r="L4460" s="9"/>
      <c r="M4460" s="9"/>
      <c r="N4460" s="9"/>
      <c r="O4460" s="9"/>
      <c r="P4460" s="9"/>
      <c r="Q4460" s="9"/>
      <c r="R4460" s="9"/>
      <c r="S4460" s="9"/>
      <c r="T4460" s="9"/>
      <c r="U4460" s="9"/>
      <c r="V4460" s="9"/>
      <c r="W4460" s="9"/>
      <c r="X4460" s="9"/>
      <c r="Y4460" s="9"/>
      <c r="Z4460" s="9"/>
      <c r="AA4460" s="9"/>
    </row>
    <row r="4461" spans="1:27">
      <c r="A4461" s="8"/>
      <c r="B4461" s="8"/>
      <c r="C4461" s="9"/>
      <c r="D4461" s="9"/>
      <c r="E4461" s="9"/>
      <c r="F4461" s="9"/>
      <c r="G4461" s="9"/>
      <c r="H4461" s="9"/>
      <c r="I4461" s="9"/>
      <c r="J4461" s="9"/>
      <c r="K4461" s="9"/>
      <c r="L4461" s="9"/>
      <c r="M4461" s="9"/>
      <c r="N4461" s="9"/>
      <c r="O4461" s="9"/>
      <c r="P4461" s="9"/>
      <c r="Q4461" s="9"/>
      <c r="R4461" s="9"/>
      <c r="S4461" s="9"/>
      <c r="T4461" s="9"/>
      <c r="U4461" s="9"/>
      <c r="V4461" s="9"/>
      <c r="W4461" s="9"/>
      <c r="X4461" s="9"/>
      <c r="Y4461" s="9"/>
      <c r="Z4461" s="9"/>
      <c r="AA4461" s="9"/>
    </row>
    <row r="4462" spans="1:27">
      <c r="A4462" s="8"/>
      <c r="B4462" s="8"/>
      <c r="C4462" s="9"/>
      <c r="D4462" s="9"/>
      <c r="E4462" s="9"/>
      <c r="F4462" s="9"/>
      <c r="G4462" s="9"/>
      <c r="H4462" s="9"/>
      <c r="I4462" s="9"/>
      <c r="J4462" s="9"/>
      <c r="K4462" s="9"/>
      <c r="L4462" s="9"/>
      <c r="M4462" s="9"/>
      <c r="N4462" s="9"/>
      <c r="O4462" s="9"/>
      <c r="P4462" s="9"/>
      <c r="Q4462" s="9"/>
      <c r="R4462" s="9"/>
      <c r="S4462" s="9"/>
      <c r="T4462" s="9"/>
      <c r="U4462" s="9"/>
      <c r="V4462" s="9"/>
      <c r="W4462" s="9"/>
      <c r="X4462" s="9"/>
      <c r="Y4462" s="9"/>
      <c r="Z4462" s="9"/>
      <c r="AA4462" s="9"/>
    </row>
    <row r="4463" spans="1:27">
      <c r="A4463" s="8"/>
      <c r="B4463" s="8"/>
      <c r="C4463" s="9"/>
      <c r="D4463" s="9"/>
      <c r="E4463" s="9"/>
      <c r="F4463" s="9"/>
      <c r="G4463" s="9"/>
      <c r="H4463" s="9"/>
      <c r="I4463" s="9"/>
      <c r="J4463" s="9"/>
      <c r="K4463" s="9"/>
      <c r="L4463" s="9"/>
      <c r="M4463" s="9"/>
      <c r="N4463" s="9"/>
      <c r="O4463" s="9"/>
      <c r="P4463" s="9"/>
      <c r="Q4463" s="9"/>
      <c r="R4463" s="9"/>
      <c r="S4463" s="9"/>
      <c r="T4463" s="9"/>
      <c r="U4463" s="9"/>
      <c r="V4463" s="9"/>
      <c r="W4463" s="9"/>
      <c r="X4463" s="9"/>
      <c r="Y4463" s="9"/>
      <c r="Z4463" s="9"/>
      <c r="AA4463" s="9"/>
    </row>
    <row r="4464" spans="1:27">
      <c r="A4464" s="8"/>
      <c r="B4464" s="8"/>
      <c r="C4464" s="9"/>
      <c r="D4464" s="9"/>
      <c r="E4464" s="9"/>
      <c r="F4464" s="9"/>
      <c r="G4464" s="9"/>
      <c r="H4464" s="9"/>
      <c r="I4464" s="9"/>
      <c r="J4464" s="9"/>
      <c r="K4464" s="9"/>
      <c r="L4464" s="9"/>
      <c r="M4464" s="9"/>
      <c r="N4464" s="9"/>
      <c r="O4464" s="9"/>
      <c r="P4464" s="9"/>
      <c r="Q4464" s="9"/>
      <c r="R4464" s="9"/>
      <c r="S4464" s="9"/>
      <c r="T4464" s="9"/>
      <c r="U4464" s="9"/>
      <c r="V4464" s="9"/>
      <c r="W4464" s="9"/>
      <c r="X4464" s="9"/>
      <c r="Y4464" s="9"/>
      <c r="Z4464" s="9"/>
      <c r="AA4464" s="9"/>
    </row>
    <row r="4465" spans="1:27">
      <c r="A4465" s="8"/>
      <c r="B4465" s="8"/>
      <c r="C4465" s="9"/>
      <c r="D4465" s="9"/>
      <c r="E4465" s="9"/>
      <c r="F4465" s="9"/>
      <c r="G4465" s="9"/>
      <c r="H4465" s="9"/>
      <c r="I4465" s="9"/>
      <c r="J4465" s="9"/>
      <c r="K4465" s="9"/>
      <c r="L4465" s="9"/>
      <c r="M4465" s="9"/>
      <c r="N4465" s="9"/>
      <c r="O4465" s="9"/>
      <c r="P4465" s="9"/>
      <c r="Q4465" s="9"/>
      <c r="R4465" s="9"/>
      <c r="S4465" s="9"/>
      <c r="T4465" s="9"/>
      <c r="U4465" s="9"/>
      <c r="V4465" s="9"/>
      <c r="W4465" s="9"/>
      <c r="X4465" s="9"/>
      <c r="Y4465" s="9"/>
      <c r="Z4465" s="9"/>
      <c r="AA4465" s="9"/>
    </row>
    <row r="4466" spans="1:27">
      <c r="A4466" s="8"/>
      <c r="B4466" s="8"/>
      <c r="C4466" s="9"/>
      <c r="D4466" s="9"/>
      <c r="E4466" s="9"/>
      <c r="F4466" s="9"/>
      <c r="G4466" s="9"/>
      <c r="H4466" s="9"/>
      <c r="I4466" s="9"/>
      <c r="J4466" s="9"/>
      <c r="K4466" s="9"/>
      <c r="L4466" s="9"/>
      <c r="M4466" s="9"/>
      <c r="N4466" s="9"/>
      <c r="O4466" s="9"/>
      <c r="P4466" s="9"/>
      <c r="Q4466" s="9"/>
      <c r="R4466" s="9"/>
      <c r="S4466" s="9"/>
      <c r="T4466" s="9"/>
      <c r="U4466" s="9"/>
      <c r="V4466" s="9"/>
      <c r="W4466" s="9"/>
      <c r="X4466" s="9"/>
      <c r="Y4466" s="9"/>
      <c r="Z4466" s="9"/>
      <c r="AA4466" s="9"/>
    </row>
    <row r="4467" spans="1:27">
      <c r="A4467" s="8"/>
      <c r="B4467" s="8"/>
      <c r="C4467" s="9"/>
      <c r="D4467" s="9"/>
      <c r="E4467" s="9"/>
      <c r="F4467" s="9"/>
      <c r="G4467" s="9"/>
      <c r="H4467" s="9"/>
      <c r="I4467" s="9"/>
      <c r="J4467" s="9"/>
      <c r="K4467" s="9"/>
      <c r="L4467" s="9"/>
      <c r="M4467" s="9"/>
      <c r="N4467" s="9"/>
      <c r="O4467" s="9"/>
      <c r="P4467" s="9"/>
      <c r="Q4467" s="9"/>
      <c r="R4467" s="9"/>
      <c r="S4467" s="9"/>
      <c r="T4467" s="9"/>
      <c r="U4467" s="9"/>
      <c r="V4467" s="9"/>
      <c r="W4467" s="9"/>
      <c r="X4467" s="9"/>
      <c r="Y4467" s="9"/>
      <c r="Z4467" s="9"/>
      <c r="AA4467" s="9"/>
    </row>
    <row r="4468" spans="1:27">
      <c r="A4468" s="8"/>
      <c r="B4468" s="8"/>
      <c r="C4468" s="9"/>
      <c r="D4468" s="9"/>
      <c r="E4468" s="9"/>
      <c r="F4468" s="9"/>
      <c r="G4468" s="9"/>
      <c r="H4468" s="9"/>
      <c r="I4468" s="9"/>
      <c r="J4468" s="9"/>
      <c r="K4468" s="9"/>
      <c r="L4468" s="9"/>
      <c r="M4468" s="9"/>
      <c r="N4468" s="9"/>
      <c r="O4468" s="9"/>
      <c r="P4468" s="9"/>
      <c r="Q4468" s="9"/>
      <c r="R4468" s="9"/>
      <c r="S4468" s="9"/>
      <c r="T4468" s="9"/>
      <c r="U4468" s="9"/>
      <c r="V4468" s="9"/>
      <c r="W4468" s="9"/>
      <c r="X4468" s="9"/>
      <c r="Y4468" s="9"/>
      <c r="Z4468" s="9"/>
      <c r="AA4468" s="9"/>
    </row>
    <row r="4469" spans="1:27">
      <c r="A4469" s="8"/>
      <c r="B4469" s="8"/>
      <c r="C4469" s="9"/>
      <c r="D4469" s="9"/>
      <c r="E4469" s="9"/>
      <c r="F4469" s="9"/>
      <c r="G4469" s="9"/>
      <c r="H4469" s="9"/>
      <c r="I4469" s="9"/>
      <c r="J4469" s="9"/>
      <c r="K4469" s="9"/>
      <c r="L4469" s="9"/>
      <c r="M4469" s="9"/>
      <c r="N4469" s="9"/>
      <c r="O4469" s="9"/>
      <c r="P4469" s="9"/>
      <c r="Q4469" s="9"/>
      <c r="R4469" s="9"/>
      <c r="S4469" s="9"/>
      <c r="T4469" s="9"/>
      <c r="U4469" s="9"/>
      <c r="V4469" s="9"/>
      <c r="W4469" s="9"/>
      <c r="X4469" s="9"/>
      <c r="Y4469" s="9"/>
      <c r="Z4469" s="9"/>
      <c r="AA4469" s="9"/>
    </row>
    <row r="4470" spans="1:27">
      <c r="A4470" s="8"/>
      <c r="B4470" s="8"/>
      <c r="C4470" s="9"/>
      <c r="D4470" s="9"/>
      <c r="E4470" s="9"/>
      <c r="F4470" s="9"/>
      <c r="G4470" s="9"/>
      <c r="H4470" s="9"/>
      <c r="I4470" s="9"/>
      <c r="J4470" s="9"/>
      <c r="K4470" s="9"/>
      <c r="L4470" s="9"/>
      <c r="M4470" s="9"/>
      <c r="N4470" s="9"/>
      <c r="O4470" s="9"/>
      <c r="P4470" s="9"/>
      <c r="Q4470" s="9"/>
      <c r="R4470" s="9"/>
      <c r="S4470" s="9"/>
      <c r="T4470" s="9"/>
      <c r="U4470" s="9"/>
      <c r="V4470" s="9"/>
      <c r="W4470" s="9"/>
      <c r="X4470" s="9"/>
      <c r="Y4470" s="9"/>
      <c r="Z4470" s="9"/>
      <c r="AA4470" s="9"/>
    </row>
    <row r="4471" spans="1:27">
      <c r="A4471" s="8"/>
      <c r="B4471" s="8"/>
      <c r="C4471" s="9"/>
      <c r="D4471" s="9"/>
      <c r="E4471" s="9"/>
      <c r="F4471" s="9"/>
      <c r="G4471" s="9"/>
      <c r="H4471" s="9"/>
      <c r="I4471" s="9"/>
      <c r="J4471" s="9"/>
      <c r="K4471" s="9"/>
      <c r="L4471" s="9"/>
      <c r="M4471" s="9"/>
      <c r="N4471" s="9"/>
      <c r="O4471" s="9"/>
      <c r="P4471" s="9"/>
      <c r="Q4471" s="9"/>
      <c r="R4471" s="9"/>
      <c r="S4471" s="9"/>
      <c r="T4471" s="9"/>
      <c r="U4471" s="9"/>
      <c r="V4471" s="9"/>
      <c r="W4471" s="9"/>
      <c r="X4471" s="9"/>
      <c r="Y4471" s="9"/>
      <c r="Z4471" s="9"/>
      <c r="AA4471" s="9"/>
    </row>
    <row r="4472" spans="1:27">
      <c r="A4472" s="8"/>
      <c r="B4472" s="8"/>
      <c r="C4472" s="9"/>
      <c r="D4472" s="9"/>
      <c r="E4472" s="9"/>
      <c r="F4472" s="9"/>
      <c r="G4472" s="9"/>
      <c r="H4472" s="9"/>
      <c r="I4472" s="9"/>
      <c r="J4472" s="9"/>
      <c r="K4472" s="9"/>
      <c r="L4472" s="9"/>
      <c r="M4472" s="9"/>
      <c r="N4472" s="9"/>
      <c r="O4472" s="9"/>
      <c r="P4472" s="9"/>
      <c r="Q4472" s="9"/>
      <c r="R4472" s="9"/>
      <c r="S4472" s="9"/>
      <c r="T4472" s="9"/>
      <c r="U4472" s="9"/>
      <c r="V4472" s="9"/>
      <c r="W4472" s="9"/>
      <c r="X4472" s="9"/>
      <c r="Y4472" s="9"/>
      <c r="Z4472" s="9"/>
      <c r="AA4472" s="9"/>
    </row>
    <row r="4473" spans="1:27">
      <c r="A4473" s="8"/>
      <c r="B4473" s="8"/>
      <c r="C4473" s="9"/>
      <c r="D4473" s="9"/>
      <c r="E4473" s="9"/>
      <c r="F4473" s="9"/>
      <c r="G4473" s="9"/>
      <c r="H4473" s="9"/>
      <c r="I4473" s="9"/>
      <c r="J4473" s="9"/>
      <c r="K4473" s="9"/>
      <c r="L4473" s="9"/>
      <c r="M4473" s="9"/>
      <c r="N4473" s="9"/>
      <c r="O4473" s="9"/>
      <c r="P4473" s="9"/>
      <c r="Q4473" s="9"/>
      <c r="R4473" s="9"/>
      <c r="S4473" s="9"/>
      <c r="T4473" s="9"/>
      <c r="U4473" s="9"/>
      <c r="V4473" s="9"/>
      <c r="W4473" s="9"/>
      <c r="X4473" s="9"/>
      <c r="Y4473" s="9"/>
      <c r="Z4473" s="9"/>
      <c r="AA4473" s="9"/>
    </row>
    <row r="4474" spans="1:27">
      <c r="A4474" s="8"/>
      <c r="B4474" s="8"/>
      <c r="C4474" s="9"/>
      <c r="D4474" s="9"/>
      <c r="E4474" s="9"/>
      <c r="F4474" s="9"/>
      <c r="G4474" s="9"/>
      <c r="H4474" s="9"/>
      <c r="I4474" s="9"/>
      <c r="J4474" s="9"/>
      <c r="K4474" s="9"/>
      <c r="L4474" s="9"/>
      <c r="M4474" s="9"/>
      <c r="N4474" s="9"/>
      <c r="O4474" s="9"/>
      <c r="P4474" s="9"/>
      <c r="Q4474" s="9"/>
      <c r="R4474" s="9"/>
      <c r="S4474" s="9"/>
      <c r="T4474" s="9"/>
      <c r="U4474" s="9"/>
      <c r="V4474" s="9"/>
      <c r="W4474" s="9"/>
      <c r="X4474" s="9"/>
      <c r="Y4474" s="9"/>
      <c r="Z4474" s="9"/>
      <c r="AA4474" s="9"/>
    </row>
    <row r="4475" spans="1:27">
      <c r="A4475" s="8"/>
      <c r="B4475" s="8"/>
      <c r="C4475" s="9"/>
      <c r="D4475" s="9"/>
      <c r="E4475" s="9"/>
      <c r="F4475" s="9"/>
      <c r="G4475" s="9"/>
      <c r="H4475" s="9"/>
      <c r="I4475" s="9"/>
      <c r="J4475" s="9"/>
      <c r="K4475" s="9"/>
      <c r="L4475" s="9"/>
      <c r="M4475" s="9"/>
      <c r="N4475" s="9"/>
      <c r="O4475" s="9"/>
      <c r="P4475" s="9"/>
      <c r="Q4475" s="9"/>
      <c r="R4475" s="9"/>
      <c r="S4475" s="9"/>
      <c r="T4475" s="9"/>
      <c r="U4475" s="9"/>
      <c r="V4475" s="9"/>
      <c r="W4475" s="9"/>
      <c r="X4475" s="9"/>
      <c r="Y4475" s="9"/>
      <c r="Z4475" s="9"/>
      <c r="AA4475" s="9"/>
    </row>
    <row r="4476" spans="1:27">
      <c r="A4476" s="8"/>
      <c r="B4476" s="8"/>
      <c r="C4476" s="9"/>
      <c r="D4476" s="9"/>
      <c r="E4476" s="9"/>
      <c r="F4476" s="9"/>
      <c r="G4476" s="9"/>
      <c r="H4476" s="9"/>
      <c r="I4476" s="9"/>
      <c r="J4476" s="9"/>
      <c r="K4476" s="9"/>
      <c r="L4476" s="9"/>
      <c r="M4476" s="9"/>
      <c r="N4476" s="9"/>
      <c r="O4476" s="9"/>
      <c r="P4476" s="9"/>
      <c r="Q4476" s="9"/>
      <c r="R4476" s="9"/>
      <c r="S4476" s="9"/>
      <c r="T4476" s="9"/>
      <c r="U4476" s="9"/>
      <c r="V4476" s="9"/>
      <c r="W4476" s="9"/>
      <c r="X4476" s="9"/>
      <c r="Y4476" s="9"/>
      <c r="Z4476" s="9"/>
      <c r="AA4476" s="9"/>
    </row>
    <row r="4477" spans="1:27">
      <c r="A4477" s="8"/>
      <c r="B4477" s="8"/>
      <c r="C4477" s="9"/>
      <c r="D4477" s="9"/>
      <c r="E4477" s="9"/>
      <c r="F4477" s="9"/>
      <c r="G4477" s="9"/>
      <c r="H4477" s="9"/>
      <c r="I4477" s="9"/>
      <c r="J4477" s="9"/>
      <c r="K4477" s="9"/>
      <c r="L4477" s="9"/>
      <c r="M4477" s="9"/>
      <c r="N4477" s="9"/>
      <c r="O4477" s="9"/>
      <c r="P4477" s="9"/>
      <c r="Q4477" s="9"/>
      <c r="R4477" s="9"/>
      <c r="S4477" s="9"/>
      <c r="T4477" s="9"/>
      <c r="U4477" s="9"/>
      <c r="V4477" s="9"/>
      <c r="W4477" s="9"/>
      <c r="X4477" s="9"/>
      <c r="Y4477" s="9"/>
      <c r="Z4477" s="9"/>
      <c r="AA4477" s="9"/>
    </row>
    <row r="4478" spans="1:27">
      <c r="A4478" s="8"/>
      <c r="B4478" s="8"/>
      <c r="C4478" s="9"/>
      <c r="D4478" s="9"/>
      <c r="E4478" s="9"/>
      <c r="F4478" s="9"/>
      <c r="G4478" s="9"/>
      <c r="H4478" s="9"/>
      <c r="I4478" s="9"/>
      <c r="J4478" s="9"/>
      <c r="K4478" s="9"/>
      <c r="L4478" s="9"/>
      <c r="M4478" s="9"/>
      <c r="N4478" s="9"/>
      <c r="O4478" s="9"/>
      <c r="P4478" s="9"/>
      <c r="Q4478" s="9"/>
      <c r="R4478" s="9"/>
      <c r="S4478" s="9"/>
      <c r="T4478" s="9"/>
      <c r="U4478" s="9"/>
      <c r="V4478" s="9"/>
      <c r="W4478" s="9"/>
      <c r="X4478" s="9"/>
      <c r="Y4478" s="9"/>
      <c r="Z4478" s="9"/>
      <c r="AA4478" s="9"/>
    </row>
    <row r="4479" spans="1:27">
      <c r="A4479" s="8"/>
      <c r="B4479" s="8"/>
      <c r="C4479" s="9"/>
      <c r="D4479" s="9"/>
      <c r="E4479" s="9"/>
      <c r="F4479" s="9"/>
      <c r="G4479" s="9"/>
      <c r="H4479" s="9"/>
      <c r="I4479" s="9"/>
      <c r="J4479" s="9"/>
      <c r="K4479" s="9"/>
      <c r="L4479" s="9"/>
      <c r="M4479" s="9"/>
      <c r="N4479" s="9"/>
      <c r="O4479" s="9"/>
      <c r="P4479" s="9"/>
      <c r="Q4479" s="9"/>
      <c r="R4479" s="9"/>
      <c r="S4479" s="9"/>
      <c r="T4479" s="9"/>
      <c r="U4479" s="9"/>
      <c r="V4479" s="9"/>
      <c r="W4479" s="9"/>
      <c r="X4479" s="9"/>
      <c r="Y4479" s="9"/>
      <c r="Z4479" s="9"/>
      <c r="AA4479" s="9"/>
    </row>
    <row r="4480" spans="1:27">
      <c r="A4480" s="8"/>
      <c r="B4480" s="8"/>
      <c r="C4480" s="9"/>
      <c r="D4480" s="9"/>
      <c r="E4480" s="9"/>
      <c r="F4480" s="9"/>
      <c r="G4480" s="9"/>
      <c r="H4480" s="9"/>
      <c r="I4480" s="9"/>
      <c r="J4480" s="9"/>
      <c r="K4480" s="9"/>
      <c r="L4480" s="9"/>
      <c r="M4480" s="9"/>
      <c r="N4480" s="9"/>
      <c r="O4480" s="9"/>
      <c r="P4480" s="9"/>
      <c r="Q4480" s="9"/>
      <c r="R4480" s="9"/>
      <c r="S4480" s="9"/>
      <c r="T4480" s="9"/>
      <c r="U4480" s="9"/>
      <c r="V4480" s="9"/>
      <c r="W4480" s="9"/>
      <c r="X4480" s="9"/>
      <c r="Y4480" s="9"/>
      <c r="Z4480" s="9"/>
      <c r="AA4480" s="9"/>
    </row>
    <row r="4481" spans="1:27">
      <c r="A4481" s="8"/>
      <c r="B4481" s="8"/>
      <c r="C4481" s="9"/>
      <c r="D4481" s="9"/>
      <c r="E4481" s="9"/>
      <c r="F4481" s="9"/>
      <c r="G4481" s="9"/>
      <c r="H4481" s="9"/>
      <c r="I4481" s="9"/>
      <c r="J4481" s="9"/>
      <c r="K4481" s="9"/>
      <c r="L4481" s="9"/>
      <c r="M4481" s="9"/>
      <c r="N4481" s="9"/>
      <c r="O4481" s="9"/>
      <c r="P4481" s="9"/>
      <c r="Q4481" s="9"/>
      <c r="R4481" s="9"/>
      <c r="S4481" s="9"/>
      <c r="T4481" s="9"/>
      <c r="U4481" s="9"/>
      <c r="V4481" s="9"/>
      <c r="W4481" s="9"/>
      <c r="X4481" s="9"/>
      <c r="Y4481" s="9"/>
      <c r="Z4481" s="9"/>
      <c r="AA4481" s="9"/>
    </row>
    <row r="4482" spans="1:27">
      <c r="A4482" s="8"/>
      <c r="B4482" s="8"/>
      <c r="C4482" s="9"/>
      <c r="D4482" s="9"/>
      <c r="E4482" s="9"/>
      <c r="F4482" s="9"/>
      <c r="G4482" s="9"/>
      <c r="H4482" s="9"/>
      <c r="I4482" s="9"/>
      <c r="J4482" s="9"/>
      <c r="K4482" s="9"/>
      <c r="L4482" s="9"/>
      <c r="M4482" s="9"/>
      <c r="N4482" s="9"/>
      <c r="O4482" s="9"/>
      <c r="P4482" s="9"/>
      <c r="Q4482" s="9"/>
      <c r="R4482" s="9"/>
      <c r="S4482" s="9"/>
      <c r="T4482" s="9"/>
      <c r="U4482" s="9"/>
      <c r="V4482" s="9"/>
      <c r="W4482" s="9"/>
      <c r="X4482" s="9"/>
      <c r="Y4482" s="9"/>
      <c r="Z4482" s="9"/>
      <c r="AA4482" s="9"/>
    </row>
    <row r="4483" spans="1:27">
      <c r="A4483" s="8"/>
      <c r="B4483" s="8"/>
      <c r="C4483" s="9"/>
      <c r="D4483" s="9"/>
      <c r="E4483" s="9"/>
      <c r="F4483" s="9"/>
      <c r="G4483" s="9"/>
      <c r="H4483" s="9"/>
      <c r="I4483" s="9"/>
      <c r="J4483" s="9"/>
      <c r="K4483" s="9"/>
      <c r="L4483" s="9"/>
      <c r="M4483" s="9"/>
      <c r="N4483" s="9"/>
      <c r="O4483" s="9"/>
      <c r="P4483" s="9"/>
      <c r="Q4483" s="9"/>
      <c r="R4483" s="9"/>
      <c r="S4483" s="9"/>
      <c r="T4483" s="9"/>
      <c r="U4483" s="9"/>
      <c r="V4483" s="9"/>
      <c r="W4483" s="9"/>
      <c r="X4483" s="9"/>
      <c r="Y4483" s="9"/>
      <c r="Z4483" s="9"/>
      <c r="AA4483" s="9"/>
    </row>
    <row r="4484" spans="1:27">
      <c r="A4484" s="8"/>
      <c r="B4484" s="8"/>
      <c r="C4484" s="9"/>
      <c r="D4484" s="9"/>
      <c r="E4484" s="9"/>
      <c r="F4484" s="9"/>
      <c r="G4484" s="9"/>
      <c r="H4484" s="9"/>
      <c r="I4484" s="9"/>
      <c r="J4484" s="9"/>
      <c r="K4484" s="9"/>
      <c r="L4484" s="9"/>
      <c r="M4484" s="9"/>
      <c r="N4484" s="9"/>
      <c r="O4484" s="9"/>
      <c r="P4484" s="9"/>
      <c r="Q4484" s="9"/>
      <c r="R4484" s="9"/>
      <c r="S4484" s="9"/>
      <c r="T4484" s="9"/>
      <c r="U4484" s="9"/>
      <c r="V4484" s="9"/>
      <c r="W4484" s="9"/>
      <c r="X4484" s="9"/>
      <c r="Y4484" s="9"/>
      <c r="Z4484" s="9"/>
      <c r="AA4484" s="9"/>
    </row>
    <row r="4485" spans="1:27">
      <c r="A4485" s="8"/>
      <c r="B4485" s="8"/>
      <c r="C4485" s="9"/>
      <c r="D4485" s="9"/>
      <c r="E4485" s="9"/>
      <c r="F4485" s="9"/>
      <c r="G4485" s="9"/>
      <c r="H4485" s="9"/>
      <c r="I4485" s="9"/>
      <c r="J4485" s="9"/>
      <c r="K4485" s="9"/>
      <c r="L4485" s="9"/>
      <c r="M4485" s="9"/>
      <c r="N4485" s="9"/>
      <c r="O4485" s="9"/>
      <c r="P4485" s="9"/>
      <c r="Q4485" s="9"/>
      <c r="R4485" s="9"/>
      <c r="S4485" s="9"/>
      <c r="T4485" s="9"/>
      <c r="U4485" s="9"/>
      <c r="V4485" s="9"/>
      <c r="W4485" s="9"/>
      <c r="X4485" s="9"/>
      <c r="Y4485" s="9"/>
      <c r="Z4485" s="9"/>
      <c r="AA4485" s="9"/>
    </row>
    <row r="4486" spans="1:27">
      <c r="A4486" s="8"/>
      <c r="B4486" s="8"/>
      <c r="C4486" s="9"/>
      <c r="D4486" s="9"/>
      <c r="E4486" s="9"/>
      <c r="F4486" s="9"/>
      <c r="G4486" s="9"/>
      <c r="H4486" s="9"/>
      <c r="I4486" s="9"/>
      <c r="J4486" s="9"/>
      <c r="K4486" s="9"/>
      <c r="L4486" s="9"/>
      <c r="M4486" s="9"/>
      <c r="N4486" s="9"/>
      <c r="O4486" s="9"/>
      <c r="P4486" s="9"/>
      <c r="Q4486" s="9"/>
      <c r="R4486" s="9"/>
      <c r="S4486" s="9"/>
      <c r="T4486" s="9"/>
      <c r="U4486" s="9"/>
      <c r="V4486" s="9"/>
      <c r="W4486" s="9"/>
      <c r="X4486" s="9"/>
      <c r="Y4486" s="9"/>
      <c r="Z4486" s="9"/>
      <c r="AA4486" s="9"/>
    </row>
    <row r="4487" spans="1:27">
      <c r="A4487" s="8"/>
      <c r="B4487" s="8"/>
      <c r="C4487" s="9"/>
      <c r="D4487" s="9"/>
      <c r="E4487" s="9"/>
      <c r="F4487" s="9"/>
      <c r="G4487" s="9"/>
      <c r="H4487" s="9"/>
      <c r="I4487" s="9"/>
      <c r="J4487" s="9"/>
      <c r="K4487" s="9"/>
      <c r="L4487" s="9"/>
      <c r="M4487" s="9"/>
      <c r="N4487" s="9"/>
      <c r="O4487" s="9"/>
      <c r="P4487" s="9"/>
      <c r="Q4487" s="9"/>
      <c r="R4487" s="9"/>
      <c r="S4487" s="9"/>
      <c r="T4487" s="9"/>
      <c r="U4487" s="9"/>
      <c r="V4487" s="9"/>
      <c r="W4487" s="9"/>
      <c r="X4487" s="9"/>
      <c r="Y4487" s="9"/>
      <c r="Z4487" s="9"/>
      <c r="AA4487" s="9"/>
    </row>
    <row r="4488" spans="1:27">
      <c r="A4488" s="8"/>
      <c r="B4488" s="8"/>
      <c r="C4488" s="9"/>
      <c r="D4488" s="9"/>
      <c r="E4488" s="9"/>
      <c r="F4488" s="9"/>
      <c r="G4488" s="9"/>
      <c r="H4488" s="9"/>
      <c r="I4488" s="9"/>
      <c r="J4488" s="9"/>
      <c r="K4488" s="9"/>
      <c r="L4488" s="9"/>
      <c r="M4488" s="9"/>
      <c r="N4488" s="9"/>
      <c r="O4488" s="9"/>
      <c r="P4488" s="9"/>
      <c r="Q4488" s="9"/>
      <c r="R4488" s="9"/>
      <c r="S4488" s="9"/>
      <c r="T4488" s="9"/>
      <c r="U4488" s="9"/>
      <c r="V4488" s="9"/>
      <c r="W4488" s="9"/>
      <c r="X4488" s="9"/>
      <c r="Y4488" s="9"/>
      <c r="Z4488" s="9"/>
      <c r="AA4488" s="9"/>
    </row>
    <row r="4489" spans="1:27">
      <c r="A4489" s="8"/>
      <c r="B4489" s="8"/>
      <c r="C4489" s="9"/>
      <c r="D4489" s="9"/>
      <c r="E4489" s="9"/>
      <c r="F4489" s="9"/>
      <c r="G4489" s="9"/>
      <c r="H4489" s="9"/>
      <c r="I4489" s="9"/>
      <c r="J4489" s="9"/>
      <c r="K4489" s="9"/>
      <c r="L4489" s="9"/>
      <c r="M4489" s="9"/>
      <c r="N4489" s="9"/>
      <c r="O4489" s="9"/>
      <c r="P4489" s="9"/>
      <c r="Q4489" s="9"/>
      <c r="R4489" s="9"/>
      <c r="S4489" s="9"/>
      <c r="T4489" s="9"/>
      <c r="U4489" s="9"/>
      <c r="V4489" s="9"/>
      <c r="W4489" s="9"/>
      <c r="X4489" s="9"/>
      <c r="Y4489" s="9"/>
      <c r="Z4489" s="9"/>
      <c r="AA4489" s="9"/>
    </row>
    <row r="4490" spans="1:27">
      <c r="A4490" s="8"/>
      <c r="B4490" s="8"/>
      <c r="C4490" s="9"/>
      <c r="D4490" s="9"/>
      <c r="E4490" s="9"/>
      <c r="F4490" s="9"/>
      <c r="G4490" s="9"/>
      <c r="H4490" s="9"/>
      <c r="I4490" s="9"/>
      <c r="J4490" s="9"/>
      <c r="K4490" s="9"/>
      <c r="L4490" s="9"/>
      <c r="M4490" s="9"/>
      <c r="N4490" s="9"/>
      <c r="O4490" s="9"/>
      <c r="P4490" s="9"/>
      <c r="Q4490" s="9"/>
      <c r="R4490" s="9"/>
      <c r="S4490" s="9"/>
      <c r="T4490" s="9"/>
      <c r="U4490" s="9"/>
      <c r="V4490" s="9"/>
      <c r="W4490" s="9"/>
      <c r="X4490" s="9"/>
      <c r="Y4490" s="9"/>
      <c r="Z4490" s="9"/>
      <c r="AA4490" s="9"/>
    </row>
    <row r="4491" spans="1:27">
      <c r="A4491" s="8"/>
      <c r="B4491" s="8"/>
      <c r="C4491" s="9"/>
      <c r="D4491" s="9"/>
      <c r="E4491" s="9"/>
      <c r="F4491" s="9"/>
      <c r="G4491" s="9"/>
      <c r="H4491" s="9"/>
      <c r="I4491" s="9"/>
      <c r="J4491" s="9"/>
      <c r="K4491" s="9"/>
      <c r="L4491" s="9"/>
      <c r="M4491" s="9"/>
      <c r="N4491" s="9"/>
      <c r="O4491" s="9"/>
      <c r="P4491" s="9"/>
      <c r="Q4491" s="9"/>
      <c r="R4491" s="9"/>
      <c r="S4491" s="9"/>
      <c r="T4491" s="9"/>
      <c r="U4491" s="9"/>
      <c r="V4491" s="9"/>
      <c r="W4491" s="9"/>
      <c r="X4491" s="9"/>
      <c r="Y4491" s="9"/>
      <c r="Z4491" s="9"/>
      <c r="AA4491" s="9"/>
    </row>
    <row r="4492" spans="1:27">
      <c r="A4492" s="8"/>
      <c r="B4492" s="8"/>
      <c r="C4492" s="9"/>
      <c r="D4492" s="9"/>
      <c r="E4492" s="9"/>
      <c r="F4492" s="9"/>
      <c r="G4492" s="9"/>
      <c r="H4492" s="9"/>
      <c r="I4492" s="9"/>
      <c r="J4492" s="9"/>
      <c r="K4492" s="9"/>
      <c r="L4492" s="9"/>
      <c r="M4492" s="9"/>
      <c r="N4492" s="9"/>
      <c r="O4492" s="9"/>
      <c r="P4492" s="9"/>
      <c r="Q4492" s="9"/>
      <c r="R4492" s="9"/>
      <c r="S4492" s="9"/>
      <c r="T4492" s="9"/>
      <c r="U4492" s="9"/>
      <c r="V4492" s="9"/>
      <c r="W4492" s="9"/>
      <c r="X4492" s="9"/>
      <c r="Y4492" s="9"/>
      <c r="Z4492" s="9"/>
      <c r="AA4492" s="9"/>
    </row>
    <row r="4493" spans="1:27">
      <c r="A4493" s="8"/>
      <c r="B4493" s="8"/>
      <c r="C4493" s="9"/>
      <c r="D4493" s="9"/>
      <c r="E4493" s="9"/>
      <c r="F4493" s="9"/>
      <c r="G4493" s="9"/>
      <c r="H4493" s="9"/>
      <c r="I4493" s="9"/>
      <c r="J4493" s="9"/>
      <c r="K4493" s="9"/>
      <c r="L4493" s="9"/>
      <c r="M4493" s="9"/>
      <c r="N4493" s="9"/>
      <c r="O4493" s="9"/>
      <c r="P4493" s="9"/>
      <c r="Q4493" s="9"/>
      <c r="R4493" s="9"/>
      <c r="S4493" s="9"/>
      <c r="T4493" s="9"/>
      <c r="U4493" s="9"/>
      <c r="V4493" s="9"/>
      <c r="W4493" s="9"/>
      <c r="X4493" s="9"/>
      <c r="Y4493" s="9"/>
      <c r="Z4493" s="9"/>
      <c r="AA4493" s="9"/>
    </row>
    <row r="4494" spans="1:27">
      <c r="A4494" s="8"/>
      <c r="B4494" s="8"/>
      <c r="C4494" s="9"/>
      <c r="D4494" s="9"/>
      <c r="E4494" s="9"/>
      <c r="F4494" s="9"/>
      <c r="G4494" s="9"/>
      <c r="H4494" s="9"/>
      <c r="I4494" s="9"/>
      <c r="J4494" s="9"/>
      <c r="K4494" s="9"/>
      <c r="L4494" s="9"/>
      <c r="M4494" s="9"/>
      <c r="N4494" s="9"/>
      <c r="O4494" s="9"/>
      <c r="P4494" s="9"/>
      <c r="Q4494" s="9"/>
      <c r="R4494" s="9"/>
      <c r="S4494" s="9"/>
      <c r="T4494" s="9"/>
      <c r="U4494" s="9"/>
      <c r="V4494" s="9"/>
      <c r="W4494" s="9"/>
      <c r="X4494" s="9"/>
      <c r="Y4494" s="9"/>
      <c r="Z4494" s="9"/>
      <c r="AA4494" s="9"/>
    </row>
    <row r="4495" spans="1:27">
      <c r="A4495" s="8"/>
      <c r="B4495" s="8"/>
      <c r="C4495" s="9"/>
      <c r="D4495" s="9"/>
      <c r="E4495" s="9"/>
      <c r="F4495" s="9"/>
      <c r="G4495" s="9"/>
      <c r="H4495" s="9"/>
      <c r="I4495" s="9"/>
      <c r="J4495" s="9"/>
      <c r="K4495" s="9"/>
      <c r="L4495" s="9"/>
      <c r="M4495" s="9"/>
      <c r="N4495" s="9"/>
      <c r="O4495" s="9"/>
      <c r="P4495" s="9"/>
      <c r="Q4495" s="9"/>
      <c r="R4495" s="9"/>
      <c r="S4495" s="9"/>
      <c r="T4495" s="9"/>
      <c r="U4495" s="9"/>
      <c r="V4495" s="9"/>
      <c r="W4495" s="9"/>
      <c r="X4495" s="9"/>
      <c r="Y4495" s="9"/>
      <c r="Z4495" s="9"/>
      <c r="AA4495" s="9"/>
    </row>
    <row r="4496" spans="1:27">
      <c r="A4496" s="8"/>
      <c r="B4496" s="8"/>
      <c r="C4496" s="9"/>
      <c r="D4496" s="9"/>
      <c r="E4496" s="9"/>
      <c r="F4496" s="9"/>
      <c r="G4496" s="9"/>
      <c r="H4496" s="9"/>
      <c r="I4496" s="9"/>
      <c r="J4496" s="9"/>
      <c r="K4496" s="9"/>
      <c r="L4496" s="9"/>
      <c r="M4496" s="9"/>
      <c r="N4496" s="9"/>
      <c r="O4496" s="9"/>
      <c r="P4496" s="9"/>
      <c r="Q4496" s="9"/>
      <c r="R4496" s="9"/>
      <c r="S4496" s="9"/>
      <c r="T4496" s="9"/>
      <c r="U4496" s="9"/>
      <c r="V4496" s="9"/>
      <c r="W4496" s="9"/>
      <c r="X4496" s="9"/>
      <c r="Y4496" s="9"/>
      <c r="Z4496" s="9"/>
      <c r="AA4496" s="9"/>
    </row>
    <row r="4497" spans="1:27">
      <c r="A4497" s="8"/>
      <c r="B4497" s="8"/>
      <c r="C4497" s="9"/>
      <c r="D4497" s="9"/>
      <c r="E4497" s="9"/>
      <c r="F4497" s="9"/>
      <c r="G4497" s="9"/>
      <c r="H4497" s="9"/>
      <c r="I4497" s="9"/>
      <c r="J4497" s="9"/>
      <c r="K4497" s="9"/>
      <c r="L4497" s="9"/>
      <c r="M4497" s="9"/>
      <c r="N4497" s="9"/>
      <c r="O4497" s="9"/>
      <c r="P4497" s="9"/>
      <c r="Q4497" s="9"/>
      <c r="R4497" s="9"/>
      <c r="S4497" s="9"/>
      <c r="T4497" s="9"/>
      <c r="U4497" s="9"/>
      <c r="V4497" s="9"/>
      <c r="W4497" s="9"/>
      <c r="X4497" s="9"/>
      <c r="Y4497" s="9"/>
      <c r="Z4497" s="9"/>
      <c r="AA4497" s="9"/>
    </row>
    <row r="4498" spans="1:27">
      <c r="A4498" s="8"/>
      <c r="B4498" s="8"/>
      <c r="C4498" s="9"/>
      <c r="D4498" s="9"/>
      <c r="E4498" s="9"/>
      <c r="F4498" s="9"/>
      <c r="G4498" s="9"/>
      <c r="H4498" s="9"/>
      <c r="I4498" s="9"/>
      <c r="J4498" s="9"/>
      <c r="K4498" s="9"/>
      <c r="L4498" s="9"/>
      <c r="M4498" s="9"/>
      <c r="N4498" s="9"/>
      <c r="O4498" s="9"/>
      <c r="P4498" s="9"/>
      <c r="Q4498" s="9"/>
      <c r="R4498" s="9"/>
      <c r="S4498" s="9"/>
      <c r="T4498" s="9"/>
      <c r="U4498" s="9"/>
      <c r="V4498" s="9"/>
      <c r="W4498" s="9"/>
      <c r="X4498" s="9"/>
      <c r="Y4498" s="9"/>
      <c r="Z4498" s="9"/>
      <c r="AA4498" s="9"/>
    </row>
    <row r="4499" spans="1:27">
      <c r="A4499" s="8"/>
      <c r="B4499" s="8"/>
      <c r="C4499" s="9"/>
      <c r="D4499" s="9"/>
      <c r="E4499" s="9"/>
      <c r="F4499" s="9"/>
      <c r="G4499" s="9"/>
      <c r="H4499" s="9"/>
      <c r="I4499" s="9"/>
      <c r="J4499" s="9"/>
      <c r="K4499" s="9"/>
      <c r="L4499" s="9"/>
      <c r="M4499" s="9"/>
      <c r="N4499" s="9"/>
      <c r="O4499" s="9"/>
      <c r="P4499" s="9"/>
      <c r="Q4499" s="9"/>
      <c r="R4499" s="9"/>
      <c r="S4499" s="9"/>
      <c r="T4499" s="9"/>
      <c r="U4499" s="9"/>
      <c r="V4499" s="9"/>
      <c r="W4499" s="9"/>
      <c r="X4499" s="9"/>
      <c r="Y4499" s="9"/>
      <c r="Z4499" s="9"/>
      <c r="AA4499" s="9"/>
    </row>
    <row r="4500" spans="1:27">
      <c r="A4500" s="8"/>
      <c r="B4500" s="8"/>
      <c r="C4500" s="9"/>
      <c r="D4500" s="9"/>
      <c r="E4500" s="9"/>
      <c r="F4500" s="9"/>
      <c r="G4500" s="9"/>
      <c r="H4500" s="9"/>
      <c r="I4500" s="9"/>
      <c r="J4500" s="9"/>
      <c r="K4500" s="9"/>
      <c r="L4500" s="9"/>
      <c r="M4500" s="9"/>
      <c r="N4500" s="9"/>
      <c r="O4500" s="9"/>
      <c r="P4500" s="9"/>
      <c r="Q4500" s="9"/>
      <c r="R4500" s="9"/>
      <c r="S4500" s="9"/>
      <c r="T4500" s="9"/>
      <c r="U4500" s="9"/>
      <c r="V4500" s="9"/>
      <c r="W4500" s="9"/>
      <c r="X4500" s="9"/>
      <c r="Y4500" s="9"/>
      <c r="Z4500" s="9"/>
      <c r="AA4500" s="9"/>
    </row>
    <row r="4501" spans="1:27">
      <c r="A4501" s="8"/>
      <c r="B4501" s="8"/>
      <c r="C4501" s="9"/>
      <c r="D4501" s="9"/>
      <c r="E4501" s="9"/>
      <c r="F4501" s="9"/>
      <c r="G4501" s="9"/>
      <c r="H4501" s="9"/>
      <c r="I4501" s="9"/>
      <c r="J4501" s="9"/>
      <c r="K4501" s="9"/>
      <c r="L4501" s="9"/>
      <c r="M4501" s="9"/>
      <c r="N4501" s="9"/>
      <c r="O4501" s="9"/>
      <c r="P4501" s="9"/>
      <c r="Q4501" s="9"/>
      <c r="R4501" s="9"/>
      <c r="S4501" s="9"/>
      <c r="T4501" s="9"/>
      <c r="U4501" s="9"/>
      <c r="V4501" s="9"/>
      <c r="W4501" s="9"/>
      <c r="X4501" s="9"/>
      <c r="Y4501" s="9"/>
      <c r="Z4501" s="9"/>
      <c r="AA4501" s="9"/>
    </row>
    <row r="4502" spans="1:27">
      <c r="A4502" s="8"/>
      <c r="B4502" s="8"/>
      <c r="C4502" s="9"/>
      <c r="D4502" s="9"/>
      <c r="E4502" s="9"/>
      <c r="F4502" s="9"/>
      <c r="G4502" s="9"/>
      <c r="H4502" s="9"/>
      <c r="I4502" s="9"/>
      <c r="J4502" s="9"/>
      <c r="K4502" s="9"/>
      <c r="L4502" s="9"/>
      <c r="M4502" s="9"/>
      <c r="N4502" s="9"/>
      <c r="O4502" s="9"/>
      <c r="P4502" s="9"/>
      <c r="Q4502" s="9"/>
      <c r="R4502" s="9"/>
      <c r="S4502" s="9"/>
      <c r="T4502" s="9"/>
      <c r="U4502" s="9"/>
      <c r="V4502" s="9"/>
      <c r="W4502" s="9"/>
      <c r="X4502" s="9"/>
      <c r="Y4502" s="9"/>
      <c r="Z4502" s="9"/>
      <c r="AA4502" s="9"/>
    </row>
    <row r="4503" spans="1:27">
      <c r="A4503" s="8"/>
      <c r="B4503" s="8"/>
      <c r="C4503" s="9"/>
      <c r="D4503" s="9"/>
      <c r="E4503" s="9"/>
      <c r="F4503" s="9"/>
      <c r="G4503" s="9"/>
      <c r="H4503" s="9"/>
      <c r="I4503" s="9"/>
      <c r="J4503" s="9"/>
      <c r="K4503" s="9"/>
      <c r="L4503" s="9"/>
      <c r="M4503" s="9"/>
      <c r="N4503" s="9"/>
      <c r="O4503" s="9"/>
      <c r="P4503" s="9"/>
      <c r="Q4503" s="9"/>
      <c r="R4503" s="9"/>
      <c r="S4503" s="9"/>
      <c r="T4503" s="9"/>
      <c r="U4503" s="9"/>
      <c r="V4503" s="9"/>
      <c r="W4503" s="9"/>
      <c r="X4503" s="9"/>
      <c r="Y4503" s="9"/>
      <c r="Z4503" s="9"/>
      <c r="AA4503" s="9"/>
    </row>
    <row r="4504" spans="1:27">
      <c r="A4504" s="8"/>
      <c r="B4504" s="8"/>
      <c r="C4504" s="9"/>
      <c r="D4504" s="9"/>
      <c r="E4504" s="9"/>
      <c r="F4504" s="9"/>
      <c r="G4504" s="9"/>
      <c r="H4504" s="9"/>
      <c r="I4504" s="9"/>
      <c r="J4504" s="9"/>
      <c r="K4504" s="9"/>
      <c r="L4504" s="9"/>
      <c r="M4504" s="9"/>
      <c r="N4504" s="9"/>
      <c r="O4504" s="9"/>
      <c r="P4504" s="9"/>
      <c r="Q4504" s="9"/>
      <c r="R4504" s="9"/>
      <c r="S4504" s="9"/>
      <c r="T4504" s="9"/>
      <c r="U4504" s="9"/>
      <c r="V4504" s="9"/>
      <c r="W4504" s="9"/>
      <c r="X4504" s="9"/>
      <c r="Y4504" s="9"/>
      <c r="Z4504" s="9"/>
      <c r="AA4504" s="9"/>
    </row>
    <row r="4505" spans="1:27">
      <c r="A4505" s="8"/>
      <c r="B4505" s="8"/>
      <c r="C4505" s="9"/>
      <c r="D4505" s="9"/>
      <c r="E4505" s="9"/>
      <c r="F4505" s="9"/>
      <c r="G4505" s="9"/>
      <c r="H4505" s="9"/>
      <c r="I4505" s="9"/>
      <c r="J4505" s="9"/>
      <c r="K4505" s="9"/>
      <c r="L4505" s="9"/>
      <c r="M4505" s="9"/>
      <c r="N4505" s="9"/>
      <c r="O4505" s="9"/>
      <c r="P4505" s="9"/>
      <c r="Q4505" s="9"/>
      <c r="R4505" s="9"/>
      <c r="S4505" s="9"/>
      <c r="T4505" s="9"/>
      <c r="U4505" s="9"/>
      <c r="V4505" s="9"/>
      <c r="W4505" s="9"/>
      <c r="X4505" s="9"/>
      <c r="Y4505" s="9"/>
      <c r="Z4505" s="9"/>
      <c r="AA4505" s="9"/>
    </row>
    <row r="4506" spans="1:27">
      <c r="A4506" s="8"/>
      <c r="B4506" s="8"/>
      <c r="C4506" s="9"/>
      <c r="D4506" s="9"/>
      <c r="E4506" s="9"/>
      <c r="F4506" s="9"/>
      <c r="G4506" s="9"/>
      <c r="H4506" s="9"/>
      <c r="I4506" s="9"/>
      <c r="J4506" s="9"/>
      <c r="K4506" s="9"/>
      <c r="L4506" s="9"/>
      <c r="M4506" s="9"/>
      <c r="N4506" s="9"/>
      <c r="O4506" s="9"/>
      <c r="P4506" s="9"/>
      <c r="Q4506" s="9"/>
      <c r="R4506" s="9"/>
      <c r="S4506" s="9"/>
      <c r="T4506" s="9"/>
      <c r="U4506" s="9"/>
      <c r="V4506" s="9"/>
      <c r="W4506" s="9"/>
      <c r="X4506" s="9"/>
      <c r="Y4506" s="9"/>
      <c r="Z4506" s="9"/>
      <c r="AA4506" s="9"/>
    </row>
    <row r="4507" spans="1:27">
      <c r="A4507" s="8"/>
      <c r="B4507" s="8"/>
      <c r="C4507" s="9"/>
      <c r="D4507" s="9"/>
      <c r="E4507" s="9"/>
      <c r="F4507" s="9"/>
      <c r="G4507" s="9"/>
      <c r="H4507" s="9"/>
      <c r="I4507" s="9"/>
      <c r="J4507" s="9"/>
      <c r="K4507" s="9"/>
      <c r="L4507" s="9"/>
      <c r="M4507" s="9"/>
      <c r="N4507" s="9"/>
      <c r="O4507" s="9"/>
      <c r="P4507" s="9"/>
      <c r="Q4507" s="9"/>
      <c r="R4507" s="9"/>
      <c r="S4507" s="9"/>
      <c r="T4507" s="9"/>
      <c r="U4507" s="9"/>
      <c r="V4507" s="9"/>
      <c r="W4507" s="9"/>
      <c r="X4507" s="9"/>
      <c r="Y4507" s="9"/>
      <c r="Z4507" s="9"/>
      <c r="AA4507" s="9"/>
    </row>
    <row r="4508" spans="1:27">
      <c r="A4508" s="8"/>
      <c r="B4508" s="8"/>
      <c r="C4508" s="9"/>
      <c r="D4508" s="9"/>
      <c r="E4508" s="9"/>
      <c r="F4508" s="9"/>
      <c r="G4508" s="9"/>
      <c r="H4508" s="9"/>
      <c r="I4508" s="9"/>
      <c r="J4508" s="9"/>
      <c r="K4508" s="9"/>
      <c r="L4508" s="9"/>
      <c r="M4508" s="9"/>
      <c r="N4508" s="9"/>
      <c r="O4508" s="9"/>
      <c r="P4508" s="9"/>
      <c r="Q4508" s="9"/>
      <c r="R4508" s="9"/>
      <c r="S4508" s="9"/>
      <c r="T4508" s="9"/>
      <c r="U4508" s="9"/>
      <c r="V4508" s="9"/>
      <c r="W4508" s="9"/>
      <c r="X4508" s="9"/>
      <c r="Y4508" s="9"/>
      <c r="Z4508" s="9"/>
      <c r="AA4508" s="9"/>
    </row>
    <row r="4509" spans="1:27">
      <c r="A4509" s="8"/>
      <c r="B4509" s="8"/>
      <c r="C4509" s="9"/>
      <c r="D4509" s="9"/>
      <c r="E4509" s="9"/>
      <c r="F4509" s="9"/>
      <c r="G4509" s="9"/>
      <c r="H4509" s="9"/>
      <c r="I4509" s="9"/>
      <c r="J4509" s="9"/>
      <c r="K4509" s="9"/>
      <c r="L4509" s="9"/>
      <c r="M4509" s="9"/>
      <c r="N4509" s="9"/>
      <c r="O4509" s="9"/>
      <c r="P4509" s="9"/>
      <c r="Q4509" s="9"/>
      <c r="R4509" s="9"/>
      <c r="S4509" s="9"/>
      <c r="T4509" s="9"/>
      <c r="U4509" s="9"/>
      <c r="V4509" s="9"/>
      <c r="W4509" s="9"/>
      <c r="X4509" s="9"/>
      <c r="Y4509" s="9"/>
      <c r="Z4509" s="9"/>
      <c r="AA4509" s="9"/>
    </row>
    <row r="4510" spans="1:27">
      <c r="A4510" s="8"/>
      <c r="B4510" s="8"/>
      <c r="C4510" s="9"/>
      <c r="D4510" s="9"/>
      <c r="E4510" s="9"/>
      <c r="F4510" s="9"/>
      <c r="G4510" s="9"/>
      <c r="H4510" s="9"/>
      <c r="I4510" s="9"/>
      <c r="J4510" s="9"/>
      <c r="K4510" s="9"/>
      <c r="L4510" s="9"/>
      <c r="M4510" s="9"/>
      <c r="N4510" s="9"/>
      <c r="O4510" s="9"/>
      <c r="P4510" s="9"/>
      <c r="Q4510" s="9"/>
      <c r="R4510" s="9"/>
      <c r="S4510" s="9"/>
      <c r="T4510" s="9"/>
      <c r="U4510" s="9"/>
      <c r="V4510" s="9"/>
      <c r="W4510" s="9"/>
      <c r="X4510" s="9"/>
      <c r="Y4510" s="9"/>
      <c r="Z4510" s="9"/>
      <c r="AA4510" s="9"/>
    </row>
    <row r="4511" spans="1:27">
      <c r="A4511" s="8"/>
      <c r="B4511" s="8"/>
      <c r="C4511" s="9"/>
      <c r="D4511" s="9"/>
      <c r="E4511" s="9"/>
      <c r="F4511" s="9"/>
      <c r="G4511" s="9"/>
      <c r="H4511" s="9"/>
      <c r="I4511" s="9"/>
      <c r="J4511" s="9"/>
      <c r="K4511" s="9"/>
      <c r="L4511" s="9"/>
      <c r="M4511" s="9"/>
      <c r="N4511" s="9"/>
      <c r="O4511" s="9"/>
      <c r="P4511" s="9"/>
      <c r="Q4511" s="9"/>
      <c r="R4511" s="9"/>
      <c r="S4511" s="9"/>
      <c r="T4511" s="9"/>
      <c r="U4511" s="9"/>
      <c r="V4511" s="9"/>
      <c r="W4511" s="9"/>
      <c r="X4511" s="9"/>
      <c r="Y4511" s="9"/>
      <c r="Z4511" s="9"/>
      <c r="AA4511" s="9"/>
    </row>
    <row r="4512" spans="1:27">
      <c r="A4512" s="8"/>
      <c r="B4512" s="8"/>
      <c r="C4512" s="9"/>
      <c r="D4512" s="9"/>
      <c r="E4512" s="9"/>
      <c r="F4512" s="9"/>
      <c r="G4512" s="9"/>
      <c r="H4512" s="9"/>
      <c r="I4512" s="9"/>
      <c r="J4512" s="9"/>
      <c r="K4512" s="9"/>
      <c r="L4512" s="9"/>
      <c r="M4512" s="9"/>
      <c r="N4512" s="9"/>
      <c r="O4512" s="9"/>
      <c r="P4512" s="9"/>
      <c r="Q4512" s="9"/>
      <c r="R4512" s="9"/>
      <c r="S4512" s="9"/>
      <c r="T4512" s="9"/>
      <c r="U4512" s="9"/>
      <c r="V4512" s="9"/>
      <c r="W4512" s="9"/>
      <c r="X4512" s="9"/>
      <c r="Y4512" s="9"/>
      <c r="Z4512" s="9"/>
      <c r="AA4512" s="9"/>
    </row>
    <row r="4513" spans="1:27">
      <c r="A4513" s="8"/>
      <c r="B4513" s="8"/>
      <c r="C4513" s="9"/>
      <c r="D4513" s="9"/>
      <c r="E4513" s="9"/>
      <c r="F4513" s="9"/>
      <c r="G4513" s="9"/>
      <c r="H4513" s="9"/>
      <c r="I4513" s="9"/>
      <c r="J4513" s="9"/>
      <c r="K4513" s="9"/>
      <c r="L4513" s="9"/>
      <c r="M4513" s="9"/>
      <c r="N4513" s="9"/>
      <c r="O4513" s="9"/>
      <c r="P4513" s="9"/>
      <c r="Q4513" s="9"/>
      <c r="R4513" s="9"/>
      <c r="S4513" s="9"/>
      <c r="T4513" s="9"/>
      <c r="U4513" s="9"/>
      <c r="V4513" s="9"/>
      <c r="W4513" s="9"/>
      <c r="X4513" s="9"/>
      <c r="Y4513" s="9"/>
      <c r="Z4513" s="9"/>
      <c r="AA4513" s="9"/>
    </row>
    <row r="4514" spans="1:27">
      <c r="A4514" s="8"/>
      <c r="B4514" s="8"/>
      <c r="C4514" s="9"/>
      <c r="D4514" s="9"/>
      <c r="E4514" s="9"/>
      <c r="F4514" s="9"/>
      <c r="G4514" s="9"/>
      <c r="H4514" s="9"/>
      <c r="I4514" s="9"/>
      <c r="J4514" s="9"/>
      <c r="K4514" s="9"/>
      <c r="L4514" s="9"/>
      <c r="M4514" s="9"/>
      <c r="N4514" s="9"/>
      <c r="O4514" s="9"/>
      <c r="P4514" s="9"/>
      <c r="Q4514" s="9"/>
      <c r="R4514" s="9"/>
      <c r="S4514" s="9"/>
      <c r="T4514" s="9"/>
      <c r="U4514" s="9"/>
      <c r="V4514" s="9"/>
      <c r="W4514" s="9"/>
      <c r="X4514" s="9"/>
      <c r="Y4514" s="9"/>
      <c r="Z4514" s="9"/>
      <c r="AA4514" s="9"/>
    </row>
    <row r="4515" spans="1:27">
      <c r="A4515" s="8"/>
      <c r="B4515" s="8"/>
      <c r="C4515" s="9"/>
      <c r="D4515" s="9"/>
      <c r="E4515" s="9"/>
      <c r="F4515" s="9"/>
      <c r="G4515" s="9"/>
      <c r="H4515" s="9"/>
      <c r="I4515" s="9"/>
      <c r="J4515" s="9"/>
      <c r="K4515" s="9"/>
      <c r="L4515" s="9"/>
      <c r="M4515" s="9"/>
      <c r="N4515" s="9"/>
      <c r="O4515" s="9"/>
      <c r="P4515" s="9"/>
      <c r="Q4515" s="9"/>
      <c r="R4515" s="9"/>
      <c r="S4515" s="9"/>
      <c r="T4515" s="9"/>
      <c r="U4515" s="9"/>
      <c r="V4515" s="9"/>
      <c r="W4515" s="9"/>
      <c r="X4515" s="9"/>
      <c r="Y4515" s="9"/>
      <c r="Z4515" s="9"/>
      <c r="AA4515" s="9"/>
    </row>
    <row r="4516" spans="1:27">
      <c r="A4516" s="8"/>
      <c r="B4516" s="8"/>
      <c r="C4516" s="9"/>
      <c r="D4516" s="9"/>
      <c r="E4516" s="9"/>
      <c r="F4516" s="9"/>
      <c r="G4516" s="9"/>
      <c r="H4516" s="9"/>
      <c r="I4516" s="9"/>
      <c r="J4516" s="9"/>
      <c r="K4516" s="9"/>
      <c r="L4516" s="9"/>
      <c r="M4516" s="9"/>
      <c r="N4516" s="9"/>
      <c r="O4516" s="9"/>
      <c r="P4516" s="9"/>
      <c r="Q4516" s="9"/>
      <c r="R4516" s="9"/>
      <c r="S4516" s="9"/>
      <c r="T4516" s="9"/>
      <c r="U4516" s="9"/>
      <c r="V4516" s="9"/>
      <c r="W4516" s="9"/>
      <c r="X4516" s="9"/>
      <c r="Y4516" s="9"/>
      <c r="Z4516" s="9"/>
      <c r="AA4516" s="9"/>
    </row>
    <row r="4517" spans="1:27">
      <c r="A4517" s="8"/>
      <c r="B4517" s="8"/>
      <c r="C4517" s="9"/>
      <c r="D4517" s="9"/>
      <c r="E4517" s="9"/>
      <c r="F4517" s="9"/>
      <c r="G4517" s="9"/>
      <c r="H4517" s="9"/>
      <c r="I4517" s="9"/>
      <c r="J4517" s="9"/>
      <c r="K4517" s="9"/>
      <c r="L4517" s="9"/>
      <c r="M4517" s="9"/>
      <c r="N4517" s="9"/>
      <c r="O4517" s="9"/>
      <c r="P4517" s="9"/>
      <c r="Q4517" s="9"/>
      <c r="R4517" s="9"/>
      <c r="S4517" s="9"/>
      <c r="T4517" s="9"/>
      <c r="U4517" s="9"/>
      <c r="V4517" s="9"/>
      <c r="W4517" s="9"/>
      <c r="X4517" s="9"/>
      <c r="Y4517" s="9"/>
      <c r="Z4517" s="9"/>
      <c r="AA4517" s="9"/>
    </row>
    <row r="4518" spans="1:27">
      <c r="A4518" s="8"/>
      <c r="B4518" s="8"/>
      <c r="C4518" s="9"/>
      <c r="D4518" s="9"/>
      <c r="E4518" s="9"/>
      <c r="F4518" s="9"/>
      <c r="G4518" s="9"/>
      <c r="H4518" s="9"/>
      <c r="I4518" s="9"/>
      <c r="J4518" s="9"/>
      <c r="K4518" s="9"/>
      <c r="L4518" s="9"/>
      <c r="M4518" s="9"/>
      <c r="N4518" s="9"/>
      <c r="O4518" s="9"/>
      <c r="P4518" s="9"/>
      <c r="Q4518" s="9"/>
      <c r="R4518" s="9"/>
      <c r="S4518" s="9"/>
      <c r="T4518" s="9"/>
      <c r="U4518" s="9"/>
      <c r="V4518" s="9"/>
      <c r="W4518" s="9"/>
      <c r="X4518" s="9"/>
      <c r="Y4518" s="9"/>
      <c r="Z4518" s="9"/>
      <c r="AA4518" s="9"/>
    </row>
    <row r="4519" spans="1:27">
      <c r="A4519" s="8"/>
      <c r="B4519" s="8"/>
      <c r="C4519" s="9"/>
      <c r="D4519" s="9"/>
      <c r="E4519" s="9"/>
      <c r="F4519" s="9"/>
      <c r="G4519" s="9"/>
      <c r="H4519" s="9"/>
      <c r="I4519" s="9"/>
      <c r="J4519" s="9"/>
      <c r="K4519" s="9"/>
      <c r="L4519" s="9"/>
      <c r="M4519" s="9"/>
      <c r="N4519" s="9"/>
      <c r="O4519" s="9"/>
      <c r="P4519" s="9"/>
      <c r="Q4519" s="9"/>
      <c r="R4519" s="9"/>
      <c r="S4519" s="9"/>
      <c r="T4519" s="9"/>
      <c r="U4519" s="9"/>
      <c r="V4519" s="9"/>
      <c r="W4519" s="9"/>
      <c r="X4519" s="9"/>
      <c r="Y4519" s="9"/>
      <c r="Z4519" s="9"/>
      <c r="AA4519" s="9"/>
    </row>
    <row r="4520" spans="1:27">
      <c r="A4520" s="8"/>
      <c r="B4520" s="8"/>
      <c r="C4520" s="9"/>
      <c r="D4520" s="9"/>
      <c r="E4520" s="9"/>
      <c r="F4520" s="9"/>
      <c r="G4520" s="9"/>
      <c r="H4520" s="9"/>
      <c r="I4520" s="9"/>
      <c r="J4520" s="9"/>
      <c r="K4520" s="9"/>
      <c r="L4520" s="9"/>
      <c r="M4520" s="9"/>
      <c r="N4520" s="9"/>
      <c r="O4520" s="9"/>
      <c r="P4520" s="9"/>
      <c r="Q4520" s="9"/>
      <c r="R4520" s="9"/>
      <c r="S4520" s="9"/>
      <c r="T4520" s="9"/>
      <c r="U4520" s="9"/>
      <c r="V4520" s="9"/>
      <c r="W4520" s="9"/>
      <c r="X4520" s="9"/>
      <c r="Y4520" s="9"/>
      <c r="Z4520" s="9"/>
      <c r="AA4520" s="9"/>
    </row>
    <row r="4521" spans="1:27">
      <c r="A4521" s="8"/>
      <c r="B4521" s="8"/>
      <c r="C4521" s="9"/>
      <c r="D4521" s="9"/>
      <c r="E4521" s="9"/>
      <c r="F4521" s="9"/>
      <c r="G4521" s="9"/>
      <c r="H4521" s="9"/>
      <c r="I4521" s="9"/>
      <c r="J4521" s="9"/>
      <c r="K4521" s="9"/>
      <c r="L4521" s="9"/>
      <c r="M4521" s="9"/>
      <c r="N4521" s="9"/>
      <c r="O4521" s="9"/>
      <c r="P4521" s="9"/>
      <c r="Q4521" s="9"/>
      <c r="R4521" s="9"/>
      <c r="S4521" s="9"/>
      <c r="T4521" s="9"/>
      <c r="U4521" s="9"/>
      <c r="V4521" s="9"/>
      <c r="W4521" s="9"/>
      <c r="X4521" s="9"/>
      <c r="Y4521" s="9"/>
      <c r="Z4521" s="9"/>
      <c r="AA4521" s="9"/>
    </row>
    <row r="4522" spans="1:27">
      <c r="A4522" s="8"/>
      <c r="B4522" s="8"/>
      <c r="C4522" s="9"/>
      <c r="D4522" s="9"/>
      <c r="E4522" s="9"/>
      <c r="F4522" s="9"/>
      <c r="G4522" s="9"/>
      <c r="H4522" s="9"/>
      <c r="I4522" s="9"/>
      <c r="J4522" s="9"/>
      <c r="K4522" s="9"/>
      <c r="L4522" s="9"/>
      <c r="M4522" s="9"/>
      <c r="N4522" s="9"/>
      <c r="O4522" s="9"/>
      <c r="P4522" s="9"/>
      <c r="Q4522" s="9"/>
      <c r="R4522" s="9"/>
      <c r="S4522" s="9"/>
      <c r="T4522" s="9"/>
      <c r="U4522" s="9"/>
      <c r="V4522" s="9"/>
      <c r="W4522" s="9"/>
      <c r="X4522" s="9"/>
      <c r="Y4522" s="9"/>
      <c r="Z4522" s="9"/>
      <c r="AA4522" s="9"/>
    </row>
    <row r="4523" spans="1:27">
      <c r="A4523" s="8"/>
      <c r="B4523" s="8"/>
      <c r="C4523" s="9"/>
      <c r="D4523" s="9"/>
      <c r="E4523" s="9"/>
      <c r="F4523" s="9"/>
      <c r="G4523" s="9"/>
      <c r="H4523" s="9"/>
      <c r="I4523" s="9"/>
      <c r="J4523" s="9"/>
      <c r="K4523" s="9"/>
      <c r="L4523" s="9"/>
      <c r="M4523" s="9"/>
      <c r="N4523" s="9"/>
      <c r="O4523" s="9"/>
      <c r="P4523" s="9"/>
      <c r="Q4523" s="9"/>
      <c r="R4523" s="9"/>
      <c r="S4523" s="9"/>
      <c r="T4523" s="9"/>
      <c r="U4523" s="9"/>
      <c r="V4523" s="9"/>
      <c r="W4523" s="9"/>
      <c r="X4523" s="9"/>
      <c r="Y4523" s="9"/>
      <c r="Z4523" s="9"/>
      <c r="AA4523" s="9"/>
    </row>
    <row r="4524" spans="1:27">
      <c r="A4524" s="8"/>
      <c r="B4524" s="8"/>
      <c r="C4524" s="9"/>
      <c r="D4524" s="9"/>
      <c r="E4524" s="9"/>
      <c r="F4524" s="9"/>
      <c r="G4524" s="9"/>
      <c r="H4524" s="9"/>
      <c r="I4524" s="9"/>
      <c r="J4524" s="9"/>
      <c r="K4524" s="9"/>
      <c r="L4524" s="9"/>
      <c r="M4524" s="9"/>
      <c r="N4524" s="9"/>
      <c r="O4524" s="9"/>
      <c r="P4524" s="9"/>
      <c r="Q4524" s="9"/>
      <c r="R4524" s="9"/>
      <c r="S4524" s="9"/>
      <c r="T4524" s="9"/>
      <c r="U4524" s="9"/>
      <c r="V4524" s="9"/>
      <c r="W4524" s="9"/>
      <c r="X4524" s="9"/>
      <c r="Y4524" s="9"/>
      <c r="Z4524" s="9"/>
      <c r="AA4524" s="9"/>
    </row>
    <row r="4525" spans="1:27">
      <c r="A4525" s="8"/>
      <c r="B4525" s="8"/>
      <c r="C4525" s="9"/>
      <c r="D4525" s="9"/>
      <c r="E4525" s="9"/>
      <c r="F4525" s="9"/>
      <c r="G4525" s="9"/>
      <c r="H4525" s="9"/>
      <c r="I4525" s="9"/>
      <c r="J4525" s="9"/>
      <c r="K4525" s="9"/>
      <c r="L4525" s="9"/>
      <c r="M4525" s="9"/>
      <c r="N4525" s="9"/>
      <c r="O4525" s="9"/>
      <c r="P4525" s="9"/>
      <c r="Q4525" s="9"/>
      <c r="R4525" s="9"/>
      <c r="S4525" s="9"/>
      <c r="T4525" s="9"/>
      <c r="U4525" s="9"/>
      <c r="V4525" s="9"/>
      <c r="W4525" s="9"/>
      <c r="X4525" s="9"/>
      <c r="Y4525" s="9"/>
      <c r="Z4525" s="9"/>
      <c r="AA4525" s="9"/>
    </row>
    <row r="4526" spans="1:27">
      <c r="A4526" s="8"/>
      <c r="B4526" s="8"/>
      <c r="C4526" s="9"/>
      <c r="D4526" s="9"/>
      <c r="E4526" s="9"/>
      <c r="F4526" s="9"/>
      <c r="G4526" s="9"/>
      <c r="H4526" s="9"/>
      <c r="I4526" s="9"/>
      <c r="J4526" s="9"/>
      <c r="K4526" s="9"/>
      <c r="L4526" s="9"/>
      <c r="M4526" s="9"/>
      <c r="N4526" s="9"/>
      <c r="O4526" s="9"/>
      <c r="P4526" s="9"/>
      <c r="Q4526" s="9"/>
      <c r="R4526" s="9"/>
      <c r="S4526" s="9"/>
      <c r="T4526" s="9"/>
      <c r="U4526" s="9"/>
      <c r="V4526" s="9"/>
      <c r="W4526" s="9"/>
      <c r="X4526" s="9"/>
      <c r="Y4526" s="9"/>
      <c r="Z4526" s="9"/>
      <c r="AA4526" s="9"/>
    </row>
    <row r="4527" spans="1:27">
      <c r="A4527" s="8"/>
      <c r="B4527" s="8"/>
      <c r="C4527" s="9"/>
      <c r="D4527" s="9"/>
      <c r="E4527" s="9"/>
      <c r="F4527" s="9"/>
      <c r="G4527" s="9"/>
      <c r="H4527" s="9"/>
      <c r="I4527" s="9"/>
      <c r="J4527" s="9"/>
      <c r="K4527" s="9"/>
      <c r="L4527" s="9"/>
      <c r="M4527" s="9"/>
      <c r="N4527" s="9"/>
      <c r="O4527" s="9"/>
      <c r="P4527" s="9"/>
      <c r="Q4527" s="9"/>
      <c r="R4527" s="9"/>
      <c r="S4527" s="9"/>
      <c r="T4527" s="9"/>
      <c r="U4527" s="9"/>
      <c r="V4527" s="9"/>
      <c r="W4527" s="9"/>
      <c r="X4527" s="9"/>
      <c r="Y4527" s="9"/>
      <c r="Z4527" s="9"/>
      <c r="AA4527" s="9"/>
    </row>
    <row r="4528" spans="1:27">
      <c r="A4528" s="8"/>
      <c r="B4528" s="8"/>
      <c r="C4528" s="9"/>
      <c r="D4528" s="9"/>
      <c r="E4528" s="9"/>
      <c r="F4528" s="9"/>
      <c r="G4528" s="9"/>
      <c r="H4528" s="9"/>
      <c r="I4528" s="9"/>
      <c r="J4528" s="9"/>
      <c r="K4528" s="9"/>
      <c r="L4528" s="9"/>
      <c r="M4528" s="9"/>
      <c r="N4528" s="9"/>
      <c r="O4528" s="9"/>
      <c r="P4528" s="9"/>
      <c r="Q4528" s="9"/>
      <c r="R4528" s="9"/>
      <c r="S4528" s="9"/>
      <c r="T4528" s="9"/>
      <c r="U4528" s="9"/>
      <c r="V4528" s="9"/>
      <c r="W4528" s="9"/>
      <c r="X4528" s="9"/>
      <c r="Y4528" s="9"/>
      <c r="Z4528" s="9"/>
      <c r="AA4528" s="9"/>
    </row>
    <row r="4529" spans="1:27">
      <c r="A4529" s="8"/>
      <c r="B4529" s="8"/>
      <c r="C4529" s="9"/>
      <c r="D4529" s="9"/>
      <c r="E4529" s="9"/>
      <c r="F4529" s="9"/>
      <c r="G4529" s="9"/>
      <c r="H4529" s="9"/>
      <c r="I4529" s="9"/>
      <c r="J4529" s="9"/>
      <c r="K4529" s="9"/>
      <c r="L4529" s="9"/>
      <c r="M4529" s="9"/>
      <c r="N4529" s="9"/>
      <c r="O4529" s="9"/>
      <c r="P4529" s="9"/>
      <c r="Q4529" s="9"/>
      <c r="R4529" s="9"/>
      <c r="S4529" s="9"/>
      <c r="T4529" s="9"/>
      <c r="U4529" s="9"/>
      <c r="V4529" s="9"/>
      <c r="W4529" s="9"/>
      <c r="X4529" s="9"/>
      <c r="Y4529" s="9"/>
      <c r="Z4529" s="9"/>
      <c r="AA4529" s="9"/>
    </row>
    <row r="4530" spans="1:27">
      <c r="A4530" s="8"/>
      <c r="B4530" s="8"/>
      <c r="C4530" s="9"/>
      <c r="D4530" s="9"/>
      <c r="E4530" s="9"/>
      <c r="F4530" s="9"/>
      <c r="G4530" s="9"/>
      <c r="H4530" s="9"/>
      <c r="I4530" s="9"/>
      <c r="J4530" s="9"/>
      <c r="K4530" s="9"/>
      <c r="L4530" s="9"/>
      <c r="M4530" s="9"/>
      <c r="N4530" s="9"/>
      <c r="O4530" s="9"/>
      <c r="P4530" s="9"/>
      <c r="Q4530" s="9"/>
      <c r="R4530" s="9"/>
      <c r="S4530" s="9"/>
      <c r="T4530" s="9"/>
      <c r="U4530" s="9"/>
      <c r="V4530" s="9"/>
      <c r="W4530" s="9"/>
      <c r="X4530" s="9"/>
      <c r="Y4530" s="9"/>
      <c r="Z4530" s="9"/>
      <c r="AA4530" s="9"/>
    </row>
    <row r="4531" spans="1:27">
      <c r="A4531" s="8"/>
      <c r="B4531" s="8"/>
      <c r="C4531" s="9"/>
      <c r="D4531" s="9"/>
      <c r="E4531" s="9"/>
      <c r="F4531" s="9"/>
      <c r="G4531" s="9"/>
      <c r="H4531" s="9"/>
      <c r="I4531" s="9"/>
      <c r="J4531" s="9"/>
      <c r="K4531" s="9"/>
      <c r="L4531" s="9"/>
      <c r="M4531" s="9"/>
      <c r="N4531" s="9"/>
      <c r="O4531" s="9"/>
      <c r="P4531" s="9"/>
      <c r="Q4531" s="9"/>
      <c r="R4531" s="9"/>
      <c r="S4531" s="9"/>
      <c r="T4531" s="9"/>
      <c r="U4531" s="9"/>
      <c r="V4531" s="9"/>
      <c r="W4531" s="9"/>
      <c r="X4531" s="9"/>
      <c r="Y4531" s="9"/>
      <c r="Z4531" s="9"/>
      <c r="AA4531" s="9"/>
    </row>
    <row r="4532" spans="1:27">
      <c r="A4532" s="8"/>
      <c r="B4532" s="8"/>
      <c r="C4532" s="9"/>
      <c r="D4532" s="9"/>
      <c r="E4532" s="9"/>
      <c r="F4532" s="9"/>
      <c r="G4532" s="9"/>
      <c r="H4532" s="9"/>
      <c r="I4532" s="9"/>
      <c r="J4532" s="9"/>
      <c r="K4532" s="9"/>
      <c r="L4532" s="9"/>
      <c r="M4532" s="9"/>
      <c r="N4532" s="9"/>
      <c r="O4532" s="9"/>
      <c r="P4532" s="9"/>
      <c r="Q4532" s="9"/>
      <c r="R4532" s="9"/>
      <c r="S4532" s="9"/>
      <c r="T4532" s="9"/>
      <c r="U4532" s="9"/>
      <c r="V4532" s="9"/>
      <c r="W4532" s="9"/>
      <c r="X4532" s="9"/>
      <c r="Y4532" s="9"/>
      <c r="Z4532" s="9"/>
      <c r="AA4532" s="9"/>
    </row>
    <row r="4533" spans="1:27">
      <c r="A4533" s="8"/>
      <c r="B4533" s="8"/>
      <c r="C4533" s="9"/>
      <c r="D4533" s="9"/>
      <c r="E4533" s="9"/>
      <c r="F4533" s="9"/>
      <c r="G4533" s="9"/>
      <c r="H4533" s="9"/>
      <c r="I4533" s="9"/>
      <c r="J4533" s="9"/>
      <c r="K4533" s="9"/>
      <c r="L4533" s="9"/>
      <c r="M4533" s="9"/>
      <c r="N4533" s="9"/>
      <c r="O4533" s="9"/>
      <c r="P4533" s="9"/>
      <c r="Q4533" s="9"/>
      <c r="R4533" s="9"/>
      <c r="S4533" s="9"/>
      <c r="T4533" s="9"/>
      <c r="U4533" s="9"/>
      <c r="V4533" s="9"/>
      <c r="W4533" s="9"/>
      <c r="X4533" s="9"/>
      <c r="Y4533" s="9"/>
      <c r="Z4533" s="9"/>
      <c r="AA4533" s="9"/>
    </row>
    <row r="4534" spans="1:27">
      <c r="A4534" s="8"/>
      <c r="B4534" s="8"/>
      <c r="C4534" s="9"/>
      <c r="D4534" s="9"/>
      <c r="E4534" s="9"/>
      <c r="F4534" s="9"/>
      <c r="G4534" s="9"/>
      <c r="H4534" s="9"/>
      <c r="I4534" s="9"/>
      <c r="J4534" s="9"/>
      <c r="K4534" s="9"/>
      <c r="L4534" s="9"/>
      <c r="M4534" s="9"/>
      <c r="N4534" s="9"/>
      <c r="O4534" s="9"/>
      <c r="P4534" s="9"/>
      <c r="Q4534" s="9"/>
      <c r="R4534" s="9"/>
      <c r="S4534" s="9"/>
      <c r="T4534" s="9"/>
      <c r="U4534" s="9"/>
      <c r="V4534" s="9"/>
      <c r="W4534" s="9"/>
      <c r="X4534" s="9"/>
      <c r="Y4534" s="9"/>
      <c r="Z4534" s="9"/>
      <c r="AA4534" s="9"/>
    </row>
    <row r="4535" spans="1:27">
      <c r="A4535" s="8"/>
      <c r="B4535" s="8"/>
      <c r="C4535" s="9"/>
      <c r="D4535" s="9"/>
      <c r="E4535" s="9"/>
      <c r="F4535" s="9"/>
      <c r="G4535" s="9"/>
      <c r="H4535" s="9"/>
      <c r="I4535" s="9"/>
      <c r="J4535" s="9"/>
      <c r="K4535" s="9"/>
      <c r="L4535" s="9"/>
      <c r="M4535" s="9"/>
      <c r="N4535" s="9"/>
      <c r="O4535" s="9"/>
      <c r="P4535" s="9"/>
      <c r="Q4535" s="9"/>
      <c r="R4535" s="9"/>
      <c r="S4535" s="9"/>
      <c r="T4535" s="9"/>
      <c r="U4535" s="9"/>
      <c r="V4535" s="9"/>
      <c r="W4535" s="9"/>
      <c r="X4535" s="9"/>
      <c r="Y4535" s="9"/>
      <c r="Z4535" s="9"/>
      <c r="AA4535" s="9"/>
    </row>
    <row r="4536" spans="1:27">
      <c r="A4536" s="8"/>
      <c r="B4536" s="8"/>
      <c r="C4536" s="9"/>
      <c r="D4536" s="9"/>
      <c r="E4536" s="9"/>
      <c r="F4536" s="9"/>
      <c r="G4536" s="9"/>
      <c r="H4536" s="9"/>
      <c r="I4536" s="9"/>
      <c r="J4536" s="9"/>
      <c r="K4536" s="9"/>
      <c r="L4536" s="9"/>
      <c r="M4536" s="9"/>
      <c r="N4536" s="9"/>
      <c r="O4536" s="9"/>
      <c r="P4536" s="9"/>
      <c r="Q4536" s="9"/>
      <c r="R4536" s="9"/>
      <c r="S4536" s="9"/>
      <c r="T4536" s="9"/>
      <c r="U4536" s="9"/>
      <c r="V4536" s="9"/>
      <c r="W4536" s="9"/>
      <c r="X4536" s="9"/>
      <c r="Y4536" s="9"/>
      <c r="Z4536" s="9"/>
      <c r="AA4536" s="9"/>
    </row>
    <row r="4537" spans="1:27">
      <c r="A4537" s="8"/>
      <c r="B4537" s="8"/>
      <c r="C4537" s="9"/>
      <c r="D4537" s="9"/>
      <c r="E4537" s="9"/>
      <c r="F4537" s="9"/>
      <c r="G4537" s="9"/>
      <c r="H4537" s="9"/>
      <c r="I4537" s="9"/>
      <c r="J4537" s="9"/>
      <c r="K4537" s="9"/>
      <c r="L4537" s="9"/>
      <c r="M4537" s="9"/>
      <c r="N4537" s="9"/>
      <c r="O4537" s="9"/>
      <c r="P4537" s="9"/>
      <c r="Q4537" s="9"/>
      <c r="R4537" s="9"/>
      <c r="S4537" s="9"/>
      <c r="T4537" s="9"/>
      <c r="U4537" s="9"/>
      <c r="V4537" s="9"/>
      <c r="W4537" s="9"/>
      <c r="X4537" s="9"/>
      <c r="Y4537" s="9"/>
      <c r="Z4537" s="9"/>
      <c r="AA4537" s="9"/>
    </row>
    <row r="4538" spans="1:27">
      <c r="A4538" s="8"/>
      <c r="B4538" s="8"/>
      <c r="C4538" s="9"/>
      <c r="D4538" s="9"/>
      <c r="E4538" s="9"/>
      <c r="F4538" s="9"/>
      <c r="G4538" s="9"/>
      <c r="H4538" s="9"/>
      <c r="I4538" s="9"/>
      <c r="J4538" s="9"/>
      <c r="K4538" s="9"/>
      <c r="L4538" s="9"/>
      <c r="M4538" s="9"/>
      <c r="N4538" s="9"/>
      <c r="O4538" s="9"/>
      <c r="P4538" s="9"/>
      <c r="Q4538" s="9"/>
      <c r="R4538" s="9"/>
      <c r="S4538" s="9"/>
      <c r="T4538" s="9"/>
      <c r="U4538" s="9"/>
      <c r="V4538" s="9"/>
      <c r="W4538" s="9"/>
      <c r="X4538" s="9"/>
      <c r="Y4538" s="9"/>
      <c r="Z4538" s="9"/>
      <c r="AA4538" s="9"/>
    </row>
    <row r="4539" spans="1:27">
      <c r="A4539" s="8"/>
      <c r="B4539" s="8"/>
      <c r="C4539" s="9"/>
      <c r="D4539" s="9"/>
      <c r="E4539" s="9"/>
      <c r="F4539" s="9"/>
      <c r="G4539" s="9"/>
      <c r="H4539" s="9"/>
      <c r="I4539" s="9"/>
      <c r="J4539" s="9"/>
      <c r="K4539" s="9"/>
      <c r="L4539" s="9"/>
      <c r="M4539" s="9"/>
      <c r="N4539" s="9"/>
      <c r="O4539" s="9"/>
      <c r="P4539" s="9"/>
      <c r="Q4539" s="9"/>
      <c r="R4539" s="9"/>
      <c r="S4539" s="9"/>
      <c r="T4539" s="9"/>
      <c r="U4539" s="9"/>
      <c r="V4539" s="9"/>
      <c r="W4539" s="9"/>
      <c r="X4539" s="9"/>
      <c r="Y4539" s="9"/>
      <c r="Z4539" s="9"/>
      <c r="AA4539" s="9"/>
    </row>
    <row r="4540" spans="1:27">
      <c r="A4540" s="8"/>
      <c r="B4540" s="8"/>
      <c r="C4540" s="9"/>
      <c r="D4540" s="9"/>
      <c r="E4540" s="9"/>
      <c r="F4540" s="9"/>
      <c r="G4540" s="9"/>
      <c r="H4540" s="9"/>
      <c r="I4540" s="9"/>
      <c r="J4540" s="9"/>
      <c r="K4540" s="9"/>
      <c r="L4540" s="9"/>
      <c r="M4540" s="9"/>
      <c r="N4540" s="9"/>
      <c r="O4540" s="9"/>
      <c r="P4540" s="9"/>
      <c r="Q4540" s="9"/>
      <c r="R4540" s="9"/>
      <c r="S4540" s="9"/>
      <c r="T4540" s="9"/>
      <c r="U4540" s="9"/>
      <c r="V4540" s="9"/>
      <c r="W4540" s="9"/>
      <c r="X4540" s="9"/>
      <c r="Y4540" s="9"/>
      <c r="Z4540" s="9"/>
      <c r="AA4540" s="9"/>
    </row>
    <row r="4541" spans="1:27">
      <c r="A4541" s="8"/>
      <c r="B4541" s="8"/>
      <c r="C4541" s="9"/>
      <c r="D4541" s="9"/>
      <c r="E4541" s="9"/>
      <c r="F4541" s="9"/>
      <c r="G4541" s="9"/>
      <c r="H4541" s="9"/>
      <c r="I4541" s="9"/>
      <c r="J4541" s="9"/>
      <c r="K4541" s="9"/>
      <c r="L4541" s="9"/>
      <c r="M4541" s="9"/>
      <c r="N4541" s="9"/>
      <c r="O4541" s="9"/>
      <c r="P4541" s="9"/>
      <c r="Q4541" s="9"/>
      <c r="R4541" s="9"/>
      <c r="S4541" s="9"/>
      <c r="T4541" s="9"/>
      <c r="U4541" s="9"/>
      <c r="V4541" s="9"/>
      <c r="W4541" s="9"/>
      <c r="X4541" s="9"/>
      <c r="Y4541" s="9"/>
      <c r="Z4541" s="9"/>
      <c r="AA4541" s="9"/>
    </row>
    <row r="4542" spans="1:27">
      <c r="A4542" s="8"/>
      <c r="B4542" s="8"/>
      <c r="C4542" s="9"/>
      <c r="D4542" s="9"/>
      <c r="E4542" s="9"/>
      <c r="F4542" s="9"/>
      <c r="G4542" s="9"/>
      <c r="H4542" s="9"/>
      <c r="I4542" s="9"/>
      <c r="J4542" s="9"/>
      <c r="K4542" s="9"/>
      <c r="L4542" s="9"/>
      <c r="M4542" s="9"/>
      <c r="N4542" s="9"/>
      <c r="O4542" s="9"/>
      <c r="P4542" s="9"/>
      <c r="Q4542" s="9"/>
      <c r="R4542" s="9"/>
      <c r="S4542" s="9"/>
      <c r="T4542" s="9"/>
      <c r="U4542" s="9"/>
      <c r="V4542" s="9"/>
      <c r="W4542" s="9"/>
      <c r="X4542" s="9"/>
      <c r="Y4542" s="9"/>
      <c r="Z4542" s="9"/>
      <c r="AA4542" s="9"/>
    </row>
    <row r="4543" spans="1:27">
      <c r="A4543" s="8"/>
      <c r="B4543" s="8"/>
      <c r="C4543" s="9"/>
      <c r="D4543" s="9"/>
      <c r="E4543" s="9"/>
      <c r="F4543" s="9"/>
      <c r="G4543" s="9"/>
      <c r="H4543" s="9"/>
      <c r="I4543" s="9"/>
      <c r="J4543" s="9"/>
      <c r="K4543" s="9"/>
      <c r="L4543" s="9"/>
      <c r="M4543" s="9"/>
      <c r="N4543" s="9"/>
      <c r="O4543" s="9"/>
      <c r="P4543" s="9"/>
      <c r="Q4543" s="9"/>
      <c r="R4543" s="9"/>
      <c r="S4543" s="9"/>
      <c r="T4543" s="9"/>
      <c r="U4543" s="9"/>
      <c r="V4543" s="9"/>
      <c r="W4543" s="9"/>
      <c r="X4543" s="9"/>
      <c r="Y4543" s="9"/>
      <c r="Z4543" s="9"/>
      <c r="AA4543" s="9"/>
    </row>
    <row r="4544" spans="1:27">
      <c r="A4544" s="8"/>
      <c r="B4544" s="8"/>
      <c r="C4544" s="9"/>
      <c r="D4544" s="9"/>
      <c r="E4544" s="9"/>
      <c r="F4544" s="9"/>
      <c r="G4544" s="9"/>
      <c r="H4544" s="9"/>
      <c r="I4544" s="9"/>
      <c r="J4544" s="9"/>
      <c r="K4544" s="9"/>
      <c r="L4544" s="9"/>
      <c r="M4544" s="9"/>
      <c r="N4544" s="9"/>
      <c r="O4544" s="9"/>
      <c r="P4544" s="9"/>
      <c r="Q4544" s="9"/>
      <c r="R4544" s="9"/>
      <c r="S4544" s="9"/>
      <c r="T4544" s="9"/>
      <c r="U4544" s="9"/>
      <c r="V4544" s="9"/>
      <c r="W4544" s="9"/>
      <c r="X4544" s="9"/>
      <c r="Y4544" s="9"/>
      <c r="Z4544" s="9"/>
      <c r="AA4544" s="9"/>
    </row>
    <row r="4545" spans="1:27">
      <c r="A4545" s="8"/>
      <c r="B4545" s="8"/>
      <c r="C4545" s="9"/>
      <c r="D4545" s="9"/>
      <c r="E4545" s="9"/>
      <c r="F4545" s="9"/>
      <c r="G4545" s="9"/>
      <c r="H4545" s="9"/>
      <c r="I4545" s="9"/>
      <c r="J4545" s="9"/>
      <c r="K4545" s="9"/>
      <c r="L4545" s="9"/>
      <c r="M4545" s="9"/>
      <c r="N4545" s="9"/>
      <c r="O4545" s="9"/>
      <c r="P4545" s="9"/>
      <c r="Q4545" s="9"/>
      <c r="R4545" s="9"/>
      <c r="S4545" s="9"/>
      <c r="T4545" s="9"/>
      <c r="U4545" s="9"/>
      <c r="V4545" s="9"/>
      <c r="W4545" s="9"/>
      <c r="X4545" s="9"/>
      <c r="Y4545" s="9"/>
      <c r="Z4545" s="9"/>
      <c r="AA4545" s="9"/>
    </row>
    <row r="4546" spans="1:27">
      <c r="A4546" s="8"/>
      <c r="B4546" s="8"/>
      <c r="C4546" s="9"/>
      <c r="D4546" s="9"/>
      <c r="E4546" s="9"/>
      <c r="F4546" s="9"/>
      <c r="G4546" s="9"/>
      <c r="H4546" s="9"/>
      <c r="I4546" s="9"/>
      <c r="J4546" s="9"/>
      <c r="K4546" s="9"/>
      <c r="L4546" s="9"/>
      <c r="M4546" s="9"/>
      <c r="N4546" s="9"/>
      <c r="O4546" s="9"/>
      <c r="P4546" s="9"/>
      <c r="Q4546" s="9"/>
      <c r="R4546" s="9"/>
      <c r="S4546" s="9"/>
      <c r="T4546" s="9"/>
      <c r="U4546" s="9"/>
      <c r="V4546" s="9"/>
      <c r="W4546" s="9"/>
      <c r="X4546" s="9"/>
      <c r="Y4546" s="9"/>
      <c r="Z4546" s="9"/>
      <c r="AA4546" s="9"/>
    </row>
    <row r="4547" spans="1:27">
      <c r="A4547" s="8"/>
      <c r="B4547" s="8"/>
      <c r="C4547" s="9"/>
      <c r="D4547" s="9"/>
      <c r="E4547" s="9"/>
      <c r="F4547" s="9"/>
      <c r="G4547" s="9"/>
      <c r="H4547" s="9"/>
      <c r="I4547" s="9"/>
      <c r="J4547" s="9"/>
      <c r="K4547" s="9"/>
      <c r="L4547" s="9"/>
      <c r="M4547" s="9"/>
      <c r="N4547" s="9"/>
      <c r="O4547" s="9"/>
      <c r="P4547" s="9"/>
      <c r="Q4547" s="9"/>
      <c r="R4547" s="9"/>
      <c r="S4547" s="9"/>
      <c r="T4547" s="9"/>
      <c r="U4547" s="9"/>
      <c r="V4547" s="9"/>
      <c r="W4547" s="9"/>
      <c r="X4547" s="9"/>
      <c r="Y4547" s="9"/>
      <c r="Z4547" s="9"/>
      <c r="AA4547" s="9"/>
    </row>
    <row r="4548" spans="1:27">
      <c r="A4548" s="8"/>
      <c r="B4548" s="8"/>
      <c r="C4548" s="9"/>
      <c r="D4548" s="9"/>
      <c r="E4548" s="9"/>
      <c r="F4548" s="9"/>
      <c r="G4548" s="9"/>
      <c r="H4548" s="9"/>
      <c r="I4548" s="9"/>
      <c r="J4548" s="9"/>
      <c r="K4548" s="9"/>
      <c r="L4548" s="9"/>
      <c r="M4548" s="9"/>
      <c r="N4548" s="9"/>
      <c r="O4548" s="9"/>
      <c r="P4548" s="9"/>
      <c r="Q4548" s="9"/>
      <c r="R4548" s="9"/>
      <c r="S4548" s="9"/>
      <c r="T4548" s="9"/>
      <c r="U4548" s="9"/>
      <c r="V4548" s="9"/>
      <c r="W4548" s="9"/>
      <c r="X4548" s="9"/>
      <c r="Y4548" s="9"/>
      <c r="Z4548" s="9"/>
      <c r="AA4548" s="9"/>
    </row>
    <row r="4549" spans="1:27">
      <c r="A4549" s="8"/>
      <c r="B4549" s="8"/>
      <c r="C4549" s="9"/>
      <c r="D4549" s="9"/>
      <c r="E4549" s="9"/>
      <c r="F4549" s="9"/>
      <c r="G4549" s="9"/>
      <c r="H4549" s="9"/>
      <c r="I4549" s="9"/>
      <c r="J4549" s="9"/>
      <c r="K4549" s="9"/>
      <c r="L4549" s="9"/>
      <c r="M4549" s="9"/>
      <c r="N4549" s="9"/>
      <c r="O4549" s="9"/>
      <c r="P4549" s="9"/>
      <c r="Q4549" s="9"/>
      <c r="R4549" s="9"/>
      <c r="S4549" s="9"/>
      <c r="T4549" s="9"/>
      <c r="U4549" s="9"/>
      <c r="V4549" s="9"/>
      <c r="W4549" s="9"/>
      <c r="X4549" s="9"/>
      <c r="Y4549" s="9"/>
      <c r="Z4549" s="9"/>
      <c r="AA4549" s="9"/>
    </row>
    <row r="4550" spans="1:27">
      <c r="A4550" s="8"/>
      <c r="B4550" s="8"/>
      <c r="C4550" s="9"/>
      <c r="D4550" s="9"/>
      <c r="E4550" s="9"/>
      <c r="F4550" s="9"/>
      <c r="G4550" s="9"/>
      <c r="H4550" s="9"/>
      <c r="I4550" s="9"/>
      <c r="J4550" s="9"/>
      <c r="K4550" s="9"/>
      <c r="L4550" s="9"/>
      <c r="M4550" s="9"/>
      <c r="N4550" s="9"/>
      <c r="O4550" s="9"/>
      <c r="P4550" s="9"/>
      <c r="Q4550" s="9"/>
      <c r="R4550" s="9"/>
      <c r="S4550" s="9"/>
      <c r="T4550" s="9"/>
      <c r="U4550" s="9"/>
      <c r="V4550" s="9"/>
      <c r="W4550" s="9"/>
      <c r="X4550" s="9"/>
      <c r="Y4550" s="9"/>
      <c r="Z4550" s="9"/>
      <c r="AA4550" s="9"/>
    </row>
    <row r="4551" spans="1:27">
      <c r="A4551" s="8"/>
      <c r="B4551" s="8"/>
      <c r="C4551" s="9"/>
      <c r="D4551" s="9"/>
      <c r="E4551" s="9"/>
      <c r="F4551" s="9"/>
      <c r="G4551" s="9"/>
      <c r="H4551" s="9"/>
      <c r="I4551" s="9"/>
      <c r="J4551" s="9"/>
      <c r="K4551" s="9"/>
      <c r="L4551" s="9"/>
      <c r="M4551" s="9"/>
      <c r="N4551" s="9"/>
      <c r="O4551" s="9"/>
      <c r="P4551" s="9"/>
      <c r="Q4551" s="9"/>
      <c r="R4551" s="9"/>
      <c r="S4551" s="9"/>
      <c r="T4551" s="9"/>
      <c r="U4551" s="9"/>
      <c r="V4551" s="9"/>
      <c r="W4551" s="9"/>
      <c r="X4551" s="9"/>
      <c r="Y4551" s="9"/>
      <c r="Z4551" s="9"/>
      <c r="AA4551" s="9"/>
    </row>
    <row r="4552" spans="1:27">
      <c r="A4552" s="8"/>
      <c r="B4552" s="8"/>
      <c r="C4552" s="9"/>
      <c r="D4552" s="9"/>
      <c r="E4552" s="9"/>
      <c r="F4552" s="9"/>
      <c r="G4552" s="9"/>
      <c r="H4552" s="9"/>
      <c r="I4552" s="9"/>
      <c r="J4552" s="9"/>
      <c r="K4552" s="9"/>
      <c r="L4552" s="9"/>
      <c r="M4552" s="9"/>
      <c r="N4552" s="9"/>
      <c r="O4552" s="9"/>
      <c r="P4552" s="9"/>
      <c r="Q4552" s="9"/>
      <c r="R4552" s="9"/>
      <c r="S4552" s="9"/>
      <c r="T4552" s="9"/>
      <c r="U4552" s="9"/>
      <c r="V4552" s="9"/>
      <c r="W4552" s="9"/>
      <c r="X4552" s="9"/>
      <c r="Y4552" s="9"/>
      <c r="Z4552" s="9"/>
      <c r="AA4552" s="9"/>
    </row>
    <row r="4553" spans="1:27">
      <c r="A4553" s="8"/>
      <c r="B4553" s="8"/>
      <c r="C4553" s="9"/>
      <c r="D4553" s="9"/>
      <c r="E4553" s="9"/>
      <c r="F4553" s="9"/>
      <c r="G4553" s="9"/>
      <c r="H4553" s="9"/>
      <c r="I4553" s="9"/>
      <c r="J4553" s="9"/>
      <c r="K4553" s="9"/>
      <c r="L4553" s="9"/>
      <c r="M4553" s="9"/>
      <c r="N4553" s="9"/>
      <c r="O4553" s="9"/>
      <c r="P4553" s="9"/>
      <c r="Q4553" s="9"/>
      <c r="R4553" s="9"/>
      <c r="S4553" s="9"/>
      <c r="T4553" s="9"/>
      <c r="U4553" s="9"/>
      <c r="V4553" s="9"/>
      <c r="W4553" s="9"/>
      <c r="X4553" s="9"/>
      <c r="Y4553" s="9"/>
      <c r="Z4553" s="9"/>
      <c r="AA4553" s="9"/>
    </row>
    <row r="4554" spans="1:27">
      <c r="A4554" s="8"/>
      <c r="B4554" s="8"/>
      <c r="C4554" s="9"/>
      <c r="D4554" s="9"/>
      <c r="E4554" s="9"/>
      <c r="F4554" s="9"/>
      <c r="G4554" s="9"/>
      <c r="H4554" s="9"/>
      <c r="I4554" s="9"/>
      <c r="J4554" s="9"/>
      <c r="K4554" s="9"/>
      <c r="L4554" s="9"/>
      <c r="M4554" s="9"/>
      <c r="N4554" s="9"/>
      <c r="O4554" s="9"/>
      <c r="P4554" s="9"/>
      <c r="Q4554" s="9"/>
      <c r="R4554" s="9"/>
      <c r="S4554" s="9"/>
      <c r="T4554" s="9"/>
      <c r="U4554" s="9"/>
      <c r="V4554" s="9"/>
      <c r="W4554" s="9"/>
      <c r="X4554" s="9"/>
      <c r="Y4554" s="9"/>
      <c r="Z4554" s="9"/>
      <c r="AA4554" s="9"/>
    </row>
    <row r="4555" spans="1:27">
      <c r="A4555" s="8"/>
      <c r="B4555" s="8"/>
      <c r="C4555" s="9"/>
      <c r="D4555" s="9"/>
      <c r="E4555" s="9"/>
      <c r="F4555" s="9"/>
      <c r="G4555" s="9"/>
      <c r="H4555" s="9"/>
      <c r="I4555" s="9"/>
      <c r="J4555" s="9"/>
      <c r="K4555" s="9"/>
      <c r="L4555" s="9"/>
      <c r="M4555" s="9"/>
      <c r="N4555" s="9"/>
      <c r="O4555" s="9"/>
      <c r="P4555" s="9"/>
      <c r="Q4555" s="9"/>
      <c r="R4555" s="9"/>
      <c r="S4555" s="9"/>
      <c r="T4555" s="9"/>
      <c r="U4555" s="9"/>
      <c r="V4555" s="9"/>
      <c r="W4555" s="9"/>
      <c r="X4555" s="9"/>
      <c r="Y4555" s="9"/>
      <c r="Z4555" s="9"/>
      <c r="AA4555" s="9"/>
    </row>
    <row r="4556" spans="1:27">
      <c r="A4556" s="8"/>
      <c r="B4556" s="8"/>
      <c r="C4556" s="9"/>
      <c r="D4556" s="9"/>
      <c r="E4556" s="9"/>
      <c r="F4556" s="9"/>
      <c r="G4556" s="9"/>
      <c r="H4556" s="9"/>
      <c r="I4556" s="9"/>
      <c r="J4556" s="9"/>
      <c r="K4556" s="9"/>
      <c r="L4556" s="9"/>
      <c r="M4556" s="9"/>
      <c r="N4556" s="9"/>
      <c r="O4556" s="9"/>
      <c r="P4556" s="9"/>
      <c r="Q4556" s="9"/>
      <c r="R4556" s="9"/>
      <c r="S4556" s="9"/>
      <c r="T4556" s="9"/>
      <c r="U4556" s="9"/>
      <c r="V4556" s="9"/>
      <c r="W4556" s="9"/>
      <c r="X4556" s="9"/>
      <c r="Y4556" s="9"/>
      <c r="Z4556" s="9"/>
      <c r="AA4556" s="9"/>
    </row>
    <row r="4557" spans="1:27">
      <c r="A4557" s="8"/>
      <c r="B4557" s="8"/>
      <c r="C4557" s="9"/>
      <c r="D4557" s="9"/>
      <c r="E4557" s="9"/>
      <c r="F4557" s="9"/>
      <c r="G4557" s="9"/>
      <c r="H4557" s="9"/>
      <c r="I4557" s="9"/>
      <c r="J4557" s="9"/>
      <c r="K4557" s="9"/>
      <c r="L4557" s="9"/>
      <c r="M4557" s="9"/>
      <c r="N4557" s="9"/>
      <c r="O4557" s="9"/>
      <c r="P4557" s="9"/>
      <c r="Q4557" s="9"/>
      <c r="R4557" s="9"/>
      <c r="S4557" s="9"/>
      <c r="T4557" s="9"/>
      <c r="U4557" s="9"/>
      <c r="V4557" s="9"/>
      <c r="W4557" s="9"/>
      <c r="X4557" s="9"/>
      <c r="Y4557" s="9"/>
      <c r="Z4557" s="9"/>
      <c r="AA4557" s="9"/>
    </row>
    <row r="4558" spans="1:27">
      <c r="A4558" s="8"/>
      <c r="B4558" s="8"/>
      <c r="C4558" s="9"/>
      <c r="D4558" s="9"/>
      <c r="E4558" s="9"/>
      <c r="F4558" s="9"/>
      <c r="G4558" s="9"/>
      <c r="H4558" s="9"/>
      <c r="I4558" s="9"/>
      <c r="J4558" s="9"/>
      <c r="K4558" s="9"/>
      <c r="L4558" s="9"/>
      <c r="M4558" s="9"/>
      <c r="N4558" s="9"/>
      <c r="O4558" s="9"/>
      <c r="P4558" s="9"/>
      <c r="Q4558" s="9"/>
      <c r="R4558" s="9"/>
      <c r="S4558" s="9"/>
      <c r="T4558" s="9"/>
      <c r="U4558" s="9"/>
      <c r="V4558" s="9"/>
      <c r="W4558" s="9"/>
      <c r="X4558" s="9"/>
      <c r="Y4558" s="9"/>
      <c r="Z4558" s="9"/>
      <c r="AA4558" s="9"/>
    </row>
    <row r="4559" spans="1:27">
      <c r="A4559" s="8"/>
      <c r="B4559" s="8"/>
      <c r="C4559" s="9"/>
      <c r="D4559" s="9"/>
      <c r="E4559" s="9"/>
      <c r="F4559" s="9"/>
      <c r="G4559" s="9"/>
      <c r="H4559" s="9"/>
      <c r="I4559" s="9"/>
      <c r="J4559" s="9"/>
      <c r="K4559" s="9"/>
      <c r="L4559" s="9"/>
      <c r="M4559" s="9"/>
      <c r="N4559" s="9"/>
      <c r="O4559" s="9"/>
      <c r="P4559" s="9"/>
      <c r="Q4559" s="9"/>
      <c r="R4559" s="9"/>
      <c r="S4559" s="9"/>
      <c r="T4559" s="9"/>
      <c r="U4559" s="9"/>
      <c r="V4559" s="9"/>
      <c r="W4559" s="9"/>
      <c r="X4559" s="9"/>
      <c r="Y4559" s="9"/>
      <c r="Z4559" s="9"/>
      <c r="AA4559" s="9"/>
    </row>
    <row r="4560" spans="1:27">
      <c r="A4560" s="8"/>
      <c r="B4560" s="8"/>
      <c r="C4560" s="9"/>
      <c r="D4560" s="9"/>
      <c r="E4560" s="9"/>
      <c r="F4560" s="9"/>
      <c r="G4560" s="9"/>
      <c r="H4560" s="9"/>
      <c r="I4560" s="9"/>
      <c r="J4560" s="9"/>
      <c r="K4560" s="9"/>
      <c r="L4560" s="9"/>
      <c r="M4560" s="9"/>
      <c r="N4560" s="9"/>
      <c r="O4560" s="9"/>
      <c r="P4560" s="9"/>
      <c r="Q4560" s="9"/>
      <c r="R4560" s="9"/>
      <c r="S4560" s="9"/>
      <c r="T4560" s="9"/>
      <c r="U4560" s="9"/>
      <c r="V4560" s="9"/>
      <c r="W4560" s="9"/>
      <c r="X4560" s="9"/>
      <c r="Y4560" s="9"/>
      <c r="Z4560" s="9"/>
      <c r="AA4560" s="9"/>
    </row>
    <row r="4561" spans="1:27">
      <c r="A4561" s="8"/>
      <c r="B4561" s="8"/>
      <c r="C4561" s="9"/>
      <c r="D4561" s="9"/>
      <c r="E4561" s="9"/>
      <c r="F4561" s="9"/>
      <c r="G4561" s="9"/>
      <c r="H4561" s="9"/>
      <c r="I4561" s="9"/>
      <c r="J4561" s="9"/>
      <c r="K4561" s="9"/>
      <c r="L4561" s="9"/>
      <c r="M4561" s="9"/>
      <c r="N4561" s="9"/>
      <c r="O4561" s="9"/>
      <c r="P4561" s="9"/>
      <c r="Q4561" s="9"/>
      <c r="R4561" s="9"/>
      <c r="S4561" s="9"/>
      <c r="T4561" s="9"/>
      <c r="U4561" s="9"/>
      <c r="V4561" s="9"/>
      <c r="W4561" s="9"/>
      <c r="X4561" s="9"/>
      <c r="Y4561" s="9"/>
      <c r="Z4561" s="9"/>
      <c r="AA4561" s="9"/>
    </row>
    <row r="4562" spans="1:27">
      <c r="A4562" s="8"/>
      <c r="B4562" s="8"/>
      <c r="C4562" s="9"/>
      <c r="D4562" s="9"/>
      <c r="E4562" s="9"/>
      <c r="F4562" s="9"/>
      <c r="G4562" s="9"/>
      <c r="H4562" s="9"/>
      <c r="I4562" s="9"/>
      <c r="J4562" s="9"/>
      <c r="K4562" s="9"/>
      <c r="L4562" s="9"/>
      <c r="M4562" s="9"/>
      <c r="N4562" s="9"/>
      <c r="O4562" s="9"/>
      <c r="P4562" s="9"/>
      <c r="Q4562" s="9"/>
      <c r="R4562" s="9"/>
      <c r="S4562" s="9"/>
      <c r="T4562" s="9"/>
      <c r="U4562" s="9"/>
      <c r="V4562" s="9"/>
      <c r="W4562" s="9"/>
      <c r="X4562" s="9"/>
      <c r="Y4562" s="9"/>
      <c r="Z4562" s="9"/>
      <c r="AA4562" s="9"/>
    </row>
    <row r="4563" spans="1:27">
      <c r="A4563" s="8"/>
      <c r="B4563" s="8"/>
      <c r="C4563" s="9"/>
      <c r="D4563" s="9"/>
      <c r="E4563" s="9"/>
      <c r="F4563" s="9"/>
      <c r="G4563" s="9"/>
      <c r="H4563" s="9"/>
      <c r="I4563" s="9"/>
      <c r="J4563" s="9"/>
      <c r="K4563" s="9"/>
      <c r="L4563" s="9"/>
      <c r="M4563" s="9"/>
      <c r="N4563" s="9"/>
      <c r="O4563" s="9"/>
      <c r="P4563" s="9"/>
      <c r="Q4563" s="9"/>
      <c r="R4563" s="9"/>
      <c r="S4563" s="9"/>
      <c r="T4563" s="9"/>
      <c r="U4563" s="9"/>
      <c r="V4563" s="9"/>
      <c r="W4563" s="9"/>
      <c r="X4563" s="9"/>
      <c r="Y4563" s="9"/>
      <c r="Z4563" s="9"/>
      <c r="AA4563" s="9"/>
    </row>
    <row r="4564" spans="1:27">
      <c r="A4564" s="8"/>
      <c r="B4564" s="8"/>
      <c r="C4564" s="9"/>
      <c r="D4564" s="9"/>
      <c r="E4564" s="9"/>
      <c r="F4564" s="9"/>
      <c r="G4564" s="9"/>
      <c r="H4564" s="9"/>
      <c r="I4564" s="9"/>
      <c r="J4564" s="9"/>
      <c r="K4564" s="9"/>
      <c r="L4564" s="9"/>
      <c r="M4564" s="9"/>
      <c r="N4564" s="9"/>
      <c r="O4564" s="9"/>
      <c r="P4564" s="9"/>
      <c r="Q4564" s="9"/>
      <c r="R4564" s="9"/>
      <c r="S4564" s="9"/>
      <c r="T4564" s="9"/>
      <c r="U4564" s="9"/>
      <c r="V4564" s="9"/>
      <c r="W4564" s="9"/>
      <c r="X4564" s="9"/>
      <c r="Y4564" s="9"/>
      <c r="Z4564" s="9"/>
      <c r="AA4564" s="9"/>
    </row>
    <row r="4565" spans="1:27">
      <c r="A4565" s="8"/>
      <c r="B4565" s="8"/>
      <c r="C4565" s="9"/>
      <c r="D4565" s="9"/>
      <c r="E4565" s="9"/>
      <c r="F4565" s="9"/>
      <c r="G4565" s="9"/>
      <c r="H4565" s="9"/>
      <c r="I4565" s="9"/>
      <c r="J4565" s="9"/>
      <c r="K4565" s="9"/>
      <c r="L4565" s="9"/>
      <c r="M4565" s="9"/>
      <c r="N4565" s="9"/>
      <c r="O4565" s="9"/>
      <c r="P4565" s="9"/>
      <c r="Q4565" s="9"/>
      <c r="R4565" s="9"/>
      <c r="S4565" s="9"/>
      <c r="T4565" s="9"/>
      <c r="U4565" s="9"/>
      <c r="V4565" s="9"/>
      <c r="W4565" s="9"/>
      <c r="X4565" s="9"/>
      <c r="Y4565" s="9"/>
      <c r="Z4565" s="9"/>
      <c r="AA4565" s="9"/>
    </row>
    <row r="4566" spans="1:27">
      <c r="A4566" s="8"/>
      <c r="B4566" s="8"/>
      <c r="C4566" s="9"/>
      <c r="D4566" s="9"/>
      <c r="E4566" s="9"/>
      <c r="F4566" s="9"/>
      <c r="G4566" s="9"/>
      <c r="H4566" s="9"/>
      <c r="I4566" s="9"/>
      <c r="J4566" s="9"/>
      <c r="K4566" s="9"/>
      <c r="L4566" s="9"/>
      <c r="M4566" s="9"/>
      <c r="N4566" s="9"/>
      <c r="O4566" s="9"/>
      <c r="P4566" s="9"/>
      <c r="Q4566" s="9"/>
      <c r="R4566" s="9"/>
      <c r="S4566" s="9"/>
      <c r="T4566" s="9"/>
      <c r="U4566" s="9"/>
      <c r="V4566" s="9"/>
      <c r="W4566" s="9"/>
      <c r="X4566" s="9"/>
      <c r="Y4566" s="9"/>
      <c r="Z4566" s="9"/>
      <c r="AA4566" s="9"/>
    </row>
    <row r="4567" spans="1:27">
      <c r="A4567" s="8"/>
      <c r="B4567" s="8"/>
      <c r="C4567" s="9"/>
      <c r="D4567" s="9"/>
      <c r="E4567" s="9"/>
      <c r="F4567" s="9"/>
      <c r="G4567" s="9"/>
      <c r="H4567" s="9"/>
      <c r="I4567" s="9"/>
      <c r="J4567" s="9"/>
      <c r="K4567" s="9"/>
      <c r="L4567" s="9"/>
      <c r="M4567" s="9"/>
      <c r="N4567" s="9"/>
      <c r="O4567" s="9"/>
      <c r="P4567" s="9"/>
      <c r="Q4567" s="9"/>
      <c r="R4567" s="9"/>
      <c r="S4567" s="9"/>
      <c r="T4567" s="9"/>
      <c r="U4567" s="9"/>
      <c r="V4567" s="9"/>
      <c r="W4567" s="9"/>
      <c r="X4567" s="9"/>
      <c r="Y4567" s="9"/>
      <c r="Z4567" s="9"/>
      <c r="AA4567" s="9"/>
    </row>
    <row r="4568" spans="1:27">
      <c r="A4568" s="8"/>
      <c r="B4568" s="8"/>
      <c r="C4568" s="9"/>
      <c r="D4568" s="9"/>
      <c r="E4568" s="9"/>
      <c r="F4568" s="9"/>
      <c r="G4568" s="9"/>
      <c r="H4568" s="9"/>
      <c r="I4568" s="9"/>
      <c r="J4568" s="9"/>
      <c r="K4568" s="9"/>
      <c r="L4568" s="9"/>
      <c r="M4568" s="9"/>
      <c r="N4568" s="9"/>
      <c r="O4568" s="9"/>
      <c r="P4568" s="9"/>
      <c r="Q4568" s="9"/>
      <c r="R4568" s="9"/>
      <c r="S4568" s="9"/>
      <c r="T4568" s="9"/>
      <c r="U4568" s="9"/>
      <c r="V4568" s="9"/>
      <c r="W4568" s="9"/>
      <c r="X4568" s="9"/>
      <c r="Y4568" s="9"/>
      <c r="Z4568" s="9"/>
      <c r="AA4568" s="9"/>
    </row>
    <row r="4569" spans="1:27">
      <c r="A4569" s="8"/>
      <c r="B4569" s="8"/>
      <c r="C4569" s="9"/>
      <c r="D4569" s="9"/>
      <c r="E4569" s="9"/>
      <c r="F4569" s="9"/>
      <c r="G4569" s="9"/>
      <c r="H4569" s="9"/>
      <c r="I4569" s="9"/>
      <c r="J4569" s="9"/>
      <c r="K4569" s="9"/>
      <c r="L4569" s="9"/>
      <c r="M4569" s="9"/>
      <c r="N4569" s="9"/>
      <c r="O4569" s="9"/>
      <c r="P4569" s="9"/>
      <c r="Q4569" s="9"/>
      <c r="R4569" s="9"/>
      <c r="S4569" s="9"/>
      <c r="T4569" s="9"/>
      <c r="U4569" s="9"/>
      <c r="V4569" s="9"/>
      <c r="W4569" s="9"/>
      <c r="X4569" s="9"/>
      <c r="Y4569" s="9"/>
      <c r="Z4569" s="9"/>
      <c r="AA4569" s="9"/>
    </row>
    <row r="4570" spans="1:27">
      <c r="A4570" s="8"/>
      <c r="B4570" s="8"/>
      <c r="C4570" s="9"/>
      <c r="D4570" s="9"/>
      <c r="E4570" s="9"/>
      <c r="F4570" s="9"/>
      <c r="G4570" s="9"/>
      <c r="H4570" s="9"/>
      <c r="I4570" s="9"/>
      <c r="J4570" s="9"/>
      <c r="K4570" s="9"/>
      <c r="L4570" s="9"/>
      <c r="M4570" s="9"/>
      <c r="N4570" s="9"/>
      <c r="O4570" s="9"/>
      <c r="P4570" s="9"/>
      <c r="Q4570" s="9"/>
      <c r="R4570" s="9"/>
      <c r="S4570" s="9"/>
      <c r="T4570" s="9"/>
      <c r="U4570" s="9"/>
      <c r="V4570" s="9"/>
      <c r="W4570" s="9"/>
      <c r="X4570" s="9"/>
      <c r="Y4570" s="9"/>
      <c r="Z4570" s="9"/>
      <c r="AA4570" s="9"/>
    </row>
    <row r="4571" spans="1:27">
      <c r="A4571" s="8"/>
      <c r="B4571" s="8"/>
      <c r="C4571" s="9"/>
      <c r="D4571" s="9"/>
      <c r="E4571" s="9"/>
      <c r="F4571" s="9"/>
      <c r="G4571" s="9"/>
      <c r="H4571" s="9"/>
      <c r="I4571" s="9"/>
      <c r="J4571" s="9"/>
      <c r="K4571" s="9"/>
      <c r="L4571" s="9"/>
      <c r="M4571" s="9"/>
      <c r="N4571" s="9"/>
      <c r="O4571" s="9"/>
      <c r="P4571" s="9"/>
      <c r="Q4571" s="9"/>
      <c r="R4571" s="9"/>
      <c r="S4571" s="9"/>
      <c r="T4571" s="9"/>
      <c r="U4571" s="9"/>
      <c r="V4571" s="9"/>
      <c r="W4571" s="9"/>
      <c r="X4571" s="9"/>
      <c r="Y4571" s="9"/>
      <c r="Z4571" s="9"/>
      <c r="AA4571" s="9"/>
    </row>
    <row r="4572" spans="1:27">
      <c r="A4572" s="8"/>
      <c r="B4572" s="8"/>
      <c r="C4572" s="9"/>
      <c r="D4572" s="9"/>
      <c r="E4572" s="9"/>
      <c r="F4572" s="9"/>
      <c r="G4572" s="9"/>
      <c r="H4572" s="9"/>
      <c r="I4572" s="9"/>
      <c r="J4572" s="9"/>
      <c r="K4572" s="9"/>
      <c r="L4572" s="9"/>
      <c r="M4572" s="9"/>
      <c r="N4572" s="9"/>
      <c r="O4572" s="9"/>
      <c r="P4572" s="9"/>
      <c r="Q4572" s="9"/>
      <c r="R4572" s="9"/>
      <c r="S4572" s="9"/>
      <c r="T4572" s="9"/>
      <c r="U4572" s="9"/>
      <c r="V4572" s="9"/>
      <c r="W4572" s="9"/>
      <c r="X4572" s="9"/>
      <c r="Y4572" s="9"/>
      <c r="Z4572" s="9"/>
      <c r="AA4572" s="9"/>
    </row>
    <row r="4573" spans="1:27">
      <c r="A4573" s="8"/>
      <c r="B4573" s="8"/>
      <c r="C4573" s="9"/>
      <c r="D4573" s="9"/>
      <c r="E4573" s="9"/>
      <c r="F4573" s="9"/>
      <c r="G4573" s="9"/>
      <c r="H4573" s="9"/>
      <c r="I4573" s="9"/>
      <c r="J4573" s="9"/>
      <c r="K4573" s="9"/>
      <c r="L4573" s="9"/>
      <c r="M4573" s="9"/>
      <c r="N4573" s="9"/>
      <c r="O4573" s="9"/>
      <c r="P4573" s="9"/>
      <c r="Q4573" s="9"/>
      <c r="R4573" s="9"/>
      <c r="S4573" s="9"/>
      <c r="T4573" s="9"/>
      <c r="U4573" s="9"/>
      <c r="V4573" s="9"/>
      <c r="W4573" s="9"/>
      <c r="X4573" s="9"/>
      <c r="Y4573" s="9"/>
      <c r="Z4573" s="9"/>
      <c r="AA4573" s="9"/>
    </row>
    <row r="4574" spans="1:27">
      <c r="A4574" s="8"/>
      <c r="B4574" s="8"/>
      <c r="C4574" s="9"/>
      <c r="D4574" s="9"/>
      <c r="E4574" s="9"/>
      <c r="F4574" s="9"/>
      <c r="G4574" s="9"/>
      <c r="H4574" s="9"/>
      <c r="I4574" s="9"/>
      <c r="J4574" s="9"/>
      <c r="K4574" s="9"/>
      <c r="L4574" s="9"/>
      <c r="M4574" s="9"/>
      <c r="N4574" s="9"/>
      <c r="O4574" s="9"/>
      <c r="P4574" s="9"/>
      <c r="Q4574" s="9"/>
      <c r="R4574" s="9"/>
      <c r="S4574" s="9"/>
      <c r="T4574" s="9"/>
      <c r="U4574" s="9"/>
      <c r="V4574" s="9"/>
      <c r="W4574" s="9"/>
      <c r="X4574" s="9"/>
      <c r="Y4574" s="9"/>
      <c r="Z4574" s="9"/>
      <c r="AA4574" s="9"/>
    </row>
    <row r="4575" spans="1:27">
      <c r="A4575" s="8"/>
      <c r="B4575" s="8"/>
      <c r="C4575" s="9"/>
      <c r="D4575" s="9"/>
      <c r="E4575" s="9"/>
      <c r="F4575" s="9"/>
      <c r="G4575" s="9"/>
      <c r="H4575" s="9"/>
      <c r="I4575" s="9"/>
      <c r="J4575" s="9"/>
      <c r="K4575" s="9"/>
      <c r="L4575" s="9"/>
      <c r="M4575" s="9"/>
      <c r="N4575" s="9"/>
      <c r="O4575" s="9"/>
      <c r="P4575" s="9"/>
      <c r="Q4575" s="9"/>
      <c r="R4575" s="9"/>
      <c r="S4575" s="9"/>
      <c r="T4575" s="9"/>
      <c r="U4575" s="9"/>
      <c r="V4575" s="9"/>
      <c r="W4575" s="9"/>
      <c r="X4575" s="9"/>
      <c r="Y4575" s="9"/>
      <c r="Z4575" s="9"/>
      <c r="AA4575" s="9"/>
    </row>
    <row r="4576" spans="1:27">
      <c r="A4576" s="8"/>
      <c r="B4576" s="8"/>
      <c r="C4576" s="9"/>
      <c r="D4576" s="9"/>
      <c r="E4576" s="9"/>
      <c r="F4576" s="9"/>
      <c r="G4576" s="9"/>
      <c r="H4576" s="9"/>
      <c r="I4576" s="9"/>
      <c r="J4576" s="9"/>
      <c r="K4576" s="9"/>
      <c r="L4576" s="9"/>
      <c r="M4576" s="9"/>
      <c r="N4576" s="9"/>
      <c r="O4576" s="9"/>
      <c r="P4576" s="9"/>
      <c r="Q4576" s="9"/>
      <c r="R4576" s="9"/>
      <c r="S4576" s="9"/>
      <c r="T4576" s="9"/>
      <c r="U4576" s="9"/>
      <c r="V4576" s="9"/>
      <c r="W4576" s="9"/>
      <c r="X4576" s="9"/>
      <c r="Y4576" s="9"/>
      <c r="Z4576" s="9"/>
      <c r="AA4576" s="9"/>
    </row>
    <row r="4577" spans="1:27">
      <c r="A4577" s="8"/>
      <c r="B4577" s="8"/>
      <c r="C4577" s="9"/>
      <c r="D4577" s="9"/>
      <c r="E4577" s="9"/>
      <c r="F4577" s="9"/>
      <c r="G4577" s="9"/>
      <c r="H4577" s="9"/>
      <c r="I4577" s="9"/>
      <c r="J4577" s="9"/>
      <c r="K4577" s="9"/>
      <c r="L4577" s="9"/>
      <c r="M4577" s="9"/>
      <c r="N4577" s="9"/>
      <c r="O4577" s="9"/>
      <c r="P4577" s="9"/>
      <c r="Q4577" s="9"/>
      <c r="R4577" s="9"/>
      <c r="S4577" s="9"/>
      <c r="T4577" s="9"/>
      <c r="U4577" s="9"/>
      <c r="V4577" s="9"/>
      <c r="W4577" s="9"/>
      <c r="X4577" s="9"/>
      <c r="Y4577" s="9"/>
      <c r="Z4577" s="9"/>
      <c r="AA4577" s="9"/>
    </row>
    <row r="4578" spans="1:27">
      <c r="A4578" s="8"/>
      <c r="B4578" s="8"/>
      <c r="C4578" s="9"/>
      <c r="D4578" s="9"/>
      <c r="E4578" s="9"/>
      <c r="F4578" s="9"/>
      <c r="G4578" s="9"/>
      <c r="H4578" s="9"/>
      <c r="I4578" s="9"/>
      <c r="J4578" s="9"/>
      <c r="K4578" s="9"/>
      <c r="L4578" s="9"/>
      <c r="M4578" s="9"/>
      <c r="N4578" s="9"/>
      <c r="O4578" s="9"/>
      <c r="P4578" s="9"/>
      <c r="Q4578" s="9"/>
      <c r="R4578" s="9"/>
      <c r="S4578" s="9"/>
      <c r="T4578" s="9"/>
      <c r="U4578" s="9"/>
      <c r="V4578" s="9"/>
      <c r="W4578" s="9"/>
      <c r="X4578" s="9"/>
      <c r="Y4578" s="9"/>
      <c r="Z4578" s="9"/>
      <c r="AA4578" s="9"/>
    </row>
    <row r="4579" spans="1:27">
      <c r="A4579" s="8"/>
      <c r="B4579" s="8"/>
      <c r="C4579" s="9"/>
      <c r="D4579" s="9"/>
      <c r="E4579" s="9"/>
      <c r="F4579" s="9"/>
      <c r="G4579" s="9"/>
      <c r="H4579" s="9"/>
      <c r="I4579" s="9"/>
      <c r="J4579" s="9"/>
      <c r="K4579" s="9"/>
      <c r="L4579" s="9"/>
      <c r="M4579" s="9"/>
      <c r="N4579" s="9"/>
      <c r="O4579" s="9"/>
      <c r="P4579" s="9"/>
      <c r="Q4579" s="9"/>
      <c r="R4579" s="9"/>
      <c r="S4579" s="9"/>
      <c r="T4579" s="9"/>
      <c r="U4579" s="9"/>
      <c r="V4579" s="9"/>
      <c r="W4579" s="9"/>
      <c r="X4579" s="9"/>
      <c r="Y4579" s="9"/>
      <c r="Z4579" s="9"/>
      <c r="AA4579" s="9"/>
    </row>
    <row r="4580" spans="1:27">
      <c r="A4580" s="8"/>
      <c r="B4580" s="8"/>
      <c r="C4580" s="9"/>
      <c r="D4580" s="9"/>
      <c r="E4580" s="9"/>
      <c r="F4580" s="9"/>
      <c r="G4580" s="9"/>
      <c r="H4580" s="9"/>
      <c r="I4580" s="9"/>
      <c r="J4580" s="9"/>
      <c r="K4580" s="9"/>
      <c r="L4580" s="9"/>
      <c r="M4580" s="9"/>
      <c r="N4580" s="9"/>
      <c r="O4580" s="9"/>
      <c r="P4580" s="9"/>
      <c r="Q4580" s="9"/>
      <c r="R4580" s="9"/>
      <c r="S4580" s="9"/>
      <c r="T4580" s="9"/>
      <c r="U4580" s="9"/>
      <c r="V4580" s="9"/>
      <c r="W4580" s="9"/>
      <c r="X4580" s="9"/>
      <c r="Y4580" s="9"/>
      <c r="Z4580" s="9"/>
      <c r="AA4580" s="9"/>
    </row>
    <row r="4581" spans="1:27">
      <c r="A4581" s="8"/>
      <c r="B4581" s="8"/>
      <c r="C4581" s="9"/>
      <c r="D4581" s="9"/>
      <c r="E4581" s="9"/>
      <c r="F4581" s="9"/>
      <c r="G4581" s="9"/>
      <c r="H4581" s="9"/>
      <c r="I4581" s="9"/>
      <c r="J4581" s="9"/>
      <c r="K4581" s="9"/>
      <c r="L4581" s="9"/>
      <c r="M4581" s="9"/>
      <c r="N4581" s="9"/>
      <c r="O4581" s="9"/>
      <c r="P4581" s="9"/>
      <c r="Q4581" s="9"/>
      <c r="R4581" s="9"/>
      <c r="S4581" s="9"/>
      <c r="T4581" s="9"/>
      <c r="U4581" s="9"/>
      <c r="V4581" s="9"/>
      <c r="W4581" s="9"/>
      <c r="X4581" s="9"/>
      <c r="Y4581" s="9"/>
      <c r="Z4581" s="9"/>
      <c r="AA4581" s="9"/>
    </row>
    <row r="4582" spans="1:27">
      <c r="A4582" s="8"/>
      <c r="B4582" s="8"/>
      <c r="C4582" s="9"/>
      <c r="D4582" s="9"/>
      <c r="E4582" s="9"/>
      <c r="F4582" s="9"/>
      <c r="G4582" s="9"/>
      <c r="H4582" s="9"/>
      <c r="I4582" s="9"/>
      <c r="J4582" s="9"/>
      <c r="K4582" s="9"/>
      <c r="L4582" s="9"/>
      <c r="M4582" s="9"/>
      <c r="N4582" s="9"/>
      <c r="O4582" s="9"/>
      <c r="P4582" s="9"/>
      <c r="Q4582" s="9"/>
      <c r="R4582" s="9"/>
      <c r="S4582" s="9"/>
      <c r="T4582" s="9"/>
      <c r="U4582" s="9"/>
      <c r="V4582" s="9"/>
      <c r="W4582" s="9"/>
      <c r="X4582" s="9"/>
      <c r="Y4582" s="9"/>
      <c r="Z4582" s="9"/>
      <c r="AA4582" s="9"/>
    </row>
    <row r="4583" spans="1:27">
      <c r="A4583" s="8"/>
      <c r="B4583" s="8"/>
      <c r="C4583" s="9"/>
      <c r="D4583" s="9"/>
      <c r="E4583" s="9"/>
      <c r="F4583" s="9"/>
      <c r="G4583" s="9"/>
      <c r="H4583" s="9"/>
      <c r="I4583" s="9"/>
      <c r="J4583" s="9"/>
      <c r="K4583" s="9"/>
      <c r="L4583" s="9"/>
      <c r="M4583" s="9"/>
      <c r="N4583" s="9"/>
      <c r="O4583" s="9"/>
      <c r="P4583" s="9"/>
      <c r="Q4583" s="9"/>
      <c r="R4583" s="9"/>
      <c r="S4583" s="9"/>
      <c r="T4583" s="9"/>
      <c r="U4583" s="9"/>
      <c r="V4583" s="9"/>
      <c r="W4583" s="9"/>
      <c r="X4583" s="9"/>
      <c r="Y4583" s="9"/>
      <c r="Z4583" s="9"/>
      <c r="AA4583" s="9"/>
    </row>
    <row r="4584" spans="1:27">
      <c r="A4584" s="8"/>
      <c r="B4584" s="8"/>
      <c r="C4584" s="9"/>
      <c r="D4584" s="9"/>
      <c r="E4584" s="9"/>
      <c r="F4584" s="9"/>
      <c r="G4584" s="9"/>
      <c r="H4584" s="9"/>
      <c r="I4584" s="9"/>
      <c r="J4584" s="9"/>
      <c r="K4584" s="9"/>
      <c r="L4584" s="9"/>
      <c r="M4584" s="9"/>
      <c r="N4584" s="9"/>
      <c r="O4584" s="9"/>
      <c r="P4584" s="9"/>
      <c r="Q4584" s="9"/>
      <c r="R4584" s="9"/>
      <c r="S4584" s="9"/>
      <c r="T4584" s="9"/>
      <c r="U4584" s="9"/>
      <c r="V4584" s="9"/>
      <c r="W4584" s="9"/>
      <c r="X4584" s="9"/>
      <c r="Y4584" s="9"/>
      <c r="Z4584" s="9"/>
      <c r="AA4584" s="9"/>
    </row>
    <row r="4585" spans="1:27">
      <c r="A4585" s="8"/>
      <c r="B4585" s="8"/>
      <c r="C4585" s="9"/>
      <c r="D4585" s="9"/>
      <c r="E4585" s="9"/>
      <c r="F4585" s="9"/>
      <c r="G4585" s="9"/>
      <c r="H4585" s="9"/>
      <c r="I4585" s="9"/>
      <c r="J4585" s="9"/>
      <c r="K4585" s="9"/>
      <c r="L4585" s="9"/>
      <c r="M4585" s="9"/>
      <c r="N4585" s="9"/>
      <c r="O4585" s="9"/>
      <c r="P4585" s="9"/>
      <c r="Q4585" s="9"/>
      <c r="R4585" s="9"/>
      <c r="S4585" s="9"/>
      <c r="T4585" s="9"/>
      <c r="U4585" s="9"/>
      <c r="V4585" s="9"/>
      <c r="W4585" s="9"/>
      <c r="X4585" s="9"/>
      <c r="Y4585" s="9"/>
      <c r="Z4585" s="9"/>
      <c r="AA4585" s="9"/>
    </row>
    <row r="4586" spans="1:27">
      <c r="A4586" s="8"/>
      <c r="B4586" s="8"/>
      <c r="C4586" s="9"/>
      <c r="D4586" s="9"/>
      <c r="E4586" s="9"/>
      <c r="F4586" s="9"/>
      <c r="G4586" s="9"/>
      <c r="H4586" s="9"/>
      <c r="I4586" s="9"/>
      <c r="J4586" s="9"/>
      <c r="K4586" s="9"/>
      <c r="L4586" s="9"/>
      <c r="M4586" s="9"/>
      <c r="N4586" s="9"/>
      <c r="O4586" s="9"/>
      <c r="P4586" s="9"/>
      <c r="Q4586" s="9"/>
      <c r="R4586" s="9"/>
      <c r="S4586" s="9"/>
      <c r="T4586" s="9"/>
      <c r="U4586" s="9"/>
      <c r="V4586" s="9"/>
      <c r="W4586" s="9"/>
      <c r="X4586" s="9"/>
      <c r="Y4586" s="9"/>
      <c r="Z4586" s="9"/>
      <c r="AA4586" s="9"/>
    </row>
    <row r="4587" spans="1:27">
      <c r="A4587" s="8"/>
      <c r="B4587" s="8"/>
      <c r="C4587" s="9"/>
      <c r="D4587" s="9"/>
      <c r="E4587" s="9"/>
      <c r="F4587" s="9"/>
      <c r="G4587" s="9"/>
      <c r="H4587" s="9"/>
      <c r="I4587" s="9"/>
      <c r="J4587" s="9"/>
      <c r="K4587" s="9"/>
      <c r="L4587" s="9"/>
      <c r="M4587" s="9"/>
      <c r="N4587" s="9"/>
      <c r="O4587" s="9"/>
      <c r="P4587" s="9"/>
      <c r="Q4587" s="9"/>
      <c r="R4587" s="9"/>
      <c r="S4587" s="9"/>
      <c r="T4587" s="9"/>
      <c r="U4587" s="9"/>
      <c r="V4587" s="9"/>
      <c r="W4587" s="9"/>
      <c r="X4587" s="9"/>
      <c r="Y4587" s="9"/>
      <c r="Z4587" s="9"/>
      <c r="AA4587" s="9"/>
    </row>
    <row r="4588" spans="1:27">
      <c r="A4588" s="8"/>
      <c r="B4588" s="8"/>
      <c r="C4588" s="9"/>
      <c r="D4588" s="9"/>
      <c r="E4588" s="9"/>
      <c r="F4588" s="9"/>
      <c r="G4588" s="9"/>
      <c r="H4588" s="9"/>
      <c r="I4588" s="9"/>
      <c r="J4588" s="9"/>
      <c r="K4588" s="9"/>
      <c r="L4588" s="9"/>
      <c r="M4588" s="9"/>
      <c r="N4588" s="9"/>
      <c r="O4588" s="9"/>
      <c r="P4588" s="9"/>
      <c r="Q4588" s="9"/>
      <c r="R4588" s="9"/>
      <c r="S4588" s="9"/>
      <c r="T4588" s="9"/>
      <c r="U4588" s="9"/>
      <c r="V4588" s="9"/>
      <c r="W4588" s="9"/>
      <c r="X4588" s="9"/>
      <c r="Y4588" s="9"/>
      <c r="Z4588" s="9"/>
      <c r="AA4588" s="9"/>
    </row>
    <row r="4589" spans="1:27">
      <c r="A4589" s="8"/>
      <c r="B4589" s="8"/>
      <c r="C4589" s="9"/>
      <c r="D4589" s="9"/>
      <c r="E4589" s="9"/>
      <c r="F4589" s="9"/>
      <c r="G4589" s="9"/>
      <c r="H4589" s="9"/>
      <c r="I4589" s="9"/>
      <c r="J4589" s="9"/>
      <c r="K4589" s="9"/>
      <c r="L4589" s="9"/>
      <c r="M4589" s="9"/>
      <c r="N4589" s="9"/>
      <c r="O4589" s="9"/>
      <c r="P4589" s="9"/>
      <c r="Q4589" s="9"/>
      <c r="R4589" s="9"/>
      <c r="S4589" s="9"/>
      <c r="T4589" s="9"/>
      <c r="U4589" s="9"/>
      <c r="V4589" s="9"/>
      <c r="W4589" s="9"/>
      <c r="X4589" s="9"/>
      <c r="Y4589" s="9"/>
      <c r="Z4589" s="9"/>
      <c r="AA4589" s="9"/>
    </row>
    <row r="4590" spans="1:27">
      <c r="A4590" s="8"/>
      <c r="B4590" s="8"/>
      <c r="C4590" s="9"/>
      <c r="D4590" s="9"/>
      <c r="E4590" s="9"/>
      <c r="F4590" s="9"/>
      <c r="G4590" s="9"/>
      <c r="H4590" s="9"/>
      <c r="I4590" s="9"/>
      <c r="J4590" s="9"/>
      <c r="K4590" s="9"/>
      <c r="L4590" s="9"/>
      <c r="M4590" s="9"/>
      <c r="N4590" s="9"/>
      <c r="O4590" s="9"/>
      <c r="P4590" s="9"/>
      <c r="Q4590" s="9"/>
      <c r="R4590" s="9"/>
      <c r="S4590" s="9"/>
      <c r="T4590" s="9"/>
      <c r="U4590" s="9"/>
      <c r="V4590" s="9"/>
      <c r="W4590" s="9"/>
      <c r="X4590" s="9"/>
      <c r="Y4590" s="9"/>
      <c r="Z4590" s="9"/>
      <c r="AA4590" s="9"/>
    </row>
    <row r="4591" spans="1:27">
      <c r="A4591" s="8"/>
      <c r="B4591" s="8"/>
      <c r="C4591" s="9"/>
      <c r="D4591" s="9"/>
      <c r="E4591" s="9"/>
      <c r="F4591" s="9"/>
      <c r="G4591" s="9"/>
      <c r="H4591" s="9"/>
      <c r="I4591" s="9"/>
      <c r="J4591" s="9"/>
      <c r="K4591" s="9"/>
      <c r="L4591" s="9"/>
      <c r="M4591" s="9"/>
      <c r="N4591" s="9"/>
      <c r="O4591" s="9"/>
      <c r="P4591" s="9"/>
      <c r="Q4591" s="9"/>
      <c r="R4591" s="9"/>
      <c r="S4591" s="9"/>
      <c r="T4591" s="9"/>
      <c r="U4591" s="9"/>
      <c r="V4591" s="9"/>
      <c r="W4591" s="9"/>
      <c r="X4591" s="9"/>
      <c r="Y4591" s="9"/>
      <c r="Z4591" s="9"/>
      <c r="AA4591" s="9"/>
    </row>
    <row r="4592" spans="1:27">
      <c r="A4592" s="8"/>
      <c r="B4592" s="8"/>
      <c r="C4592" s="9"/>
      <c r="D4592" s="9"/>
      <c r="E4592" s="9"/>
      <c r="F4592" s="9"/>
      <c r="G4592" s="9"/>
      <c r="H4592" s="9"/>
      <c r="I4592" s="9"/>
      <c r="J4592" s="9"/>
      <c r="K4592" s="9"/>
      <c r="L4592" s="9"/>
      <c r="M4592" s="9"/>
      <c r="N4592" s="9"/>
      <c r="O4592" s="9"/>
      <c r="P4592" s="9"/>
      <c r="Q4592" s="9"/>
      <c r="R4592" s="9"/>
      <c r="S4592" s="9"/>
      <c r="T4592" s="9"/>
      <c r="U4592" s="9"/>
      <c r="V4592" s="9"/>
      <c r="W4592" s="9"/>
      <c r="X4592" s="9"/>
      <c r="Y4592" s="9"/>
      <c r="Z4592" s="9"/>
      <c r="AA4592" s="9"/>
    </row>
    <row r="4593" spans="1:27">
      <c r="A4593" s="8"/>
      <c r="B4593" s="8"/>
      <c r="C4593" s="9"/>
      <c r="D4593" s="9"/>
      <c r="E4593" s="9"/>
      <c r="F4593" s="9"/>
      <c r="G4593" s="9"/>
      <c r="H4593" s="9"/>
      <c r="I4593" s="9"/>
      <c r="J4593" s="9"/>
      <c r="K4593" s="9"/>
      <c r="L4593" s="9"/>
      <c r="M4593" s="9"/>
      <c r="N4593" s="9"/>
      <c r="O4593" s="9"/>
      <c r="P4593" s="9"/>
      <c r="Q4593" s="9"/>
      <c r="R4593" s="9"/>
      <c r="S4593" s="9"/>
      <c r="T4593" s="9"/>
      <c r="U4593" s="9"/>
      <c r="V4593" s="9"/>
      <c r="W4593" s="9"/>
      <c r="X4593" s="9"/>
      <c r="Y4593" s="9"/>
      <c r="Z4593" s="9"/>
      <c r="AA4593" s="9"/>
    </row>
    <row r="4594" spans="1:27">
      <c r="A4594" s="8"/>
      <c r="B4594" s="8"/>
      <c r="C4594" s="9"/>
      <c r="D4594" s="9"/>
      <c r="E4594" s="9"/>
      <c r="F4594" s="9"/>
      <c r="G4594" s="9"/>
      <c r="H4594" s="9"/>
      <c r="I4594" s="9"/>
      <c r="J4594" s="9"/>
      <c r="K4594" s="9"/>
      <c r="L4594" s="9"/>
      <c r="M4594" s="9"/>
      <c r="N4594" s="9"/>
      <c r="O4594" s="9"/>
      <c r="P4594" s="9"/>
      <c r="Q4594" s="9"/>
      <c r="R4594" s="9"/>
      <c r="S4594" s="9"/>
      <c r="T4594" s="9"/>
      <c r="U4594" s="9"/>
      <c r="V4594" s="9"/>
      <c r="W4594" s="9"/>
      <c r="X4594" s="9"/>
      <c r="Y4594" s="9"/>
      <c r="Z4594" s="9"/>
      <c r="AA4594" s="9"/>
    </row>
    <row r="4595" spans="1:27">
      <c r="A4595" s="8"/>
      <c r="B4595" s="8"/>
      <c r="C4595" s="9"/>
      <c r="D4595" s="9"/>
      <c r="E4595" s="9"/>
      <c r="F4595" s="9"/>
      <c r="G4595" s="9"/>
      <c r="H4595" s="9"/>
      <c r="I4595" s="9"/>
      <c r="J4595" s="9"/>
      <c r="K4595" s="9"/>
      <c r="L4595" s="9"/>
      <c r="M4595" s="9"/>
      <c r="N4595" s="9"/>
      <c r="O4595" s="9"/>
      <c r="P4595" s="9"/>
      <c r="Q4595" s="9"/>
      <c r="R4595" s="9"/>
      <c r="S4595" s="9"/>
      <c r="T4595" s="9"/>
      <c r="U4595" s="9"/>
      <c r="V4595" s="9"/>
      <c r="W4595" s="9"/>
      <c r="X4595" s="9"/>
      <c r="Y4595" s="9"/>
      <c r="Z4595" s="9"/>
      <c r="AA4595" s="9"/>
    </row>
    <row r="4596" spans="1:27">
      <c r="A4596" s="8"/>
      <c r="B4596" s="8"/>
      <c r="C4596" s="9"/>
      <c r="D4596" s="9"/>
      <c r="E4596" s="9"/>
      <c r="F4596" s="9"/>
      <c r="G4596" s="9"/>
      <c r="H4596" s="9"/>
      <c r="I4596" s="9"/>
      <c r="J4596" s="9"/>
      <c r="K4596" s="9"/>
      <c r="L4596" s="9"/>
      <c r="M4596" s="9"/>
      <c r="N4596" s="9"/>
      <c r="O4596" s="9"/>
      <c r="P4596" s="9"/>
      <c r="Q4596" s="9"/>
      <c r="R4596" s="9"/>
      <c r="S4596" s="9"/>
      <c r="T4596" s="9"/>
      <c r="U4596" s="9"/>
      <c r="V4596" s="9"/>
      <c r="W4596" s="9"/>
      <c r="X4596" s="9"/>
      <c r="Y4596" s="9"/>
      <c r="Z4596" s="9"/>
      <c r="AA4596" s="9"/>
    </row>
    <row r="4597" spans="1:27">
      <c r="A4597" s="8"/>
      <c r="B4597" s="8"/>
      <c r="C4597" s="9"/>
      <c r="D4597" s="9"/>
      <c r="E4597" s="9"/>
      <c r="F4597" s="9"/>
      <c r="G4597" s="9"/>
      <c r="H4597" s="9"/>
      <c r="I4597" s="9"/>
      <c r="J4597" s="9"/>
      <c r="K4597" s="9"/>
      <c r="L4597" s="9"/>
      <c r="M4597" s="9"/>
      <c r="N4597" s="9"/>
      <c r="O4597" s="9"/>
      <c r="P4597" s="9"/>
      <c r="Q4597" s="9"/>
      <c r="R4597" s="9"/>
      <c r="S4597" s="9"/>
      <c r="T4597" s="9"/>
      <c r="U4597" s="9"/>
      <c r="V4597" s="9"/>
      <c r="W4597" s="9"/>
      <c r="X4597" s="9"/>
      <c r="Y4597" s="9"/>
      <c r="Z4597" s="9"/>
      <c r="AA4597" s="9"/>
    </row>
    <row r="4598" spans="1:27">
      <c r="A4598" s="8"/>
      <c r="B4598" s="8"/>
      <c r="C4598" s="9"/>
      <c r="D4598" s="9"/>
      <c r="E4598" s="9"/>
      <c r="F4598" s="9"/>
      <c r="G4598" s="9"/>
      <c r="H4598" s="9"/>
      <c r="I4598" s="9"/>
      <c r="J4598" s="9"/>
      <c r="K4598" s="9"/>
      <c r="L4598" s="9"/>
      <c r="M4598" s="9"/>
      <c r="N4598" s="9"/>
      <c r="O4598" s="9"/>
      <c r="P4598" s="9"/>
      <c r="Q4598" s="9"/>
      <c r="R4598" s="9"/>
      <c r="S4598" s="9"/>
      <c r="T4598" s="9"/>
      <c r="U4598" s="9"/>
      <c r="V4598" s="9"/>
      <c r="W4598" s="9"/>
      <c r="X4598" s="9"/>
      <c r="Y4598" s="9"/>
      <c r="Z4598" s="9"/>
      <c r="AA4598" s="9"/>
    </row>
    <row r="4599" spans="1:27">
      <c r="A4599" s="8"/>
      <c r="B4599" s="8"/>
      <c r="C4599" s="9"/>
      <c r="D4599" s="9"/>
      <c r="E4599" s="9"/>
      <c r="F4599" s="9"/>
      <c r="G4599" s="9"/>
      <c r="H4599" s="9"/>
      <c r="I4599" s="9"/>
      <c r="J4599" s="9"/>
      <c r="K4599" s="9"/>
      <c r="L4599" s="9"/>
      <c r="M4599" s="9"/>
      <c r="N4599" s="9"/>
      <c r="O4599" s="9"/>
      <c r="P4599" s="9"/>
      <c r="Q4599" s="9"/>
      <c r="R4599" s="9"/>
      <c r="S4599" s="9"/>
      <c r="T4599" s="9"/>
      <c r="U4599" s="9"/>
      <c r="V4599" s="9"/>
      <c r="W4599" s="9"/>
      <c r="X4599" s="9"/>
      <c r="Y4599" s="9"/>
      <c r="Z4599" s="9"/>
      <c r="AA4599" s="9"/>
    </row>
    <row r="4600" spans="1:27">
      <c r="A4600" s="8"/>
      <c r="B4600" s="8"/>
      <c r="C4600" s="9"/>
      <c r="D4600" s="9"/>
      <c r="E4600" s="9"/>
      <c r="F4600" s="9"/>
      <c r="G4600" s="9"/>
      <c r="H4600" s="9"/>
      <c r="I4600" s="9"/>
      <c r="J4600" s="9"/>
      <c r="K4600" s="9"/>
      <c r="L4600" s="9"/>
      <c r="M4600" s="9"/>
      <c r="N4600" s="9"/>
      <c r="O4600" s="9"/>
      <c r="P4600" s="9"/>
      <c r="Q4600" s="9"/>
      <c r="R4600" s="9"/>
      <c r="S4600" s="9"/>
      <c r="T4600" s="9"/>
      <c r="U4600" s="9"/>
      <c r="V4600" s="9"/>
      <c r="W4600" s="9"/>
      <c r="X4600" s="9"/>
      <c r="Y4600" s="9"/>
      <c r="Z4600" s="9"/>
      <c r="AA4600" s="9"/>
    </row>
    <row r="4601" spans="1:27">
      <c r="A4601" s="8"/>
      <c r="B4601" s="8"/>
      <c r="C4601" s="9"/>
      <c r="D4601" s="9"/>
      <c r="E4601" s="9"/>
      <c r="F4601" s="9"/>
      <c r="G4601" s="9"/>
      <c r="H4601" s="9"/>
      <c r="I4601" s="9"/>
      <c r="J4601" s="9"/>
      <c r="K4601" s="9"/>
      <c r="L4601" s="9"/>
      <c r="M4601" s="9"/>
      <c r="N4601" s="9"/>
      <c r="O4601" s="9"/>
      <c r="P4601" s="9"/>
      <c r="Q4601" s="9"/>
      <c r="R4601" s="9"/>
      <c r="S4601" s="9"/>
      <c r="T4601" s="9"/>
      <c r="U4601" s="9"/>
      <c r="V4601" s="9"/>
      <c r="W4601" s="9"/>
      <c r="X4601" s="9"/>
      <c r="Y4601" s="9"/>
      <c r="Z4601" s="9"/>
      <c r="AA4601" s="9"/>
    </row>
    <row r="4602" spans="1:27">
      <c r="A4602" s="8"/>
      <c r="B4602" s="8"/>
      <c r="C4602" s="9"/>
      <c r="D4602" s="9"/>
      <c r="E4602" s="9"/>
      <c r="F4602" s="9"/>
      <c r="G4602" s="9"/>
      <c r="H4602" s="9"/>
      <c r="I4602" s="9"/>
      <c r="J4602" s="9"/>
      <c r="K4602" s="9"/>
      <c r="L4602" s="9"/>
      <c r="M4602" s="9"/>
      <c r="N4602" s="9"/>
      <c r="O4602" s="9"/>
      <c r="P4602" s="9"/>
      <c r="Q4602" s="9"/>
      <c r="R4602" s="9"/>
      <c r="S4602" s="9"/>
      <c r="T4602" s="9"/>
      <c r="U4602" s="9"/>
      <c r="V4602" s="9"/>
      <c r="W4602" s="9"/>
      <c r="X4602" s="9"/>
      <c r="Y4602" s="9"/>
      <c r="Z4602" s="9"/>
      <c r="AA4602" s="9"/>
    </row>
    <row r="4603" spans="1:27">
      <c r="A4603" s="8"/>
      <c r="B4603" s="8"/>
      <c r="C4603" s="9"/>
      <c r="D4603" s="9"/>
      <c r="E4603" s="9"/>
      <c r="F4603" s="9"/>
      <c r="G4603" s="9"/>
      <c r="H4603" s="9"/>
      <c r="I4603" s="9"/>
      <c r="J4603" s="9"/>
      <c r="K4603" s="9"/>
      <c r="L4603" s="9"/>
      <c r="M4603" s="9"/>
      <c r="N4603" s="9"/>
      <c r="O4603" s="9"/>
      <c r="P4603" s="9"/>
      <c r="Q4603" s="9"/>
      <c r="R4603" s="9"/>
      <c r="S4603" s="9"/>
      <c r="T4603" s="9"/>
      <c r="U4603" s="9"/>
      <c r="V4603" s="9"/>
      <c r="W4603" s="9"/>
      <c r="X4603" s="9"/>
      <c r="Y4603" s="9"/>
      <c r="Z4603" s="9"/>
      <c r="AA4603" s="9"/>
    </row>
    <row r="4604" spans="1:27">
      <c r="A4604" s="8"/>
      <c r="B4604" s="8"/>
      <c r="C4604" s="9"/>
      <c r="D4604" s="9"/>
      <c r="E4604" s="9"/>
      <c r="F4604" s="9"/>
      <c r="G4604" s="9"/>
      <c r="H4604" s="9"/>
      <c r="I4604" s="9"/>
      <c r="J4604" s="9"/>
      <c r="K4604" s="9"/>
      <c r="L4604" s="9"/>
      <c r="M4604" s="9"/>
      <c r="N4604" s="9"/>
      <c r="O4604" s="9"/>
      <c r="P4604" s="9"/>
      <c r="Q4604" s="9"/>
      <c r="R4604" s="9"/>
      <c r="S4604" s="9"/>
      <c r="T4604" s="9"/>
      <c r="U4604" s="9"/>
      <c r="V4604" s="9"/>
      <c r="W4604" s="9"/>
      <c r="X4604" s="9"/>
      <c r="Y4604" s="9"/>
      <c r="Z4604" s="9"/>
      <c r="AA4604" s="9"/>
    </row>
    <row r="4605" spans="1:27">
      <c r="A4605" s="8"/>
      <c r="B4605" s="8"/>
      <c r="C4605" s="9"/>
      <c r="D4605" s="9"/>
      <c r="E4605" s="9"/>
      <c r="F4605" s="9"/>
      <c r="G4605" s="9"/>
      <c r="H4605" s="9"/>
      <c r="I4605" s="9"/>
      <c r="J4605" s="9"/>
      <c r="K4605" s="9"/>
      <c r="L4605" s="9"/>
      <c r="M4605" s="9"/>
      <c r="N4605" s="9"/>
      <c r="O4605" s="9"/>
      <c r="P4605" s="9"/>
      <c r="Q4605" s="9"/>
      <c r="R4605" s="9"/>
      <c r="S4605" s="9"/>
      <c r="T4605" s="9"/>
      <c r="U4605" s="9"/>
      <c r="V4605" s="9"/>
      <c r="W4605" s="9"/>
      <c r="X4605" s="9"/>
      <c r="Y4605" s="9"/>
      <c r="Z4605" s="9"/>
      <c r="AA4605" s="9"/>
    </row>
    <row r="4606" spans="1:27">
      <c r="A4606" s="8"/>
      <c r="B4606" s="8"/>
      <c r="C4606" s="9"/>
      <c r="D4606" s="9"/>
      <c r="E4606" s="9"/>
      <c r="F4606" s="9"/>
      <c r="G4606" s="9"/>
      <c r="H4606" s="9"/>
      <c r="I4606" s="9"/>
      <c r="J4606" s="9"/>
      <c r="K4606" s="9"/>
      <c r="L4606" s="9"/>
      <c r="M4606" s="9"/>
      <c r="N4606" s="9"/>
      <c r="O4606" s="9"/>
      <c r="P4606" s="9"/>
      <c r="Q4606" s="9"/>
      <c r="R4606" s="9"/>
      <c r="S4606" s="9"/>
      <c r="T4606" s="9"/>
      <c r="U4606" s="9"/>
      <c r="V4606" s="9"/>
      <c r="W4606" s="9"/>
      <c r="X4606" s="9"/>
      <c r="Y4606" s="9"/>
      <c r="Z4606" s="9"/>
      <c r="AA4606" s="9"/>
    </row>
    <row r="4607" spans="1:27">
      <c r="A4607" s="8"/>
      <c r="B4607" s="8"/>
      <c r="C4607" s="9"/>
      <c r="D4607" s="9"/>
      <c r="E4607" s="9"/>
      <c r="F4607" s="9"/>
      <c r="G4607" s="9"/>
      <c r="H4607" s="9"/>
      <c r="I4607" s="9"/>
      <c r="J4607" s="9"/>
      <c r="K4607" s="9"/>
      <c r="L4607" s="9"/>
      <c r="M4607" s="9"/>
      <c r="N4607" s="9"/>
      <c r="O4607" s="9"/>
      <c r="P4607" s="9"/>
      <c r="Q4607" s="9"/>
      <c r="R4607" s="9"/>
      <c r="S4607" s="9"/>
      <c r="T4607" s="9"/>
      <c r="U4607" s="9"/>
      <c r="V4607" s="9"/>
      <c r="W4607" s="9"/>
      <c r="X4607" s="9"/>
      <c r="Y4607" s="9"/>
      <c r="Z4607" s="9"/>
      <c r="AA4607" s="9"/>
    </row>
    <row r="4608" spans="1:27">
      <c r="A4608" s="8"/>
      <c r="B4608" s="8"/>
      <c r="C4608" s="9"/>
      <c r="D4608" s="9"/>
      <c r="E4608" s="9"/>
      <c r="F4608" s="9"/>
      <c r="G4608" s="9"/>
      <c r="H4608" s="9"/>
      <c r="I4608" s="9"/>
      <c r="J4608" s="9"/>
      <c r="K4608" s="9"/>
      <c r="L4608" s="9"/>
      <c r="M4608" s="9"/>
      <c r="N4608" s="9"/>
      <c r="O4608" s="9"/>
      <c r="P4608" s="9"/>
      <c r="Q4608" s="9"/>
      <c r="R4608" s="9"/>
      <c r="S4608" s="9"/>
      <c r="T4608" s="9"/>
      <c r="U4608" s="9"/>
      <c r="V4608" s="9"/>
      <c r="W4608" s="9"/>
      <c r="X4608" s="9"/>
      <c r="Y4608" s="9"/>
      <c r="Z4608" s="9"/>
      <c r="AA4608" s="9"/>
    </row>
    <row r="4609" spans="1:27">
      <c r="A4609" s="8"/>
      <c r="B4609" s="8"/>
      <c r="C4609" s="9"/>
      <c r="D4609" s="9"/>
      <c r="E4609" s="9"/>
      <c r="F4609" s="9"/>
      <c r="G4609" s="9"/>
      <c r="H4609" s="9"/>
      <c r="I4609" s="9"/>
      <c r="J4609" s="9"/>
      <c r="K4609" s="9"/>
      <c r="L4609" s="9"/>
      <c r="M4609" s="9"/>
      <c r="N4609" s="9"/>
      <c r="O4609" s="9"/>
      <c r="P4609" s="9"/>
      <c r="Q4609" s="9"/>
      <c r="R4609" s="9"/>
      <c r="S4609" s="9"/>
      <c r="T4609" s="9"/>
      <c r="U4609" s="9"/>
      <c r="V4609" s="9"/>
      <c r="W4609" s="9"/>
      <c r="X4609" s="9"/>
      <c r="Y4609" s="9"/>
      <c r="Z4609" s="9"/>
      <c r="AA4609" s="9"/>
    </row>
    <row r="4610" spans="1:27">
      <c r="A4610" s="8"/>
      <c r="B4610" s="8"/>
      <c r="C4610" s="9"/>
      <c r="D4610" s="9"/>
      <c r="E4610" s="9"/>
      <c r="F4610" s="9"/>
      <c r="G4610" s="9"/>
      <c r="H4610" s="9"/>
      <c r="I4610" s="9"/>
      <c r="J4610" s="9"/>
      <c r="K4610" s="9"/>
      <c r="L4610" s="9"/>
      <c r="M4610" s="9"/>
      <c r="N4610" s="9"/>
      <c r="O4610" s="9"/>
      <c r="P4610" s="9"/>
      <c r="Q4610" s="9"/>
      <c r="R4610" s="9"/>
      <c r="S4610" s="9"/>
      <c r="T4610" s="9"/>
      <c r="U4610" s="9"/>
      <c r="V4610" s="9"/>
      <c r="W4610" s="9"/>
      <c r="X4610" s="9"/>
      <c r="Y4610" s="9"/>
      <c r="Z4610" s="9"/>
      <c r="AA4610" s="9"/>
    </row>
    <row r="4611" spans="1:27">
      <c r="A4611" s="8"/>
      <c r="B4611" s="8"/>
      <c r="C4611" s="9"/>
      <c r="D4611" s="9"/>
      <c r="E4611" s="9"/>
      <c r="F4611" s="9"/>
      <c r="G4611" s="9"/>
      <c r="H4611" s="9"/>
      <c r="I4611" s="9"/>
      <c r="J4611" s="9"/>
      <c r="K4611" s="9"/>
      <c r="L4611" s="9"/>
      <c r="M4611" s="9"/>
      <c r="N4611" s="9"/>
      <c r="O4611" s="9"/>
      <c r="P4611" s="9"/>
      <c r="Q4611" s="9"/>
      <c r="R4611" s="9"/>
      <c r="S4611" s="9"/>
      <c r="T4611" s="9"/>
      <c r="U4611" s="9"/>
      <c r="V4611" s="9"/>
      <c r="W4611" s="9"/>
      <c r="X4611" s="9"/>
      <c r="Y4611" s="9"/>
      <c r="Z4611" s="9"/>
      <c r="AA4611" s="9"/>
    </row>
    <row r="4612" spans="1:27">
      <c r="A4612" s="8"/>
      <c r="B4612" s="8"/>
      <c r="C4612" s="9"/>
      <c r="D4612" s="9"/>
      <c r="E4612" s="9"/>
      <c r="F4612" s="9"/>
      <c r="G4612" s="9"/>
      <c r="H4612" s="9"/>
      <c r="I4612" s="9"/>
      <c r="J4612" s="9"/>
      <c r="K4612" s="9"/>
      <c r="L4612" s="9"/>
      <c r="M4612" s="9"/>
      <c r="N4612" s="9"/>
      <c r="O4612" s="9"/>
      <c r="P4612" s="9"/>
      <c r="Q4612" s="9"/>
      <c r="R4612" s="9"/>
      <c r="S4612" s="9"/>
      <c r="T4612" s="9"/>
      <c r="U4612" s="9"/>
      <c r="V4612" s="9"/>
      <c r="W4612" s="9"/>
      <c r="X4612" s="9"/>
      <c r="Y4612" s="9"/>
      <c r="Z4612" s="9"/>
      <c r="AA4612" s="9"/>
    </row>
    <row r="4613" spans="1:27">
      <c r="A4613" s="8"/>
      <c r="B4613" s="8"/>
      <c r="C4613" s="9"/>
      <c r="D4613" s="9"/>
      <c r="E4613" s="9"/>
      <c r="F4613" s="9"/>
      <c r="G4613" s="9"/>
      <c r="H4613" s="9"/>
      <c r="I4613" s="9"/>
      <c r="J4613" s="9"/>
      <c r="K4613" s="9"/>
      <c r="L4613" s="9"/>
      <c r="M4613" s="9"/>
      <c r="N4613" s="9"/>
      <c r="O4613" s="9"/>
      <c r="P4613" s="9"/>
      <c r="Q4613" s="9"/>
      <c r="R4613" s="9"/>
      <c r="S4613" s="9"/>
      <c r="T4613" s="9"/>
      <c r="U4613" s="9"/>
      <c r="V4613" s="9"/>
      <c r="W4613" s="9"/>
      <c r="X4613" s="9"/>
      <c r="Y4613" s="9"/>
      <c r="Z4613" s="9"/>
      <c r="AA4613" s="9"/>
    </row>
    <row r="4614" spans="1:27">
      <c r="A4614" s="8"/>
      <c r="B4614" s="8"/>
      <c r="C4614" s="9"/>
      <c r="D4614" s="9"/>
      <c r="E4614" s="9"/>
      <c r="F4614" s="9"/>
      <c r="G4614" s="9"/>
      <c r="H4614" s="9"/>
      <c r="I4614" s="9"/>
      <c r="J4614" s="9"/>
      <c r="K4614" s="9"/>
      <c r="L4614" s="9"/>
      <c r="M4614" s="9"/>
      <c r="N4614" s="9"/>
      <c r="O4614" s="9"/>
      <c r="P4614" s="9"/>
      <c r="Q4614" s="9"/>
      <c r="R4614" s="9"/>
      <c r="S4614" s="9"/>
      <c r="T4614" s="9"/>
      <c r="U4614" s="9"/>
      <c r="V4614" s="9"/>
      <c r="W4614" s="9"/>
      <c r="X4614" s="9"/>
      <c r="Y4614" s="9"/>
      <c r="Z4614" s="9"/>
      <c r="AA4614" s="9"/>
    </row>
    <row r="4615" spans="1:27">
      <c r="A4615" s="8"/>
      <c r="B4615" s="8"/>
      <c r="C4615" s="9"/>
      <c r="D4615" s="9"/>
      <c r="E4615" s="9"/>
      <c r="F4615" s="9"/>
      <c r="G4615" s="9"/>
      <c r="H4615" s="9"/>
      <c r="I4615" s="9"/>
      <c r="J4615" s="9"/>
      <c r="K4615" s="9"/>
      <c r="L4615" s="9"/>
      <c r="M4615" s="9"/>
      <c r="N4615" s="9"/>
      <c r="O4615" s="9"/>
      <c r="P4615" s="9"/>
      <c r="Q4615" s="9"/>
      <c r="R4615" s="9"/>
      <c r="S4615" s="9"/>
      <c r="T4615" s="9"/>
      <c r="U4615" s="9"/>
      <c r="V4615" s="9"/>
      <c r="W4615" s="9"/>
      <c r="X4615" s="9"/>
      <c r="Y4615" s="9"/>
      <c r="Z4615" s="9"/>
      <c r="AA4615" s="9"/>
    </row>
    <row r="4616" spans="1:27">
      <c r="A4616" s="8"/>
      <c r="B4616" s="8"/>
      <c r="C4616" s="9"/>
      <c r="D4616" s="9"/>
      <c r="E4616" s="9"/>
      <c r="F4616" s="9"/>
      <c r="G4616" s="9"/>
      <c r="H4616" s="9"/>
      <c r="I4616" s="9"/>
      <c r="J4616" s="9"/>
      <c r="K4616" s="9"/>
      <c r="L4616" s="9"/>
      <c r="M4616" s="9"/>
      <c r="N4616" s="9"/>
      <c r="O4616" s="9"/>
      <c r="P4616" s="9"/>
      <c r="Q4616" s="9"/>
      <c r="R4616" s="9"/>
      <c r="S4616" s="9"/>
      <c r="T4616" s="9"/>
      <c r="U4616" s="9"/>
      <c r="V4616" s="9"/>
      <c r="W4616" s="9"/>
      <c r="X4616" s="9"/>
      <c r="Y4616" s="9"/>
      <c r="Z4616" s="9"/>
      <c r="AA4616" s="9"/>
    </row>
    <row r="4617" spans="1:27">
      <c r="A4617" s="8"/>
      <c r="B4617" s="8"/>
      <c r="C4617" s="9"/>
      <c r="D4617" s="9"/>
      <c r="E4617" s="9"/>
      <c r="F4617" s="9"/>
      <c r="G4617" s="9"/>
      <c r="H4617" s="9"/>
      <c r="I4617" s="9"/>
      <c r="J4617" s="9"/>
      <c r="K4617" s="9"/>
      <c r="L4617" s="9"/>
      <c r="M4617" s="9"/>
      <c r="N4617" s="9"/>
      <c r="O4617" s="9"/>
      <c r="P4617" s="9"/>
      <c r="Q4617" s="9"/>
      <c r="R4617" s="9"/>
      <c r="S4617" s="9"/>
      <c r="T4617" s="9"/>
      <c r="U4617" s="9"/>
      <c r="V4617" s="9"/>
      <c r="W4617" s="9"/>
      <c r="X4617" s="9"/>
      <c r="Y4617" s="9"/>
      <c r="Z4617" s="9"/>
      <c r="AA4617" s="9"/>
    </row>
    <row r="4618" spans="1:27">
      <c r="A4618" s="8"/>
      <c r="B4618" s="8"/>
      <c r="C4618" s="9"/>
      <c r="D4618" s="9"/>
      <c r="E4618" s="9"/>
      <c r="F4618" s="9"/>
      <c r="G4618" s="9"/>
      <c r="H4618" s="9"/>
      <c r="I4618" s="9"/>
      <c r="J4618" s="9"/>
      <c r="K4618" s="9"/>
      <c r="L4618" s="9"/>
      <c r="M4618" s="9"/>
      <c r="N4618" s="9"/>
      <c r="O4618" s="9"/>
      <c r="P4618" s="9"/>
      <c r="Q4618" s="9"/>
      <c r="R4618" s="9"/>
      <c r="S4618" s="9"/>
      <c r="T4618" s="9"/>
      <c r="U4618" s="9"/>
      <c r="V4618" s="9"/>
      <c r="W4618" s="9"/>
      <c r="X4618" s="9"/>
      <c r="Y4618" s="9"/>
      <c r="Z4618" s="9"/>
      <c r="AA4618" s="9"/>
    </row>
    <row r="4619" spans="1:27">
      <c r="A4619" s="8"/>
      <c r="B4619" s="8"/>
      <c r="C4619" s="9"/>
      <c r="D4619" s="9"/>
      <c r="E4619" s="9"/>
      <c r="F4619" s="9"/>
      <c r="G4619" s="9"/>
      <c r="H4619" s="9"/>
      <c r="I4619" s="9"/>
      <c r="J4619" s="9"/>
      <c r="K4619" s="9"/>
      <c r="L4619" s="9"/>
      <c r="M4619" s="9"/>
      <c r="N4619" s="9"/>
      <c r="O4619" s="9"/>
      <c r="P4619" s="9"/>
      <c r="Q4619" s="9"/>
      <c r="R4619" s="9"/>
      <c r="S4619" s="9"/>
      <c r="T4619" s="9"/>
      <c r="U4619" s="9"/>
      <c r="V4619" s="9"/>
      <c r="W4619" s="9"/>
      <c r="X4619" s="9"/>
      <c r="Y4619" s="9"/>
      <c r="Z4619" s="9"/>
      <c r="AA4619" s="9"/>
    </row>
    <row r="4620" spans="1:27">
      <c r="A4620" s="8"/>
      <c r="B4620" s="8"/>
      <c r="C4620" s="9"/>
      <c r="D4620" s="9"/>
      <c r="E4620" s="9"/>
      <c r="F4620" s="9"/>
      <c r="G4620" s="9"/>
      <c r="H4620" s="9"/>
      <c r="I4620" s="9"/>
      <c r="J4620" s="9"/>
      <c r="K4620" s="9"/>
      <c r="L4620" s="9"/>
      <c r="M4620" s="9"/>
      <c r="N4620" s="9"/>
      <c r="O4620" s="9"/>
      <c r="P4620" s="9"/>
      <c r="Q4620" s="9"/>
      <c r="R4620" s="9"/>
      <c r="S4620" s="9"/>
      <c r="T4620" s="9"/>
      <c r="U4620" s="9"/>
      <c r="V4620" s="9"/>
      <c r="W4620" s="9"/>
      <c r="X4620" s="9"/>
      <c r="Y4620" s="9"/>
      <c r="Z4620" s="9"/>
      <c r="AA4620" s="9"/>
    </row>
    <row r="4621" spans="1:27">
      <c r="A4621" s="8"/>
      <c r="B4621" s="8"/>
      <c r="C4621" s="9"/>
      <c r="D4621" s="9"/>
      <c r="E4621" s="9"/>
      <c r="F4621" s="9"/>
      <c r="G4621" s="9"/>
      <c r="H4621" s="9"/>
      <c r="I4621" s="9"/>
      <c r="J4621" s="9"/>
      <c r="K4621" s="9"/>
      <c r="L4621" s="9"/>
      <c r="M4621" s="9"/>
      <c r="N4621" s="9"/>
      <c r="O4621" s="9"/>
      <c r="P4621" s="9"/>
      <c r="Q4621" s="9"/>
      <c r="R4621" s="9"/>
      <c r="S4621" s="9"/>
      <c r="T4621" s="9"/>
      <c r="U4621" s="9"/>
      <c r="V4621" s="9"/>
      <c r="W4621" s="9"/>
      <c r="X4621" s="9"/>
      <c r="Y4621" s="9"/>
      <c r="Z4621" s="9"/>
      <c r="AA4621" s="9"/>
    </row>
    <row r="4622" spans="1:27">
      <c r="A4622" s="8"/>
      <c r="B4622" s="8"/>
      <c r="C4622" s="9"/>
      <c r="D4622" s="9"/>
      <c r="E4622" s="9"/>
      <c r="F4622" s="9"/>
      <c r="G4622" s="9"/>
      <c r="H4622" s="9"/>
      <c r="I4622" s="9"/>
      <c r="J4622" s="9"/>
      <c r="K4622" s="9"/>
      <c r="L4622" s="9"/>
      <c r="M4622" s="9"/>
      <c r="N4622" s="9"/>
      <c r="O4622" s="9"/>
      <c r="P4622" s="9"/>
      <c r="Q4622" s="9"/>
      <c r="R4622" s="9"/>
      <c r="S4622" s="9"/>
      <c r="T4622" s="9"/>
      <c r="U4622" s="9"/>
      <c r="V4622" s="9"/>
      <c r="W4622" s="9"/>
      <c r="X4622" s="9"/>
      <c r="Y4622" s="9"/>
      <c r="Z4622" s="9"/>
      <c r="AA4622" s="9"/>
    </row>
    <row r="4623" spans="1:27">
      <c r="A4623" s="8"/>
      <c r="B4623" s="8"/>
      <c r="C4623" s="9"/>
      <c r="D4623" s="9"/>
      <c r="E4623" s="9"/>
      <c r="F4623" s="9"/>
      <c r="G4623" s="9"/>
      <c r="H4623" s="9"/>
      <c r="I4623" s="9"/>
      <c r="J4623" s="9"/>
      <c r="K4623" s="9"/>
      <c r="L4623" s="9"/>
      <c r="M4623" s="9"/>
      <c r="N4623" s="9"/>
      <c r="O4623" s="9"/>
      <c r="P4623" s="9"/>
      <c r="Q4623" s="9"/>
      <c r="R4623" s="9"/>
      <c r="S4623" s="9"/>
      <c r="T4623" s="9"/>
      <c r="U4623" s="9"/>
      <c r="V4623" s="9"/>
      <c r="W4623" s="9"/>
      <c r="X4623" s="9"/>
      <c r="Y4623" s="9"/>
      <c r="Z4623" s="9"/>
      <c r="AA4623" s="9"/>
    </row>
    <row r="4624" spans="1:27">
      <c r="A4624" s="8"/>
      <c r="B4624" s="8"/>
      <c r="C4624" s="9"/>
      <c r="D4624" s="9"/>
      <c r="E4624" s="9"/>
      <c r="F4624" s="9"/>
      <c r="G4624" s="9"/>
      <c r="H4624" s="9"/>
      <c r="I4624" s="9"/>
      <c r="J4624" s="9"/>
      <c r="K4624" s="9"/>
      <c r="L4624" s="9"/>
      <c r="M4624" s="9"/>
      <c r="N4624" s="9"/>
      <c r="O4624" s="9"/>
      <c r="P4624" s="9"/>
      <c r="Q4624" s="9"/>
      <c r="R4624" s="9"/>
      <c r="S4624" s="9"/>
      <c r="T4624" s="9"/>
      <c r="U4624" s="9"/>
      <c r="V4624" s="9"/>
      <c r="W4624" s="9"/>
      <c r="X4624" s="9"/>
      <c r="Y4624" s="9"/>
      <c r="Z4624" s="9"/>
      <c r="AA4624" s="9"/>
    </row>
    <row r="4625" spans="1:27">
      <c r="A4625" s="8"/>
      <c r="B4625" s="8"/>
      <c r="C4625" s="9"/>
      <c r="D4625" s="9"/>
      <c r="E4625" s="9"/>
      <c r="F4625" s="9"/>
      <c r="G4625" s="9"/>
      <c r="H4625" s="9"/>
      <c r="I4625" s="9"/>
      <c r="J4625" s="9"/>
      <c r="K4625" s="9"/>
      <c r="L4625" s="9"/>
      <c r="M4625" s="9"/>
      <c r="N4625" s="9"/>
      <c r="O4625" s="9"/>
      <c r="P4625" s="9"/>
      <c r="Q4625" s="9"/>
      <c r="R4625" s="9"/>
      <c r="S4625" s="9"/>
      <c r="T4625" s="9"/>
      <c r="U4625" s="9"/>
      <c r="V4625" s="9"/>
      <c r="W4625" s="9"/>
      <c r="X4625" s="9"/>
      <c r="Y4625" s="9"/>
      <c r="Z4625" s="9"/>
      <c r="AA4625" s="9"/>
    </row>
    <row r="4626" spans="1:27">
      <c r="A4626" s="8"/>
      <c r="B4626" s="8"/>
      <c r="C4626" s="9"/>
      <c r="D4626" s="9"/>
      <c r="E4626" s="9"/>
      <c r="F4626" s="9"/>
      <c r="G4626" s="9"/>
      <c r="H4626" s="9"/>
      <c r="I4626" s="9"/>
      <c r="J4626" s="9"/>
      <c r="K4626" s="9"/>
      <c r="L4626" s="9"/>
      <c r="M4626" s="9"/>
      <c r="N4626" s="9"/>
      <c r="O4626" s="9"/>
      <c r="P4626" s="9"/>
      <c r="Q4626" s="9"/>
      <c r="R4626" s="9"/>
      <c r="S4626" s="9"/>
      <c r="T4626" s="9"/>
      <c r="U4626" s="9"/>
      <c r="V4626" s="9"/>
      <c r="W4626" s="9"/>
      <c r="X4626" s="9"/>
      <c r="Y4626" s="9"/>
      <c r="Z4626" s="9"/>
      <c r="AA4626" s="9"/>
    </row>
    <row r="4627" spans="1:27">
      <c r="A4627" s="8"/>
      <c r="B4627" s="8"/>
      <c r="C4627" s="9"/>
      <c r="D4627" s="9"/>
      <c r="E4627" s="9"/>
      <c r="F4627" s="9"/>
      <c r="G4627" s="9"/>
      <c r="H4627" s="9"/>
      <c r="I4627" s="9"/>
      <c r="J4627" s="9"/>
      <c r="K4627" s="9"/>
      <c r="L4627" s="9"/>
      <c r="M4627" s="9"/>
      <c r="N4627" s="9"/>
      <c r="O4627" s="9"/>
      <c r="P4627" s="9"/>
      <c r="Q4627" s="9"/>
      <c r="R4627" s="9"/>
      <c r="S4627" s="9"/>
      <c r="T4627" s="9"/>
      <c r="U4627" s="9"/>
      <c r="V4627" s="9"/>
      <c r="W4627" s="9"/>
      <c r="X4627" s="9"/>
      <c r="Y4627" s="9"/>
      <c r="Z4627" s="9"/>
      <c r="AA4627" s="9"/>
    </row>
    <row r="4628" spans="1:27">
      <c r="A4628" s="8"/>
      <c r="B4628" s="8"/>
      <c r="C4628" s="9"/>
      <c r="D4628" s="9"/>
      <c r="E4628" s="9"/>
      <c r="F4628" s="9"/>
      <c r="G4628" s="9"/>
      <c r="H4628" s="9"/>
      <c r="I4628" s="9"/>
      <c r="J4628" s="9"/>
      <c r="K4628" s="9"/>
      <c r="L4628" s="9"/>
      <c r="M4628" s="9"/>
      <c r="N4628" s="9"/>
      <c r="O4628" s="9"/>
      <c r="P4628" s="9"/>
      <c r="Q4628" s="9"/>
      <c r="R4628" s="9"/>
      <c r="S4628" s="9"/>
      <c r="T4628" s="9"/>
      <c r="U4628" s="9"/>
      <c r="V4628" s="9"/>
      <c r="W4628" s="9"/>
      <c r="X4628" s="9"/>
      <c r="Y4628" s="9"/>
      <c r="Z4628" s="9"/>
      <c r="AA4628" s="9"/>
    </row>
    <row r="4629" spans="1:27">
      <c r="A4629" s="8"/>
      <c r="B4629" s="8"/>
      <c r="C4629" s="9"/>
      <c r="D4629" s="9"/>
      <c r="E4629" s="9"/>
      <c r="F4629" s="9"/>
      <c r="G4629" s="9"/>
      <c r="H4629" s="9"/>
      <c r="I4629" s="9"/>
      <c r="J4629" s="9"/>
      <c r="K4629" s="9"/>
      <c r="L4629" s="9"/>
      <c r="M4629" s="9"/>
      <c r="N4629" s="9"/>
      <c r="O4629" s="9"/>
      <c r="P4629" s="9"/>
      <c r="Q4629" s="9"/>
      <c r="R4629" s="9"/>
      <c r="S4629" s="9"/>
      <c r="T4629" s="9"/>
      <c r="U4629" s="9"/>
      <c r="V4629" s="9"/>
      <c r="W4629" s="9"/>
      <c r="X4629" s="9"/>
      <c r="Y4629" s="9"/>
      <c r="Z4629" s="9"/>
      <c r="AA4629" s="9"/>
    </row>
    <row r="4630" spans="1:27">
      <c r="A4630" s="8"/>
      <c r="B4630" s="8"/>
      <c r="C4630" s="9"/>
      <c r="D4630" s="9"/>
      <c r="E4630" s="9"/>
      <c r="F4630" s="9"/>
      <c r="G4630" s="9"/>
      <c r="H4630" s="9"/>
      <c r="I4630" s="9"/>
      <c r="J4630" s="9"/>
      <c r="K4630" s="9"/>
      <c r="L4630" s="9"/>
      <c r="M4630" s="9"/>
      <c r="N4630" s="9"/>
      <c r="O4630" s="9"/>
      <c r="P4630" s="9"/>
      <c r="Q4630" s="9"/>
      <c r="R4630" s="9"/>
      <c r="S4630" s="9"/>
      <c r="T4630" s="9"/>
      <c r="U4630" s="9"/>
      <c r="V4630" s="9"/>
      <c r="W4630" s="9"/>
      <c r="X4630" s="9"/>
      <c r="Y4630" s="9"/>
      <c r="Z4630" s="9"/>
      <c r="AA4630" s="9"/>
    </row>
    <row r="4631" spans="1:27">
      <c r="A4631" s="8"/>
      <c r="B4631" s="8"/>
      <c r="C4631" s="9"/>
      <c r="D4631" s="9"/>
      <c r="E4631" s="9"/>
      <c r="F4631" s="9"/>
      <c r="G4631" s="9"/>
      <c r="H4631" s="9"/>
      <c r="I4631" s="9"/>
      <c r="J4631" s="9"/>
      <c r="K4631" s="9"/>
      <c r="L4631" s="9"/>
      <c r="M4631" s="9"/>
      <c r="N4631" s="9"/>
      <c r="O4631" s="9"/>
      <c r="P4631" s="9"/>
      <c r="Q4631" s="9"/>
      <c r="R4631" s="9"/>
      <c r="S4631" s="9"/>
      <c r="T4631" s="9"/>
      <c r="U4631" s="9"/>
      <c r="V4631" s="9"/>
      <c r="W4631" s="9"/>
      <c r="X4631" s="9"/>
      <c r="Y4631" s="9"/>
      <c r="Z4631" s="9"/>
      <c r="AA4631" s="9"/>
    </row>
    <row r="4632" spans="1:27">
      <c r="A4632" s="8"/>
      <c r="B4632" s="8"/>
      <c r="C4632" s="9"/>
      <c r="D4632" s="9"/>
      <c r="E4632" s="9"/>
      <c r="F4632" s="9"/>
      <c r="G4632" s="9"/>
      <c r="H4632" s="9"/>
      <c r="I4632" s="9"/>
      <c r="J4632" s="9"/>
      <c r="K4632" s="9"/>
      <c r="L4632" s="9"/>
      <c r="M4632" s="9"/>
      <c r="N4632" s="9"/>
      <c r="O4632" s="9"/>
      <c r="P4632" s="9"/>
      <c r="Q4632" s="9"/>
      <c r="R4632" s="9"/>
      <c r="S4632" s="9"/>
      <c r="T4632" s="9"/>
      <c r="U4632" s="9"/>
      <c r="V4632" s="9"/>
      <c r="W4632" s="9"/>
      <c r="X4632" s="9"/>
      <c r="Y4632" s="9"/>
      <c r="Z4632" s="9"/>
      <c r="AA4632" s="9"/>
    </row>
    <row r="4633" spans="1:27">
      <c r="A4633" s="8"/>
      <c r="B4633" s="8"/>
      <c r="C4633" s="9"/>
      <c r="D4633" s="9"/>
      <c r="E4633" s="9"/>
      <c r="F4633" s="9"/>
      <c r="G4633" s="9"/>
      <c r="H4633" s="9"/>
      <c r="I4633" s="9"/>
      <c r="J4633" s="9"/>
      <c r="K4633" s="9"/>
      <c r="L4633" s="9"/>
      <c r="M4633" s="9"/>
      <c r="N4633" s="9"/>
      <c r="O4633" s="9"/>
      <c r="P4633" s="9"/>
      <c r="Q4633" s="9"/>
      <c r="R4633" s="9"/>
      <c r="S4633" s="9"/>
      <c r="T4633" s="9"/>
      <c r="U4633" s="9"/>
      <c r="V4633" s="9"/>
      <c r="W4633" s="9"/>
      <c r="X4633" s="9"/>
      <c r="Y4633" s="9"/>
      <c r="Z4633" s="9"/>
      <c r="AA4633" s="9"/>
    </row>
    <row r="4634" spans="1:27">
      <c r="A4634" s="8"/>
      <c r="B4634" s="8"/>
      <c r="C4634" s="9"/>
      <c r="D4634" s="9"/>
      <c r="E4634" s="9"/>
      <c r="F4634" s="9"/>
      <c r="G4634" s="9"/>
      <c r="H4634" s="9"/>
      <c r="I4634" s="9"/>
      <c r="J4634" s="9"/>
      <c r="K4634" s="9"/>
      <c r="L4634" s="9"/>
      <c r="M4634" s="9"/>
      <c r="N4634" s="9"/>
      <c r="O4634" s="9"/>
      <c r="P4634" s="9"/>
      <c r="Q4634" s="9"/>
      <c r="R4634" s="9"/>
      <c r="S4634" s="9"/>
      <c r="T4634" s="9"/>
      <c r="U4634" s="9"/>
      <c r="V4634" s="9"/>
      <c r="W4634" s="9"/>
      <c r="X4634" s="9"/>
      <c r="Y4634" s="9"/>
      <c r="Z4634" s="9"/>
      <c r="AA4634" s="9"/>
    </row>
    <row r="4635" spans="1:27">
      <c r="A4635" s="8"/>
      <c r="B4635" s="8"/>
      <c r="C4635" s="9"/>
      <c r="D4635" s="9"/>
      <c r="E4635" s="9"/>
      <c r="F4635" s="9"/>
      <c r="G4635" s="9"/>
      <c r="H4635" s="9"/>
      <c r="I4635" s="9"/>
      <c r="J4635" s="9"/>
      <c r="K4635" s="9"/>
      <c r="L4635" s="9"/>
      <c r="M4635" s="9"/>
      <c r="N4635" s="9"/>
      <c r="O4635" s="9"/>
      <c r="P4635" s="9"/>
      <c r="Q4635" s="9"/>
      <c r="R4635" s="9"/>
      <c r="S4635" s="9"/>
      <c r="T4635" s="9"/>
      <c r="U4635" s="9"/>
      <c r="V4635" s="9"/>
      <c r="W4635" s="9"/>
      <c r="X4635" s="9"/>
      <c r="Y4635" s="9"/>
      <c r="Z4635" s="9"/>
      <c r="AA4635" s="9"/>
    </row>
    <row r="4636" spans="1:27">
      <c r="A4636" s="8"/>
      <c r="B4636" s="8"/>
      <c r="C4636" s="9"/>
      <c r="D4636" s="9"/>
      <c r="E4636" s="9"/>
      <c r="F4636" s="9"/>
      <c r="G4636" s="9"/>
      <c r="H4636" s="9"/>
      <c r="I4636" s="9"/>
      <c r="J4636" s="9"/>
      <c r="K4636" s="9"/>
      <c r="L4636" s="9"/>
      <c r="M4636" s="9"/>
      <c r="N4636" s="9"/>
      <c r="O4636" s="9"/>
      <c r="P4636" s="9"/>
      <c r="Q4636" s="9"/>
      <c r="R4636" s="9"/>
      <c r="S4636" s="9"/>
      <c r="T4636" s="9"/>
      <c r="U4636" s="9"/>
      <c r="V4636" s="9"/>
      <c r="W4636" s="9"/>
      <c r="X4636" s="9"/>
      <c r="Y4636" s="9"/>
      <c r="Z4636" s="9"/>
      <c r="AA4636" s="9"/>
    </row>
    <row r="4637" spans="1:27">
      <c r="A4637" s="8"/>
      <c r="B4637" s="8"/>
      <c r="C4637" s="9"/>
      <c r="D4637" s="9"/>
      <c r="E4637" s="9"/>
      <c r="F4637" s="9"/>
      <c r="G4637" s="9"/>
      <c r="H4637" s="9"/>
      <c r="I4637" s="9"/>
      <c r="J4637" s="9"/>
      <c r="K4637" s="9"/>
      <c r="L4637" s="9"/>
      <c r="M4637" s="9"/>
      <c r="N4637" s="9"/>
      <c r="O4637" s="9"/>
      <c r="P4637" s="9"/>
      <c r="Q4637" s="9"/>
      <c r="R4637" s="9"/>
      <c r="S4637" s="9"/>
      <c r="T4637" s="9"/>
      <c r="U4637" s="9"/>
      <c r="V4637" s="9"/>
      <c r="W4637" s="9"/>
      <c r="X4637" s="9"/>
      <c r="Y4637" s="9"/>
      <c r="Z4637" s="9"/>
      <c r="AA4637" s="9"/>
    </row>
    <row r="4638" spans="1:27">
      <c r="A4638" s="8"/>
      <c r="B4638" s="8"/>
      <c r="C4638" s="9"/>
      <c r="D4638" s="9"/>
      <c r="E4638" s="9"/>
      <c r="F4638" s="9"/>
      <c r="G4638" s="9"/>
      <c r="H4638" s="9"/>
      <c r="I4638" s="9"/>
      <c r="J4638" s="9"/>
      <c r="K4638" s="9"/>
      <c r="L4638" s="9"/>
      <c r="M4638" s="9"/>
      <c r="N4638" s="9"/>
      <c r="O4638" s="9"/>
      <c r="P4638" s="9"/>
      <c r="Q4638" s="9"/>
      <c r="R4638" s="9"/>
      <c r="S4638" s="9"/>
      <c r="T4638" s="9"/>
      <c r="U4638" s="9"/>
      <c r="V4638" s="9"/>
      <c r="W4638" s="9"/>
      <c r="X4638" s="9"/>
      <c r="Y4638" s="9"/>
      <c r="Z4638" s="9"/>
      <c r="AA4638" s="9"/>
    </row>
    <row r="4639" spans="1:27">
      <c r="A4639" s="8"/>
      <c r="B4639" s="8"/>
      <c r="C4639" s="9"/>
      <c r="D4639" s="9"/>
      <c r="E4639" s="9"/>
      <c r="F4639" s="9"/>
      <c r="G4639" s="9"/>
      <c r="H4639" s="9"/>
      <c r="I4639" s="9"/>
      <c r="J4639" s="9"/>
      <c r="K4639" s="9"/>
      <c r="L4639" s="9"/>
      <c r="M4639" s="9"/>
      <c r="N4639" s="9"/>
      <c r="O4639" s="9"/>
      <c r="P4639" s="9"/>
      <c r="Q4639" s="9"/>
      <c r="R4639" s="9"/>
      <c r="S4639" s="9"/>
      <c r="T4639" s="9"/>
      <c r="U4639" s="9"/>
      <c r="V4639" s="9"/>
      <c r="W4639" s="9"/>
      <c r="X4639" s="9"/>
      <c r="Y4639" s="9"/>
      <c r="Z4639" s="9"/>
      <c r="AA4639" s="9"/>
    </row>
    <row r="4640" spans="1:27">
      <c r="A4640" s="8"/>
      <c r="B4640" s="8"/>
      <c r="C4640" s="9"/>
      <c r="D4640" s="9"/>
      <c r="E4640" s="9"/>
      <c r="F4640" s="9"/>
      <c r="G4640" s="9"/>
      <c r="H4640" s="9"/>
      <c r="I4640" s="9"/>
      <c r="J4640" s="9"/>
      <c r="K4640" s="9"/>
      <c r="L4640" s="9"/>
      <c r="M4640" s="9"/>
      <c r="N4640" s="9"/>
      <c r="O4640" s="9"/>
      <c r="P4640" s="9"/>
      <c r="Q4640" s="9"/>
      <c r="R4640" s="9"/>
      <c r="S4640" s="9"/>
      <c r="T4640" s="9"/>
      <c r="U4640" s="9"/>
      <c r="V4640" s="9"/>
      <c r="W4640" s="9"/>
      <c r="X4640" s="9"/>
      <c r="Y4640" s="9"/>
      <c r="Z4640" s="9"/>
      <c r="AA4640" s="9"/>
    </row>
    <row r="4641" spans="1:27">
      <c r="A4641" s="8"/>
      <c r="B4641" s="8"/>
      <c r="C4641" s="9"/>
      <c r="D4641" s="9"/>
      <c r="E4641" s="9"/>
      <c r="F4641" s="9"/>
      <c r="G4641" s="9"/>
      <c r="H4641" s="9"/>
      <c r="I4641" s="9"/>
      <c r="J4641" s="9"/>
      <c r="K4641" s="9"/>
      <c r="L4641" s="9"/>
      <c r="M4641" s="9"/>
      <c r="N4641" s="9"/>
      <c r="O4641" s="9"/>
      <c r="P4641" s="9"/>
      <c r="Q4641" s="9"/>
      <c r="R4641" s="9"/>
      <c r="S4641" s="9"/>
      <c r="T4641" s="9"/>
      <c r="U4641" s="9"/>
      <c r="V4641" s="9"/>
      <c r="W4641" s="9"/>
      <c r="X4641" s="9"/>
      <c r="Y4641" s="9"/>
      <c r="Z4641" s="9"/>
      <c r="AA4641" s="9"/>
    </row>
    <row r="4642" spans="1:27">
      <c r="A4642" s="8"/>
      <c r="B4642" s="8"/>
      <c r="C4642" s="9"/>
      <c r="D4642" s="9"/>
      <c r="E4642" s="9"/>
      <c r="F4642" s="9"/>
      <c r="G4642" s="9"/>
      <c r="H4642" s="9"/>
      <c r="I4642" s="9"/>
      <c r="J4642" s="9"/>
      <c r="K4642" s="9"/>
      <c r="L4642" s="9"/>
      <c r="M4642" s="9"/>
      <c r="N4642" s="9"/>
      <c r="O4642" s="9"/>
      <c r="P4642" s="9"/>
      <c r="Q4642" s="9"/>
      <c r="R4642" s="9"/>
      <c r="S4642" s="9"/>
      <c r="T4642" s="9"/>
      <c r="U4642" s="9"/>
      <c r="V4642" s="9"/>
      <c r="W4642" s="9"/>
      <c r="X4642" s="9"/>
      <c r="Y4642" s="9"/>
      <c r="Z4642" s="9"/>
      <c r="AA4642" s="9"/>
    </row>
    <row r="4643" spans="1:27">
      <c r="A4643" s="8"/>
      <c r="B4643" s="8"/>
      <c r="C4643" s="9"/>
      <c r="D4643" s="9"/>
      <c r="E4643" s="9"/>
      <c r="F4643" s="9"/>
      <c r="G4643" s="9"/>
      <c r="H4643" s="9"/>
      <c r="I4643" s="9"/>
      <c r="J4643" s="9"/>
      <c r="K4643" s="9"/>
      <c r="L4643" s="9"/>
      <c r="M4643" s="9"/>
      <c r="N4643" s="9"/>
      <c r="O4643" s="9"/>
      <c r="P4643" s="9"/>
      <c r="Q4643" s="9"/>
      <c r="R4643" s="9"/>
      <c r="S4643" s="9"/>
      <c r="T4643" s="9"/>
      <c r="U4643" s="9"/>
      <c r="V4643" s="9"/>
      <c r="W4643" s="9"/>
      <c r="X4643" s="9"/>
      <c r="Y4643" s="9"/>
      <c r="Z4643" s="9"/>
      <c r="AA4643" s="9"/>
    </row>
    <row r="4644" spans="1:27">
      <c r="A4644" s="8"/>
      <c r="B4644" s="8"/>
      <c r="C4644" s="9"/>
      <c r="D4644" s="9"/>
      <c r="E4644" s="9"/>
      <c r="F4644" s="9"/>
      <c r="G4644" s="9"/>
      <c r="H4644" s="9"/>
      <c r="I4644" s="9"/>
      <c r="J4644" s="9"/>
      <c r="K4644" s="9"/>
      <c r="L4644" s="9"/>
      <c r="M4644" s="9"/>
      <c r="N4644" s="9"/>
      <c r="O4644" s="9"/>
      <c r="P4644" s="9"/>
      <c r="Q4644" s="9"/>
      <c r="R4644" s="9"/>
      <c r="S4644" s="9"/>
      <c r="T4644" s="9"/>
      <c r="U4644" s="9"/>
      <c r="V4644" s="9"/>
      <c r="W4644" s="9"/>
      <c r="X4644" s="9"/>
      <c r="Y4644" s="9"/>
      <c r="Z4644" s="9"/>
      <c r="AA4644" s="9"/>
    </row>
    <row r="4645" spans="1:27">
      <c r="A4645" s="8"/>
      <c r="B4645" s="8"/>
      <c r="C4645" s="9"/>
      <c r="D4645" s="9"/>
      <c r="E4645" s="9"/>
      <c r="F4645" s="9"/>
      <c r="G4645" s="9"/>
      <c r="H4645" s="9"/>
      <c r="I4645" s="9"/>
      <c r="J4645" s="9"/>
      <c r="K4645" s="9"/>
      <c r="L4645" s="9"/>
      <c r="M4645" s="9"/>
      <c r="N4645" s="9"/>
      <c r="O4645" s="9"/>
      <c r="P4645" s="9"/>
      <c r="Q4645" s="9"/>
      <c r="R4645" s="9"/>
      <c r="S4645" s="9"/>
      <c r="T4645" s="9"/>
      <c r="U4645" s="9"/>
      <c r="V4645" s="9"/>
      <c r="W4645" s="9"/>
      <c r="X4645" s="9"/>
      <c r="Y4645" s="9"/>
      <c r="Z4645" s="9"/>
      <c r="AA4645" s="9"/>
    </row>
    <row r="4646" spans="1:27">
      <c r="A4646" s="8"/>
      <c r="B4646" s="8"/>
      <c r="C4646" s="9"/>
      <c r="D4646" s="9"/>
      <c r="E4646" s="9"/>
      <c r="F4646" s="9"/>
      <c r="G4646" s="9"/>
      <c r="H4646" s="9"/>
      <c r="I4646" s="9"/>
      <c r="J4646" s="9"/>
      <c r="K4646" s="9"/>
      <c r="L4646" s="9"/>
      <c r="M4646" s="9"/>
      <c r="N4646" s="9"/>
      <c r="O4646" s="9"/>
      <c r="P4646" s="9"/>
      <c r="Q4646" s="9"/>
      <c r="R4646" s="9"/>
      <c r="S4646" s="9"/>
      <c r="T4646" s="9"/>
      <c r="U4646" s="9"/>
      <c r="V4646" s="9"/>
      <c r="W4646" s="9"/>
      <c r="X4646" s="9"/>
      <c r="Y4646" s="9"/>
      <c r="Z4646" s="9"/>
      <c r="AA4646" s="9"/>
    </row>
    <row r="4647" spans="1:27">
      <c r="A4647" s="8"/>
      <c r="B4647" s="8"/>
      <c r="C4647" s="9"/>
      <c r="D4647" s="9"/>
      <c r="E4647" s="9"/>
      <c r="F4647" s="9"/>
      <c r="G4647" s="9"/>
      <c r="H4647" s="9"/>
      <c r="I4647" s="9"/>
      <c r="J4647" s="9"/>
      <c r="K4647" s="9"/>
      <c r="L4647" s="9"/>
      <c r="M4647" s="9"/>
      <c r="N4647" s="9"/>
      <c r="O4647" s="9"/>
      <c r="P4647" s="9"/>
      <c r="Q4647" s="9"/>
      <c r="R4647" s="9"/>
      <c r="S4647" s="9"/>
      <c r="T4647" s="9"/>
      <c r="U4647" s="9"/>
      <c r="V4647" s="9"/>
      <c r="W4647" s="9"/>
      <c r="X4647" s="9"/>
      <c r="Y4647" s="9"/>
      <c r="Z4647" s="9"/>
      <c r="AA4647" s="9"/>
    </row>
    <row r="4648" spans="1:27">
      <c r="A4648" s="8"/>
      <c r="B4648" s="8"/>
      <c r="C4648" s="9"/>
      <c r="D4648" s="9"/>
      <c r="E4648" s="9"/>
      <c r="F4648" s="9"/>
      <c r="G4648" s="9"/>
      <c r="H4648" s="9"/>
      <c r="I4648" s="9"/>
      <c r="J4648" s="9"/>
      <c r="K4648" s="9"/>
      <c r="L4648" s="9"/>
      <c r="M4648" s="9"/>
      <c r="N4648" s="9"/>
      <c r="O4648" s="9"/>
      <c r="P4648" s="9"/>
      <c r="Q4648" s="9"/>
      <c r="R4648" s="9"/>
      <c r="S4648" s="9"/>
      <c r="T4648" s="9"/>
      <c r="U4648" s="9"/>
      <c r="V4648" s="9"/>
      <c r="W4648" s="9"/>
      <c r="X4648" s="9"/>
      <c r="Y4648" s="9"/>
      <c r="Z4648" s="9"/>
      <c r="AA4648" s="9"/>
    </row>
    <row r="4649" spans="1:27">
      <c r="A4649" s="8"/>
      <c r="B4649" s="8"/>
      <c r="C4649" s="9"/>
      <c r="D4649" s="9"/>
      <c r="E4649" s="9"/>
      <c r="F4649" s="9"/>
      <c r="G4649" s="9"/>
      <c r="H4649" s="9"/>
      <c r="I4649" s="9"/>
      <c r="J4649" s="9"/>
      <c r="K4649" s="9"/>
      <c r="L4649" s="9"/>
      <c r="M4649" s="9"/>
      <c r="N4649" s="9"/>
      <c r="O4649" s="9"/>
      <c r="P4649" s="9"/>
      <c r="Q4649" s="9"/>
      <c r="R4649" s="9"/>
      <c r="S4649" s="9"/>
      <c r="T4649" s="9"/>
      <c r="U4649" s="9"/>
      <c r="V4649" s="9"/>
      <c r="W4649" s="9"/>
      <c r="X4649" s="9"/>
      <c r="Y4649" s="9"/>
      <c r="Z4649" s="9"/>
      <c r="AA4649" s="9"/>
    </row>
    <row r="4650" spans="1:27">
      <c r="A4650" s="8"/>
      <c r="B4650" s="8"/>
      <c r="C4650" s="9"/>
      <c r="D4650" s="9"/>
      <c r="E4650" s="9"/>
      <c r="F4650" s="9"/>
      <c r="G4650" s="9"/>
      <c r="H4650" s="9"/>
      <c r="I4650" s="9"/>
      <c r="J4650" s="9"/>
      <c r="K4650" s="9"/>
      <c r="L4650" s="9"/>
      <c r="M4650" s="9"/>
      <c r="N4650" s="9"/>
      <c r="O4650" s="9"/>
      <c r="P4650" s="9"/>
      <c r="Q4650" s="9"/>
      <c r="R4650" s="9"/>
      <c r="S4650" s="9"/>
      <c r="T4650" s="9"/>
      <c r="U4650" s="9"/>
      <c r="V4650" s="9"/>
      <c r="W4650" s="9"/>
      <c r="X4650" s="9"/>
      <c r="Y4650" s="9"/>
      <c r="Z4650" s="9"/>
      <c r="AA4650" s="9"/>
    </row>
    <row r="4651" spans="1:27">
      <c r="A4651" s="8"/>
      <c r="B4651" s="8"/>
      <c r="C4651" s="9"/>
      <c r="D4651" s="9"/>
      <c r="E4651" s="9"/>
      <c r="F4651" s="9"/>
      <c r="G4651" s="9"/>
      <c r="H4651" s="9"/>
      <c r="I4651" s="9"/>
      <c r="J4651" s="9"/>
      <c r="K4651" s="9"/>
      <c r="L4651" s="9"/>
      <c r="M4651" s="9"/>
      <c r="N4651" s="9"/>
      <c r="O4651" s="9"/>
      <c r="P4651" s="9"/>
      <c r="Q4651" s="9"/>
      <c r="R4651" s="9"/>
      <c r="S4651" s="9"/>
      <c r="T4651" s="9"/>
      <c r="U4651" s="9"/>
      <c r="V4651" s="9"/>
      <c r="W4651" s="9"/>
      <c r="X4651" s="9"/>
      <c r="Y4651" s="9"/>
      <c r="Z4651" s="9"/>
      <c r="AA4651" s="9"/>
    </row>
    <row r="4652" spans="1:27">
      <c r="A4652" s="8"/>
      <c r="B4652" s="8"/>
      <c r="C4652" s="9"/>
      <c r="D4652" s="9"/>
      <c r="E4652" s="9"/>
      <c r="F4652" s="9"/>
      <c r="G4652" s="9"/>
      <c r="H4652" s="9"/>
      <c r="I4652" s="9"/>
      <c r="J4652" s="9"/>
      <c r="K4652" s="9"/>
      <c r="L4652" s="9"/>
      <c r="M4652" s="9"/>
      <c r="N4652" s="9"/>
      <c r="O4652" s="9"/>
      <c r="P4652" s="9"/>
      <c r="Q4652" s="9"/>
      <c r="R4652" s="9"/>
      <c r="S4652" s="9"/>
      <c r="T4652" s="9"/>
      <c r="U4652" s="9"/>
      <c r="V4652" s="9"/>
      <c r="W4652" s="9"/>
      <c r="X4652" s="9"/>
      <c r="Y4652" s="9"/>
      <c r="Z4652" s="9"/>
      <c r="AA4652" s="9"/>
    </row>
    <row r="4653" spans="1:27">
      <c r="A4653" s="8"/>
      <c r="B4653" s="8"/>
      <c r="C4653" s="9"/>
      <c r="D4653" s="9"/>
      <c r="E4653" s="9"/>
      <c r="F4653" s="9"/>
      <c r="G4653" s="9"/>
      <c r="H4653" s="9"/>
      <c r="I4653" s="9"/>
      <c r="J4653" s="9"/>
      <c r="K4653" s="9"/>
      <c r="L4653" s="9"/>
      <c r="M4653" s="9"/>
      <c r="N4653" s="9"/>
      <c r="O4653" s="9"/>
      <c r="P4653" s="9"/>
      <c r="Q4653" s="9"/>
      <c r="R4653" s="9"/>
      <c r="S4653" s="9"/>
      <c r="T4653" s="9"/>
      <c r="U4653" s="9"/>
      <c r="V4653" s="9"/>
      <c r="W4653" s="9"/>
      <c r="X4653" s="9"/>
      <c r="Y4653" s="9"/>
      <c r="Z4653" s="9"/>
      <c r="AA4653" s="9"/>
    </row>
    <row r="4654" spans="1:27">
      <c r="A4654" s="8"/>
      <c r="B4654" s="8"/>
      <c r="C4654" s="9"/>
      <c r="D4654" s="9"/>
      <c r="E4654" s="9"/>
      <c r="F4654" s="9"/>
      <c r="G4654" s="9"/>
      <c r="H4654" s="9"/>
      <c r="I4654" s="9"/>
      <c r="J4654" s="9"/>
      <c r="K4654" s="9"/>
      <c r="L4654" s="9"/>
      <c r="M4654" s="9"/>
      <c r="N4654" s="9"/>
      <c r="O4654" s="9"/>
      <c r="P4654" s="9"/>
      <c r="Q4654" s="9"/>
      <c r="R4654" s="9"/>
      <c r="S4654" s="9"/>
      <c r="T4654" s="9"/>
      <c r="U4654" s="9"/>
      <c r="V4654" s="9"/>
      <c r="W4654" s="9"/>
      <c r="X4654" s="9"/>
      <c r="Y4654" s="9"/>
      <c r="Z4654" s="9"/>
      <c r="AA4654" s="9"/>
    </row>
    <row r="4655" spans="1:27">
      <c r="A4655" s="8"/>
      <c r="B4655" s="8"/>
      <c r="C4655" s="9"/>
      <c r="D4655" s="9"/>
      <c r="E4655" s="9"/>
      <c r="F4655" s="9"/>
      <c r="G4655" s="9"/>
      <c r="H4655" s="9"/>
      <c r="I4655" s="9"/>
      <c r="J4655" s="9"/>
      <c r="K4655" s="9"/>
      <c r="L4655" s="9"/>
      <c r="M4655" s="9"/>
      <c r="N4655" s="9"/>
      <c r="O4655" s="9"/>
      <c r="P4655" s="9"/>
      <c r="Q4655" s="9"/>
      <c r="R4655" s="9"/>
      <c r="S4655" s="9"/>
      <c r="T4655" s="9"/>
      <c r="U4655" s="9"/>
      <c r="V4655" s="9"/>
      <c r="W4655" s="9"/>
      <c r="X4655" s="9"/>
      <c r="Y4655" s="9"/>
      <c r="Z4655" s="9"/>
      <c r="AA4655" s="9"/>
    </row>
    <row r="4656" spans="1:27">
      <c r="A4656" s="8"/>
      <c r="B4656" s="8"/>
      <c r="C4656" s="9"/>
      <c r="D4656" s="9"/>
      <c r="E4656" s="9"/>
      <c r="F4656" s="9"/>
      <c r="G4656" s="9"/>
      <c r="H4656" s="9"/>
      <c r="I4656" s="9"/>
      <c r="J4656" s="9"/>
      <c r="K4656" s="9"/>
      <c r="L4656" s="9"/>
      <c r="M4656" s="9"/>
      <c r="N4656" s="9"/>
      <c r="O4656" s="9"/>
      <c r="P4656" s="9"/>
      <c r="Q4656" s="9"/>
      <c r="R4656" s="9"/>
      <c r="S4656" s="9"/>
      <c r="T4656" s="9"/>
      <c r="U4656" s="9"/>
      <c r="V4656" s="9"/>
      <c r="W4656" s="9"/>
      <c r="X4656" s="9"/>
      <c r="Y4656" s="9"/>
      <c r="Z4656" s="9"/>
      <c r="AA4656" s="9"/>
    </row>
    <row r="4657" spans="1:27">
      <c r="A4657" s="8"/>
      <c r="B4657" s="8"/>
      <c r="C4657" s="9"/>
      <c r="D4657" s="9"/>
      <c r="E4657" s="9"/>
      <c r="F4657" s="9"/>
      <c r="G4657" s="9"/>
      <c r="H4657" s="9"/>
      <c r="I4657" s="9"/>
      <c r="J4657" s="9"/>
      <c r="K4657" s="9"/>
      <c r="L4657" s="9"/>
      <c r="M4657" s="9"/>
      <c r="N4657" s="9"/>
      <c r="O4657" s="9"/>
      <c r="P4657" s="9"/>
      <c r="Q4657" s="9"/>
      <c r="R4657" s="9"/>
      <c r="S4657" s="9"/>
      <c r="T4657" s="9"/>
      <c r="U4657" s="9"/>
      <c r="V4657" s="9"/>
      <c r="W4657" s="9"/>
      <c r="X4657" s="9"/>
      <c r="Y4657" s="9"/>
      <c r="Z4657" s="9"/>
      <c r="AA4657" s="9"/>
    </row>
    <row r="4658" spans="1:27">
      <c r="A4658" s="8"/>
      <c r="B4658" s="8"/>
      <c r="C4658" s="9"/>
      <c r="D4658" s="9"/>
      <c r="E4658" s="9"/>
      <c r="F4658" s="9"/>
      <c r="G4658" s="9"/>
      <c r="H4658" s="9"/>
      <c r="I4658" s="9"/>
      <c r="J4658" s="9"/>
      <c r="K4658" s="9"/>
      <c r="L4658" s="9"/>
      <c r="M4658" s="9"/>
      <c r="N4658" s="9"/>
      <c r="O4658" s="9"/>
      <c r="P4658" s="9"/>
      <c r="Q4658" s="9"/>
      <c r="R4658" s="9"/>
      <c r="S4658" s="9"/>
      <c r="T4658" s="9"/>
      <c r="U4658" s="9"/>
      <c r="V4658" s="9"/>
      <c r="W4658" s="9"/>
      <c r="X4658" s="9"/>
      <c r="Y4658" s="9"/>
      <c r="Z4658" s="9"/>
      <c r="AA4658" s="9"/>
    </row>
    <row r="4659" spans="1:27">
      <c r="A4659" s="8"/>
      <c r="B4659" s="8"/>
      <c r="C4659" s="9"/>
      <c r="D4659" s="9"/>
      <c r="E4659" s="9"/>
      <c r="F4659" s="9"/>
      <c r="G4659" s="9"/>
      <c r="H4659" s="9"/>
      <c r="I4659" s="9"/>
      <c r="J4659" s="9"/>
      <c r="K4659" s="9"/>
      <c r="L4659" s="9"/>
      <c r="M4659" s="9"/>
      <c r="N4659" s="9"/>
      <c r="O4659" s="9"/>
      <c r="P4659" s="9"/>
      <c r="Q4659" s="9"/>
      <c r="R4659" s="9"/>
      <c r="S4659" s="9"/>
      <c r="T4659" s="9"/>
      <c r="U4659" s="9"/>
      <c r="V4659" s="9"/>
      <c r="W4659" s="9"/>
      <c r="X4659" s="9"/>
      <c r="Y4659" s="9"/>
      <c r="Z4659" s="9"/>
      <c r="AA4659" s="9"/>
    </row>
    <row r="4660" spans="1:27">
      <c r="A4660" s="8"/>
      <c r="B4660" s="8"/>
      <c r="C4660" s="9"/>
      <c r="D4660" s="9"/>
      <c r="E4660" s="9"/>
      <c r="F4660" s="9"/>
      <c r="G4660" s="9"/>
      <c r="H4660" s="9"/>
      <c r="I4660" s="9"/>
      <c r="J4660" s="9"/>
      <c r="K4660" s="9"/>
      <c r="L4660" s="9"/>
      <c r="M4660" s="9"/>
      <c r="N4660" s="9"/>
      <c r="O4660" s="9"/>
      <c r="P4660" s="9"/>
      <c r="Q4660" s="9"/>
      <c r="R4660" s="9"/>
      <c r="S4660" s="9"/>
      <c r="T4660" s="9"/>
      <c r="U4660" s="9"/>
      <c r="V4660" s="9"/>
      <c r="W4660" s="9"/>
      <c r="X4660" s="9"/>
      <c r="Y4660" s="9"/>
      <c r="Z4660" s="9"/>
      <c r="AA4660" s="9"/>
    </row>
    <row r="4661" spans="1:27">
      <c r="A4661" s="8"/>
      <c r="B4661" s="8"/>
      <c r="C4661" s="9"/>
      <c r="D4661" s="9"/>
      <c r="E4661" s="9"/>
      <c r="F4661" s="9"/>
      <c r="G4661" s="9"/>
      <c r="H4661" s="9"/>
      <c r="I4661" s="9"/>
      <c r="J4661" s="9"/>
      <c r="K4661" s="9"/>
      <c r="L4661" s="9"/>
      <c r="M4661" s="9"/>
      <c r="N4661" s="9"/>
      <c r="O4661" s="9"/>
      <c r="P4661" s="9"/>
      <c r="Q4661" s="9"/>
      <c r="R4661" s="9"/>
      <c r="S4661" s="9"/>
      <c r="T4661" s="9"/>
      <c r="U4661" s="9"/>
      <c r="V4661" s="9"/>
      <c r="W4661" s="9"/>
      <c r="X4661" s="9"/>
      <c r="Y4661" s="9"/>
      <c r="Z4661" s="9"/>
      <c r="AA4661" s="9"/>
    </row>
    <row r="4662" spans="1:27">
      <c r="A4662" s="8"/>
      <c r="B4662" s="8"/>
      <c r="C4662" s="9"/>
      <c r="D4662" s="9"/>
      <c r="E4662" s="9"/>
      <c r="F4662" s="9"/>
      <c r="G4662" s="9"/>
      <c r="H4662" s="9"/>
      <c r="I4662" s="9"/>
      <c r="J4662" s="9"/>
      <c r="K4662" s="9"/>
      <c r="L4662" s="9"/>
      <c r="M4662" s="9"/>
      <c r="N4662" s="9"/>
      <c r="O4662" s="9"/>
      <c r="P4662" s="9"/>
      <c r="Q4662" s="9"/>
      <c r="R4662" s="9"/>
      <c r="S4662" s="9"/>
      <c r="T4662" s="9"/>
      <c r="U4662" s="9"/>
      <c r="V4662" s="9"/>
      <c r="W4662" s="9"/>
      <c r="X4662" s="9"/>
      <c r="Y4662" s="9"/>
      <c r="Z4662" s="9"/>
      <c r="AA4662" s="9"/>
    </row>
    <row r="4663" spans="1:27">
      <c r="A4663" s="8"/>
      <c r="B4663" s="8"/>
      <c r="C4663" s="9"/>
      <c r="D4663" s="9"/>
      <c r="E4663" s="9"/>
      <c r="F4663" s="9"/>
      <c r="G4663" s="9"/>
      <c r="H4663" s="9"/>
      <c r="I4663" s="9"/>
      <c r="J4663" s="9"/>
      <c r="K4663" s="9"/>
      <c r="L4663" s="9"/>
      <c r="M4663" s="9"/>
      <c r="N4663" s="9"/>
      <c r="O4663" s="9"/>
      <c r="P4663" s="9"/>
      <c r="Q4663" s="9"/>
      <c r="R4663" s="9"/>
      <c r="S4663" s="9"/>
      <c r="T4663" s="9"/>
      <c r="U4663" s="9"/>
      <c r="V4663" s="9"/>
      <c r="W4663" s="9"/>
      <c r="X4663" s="9"/>
      <c r="Y4663" s="9"/>
      <c r="Z4663" s="9"/>
      <c r="AA4663" s="9"/>
    </row>
    <row r="4664" spans="1:27">
      <c r="A4664" s="8"/>
      <c r="B4664" s="8"/>
      <c r="C4664" s="9"/>
      <c r="D4664" s="9"/>
      <c r="E4664" s="9"/>
      <c r="F4664" s="9"/>
      <c r="G4664" s="9"/>
      <c r="H4664" s="9"/>
      <c r="I4664" s="9"/>
      <c r="J4664" s="9"/>
      <c r="K4664" s="9"/>
      <c r="L4664" s="9"/>
      <c r="M4664" s="9"/>
      <c r="N4664" s="9"/>
      <c r="O4664" s="9"/>
      <c r="P4664" s="9"/>
      <c r="Q4664" s="9"/>
      <c r="R4664" s="9"/>
      <c r="S4664" s="9"/>
      <c r="T4664" s="9"/>
      <c r="U4664" s="9"/>
      <c r="V4664" s="9"/>
      <c r="W4664" s="9"/>
      <c r="X4664" s="9"/>
      <c r="Y4664" s="9"/>
      <c r="Z4664" s="9"/>
      <c r="AA4664" s="9"/>
    </row>
    <row r="4665" spans="1:27">
      <c r="A4665" s="8"/>
      <c r="B4665" s="8"/>
      <c r="C4665" s="9"/>
      <c r="D4665" s="9"/>
      <c r="E4665" s="9"/>
      <c r="F4665" s="9"/>
      <c r="G4665" s="9"/>
      <c r="H4665" s="9"/>
      <c r="I4665" s="9"/>
      <c r="J4665" s="9"/>
      <c r="K4665" s="9"/>
      <c r="L4665" s="9"/>
      <c r="M4665" s="9"/>
      <c r="N4665" s="9"/>
      <c r="O4665" s="9"/>
      <c r="P4665" s="9"/>
      <c r="Q4665" s="9"/>
      <c r="R4665" s="9"/>
      <c r="S4665" s="9"/>
      <c r="T4665" s="9"/>
      <c r="U4665" s="9"/>
      <c r="V4665" s="9"/>
      <c r="W4665" s="9"/>
      <c r="X4665" s="9"/>
      <c r="Y4665" s="9"/>
      <c r="Z4665" s="9"/>
      <c r="AA4665" s="9"/>
    </row>
    <row r="4666" spans="1:27">
      <c r="A4666" s="8"/>
      <c r="B4666" s="8"/>
      <c r="C4666" s="9"/>
      <c r="D4666" s="9"/>
      <c r="E4666" s="9"/>
      <c r="F4666" s="9"/>
      <c r="G4666" s="9"/>
      <c r="H4666" s="9"/>
      <c r="I4666" s="9"/>
      <c r="J4666" s="9"/>
      <c r="K4666" s="9"/>
      <c r="L4666" s="9"/>
      <c r="M4666" s="9"/>
      <c r="N4666" s="9"/>
      <c r="O4666" s="9"/>
      <c r="P4666" s="9"/>
      <c r="Q4666" s="9"/>
      <c r="R4666" s="9"/>
      <c r="S4666" s="9"/>
      <c r="T4666" s="9"/>
      <c r="U4666" s="9"/>
      <c r="V4666" s="9"/>
      <c r="W4666" s="9"/>
      <c r="X4666" s="9"/>
      <c r="Y4666" s="9"/>
      <c r="Z4666" s="9"/>
      <c r="AA4666" s="9"/>
    </row>
    <row r="4667" spans="1:27">
      <c r="A4667" s="8"/>
      <c r="B4667" s="8"/>
      <c r="C4667" s="9"/>
      <c r="D4667" s="9"/>
      <c r="E4667" s="9"/>
      <c r="F4667" s="9"/>
      <c r="G4667" s="9"/>
      <c r="H4667" s="9"/>
      <c r="I4667" s="9"/>
      <c r="J4667" s="9"/>
      <c r="K4667" s="9"/>
      <c r="L4667" s="9"/>
      <c r="M4667" s="9"/>
      <c r="N4667" s="9"/>
      <c r="O4667" s="9"/>
      <c r="P4667" s="9"/>
      <c r="Q4667" s="9"/>
      <c r="R4667" s="9"/>
      <c r="S4667" s="9"/>
      <c r="T4667" s="9"/>
      <c r="U4667" s="9"/>
      <c r="V4667" s="9"/>
      <c r="W4667" s="9"/>
      <c r="X4667" s="9"/>
      <c r="Y4667" s="9"/>
      <c r="Z4667" s="9"/>
      <c r="AA4667" s="9"/>
    </row>
    <row r="4668" spans="1:27">
      <c r="A4668" s="8"/>
      <c r="B4668" s="8"/>
      <c r="C4668" s="9"/>
      <c r="D4668" s="9"/>
      <c r="E4668" s="9"/>
      <c r="F4668" s="9"/>
      <c r="G4668" s="9"/>
      <c r="H4668" s="9"/>
      <c r="I4668" s="9"/>
      <c r="J4668" s="9"/>
      <c r="K4668" s="9"/>
      <c r="L4668" s="9"/>
      <c r="M4668" s="9"/>
      <c r="N4668" s="9"/>
      <c r="O4668" s="9"/>
      <c r="P4668" s="9"/>
      <c r="Q4668" s="9"/>
      <c r="R4668" s="9"/>
      <c r="S4668" s="9"/>
      <c r="T4668" s="9"/>
      <c r="U4668" s="9"/>
      <c r="V4668" s="9"/>
      <c r="W4668" s="9"/>
      <c r="X4668" s="9"/>
      <c r="Y4668" s="9"/>
      <c r="Z4668" s="9"/>
      <c r="AA4668" s="9"/>
    </row>
    <row r="4669" spans="1:27">
      <c r="A4669" s="8"/>
      <c r="B4669" s="8"/>
      <c r="C4669" s="9"/>
      <c r="D4669" s="9"/>
      <c r="E4669" s="9"/>
      <c r="F4669" s="9"/>
      <c r="G4669" s="9"/>
      <c r="H4669" s="9"/>
      <c r="I4669" s="9"/>
      <c r="J4669" s="9"/>
      <c r="K4669" s="9"/>
      <c r="L4669" s="9"/>
      <c r="M4669" s="9"/>
      <c r="N4669" s="9"/>
      <c r="O4669" s="9"/>
      <c r="P4669" s="9"/>
      <c r="Q4669" s="9"/>
      <c r="R4669" s="9"/>
      <c r="S4669" s="9"/>
      <c r="T4669" s="9"/>
      <c r="U4669" s="9"/>
      <c r="V4669" s="9"/>
      <c r="W4669" s="9"/>
      <c r="X4669" s="9"/>
      <c r="Y4669" s="9"/>
      <c r="Z4669" s="9"/>
      <c r="AA4669" s="9"/>
    </row>
    <row r="4670" spans="1:27">
      <c r="A4670" s="8"/>
      <c r="B4670" s="8"/>
      <c r="C4670" s="9"/>
      <c r="D4670" s="9"/>
      <c r="E4670" s="9"/>
      <c r="F4670" s="9"/>
      <c r="G4670" s="9"/>
      <c r="H4670" s="9"/>
      <c r="I4670" s="9"/>
      <c r="J4670" s="9"/>
      <c r="K4670" s="9"/>
      <c r="L4670" s="9"/>
      <c r="M4670" s="9"/>
      <c r="N4670" s="9"/>
      <c r="O4670" s="9"/>
      <c r="P4670" s="9"/>
      <c r="Q4670" s="9"/>
      <c r="R4670" s="9"/>
      <c r="S4670" s="9"/>
      <c r="T4670" s="9"/>
      <c r="U4670" s="9"/>
      <c r="V4670" s="9"/>
      <c r="W4670" s="9"/>
      <c r="X4670" s="9"/>
      <c r="Y4670" s="9"/>
      <c r="Z4670" s="9"/>
      <c r="AA4670" s="9"/>
    </row>
    <row r="4671" spans="1:27">
      <c r="A4671" s="8"/>
      <c r="B4671" s="8"/>
      <c r="C4671" s="9"/>
      <c r="D4671" s="9"/>
      <c r="E4671" s="9"/>
      <c r="F4671" s="9"/>
      <c r="G4671" s="9"/>
      <c r="H4671" s="9"/>
      <c r="I4671" s="9"/>
      <c r="J4671" s="9"/>
      <c r="K4671" s="9"/>
      <c r="L4671" s="9"/>
      <c r="M4671" s="9"/>
      <c r="N4671" s="9"/>
      <c r="O4671" s="9"/>
      <c r="P4671" s="9"/>
      <c r="Q4671" s="9"/>
      <c r="R4671" s="9"/>
      <c r="S4671" s="9"/>
      <c r="T4671" s="9"/>
      <c r="U4671" s="9"/>
      <c r="V4671" s="9"/>
      <c r="W4671" s="9"/>
      <c r="X4671" s="9"/>
      <c r="Y4671" s="9"/>
      <c r="Z4671" s="9"/>
      <c r="AA4671" s="9"/>
    </row>
    <row r="4672" spans="1:27">
      <c r="A4672" s="8"/>
      <c r="B4672" s="8"/>
      <c r="C4672" s="9"/>
      <c r="D4672" s="9"/>
      <c r="E4672" s="9"/>
      <c r="F4672" s="9"/>
      <c r="G4672" s="9"/>
      <c r="H4672" s="9"/>
      <c r="I4672" s="9"/>
      <c r="J4672" s="9"/>
      <c r="K4672" s="9"/>
      <c r="L4672" s="9"/>
      <c r="M4672" s="9"/>
      <c r="N4672" s="9"/>
      <c r="O4672" s="9"/>
      <c r="P4672" s="9"/>
      <c r="Q4672" s="9"/>
      <c r="R4672" s="9"/>
      <c r="S4672" s="9"/>
      <c r="T4672" s="9"/>
      <c r="U4672" s="9"/>
      <c r="V4672" s="9"/>
      <c r="W4672" s="9"/>
      <c r="X4672" s="9"/>
      <c r="Y4672" s="9"/>
      <c r="Z4672" s="9"/>
      <c r="AA4672" s="9"/>
    </row>
    <row r="4673" spans="1:27">
      <c r="A4673" s="8"/>
      <c r="B4673" s="8"/>
      <c r="C4673" s="9"/>
      <c r="D4673" s="9"/>
      <c r="E4673" s="9"/>
      <c r="F4673" s="9"/>
      <c r="G4673" s="9"/>
      <c r="H4673" s="9"/>
      <c r="I4673" s="9"/>
      <c r="J4673" s="9"/>
      <c r="K4673" s="9"/>
      <c r="L4673" s="9"/>
      <c r="M4673" s="9"/>
      <c r="N4673" s="9"/>
      <c r="O4673" s="9"/>
      <c r="P4673" s="9"/>
      <c r="Q4673" s="9"/>
      <c r="R4673" s="9"/>
      <c r="S4673" s="9"/>
      <c r="T4673" s="9"/>
      <c r="U4673" s="9"/>
      <c r="V4673" s="9"/>
      <c r="W4673" s="9"/>
      <c r="X4673" s="9"/>
      <c r="Y4673" s="9"/>
      <c r="Z4673" s="9"/>
      <c r="AA4673" s="9"/>
    </row>
    <row r="4674" spans="1:27">
      <c r="A4674" s="8"/>
      <c r="B4674" s="8"/>
      <c r="C4674" s="9"/>
      <c r="D4674" s="9"/>
      <c r="E4674" s="9"/>
      <c r="F4674" s="9"/>
      <c r="G4674" s="9"/>
      <c r="H4674" s="9"/>
      <c r="I4674" s="9"/>
      <c r="J4674" s="9"/>
      <c r="K4674" s="9"/>
      <c r="L4674" s="9"/>
      <c r="M4674" s="9"/>
      <c r="N4674" s="9"/>
      <c r="O4674" s="9"/>
      <c r="P4674" s="9"/>
      <c r="Q4674" s="9"/>
      <c r="R4674" s="9"/>
      <c r="S4674" s="9"/>
      <c r="T4674" s="9"/>
      <c r="U4674" s="9"/>
      <c r="V4674" s="9"/>
      <c r="W4674" s="9"/>
      <c r="X4674" s="9"/>
      <c r="Y4674" s="9"/>
      <c r="Z4674" s="9"/>
      <c r="AA4674" s="9"/>
    </row>
    <row r="4675" spans="1:27">
      <c r="A4675" s="8"/>
      <c r="B4675" s="8"/>
      <c r="C4675" s="9"/>
      <c r="D4675" s="9"/>
      <c r="E4675" s="9"/>
      <c r="F4675" s="9"/>
      <c r="G4675" s="9"/>
      <c r="H4675" s="9"/>
      <c r="I4675" s="9"/>
      <c r="J4675" s="9"/>
      <c r="K4675" s="9"/>
      <c r="L4675" s="9"/>
      <c r="M4675" s="9"/>
      <c r="N4675" s="9"/>
      <c r="O4675" s="9"/>
      <c r="P4675" s="9"/>
      <c r="Q4675" s="9"/>
      <c r="R4675" s="9"/>
      <c r="S4675" s="9"/>
      <c r="T4675" s="9"/>
      <c r="U4675" s="9"/>
      <c r="V4675" s="9"/>
      <c r="W4675" s="9"/>
      <c r="X4675" s="9"/>
      <c r="Y4675" s="9"/>
      <c r="Z4675" s="9"/>
      <c r="AA4675" s="9"/>
    </row>
    <row r="4676" spans="1:27">
      <c r="A4676" s="8"/>
      <c r="B4676" s="8"/>
      <c r="C4676" s="9"/>
      <c r="D4676" s="9"/>
      <c r="E4676" s="9"/>
      <c r="F4676" s="9"/>
      <c r="G4676" s="9"/>
      <c r="H4676" s="9"/>
      <c r="I4676" s="9"/>
      <c r="J4676" s="9"/>
      <c r="K4676" s="9"/>
      <c r="L4676" s="9"/>
      <c r="M4676" s="9"/>
      <c r="N4676" s="9"/>
      <c r="O4676" s="9"/>
      <c r="P4676" s="9"/>
      <c r="Q4676" s="9"/>
      <c r="R4676" s="9"/>
      <c r="S4676" s="9"/>
      <c r="T4676" s="9"/>
      <c r="U4676" s="9"/>
      <c r="V4676" s="9"/>
      <c r="W4676" s="9"/>
      <c r="X4676" s="9"/>
      <c r="Y4676" s="9"/>
      <c r="Z4676" s="9"/>
      <c r="AA4676" s="9"/>
    </row>
    <row r="4677" spans="1:27">
      <c r="A4677" s="8"/>
      <c r="B4677" s="8"/>
      <c r="C4677" s="9"/>
      <c r="D4677" s="9"/>
      <c r="E4677" s="9"/>
      <c r="F4677" s="9"/>
      <c r="G4677" s="9"/>
      <c r="H4677" s="9"/>
      <c r="I4677" s="9"/>
      <c r="J4677" s="9"/>
      <c r="K4677" s="9"/>
      <c r="L4677" s="9"/>
      <c r="M4677" s="9"/>
      <c r="N4677" s="9"/>
      <c r="O4677" s="9"/>
      <c r="P4677" s="9"/>
      <c r="Q4677" s="9"/>
      <c r="R4677" s="9"/>
      <c r="S4677" s="9"/>
      <c r="T4677" s="9"/>
      <c r="U4677" s="9"/>
      <c r="V4677" s="9"/>
      <c r="W4677" s="9"/>
      <c r="X4677" s="9"/>
      <c r="Y4677" s="9"/>
      <c r="Z4677" s="9"/>
      <c r="AA4677" s="9"/>
    </row>
    <row r="4678" spans="1:27">
      <c r="A4678" s="8"/>
      <c r="B4678" s="8"/>
      <c r="C4678" s="9"/>
      <c r="D4678" s="9"/>
      <c r="E4678" s="9"/>
      <c r="F4678" s="9"/>
      <c r="G4678" s="9"/>
      <c r="H4678" s="9"/>
      <c r="I4678" s="9"/>
      <c r="J4678" s="9"/>
      <c r="K4678" s="9"/>
      <c r="L4678" s="9"/>
      <c r="M4678" s="9"/>
      <c r="N4678" s="9"/>
      <c r="O4678" s="9"/>
      <c r="P4678" s="9"/>
      <c r="Q4678" s="9"/>
      <c r="R4678" s="9"/>
      <c r="S4678" s="9"/>
      <c r="T4678" s="9"/>
      <c r="U4678" s="9"/>
      <c r="V4678" s="9"/>
      <c r="W4678" s="9"/>
      <c r="X4678" s="9"/>
      <c r="Y4678" s="9"/>
      <c r="Z4678" s="9"/>
      <c r="AA4678" s="9"/>
    </row>
    <row r="4679" spans="1:27">
      <c r="A4679" s="8"/>
      <c r="B4679" s="8"/>
      <c r="C4679" s="9"/>
      <c r="D4679" s="9"/>
      <c r="E4679" s="9"/>
      <c r="F4679" s="9"/>
      <c r="G4679" s="9"/>
      <c r="H4679" s="9"/>
      <c r="I4679" s="9"/>
      <c r="J4679" s="9"/>
      <c r="K4679" s="9"/>
      <c r="L4679" s="9"/>
      <c r="M4679" s="9"/>
      <c r="N4679" s="9"/>
      <c r="O4679" s="9"/>
      <c r="P4679" s="9"/>
      <c r="Q4679" s="9"/>
      <c r="R4679" s="9"/>
      <c r="S4679" s="9"/>
      <c r="T4679" s="9"/>
      <c r="U4679" s="9"/>
      <c r="V4679" s="9"/>
      <c r="W4679" s="9"/>
      <c r="X4679" s="9"/>
      <c r="Y4679" s="9"/>
      <c r="Z4679" s="9"/>
      <c r="AA4679" s="9"/>
    </row>
    <row r="4680" spans="1:27">
      <c r="A4680" s="8"/>
      <c r="B4680" s="8"/>
      <c r="C4680" s="9"/>
      <c r="D4680" s="9"/>
      <c r="E4680" s="9"/>
      <c r="F4680" s="9"/>
      <c r="G4680" s="9"/>
      <c r="H4680" s="9"/>
      <c r="I4680" s="9"/>
      <c r="J4680" s="9"/>
      <c r="K4680" s="9"/>
      <c r="L4680" s="9"/>
      <c r="M4680" s="9"/>
      <c r="N4680" s="9"/>
      <c r="O4680" s="9"/>
      <c r="P4680" s="9"/>
      <c r="Q4680" s="9"/>
      <c r="R4680" s="9"/>
      <c r="S4680" s="9"/>
      <c r="T4680" s="9"/>
      <c r="U4680" s="9"/>
      <c r="V4680" s="9"/>
      <c r="W4680" s="9"/>
      <c r="X4680" s="9"/>
      <c r="Y4680" s="9"/>
      <c r="Z4680" s="9"/>
      <c r="AA4680" s="9"/>
    </row>
    <row r="4681" spans="1:27">
      <c r="A4681" s="8"/>
      <c r="B4681" s="8"/>
      <c r="C4681" s="9"/>
      <c r="D4681" s="9"/>
      <c r="E4681" s="9"/>
      <c r="F4681" s="9"/>
      <c r="G4681" s="9"/>
      <c r="H4681" s="9"/>
      <c r="I4681" s="9"/>
      <c r="J4681" s="9"/>
      <c r="K4681" s="9"/>
      <c r="L4681" s="9"/>
      <c r="M4681" s="9"/>
      <c r="N4681" s="9"/>
      <c r="O4681" s="9"/>
      <c r="P4681" s="9"/>
      <c r="Q4681" s="9"/>
      <c r="R4681" s="9"/>
      <c r="S4681" s="9"/>
      <c r="T4681" s="9"/>
      <c r="U4681" s="9"/>
      <c r="V4681" s="9"/>
      <c r="W4681" s="9"/>
      <c r="X4681" s="9"/>
      <c r="Y4681" s="9"/>
      <c r="Z4681" s="9"/>
      <c r="AA4681" s="9"/>
    </row>
    <row r="4682" spans="1:27">
      <c r="A4682" s="8"/>
      <c r="B4682" s="8"/>
      <c r="C4682" s="9"/>
      <c r="D4682" s="9"/>
      <c r="E4682" s="9"/>
      <c r="F4682" s="9"/>
      <c r="G4682" s="9"/>
      <c r="H4682" s="9"/>
      <c r="I4682" s="9"/>
      <c r="J4682" s="9"/>
      <c r="K4682" s="9"/>
      <c r="L4682" s="9"/>
      <c r="M4682" s="9"/>
      <c r="N4682" s="9"/>
      <c r="O4682" s="9"/>
      <c r="P4682" s="9"/>
      <c r="Q4682" s="9"/>
      <c r="R4682" s="9"/>
      <c r="S4682" s="9"/>
      <c r="T4682" s="9"/>
      <c r="U4682" s="9"/>
      <c r="V4682" s="9"/>
      <c r="W4682" s="9"/>
      <c r="X4682" s="9"/>
      <c r="Y4682" s="9"/>
      <c r="Z4682" s="9"/>
      <c r="AA4682" s="9"/>
    </row>
    <row r="4683" spans="1:27">
      <c r="A4683" s="8"/>
      <c r="B4683" s="8"/>
      <c r="C4683" s="9"/>
      <c r="D4683" s="9"/>
      <c r="E4683" s="9"/>
      <c r="F4683" s="9"/>
      <c r="G4683" s="9"/>
      <c r="H4683" s="9"/>
      <c r="I4683" s="9"/>
      <c r="J4683" s="9"/>
      <c r="K4683" s="9"/>
      <c r="L4683" s="9"/>
      <c r="M4683" s="9"/>
      <c r="N4683" s="9"/>
      <c r="O4683" s="9"/>
      <c r="P4683" s="9"/>
      <c r="Q4683" s="9"/>
      <c r="R4683" s="9"/>
      <c r="S4683" s="9"/>
      <c r="T4683" s="9"/>
      <c r="U4683" s="9"/>
      <c r="V4683" s="9"/>
      <c r="W4683" s="9"/>
      <c r="X4683" s="9"/>
      <c r="Y4683" s="9"/>
      <c r="Z4683" s="9"/>
      <c r="AA4683" s="9"/>
    </row>
    <row r="4684" spans="1:27">
      <c r="A4684" s="8"/>
      <c r="B4684" s="8"/>
      <c r="C4684" s="9"/>
      <c r="D4684" s="9"/>
      <c r="E4684" s="9"/>
      <c r="F4684" s="9"/>
      <c r="G4684" s="9"/>
      <c r="H4684" s="9"/>
      <c r="I4684" s="9"/>
      <c r="J4684" s="9"/>
      <c r="K4684" s="9"/>
      <c r="L4684" s="9"/>
      <c r="M4684" s="9"/>
      <c r="N4684" s="9"/>
      <c r="O4684" s="9"/>
      <c r="P4684" s="9"/>
      <c r="Q4684" s="9"/>
      <c r="R4684" s="9"/>
      <c r="S4684" s="9"/>
      <c r="T4684" s="9"/>
      <c r="U4684" s="9"/>
      <c r="V4684" s="9"/>
      <c r="W4684" s="9"/>
      <c r="X4684" s="9"/>
      <c r="Y4684" s="9"/>
      <c r="Z4684" s="9"/>
      <c r="AA4684" s="9"/>
    </row>
    <row r="4685" spans="1:27">
      <c r="A4685" s="8"/>
      <c r="B4685" s="8"/>
      <c r="C4685" s="9"/>
      <c r="D4685" s="9"/>
      <c r="E4685" s="9"/>
      <c r="F4685" s="9"/>
      <c r="G4685" s="9"/>
      <c r="H4685" s="9"/>
      <c r="I4685" s="9"/>
      <c r="J4685" s="9"/>
      <c r="K4685" s="9"/>
      <c r="L4685" s="9"/>
      <c r="M4685" s="9"/>
      <c r="N4685" s="9"/>
      <c r="O4685" s="9"/>
      <c r="P4685" s="9"/>
      <c r="Q4685" s="9"/>
      <c r="R4685" s="9"/>
      <c r="S4685" s="9"/>
      <c r="T4685" s="9"/>
      <c r="U4685" s="9"/>
      <c r="V4685" s="9"/>
      <c r="W4685" s="9"/>
      <c r="X4685" s="9"/>
      <c r="Y4685" s="9"/>
      <c r="Z4685" s="9"/>
      <c r="AA4685" s="9"/>
    </row>
    <row r="4686" spans="1:27">
      <c r="A4686" s="8"/>
      <c r="B4686" s="8"/>
      <c r="C4686" s="9"/>
      <c r="D4686" s="9"/>
      <c r="E4686" s="9"/>
      <c r="F4686" s="9"/>
      <c r="G4686" s="9"/>
      <c r="H4686" s="9"/>
      <c r="I4686" s="9"/>
      <c r="J4686" s="9"/>
      <c r="K4686" s="9"/>
      <c r="L4686" s="9"/>
      <c r="M4686" s="9"/>
      <c r="N4686" s="9"/>
      <c r="O4686" s="9"/>
      <c r="P4686" s="9"/>
      <c r="Q4686" s="9"/>
      <c r="R4686" s="9"/>
      <c r="S4686" s="9"/>
      <c r="T4686" s="9"/>
      <c r="U4686" s="9"/>
      <c r="V4686" s="9"/>
      <c r="W4686" s="9"/>
      <c r="X4686" s="9"/>
      <c r="Y4686" s="9"/>
      <c r="Z4686" s="9"/>
      <c r="AA4686" s="9"/>
    </row>
    <row r="4687" spans="1:27">
      <c r="A4687" s="8"/>
      <c r="B4687" s="8"/>
      <c r="C4687" s="9"/>
      <c r="D4687" s="9"/>
      <c r="E4687" s="9"/>
      <c r="F4687" s="9"/>
      <c r="G4687" s="9"/>
      <c r="H4687" s="9"/>
      <c r="I4687" s="9"/>
      <c r="J4687" s="9"/>
      <c r="K4687" s="9"/>
      <c r="L4687" s="9"/>
      <c r="M4687" s="9"/>
      <c r="N4687" s="9"/>
      <c r="O4687" s="9"/>
      <c r="P4687" s="9"/>
      <c r="Q4687" s="9"/>
      <c r="R4687" s="9"/>
      <c r="S4687" s="9"/>
      <c r="T4687" s="9"/>
      <c r="U4687" s="9"/>
      <c r="V4687" s="9"/>
      <c r="W4687" s="9"/>
      <c r="X4687" s="9"/>
      <c r="Y4687" s="9"/>
      <c r="Z4687" s="9"/>
      <c r="AA4687" s="9"/>
    </row>
    <row r="4688" spans="1:27">
      <c r="A4688" s="8"/>
      <c r="B4688" s="8"/>
      <c r="C4688" s="9"/>
      <c r="D4688" s="9"/>
      <c r="E4688" s="9"/>
      <c r="F4688" s="9"/>
      <c r="G4688" s="9"/>
      <c r="H4688" s="9"/>
      <c r="I4688" s="9"/>
      <c r="J4688" s="9"/>
      <c r="K4688" s="9"/>
      <c r="L4688" s="9"/>
      <c r="M4688" s="9"/>
      <c r="N4688" s="9"/>
      <c r="O4688" s="9"/>
      <c r="P4688" s="9"/>
      <c r="Q4688" s="9"/>
      <c r="R4688" s="9"/>
      <c r="S4688" s="9"/>
      <c r="T4688" s="9"/>
      <c r="U4688" s="9"/>
      <c r="V4688" s="9"/>
      <c r="W4688" s="9"/>
      <c r="X4688" s="9"/>
      <c r="Y4688" s="9"/>
      <c r="Z4688" s="9"/>
      <c r="AA4688" s="9"/>
    </row>
    <row r="4689" spans="1:27">
      <c r="A4689" s="8"/>
      <c r="B4689" s="8"/>
      <c r="C4689" s="9"/>
      <c r="D4689" s="9"/>
      <c r="E4689" s="9"/>
      <c r="F4689" s="9"/>
      <c r="G4689" s="9"/>
      <c r="H4689" s="9"/>
      <c r="I4689" s="9"/>
      <c r="J4689" s="9"/>
      <c r="K4689" s="9"/>
      <c r="L4689" s="9"/>
      <c r="M4689" s="9"/>
      <c r="N4689" s="9"/>
      <c r="O4689" s="9"/>
      <c r="P4689" s="9"/>
      <c r="Q4689" s="9"/>
      <c r="R4689" s="9"/>
      <c r="S4689" s="9"/>
      <c r="T4689" s="9"/>
      <c r="U4689" s="9"/>
      <c r="V4689" s="9"/>
      <c r="W4689" s="9"/>
      <c r="X4689" s="9"/>
      <c r="Y4689" s="9"/>
      <c r="Z4689" s="9"/>
      <c r="AA4689" s="9"/>
    </row>
    <row r="4690" spans="1:27">
      <c r="A4690" s="8"/>
      <c r="B4690" s="8"/>
      <c r="C4690" s="9"/>
      <c r="D4690" s="9"/>
      <c r="E4690" s="9"/>
      <c r="F4690" s="9"/>
      <c r="G4690" s="9"/>
      <c r="H4690" s="9"/>
      <c r="I4690" s="9"/>
      <c r="J4690" s="9"/>
      <c r="K4690" s="9"/>
      <c r="L4690" s="9"/>
      <c r="M4690" s="9"/>
      <c r="N4690" s="9"/>
      <c r="O4690" s="9"/>
      <c r="P4690" s="9"/>
      <c r="Q4690" s="9"/>
      <c r="R4690" s="9"/>
      <c r="S4690" s="9"/>
      <c r="T4690" s="9"/>
      <c r="U4690" s="9"/>
      <c r="V4690" s="9"/>
      <c r="W4690" s="9"/>
      <c r="X4690" s="9"/>
      <c r="Y4690" s="9"/>
      <c r="Z4690" s="9"/>
      <c r="AA4690" s="9"/>
    </row>
    <row r="4691" spans="1:27">
      <c r="A4691" s="8"/>
      <c r="B4691" s="8"/>
      <c r="C4691" s="9"/>
      <c r="D4691" s="9"/>
      <c r="E4691" s="9"/>
      <c r="F4691" s="9"/>
      <c r="G4691" s="9"/>
      <c r="H4691" s="9"/>
      <c r="I4691" s="9"/>
      <c r="J4691" s="9"/>
      <c r="K4691" s="9"/>
      <c r="L4691" s="9"/>
      <c r="M4691" s="9"/>
      <c r="N4691" s="9"/>
      <c r="O4691" s="9"/>
      <c r="P4691" s="9"/>
      <c r="Q4691" s="9"/>
      <c r="R4691" s="9"/>
      <c r="S4691" s="9"/>
      <c r="T4691" s="9"/>
      <c r="U4691" s="9"/>
      <c r="V4691" s="9"/>
      <c r="W4691" s="9"/>
      <c r="X4691" s="9"/>
      <c r="Y4691" s="9"/>
      <c r="Z4691" s="9"/>
      <c r="AA4691" s="9"/>
    </row>
    <row r="4692" spans="1:27">
      <c r="A4692" s="8"/>
      <c r="B4692" s="8"/>
      <c r="C4692" s="9"/>
      <c r="D4692" s="9"/>
      <c r="E4692" s="9"/>
      <c r="F4692" s="9"/>
      <c r="G4692" s="9"/>
      <c r="H4692" s="9"/>
      <c r="I4692" s="9"/>
      <c r="J4692" s="9"/>
      <c r="K4692" s="9"/>
      <c r="L4692" s="9"/>
      <c r="M4692" s="9"/>
      <c r="N4692" s="9"/>
      <c r="O4692" s="9"/>
      <c r="P4692" s="9"/>
      <c r="Q4692" s="9"/>
      <c r="R4692" s="9"/>
      <c r="S4692" s="9"/>
      <c r="T4692" s="9"/>
      <c r="U4692" s="9"/>
      <c r="V4692" s="9"/>
      <c r="W4692" s="9"/>
      <c r="X4692" s="9"/>
      <c r="Y4692" s="9"/>
      <c r="Z4692" s="9"/>
      <c r="AA4692" s="9"/>
    </row>
    <row r="4693" spans="1:27">
      <c r="A4693" s="8"/>
      <c r="B4693" s="8"/>
      <c r="C4693" s="9"/>
      <c r="D4693" s="9"/>
      <c r="E4693" s="9"/>
      <c r="F4693" s="9"/>
      <c r="G4693" s="9"/>
      <c r="H4693" s="9"/>
      <c r="I4693" s="9"/>
      <c r="J4693" s="9"/>
      <c r="K4693" s="9"/>
      <c r="L4693" s="9"/>
      <c r="M4693" s="9"/>
      <c r="N4693" s="9"/>
      <c r="O4693" s="9"/>
      <c r="P4693" s="9"/>
      <c r="Q4693" s="9"/>
      <c r="R4693" s="9"/>
      <c r="S4693" s="9"/>
      <c r="T4693" s="9"/>
      <c r="U4693" s="9"/>
      <c r="V4693" s="9"/>
      <c r="W4693" s="9"/>
      <c r="X4693" s="9"/>
      <c r="Y4693" s="9"/>
      <c r="Z4693" s="9"/>
      <c r="AA4693" s="9"/>
    </row>
    <row r="4694" spans="1:27">
      <c r="A4694" s="8"/>
      <c r="B4694" s="8"/>
      <c r="C4694" s="9"/>
      <c r="D4694" s="9"/>
      <c r="E4694" s="9"/>
      <c r="F4694" s="9"/>
      <c r="G4694" s="9"/>
      <c r="H4694" s="9"/>
      <c r="I4694" s="9"/>
      <c r="J4694" s="9"/>
      <c r="K4694" s="9"/>
      <c r="L4694" s="9"/>
      <c r="M4694" s="9"/>
      <c r="N4694" s="9"/>
      <c r="O4694" s="9"/>
      <c r="P4694" s="9"/>
      <c r="Q4694" s="9"/>
      <c r="R4694" s="9"/>
      <c r="S4694" s="9"/>
      <c r="T4694" s="9"/>
      <c r="U4694" s="9"/>
      <c r="V4694" s="9"/>
      <c r="W4694" s="9"/>
      <c r="X4694" s="9"/>
      <c r="Y4694" s="9"/>
      <c r="Z4694" s="9"/>
      <c r="AA4694" s="9"/>
    </row>
    <row r="4695" spans="1:27">
      <c r="A4695" s="8"/>
      <c r="B4695" s="8"/>
      <c r="C4695" s="9"/>
      <c r="D4695" s="9"/>
      <c r="E4695" s="9"/>
      <c r="F4695" s="9"/>
      <c r="G4695" s="9"/>
      <c r="H4695" s="9"/>
      <c r="I4695" s="9"/>
      <c r="J4695" s="9"/>
      <c r="K4695" s="9"/>
      <c r="L4695" s="9"/>
      <c r="M4695" s="9"/>
      <c r="N4695" s="9"/>
      <c r="O4695" s="9"/>
      <c r="P4695" s="9"/>
      <c r="Q4695" s="9"/>
      <c r="R4695" s="9"/>
      <c r="S4695" s="9"/>
      <c r="T4695" s="9"/>
      <c r="U4695" s="9"/>
      <c r="V4695" s="9"/>
      <c r="W4695" s="9"/>
      <c r="X4695" s="9"/>
      <c r="Y4695" s="9"/>
      <c r="Z4695" s="9"/>
      <c r="AA4695" s="9"/>
    </row>
    <row r="4696" spans="1:27">
      <c r="A4696" s="8"/>
      <c r="B4696" s="8"/>
      <c r="C4696" s="9"/>
      <c r="D4696" s="9"/>
      <c r="E4696" s="9"/>
      <c r="F4696" s="9"/>
      <c r="G4696" s="9"/>
      <c r="H4696" s="9"/>
      <c r="I4696" s="9"/>
      <c r="J4696" s="9"/>
      <c r="K4696" s="9"/>
      <c r="L4696" s="9"/>
      <c r="M4696" s="9"/>
      <c r="N4696" s="9"/>
      <c r="O4696" s="9"/>
      <c r="P4696" s="9"/>
      <c r="Q4696" s="9"/>
      <c r="R4696" s="9"/>
      <c r="S4696" s="9"/>
      <c r="T4696" s="9"/>
      <c r="U4696" s="9"/>
      <c r="V4696" s="9"/>
      <c r="W4696" s="9"/>
      <c r="X4696" s="9"/>
      <c r="Y4696" s="9"/>
      <c r="Z4696" s="9"/>
      <c r="AA4696" s="9"/>
    </row>
    <row r="4697" spans="1:27">
      <c r="A4697" s="8"/>
      <c r="B4697" s="8"/>
      <c r="C4697" s="9"/>
      <c r="D4697" s="9"/>
      <c r="E4697" s="9"/>
      <c r="F4697" s="9"/>
      <c r="G4697" s="9"/>
      <c r="H4697" s="9"/>
      <c r="I4697" s="9"/>
      <c r="J4697" s="9"/>
      <c r="K4697" s="9"/>
      <c r="L4697" s="9"/>
      <c r="M4697" s="9"/>
      <c r="N4697" s="9"/>
      <c r="O4697" s="9"/>
      <c r="P4697" s="9"/>
      <c r="Q4697" s="9"/>
      <c r="R4697" s="9"/>
      <c r="S4697" s="9"/>
      <c r="T4697" s="9"/>
      <c r="U4697" s="9"/>
      <c r="V4697" s="9"/>
      <c r="W4697" s="9"/>
      <c r="X4697" s="9"/>
      <c r="Y4697" s="9"/>
      <c r="Z4697" s="9"/>
      <c r="AA4697" s="9"/>
    </row>
    <row r="4698" spans="1:27">
      <c r="A4698" s="8"/>
      <c r="B4698" s="8"/>
      <c r="C4698" s="9"/>
      <c r="D4698" s="9"/>
      <c r="E4698" s="9"/>
      <c r="F4698" s="9"/>
      <c r="G4698" s="9"/>
      <c r="H4698" s="9"/>
      <c r="I4698" s="9"/>
      <c r="J4698" s="9"/>
      <c r="K4698" s="9"/>
      <c r="L4698" s="9"/>
      <c r="M4698" s="9"/>
      <c r="N4698" s="9"/>
      <c r="O4698" s="9"/>
      <c r="P4698" s="9"/>
      <c r="Q4698" s="9"/>
      <c r="R4698" s="9"/>
      <c r="S4698" s="9"/>
      <c r="T4698" s="9"/>
      <c r="U4698" s="9"/>
      <c r="V4698" s="9"/>
      <c r="W4698" s="9"/>
      <c r="X4698" s="9"/>
      <c r="Y4698" s="9"/>
      <c r="Z4698" s="9"/>
      <c r="AA4698" s="9"/>
    </row>
    <row r="4699" spans="1:27">
      <c r="A4699" s="8"/>
      <c r="B4699" s="8"/>
      <c r="C4699" s="9"/>
      <c r="D4699" s="9"/>
      <c r="E4699" s="9"/>
      <c r="F4699" s="9"/>
      <c r="G4699" s="9"/>
      <c r="H4699" s="9"/>
      <c r="I4699" s="9"/>
      <c r="J4699" s="9"/>
      <c r="K4699" s="9"/>
      <c r="L4699" s="9"/>
      <c r="M4699" s="9"/>
      <c r="N4699" s="9"/>
      <c r="O4699" s="9"/>
      <c r="P4699" s="9"/>
      <c r="Q4699" s="9"/>
      <c r="R4699" s="9"/>
      <c r="S4699" s="9"/>
      <c r="T4699" s="9"/>
      <c r="U4699" s="9"/>
      <c r="V4699" s="9"/>
      <c r="W4699" s="9"/>
      <c r="X4699" s="9"/>
      <c r="Y4699" s="9"/>
      <c r="Z4699" s="9"/>
      <c r="AA4699" s="9"/>
    </row>
    <row r="4700" spans="1:27">
      <c r="A4700" s="8"/>
      <c r="B4700" s="8"/>
      <c r="C4700" s="9"/>
      <c r="D4700" s="9"/>
      <c r="E4700" s="9"/>
      <c r="F4700" s="9"/>
      <c r="G4700" s="9"/>
      <c r="H4700" s="9"/>
      <c r="I4700" s="9"/>
      <c r="J4700" s="9"/>
      <c r="K4700" s="9"/>
      <c r="L4700" s="9"/>
      <c r="M4700" s="9"/>
      <c r="N4700" s="9"/>
      <c r="O4700" s="9"/>
      <c r="P4700" s="9"/>
      <c r="Q4700" s="9"/>
      <c r="R4700" s="9"/>
      <c r="S4700" s="9"/>
      <c r="T4700" s="9"/>
      <c r="U4700" s="9"/>
      <c r="V4700" s="9"/>
      <c r="W4700" s="9"/>
      <c r="X4700" s="9"/>
      <c r="Y4700" s="9"/>
      <c r="Z4700" s="9"/>
      <c r="AA4700" s="9"/>
    </row>
    <row r="4701" spans="1:27">
      <c r="A4701" s="8"/>
      <c r="B4701" s="8"/>
      <c r="C4701" s="9"/>
      <c r="D4701" s="9"/>
      <c r="E4701" s="9"/>
      <c r="F4701" s="9"/>
      <c r="G4701" s="9"/>
      <c r="H4701" s="9"/>
      <c r="I4701" s="9"/>
      <c r="J4701" s="9"/>
      <c r="K4701" s="9"/>
      <c r="L4701" s="9"/>
      <c r="M4701" s="9"/>
      <c r="N4701" s="9"/>
      <c r="O4701" s="9"/>
      <c r="P4701" s="9"/>
      <c r="Q4701" s="9"/>
      <c r="R4701" s="9"/>
      <c r="S4701" s="9"/>
      <c r="T4701" s="9"/>
      <c r="U4701" s="9"/>
      <c r="V4701" s="9"/>
      <c r="W4701" s="9"/>
      <c r="X4701" s="9"/>
      <c r="Y4701" s="9"/>
      <c r="Z4701" s="9"/>
      <c r="AA4701" s="9"/>
    </row>
    <row r="4702" spans="1:27">
      <c r="A4702" s="8"/>
      <c r="B4702" s="8"/>
      <c r="C4702" s="9"/>
      <c r="D4702" s="9"/>
      <c r="E4702" s="9"/>
      <c r="F4702" s="9"/>
      <c r="G4702" s="9"/>
      <c r="H4702" s="9"/>
      <c r="I4702" s="9"/>
      <c r="J4702" s="9"/>
      <c r="K4702" s="9"/>
      <c r="L4702" s="9"/>
      <c r="M4702" s="9"/>
      <c r="N4702" s="9"/>
      <c r="O4702" s="9"/>
      <c r="P4702" s="9"/>
      <c r="Q4702" s="9"/>
      <c r="R4702" s="9"/>
      <c r="S4702" s="9"/>
      <c r="T4702" s="9"/>
      <c r="U4702" s="9"/>
      <c r="V4702" s="9"/>
      <c r="W4702" s="9"/>
      <c r="X4702" s="9"/>
      <c r="Y4702" s="9"/>
      <c r="Z4702" s="9"/>
      <c r="AA4702" s="9"/>
    </row>
    <row r="4703" spans="1:27">
      <c r="A4703" s="8"/>
      <c r="B4703" s="8"/>
      <c r="C4703" s="9"/>
      <c r="D4703" s="9"/>
      <c r="E4703" s="9"/>
      <c r="F4703" s="9"/>
      <c r="G4703" s="9"/>
      <c r="H4703" s="9"/>
      <c r="I4703" s="9"/>
      <c r="J4703" s="9"/>
      <c r="K4703" s="9"/>
      <c r="L4703" s="9"/>
      <c r="M4703" s="9"/>
      <c r="N4703" s="9"/>
      <c r="O4703" s="9"/>
      <c r="P4703" s="9"/>
      <c r="Q4703" s="9"/>
      <c r="R4703" s="9"/>
      <c r="S4703" s="9"/>
      <c r="T4703" s="9"/>
      <c r="U4703" s="9"/>
      <c r="V4703" s="9"/>
      <c r="W4703" s="9"/>
      <c r="X4703" s="9"/>
      <c r="Y4703" s="9"/>
      <c r="Z4703" s="9"/>
      <c r="AA4703" s="9"/>
    </row>
    <row r="4704" spans="1:27">
      <c r="A4704" s="8"/>
      <c r="B4704" s="8"/>
      <c r="C4704" s="9"/>
      <c r="D4704" s="9"/>
      <c r="E4704" s="9"/>
      <c r="F4704" s="9"/>
      <c r="G4704" s="9"/>
      <c r="H4704" s="9"/>
      <c r="I4704" s="9"/>
      <c r="J4704" s="9"/>
      <c r="K4704" s="9"/>
      <c r="L4704" s="9"/>
      <c r="M4704" s="9"/>
      <c r="N4704" s="9"/>
      <c r="O4704" s="9"/>
      <c r="P4704" s="9"/>
      <c r="Q4704" s="9"/>
      <c r="R4704" s="9"/>
      <c r="S4704" s="9"/>
      <c r="T4704" s="9"/>
      <c r="U4704" s="9"/>
      <c r="V4704" s="9"/>
      <c r="W4704" s="9"/>
      <c r="X4704" s="9"/>
      <c r="Y4704" s="9"/>
      <c r="Z4704" s="9"/>
      <c r="AA4704" s="9"/>
    </row>
    <row r="4705" spans="1:27">
      <c r="A4705" s="8"/>
      <c r="B4705" s="8"/>
      <c r="C4705" s="9"/>
      <c r="D4705" s="9"/>
      <c r="E4705" s="9"/>
      <c r="F4705" s="9"/>
      <c r="G4705" s="9"/>
      <c r="H4705" s="9"/>
      <c r="I4705" s="9"/>
      <c r="J4705" s="9"/>
      <c r="K4705" s="9"/>
      <c r="L4705" s="9"/>
      <c r="M4705" s="9"/>
      <c r="N4705" s="9"/>
      <c r="O4705" s="9"/>
      <c r="P4705" s="9"/>
      <c r="Q4705" s="9"/>
      <c r="R4705" s="9"/>
      <c r="S4705" s="9"/>
      <c r="T4705" s="9"/>
      <c r="U4705" s="9"/>
      <c r="V4705" s="9"/>
      <c r="W4705" s="9"/>
      <c r="X4705" s="9"/>
      <c r="Y4705" s="9"/>
      <c r="Z4705" s="9"/>
      <c r="AA4705" s="9"/>
    </row>
    <row r="4706" spans="1:27">
      <c r="A4706" s="8"/>
      <c r="B4706" s="8"/>
      <c r="C4706" s="9"/>
      <c r="D4706" s="9"/>
      <c r="E4706" s="9"/>
      <c r="F4706" s="9"/>
      <c r="G4706" s="9"/>
      <c r="H4706" s="9"/>
      <c r="I4706" s="9"/>
      <c r="J4706" s="9"/>
      <c r="K4706" s="9"/>
      <c r="L4706" s="9"/>
      <c r="M4706" s="9"/>
      <c r="N4706" s="9"/>
      <c r="O4706" s="9"/>
      <c r="P4706" s="9"/>
      <c r="Q4706" s="9"/>
      <c r="R4706" s="9"/>
      <c r="S4706" s="9"/>
      <c r="T4706" s="9"/>
      <c r="U4706" s="9"/>
      <c r="V4706" s="9"/>
      <c r="W4706" s="9"/>
      <c r="X4706" s="9"/>
      <c r="Y4706" s="9"/>
      <c r="Z4706" s="9"/>
      <c r="AA4706" s="9"/>
    </row>
    <row r="4707" spans="1:27">
      <c r="A4707" s="8"/>
      <c r="B4707" s="8"/>
      <c r="C4707" s="9"/>
      <c r="D4707" s="9"/>
      <c r="E4707" s="9"/>
      <c r="F4707" s="9"/>
      <c r="G4707" s="9"/>
      <c r="H4707" s="9"/>
      <c r="I4707" s="9"/>
      <c r="J4707" s="9"/>
      <c r="K4707" s="9"/>
      <c r="L4707" s="9"/>
      <c r="M4707" s="9"/>
      <c r="N4707" s="9"/>
      <c r="O4707" s="9"/>
      <c r="P4707" s="9"/>
      <c r="Q4707" s="9"/>
      <c r="R4707" s="9"/>
      <c r="S4707" s="9"/>
      <c r="T4707" s="9"/>
      <c r="U4707" s="9"/>
      <c r="V4707" s="9"/>
      <c r="W4707" s="9"/>
      <c r="X4707" s="9"/>
      <c r="Y4707" s="9"/>
      <c r="Z4707" s="9"/>
      <c r="AA4707" s="9"/>
    </row>
    <row r="4708" spans="1:27">
      <c r="A4708" s="8"/>
      <c r="B4708" s="8"/>
      <c r="C4708" s="9"/>
      <c r="D4708" s="9"/>
      <c r="E4708" s="9"/>
      <c r="F4708" s="9"/>
      <c r="G4708" s="9"/>
      <c r="H4708" s="9"/>
      <c r="I4708" s="9"/>
      <c r="J4708" s="9"/>
      <c r="K4708" s="9"/>
      <c r="L4708" s="9"/>
      <c r="M4708" s="9"/>
      <c r="N4708" s="9"/>
      <c r="O4708" s="9"/>
      <c r="P4708" s="9"/>
      <c r="Q4708" s="9"/>
      <c r="R4708" s="9"/>
      <c r="S4708" s="9"/>
      <c r="T4708" s="9"/>
      <c r="U4708" s="9"/>
      <c r="V4708" s="9"/>
      <c r="W4708" s="9"/>
      <c r="X4708" s="9"/>
      <c r="Y4708" s="9"/>
      <c r="Z4708" s="9"/>
      <c r="AA4708" s="9"/>
    </row>
    <row r="4709" spans="1:27">
      <c r="A4709" s="8"/>
      <c r="B4709" s="8"/>
      <c r="C4709" s="9"/>
      <c r="D4709" s="9"/>
      <c r="E4709" s="9"/>
      <c r="F4709" s="9"/>
      <c r="G4709" s="9"/>
      <c r="H4709" s="9"/>
      <c r="I4709" s="9"/>
      <c r="J4709" s="9"/>
      <c r="K4709" s="9"/>
      <c r="L4709" s="9"/>
      <c r="M4709" s="9"/>
      <c r="N4709" s="9"/>
      <c r="O4709" s="9"/>
      <c r="P4709" s="9"/>
      <c r="Q4709" s="9"/>
      <c r="R4709" s="9"/>
      <c r="S4709" s="9"/>
      <c r="T4709" s="9"/>
      <c r="U4709" s="9"/>
      <c r="V4709" s="9"/>
      <c r="W4709" s="9"/>
      <c r="X4709" s="9"/>
      <c r="Y4709" s="9"/>
      <c r="Z4709" s="9"/>
      <c r="AA4709" s="9"/>
    </row>
    <row r="4710" spans="1:27">
      <c r="A4710" s="8"/>
      <c r="B4710" s="8"/>
      <c r="C4710" s="9"/>
      <c r="D4710" s="9"/>
      <c r="E4710" s="9"/>
      <c r="F4710" s="9"/>
      <c r="G4710" s="9"/>
      <c r="H4710" s="9"/>
      <c r="I4710" s="9"/>
      <c r="J4710" s="9"/>
      <c r="K4710" s="9"/>
      <c r="L4710" s="9"/>
      <c r="M4710" s="9"/>
      <c r="N4710" s="9"/>
      <c r="O4710" s="9"/>
      <c r="P4710" s="9"/>
      <c r="Q4710" s="9"/>
      <c r="R4710" s="9"/>
      <c r="S4710" s="9"/>
      <c r="T4710" s="9"/>
      <c r="U4710" s="9"/>
      <c r="V4710" s="9"/>
      <c r="W4710" s="9"/>
      <c r="X4710" s="9"/>
      <c r="Y4710" s="9"/>
      <c r="Z4710" s="9"/>
      <c r="AA4710" s="9"/>
    </row>
    <row r="4711" spans="1:27">
      <c r="A4711" s="8"/>
      <c r="B4711" s="8"/>
      <c r="C4711" s="9"/>
      <c r="D4711" s="9"/>
      <c r="E4711" s="9"/>
      <c r="F4711" s="9"/>
      <c r="G4711" s="9"/>
      <c r="H4711" s="9"/>
      <c r="I4711" s="9"/>
      <c r="J4711" s="9"/>
      <c r="K4711" s="9"/>
      <c r="L4711" s="9"/>
      <c r="M4711" s="9"/>
      <c r="N4711" s="9"/>
      <c r="O4711" s="9"/>
      <c r="P4711" s="9"/>
      <c r="Q4711" s="9"/>
      <c r="R4711" s="9"/>
      <c r="S4711" s="9"/>
      <c r="T4711" s="9"/>
      <c r="U4711" s="9"/>
      <c r="V4711" s="9"/>
      <c r="W4711" s="9"/>
      <c r="X4711" s="9"/>
      <c r="Y4711" s="9"/>
      <c r="Z4711" s="9"/>
      <c r="AA4711" s="9"/>
    </row>
    <row r="4712" spans="1:27">
      <c r="A4712" s="8"/>
      <c r="B4712" s="8"/>
      <c r="C4712" s="9"/>
      <c r="D4712" s="9"/>
      <c r="E4712" s="9"/>
      <c r="F4712" s="9"/>
      <c r="G4712" s="9"/>
      <c r="H4712" s="9"/>
      <c r="I4712" s="9"/>
      <c r="J4712" s="9"/>
      <c r="K4712" s="9"/>
      <c r="L4712" s="9"/>
      <c r="M4712" s="9"/>
      <c r="N4712" s="9"/>
      <c r="O4712" s="9"/>
      <c r="P4712" s="9"/>
      <c r="Q4712" s="9"/>
      <c r="R4712" s="9"/>
      <c r="S4712" s="9"/>
      <c r="T4712" s="9"/>
      <c r="U4712" s="9"/>
      <c r="V4712" s="9"/>
      <c r="W4712" s="9"/>
      <c r="X4712" s="9"/>
      <c r="Y4712" s="9"/>
      <c r="Z4712" s="9"/>
      <c r="AA4712" s="9"/>
    </row>
    <row r="4713" spans="1:27">
      <c r="A4713" s="8"/>
      <c r="B4713" s="8"/>
      <c r="C4713" s="9"/>
      <c r="D4713" s="9"/>
      <c r="E4713" s="9"/>
      <c r="F4713" s="9"/>
      <c r="G4713" s="9"/>
      <c r="H4713" s="9"/>
      <c r="I4713" s="9"/>
      <c r="J4713" s="9"/>
      <c r="K4713" s="9"/>
      <c r="L4713" s="9"/>
      <c r="M4713" s="9"/>
      <c r="N4713" s="9"/>
      <c r="O4713" s="9"/>
      <c r="P4713" s="9"/>
      <c r="Q4713" s="9"/>
      <c r="R4713" s="9"/>
      <c r="S4713" s="9"/>
      <c r="T4713" s="9"/>
      <c r="U4713" s="9"/>
      <c r="V4713" s="9"/>
      <c r="W4713" s="9"/>
      <c r="X4713" s="9"/>
      <c r="Y4713" s="9"/>
      <c r="Z4713" s="9"/>
      <c r="AA4713" s="9"/>
    </row>
    <row r="4714" spans="1:27">
      <c r="A4714" s="8"/>
      <c r="B4714" s="8"/>
      <c r="C4714" s="9"/>
      <c r="D4714" s="9"/>
      <c r="E4714" s="9"/>
      <c r="F4714" s="9"/>
      <c r="G4714" s="9"/>
      <c r="H4714" s="9"/>
      <c r="I4714" s="9"/>
      <c r="J4714" s="9"/>
      <c r="K4714" s="9"/>
      <c r="L4714" s="9"/>
      <c r="M4714" s="9"/>
      <c r="N4714" s="9"/>
      <c r="O4714" s="9"/>
      <c r="P4714" s="9"/>
      <c r="Q4714" s="9"/>
      <c r="R4714" s="9"/>
      <c r="S4714" s="9"/>
      <c r="T4714" s="9"/>
      <c r="U4714" s="9"/>
      <c r="V4714" s="9"/>
      <c r="W4714" s="9"/>
      <c r="X4714" s="9"/>
      <c r="Y4714" s="9"/>
      <c r="Z4714" s="9"/>
      <c r="AA4714" s="9"/>
    </row>
    <row r="4715" spans="1:27">
      <c r="A4715" s="8"/>
      <c r="B4715" s="8"/>
      <c r="C4715" s="9"/>
      <c r="D4715" s="9"/>
      <c r="E4715" s="9"/>
      <c r="F4715" s="9"/>
      <c r="G4715" s="9"/>
      <c r="H4715" s="9"/>
      <c r="I4715" s="9"/>
      <c r="J4715" s="9"/>
      <c r="K4715" s="9"/>
      <c r="L4715" s="9"/>
      <c r="M4715" s="9"/>
      <c r="N4715" s="9"/>
      <c r="O4715" s="9"/>
      <c r="P4715" s="9"/>
      <c r="Q4715" s="9"/>
      <c r="R4715" s="9"/>
      <c r="S4715" s="9"/>
      <c r="T4715" s="9"/>
      <c r="U4715" s="9"/>
      <c r="V4715" s="9"/>
      <c r="W4715" s="9"/>
      <c r="X4715" s="9"/>
      <c r="Y4715" s="9"/>
      <c r="Z4715" s="9"/>
      <c r="AA4715" s="9"/>
    </row>
    <row r="4716" spans="1:27">
      <c r="A4716" s="8"/>
      <c r="B4716" s="8"/>
      <c r="C4716" s="9"/>
      <c r="D4716" s="9"/>
      <c r="E4716" s="9"/>
      <c r="F4716" s="9"/>
      <c r="G4716" s="9"/>
      <c r="H4716" s="9"/>
      <c r="I4716" s="9"/>
      <c r="J4716" s="9"/>
      <c r="K4716" s="9"/>
      <c r="L4716" s="9"/>
      <c r="M4716" s="9"/>
      <c r="N4716" s="9"/>
      <c r="O4716" s="9"/>
      <c r="P4716" s="9"/>
      <c r="Q4716" s="9"/>
      <c r="R4716" s="9"/>
      <c r="S4716" s="9"/>
      <c r="T4716" s="9"/>
      <c r="U4716" s="9"/>
      <c r="V4716" s="9"/>
      <c r="W4716" s="9"/>
      <c r="X4716" s="9"/>
      <c r="Y4716" s="9"/>
      <c r="Z4716" s="9"/>
      <c r="AA4716" s="9"/>
    </row>
    <row r="4717" spans="1:27">
      <c r="A4717" s="8"/>
      <c r="B4717" s="8"/>
      <c r="C4717" s="9"/>
      <c r="D4717" s="9"/>
      <c r="E4717" s="9"/>
      <c r="F4717" s="9"/>
      <c r="G4717" s="9"/>
      <c r="H4717" s="9"/>
      <c r="I4717" s="9"/>
      <c r="J4717" s="9"/>
      <c r="K4717" s="9"/>
      <c r="L4717" s="9"/>
      <c r="M4717" s="9"/>
      <c r="N4717" s="9"/>
      <c r="O4717" s="9"/>
      <c r="P4717" s="9"/>
      <c r="Q4717" s="9"/>
      <c r="R4717" s="9"/>
      <c r="S4717" s="9"/>
      <c r="T4717" s="9"/>
      <c r="U4717" s="9"/>
      <c r="V4717" s="9"/>
      <c r="W4717" s="9"/>
      <c r="X4717" s="9"/>
      <c r="Y4717" s="9"/>
      <c r="Z4717" s="9"/>
      <c r="AA4717" s="9"/>
    </row>
    <row r="4718" spans="1:27">
      <c r="A4718" s="8"/>
      <c r="B4718" s="8"/>
      <c r="C4718" s="9"/>
      <c r="D4718" s="9"/>
      <c r="E4718" s="9"/>
      <c r="F4718" s="9"/>
      <c r="G4718" s="9"/>
      <c r="H4718" s="9"/>
      <c r="I4718" s="9"/>
      <c r="J4718" s="9"/>
      <c r="K4718" s="9"/>
      <c r="L4718" s="9"/>
      <c r="M4718" s="9"/>
      <c r="N4718" s="9"/>
      <c r="O4718" s="9"/>
      <c r="P4718" s="9"/>
      <c r="Q4718" s="9"/>
      <c r="R4718" s="9"/>
      <c r="S4718" s="9"/>
      <c r="T4718" s="9"/>
      <c r="U4718" s="9"/>
      <c r="V4718" s="9"/>
      <c r="W4718" s="9"/>
      <c r="X4718" s="9"/>
      <c r="Y4718" s="9"/>
      <c r="Z4718" s="9"/>
      <c r="AA4718" s="9"/>
    </row>
    <row r="4719" spans="1:27">
      <c r="A4719" s="8"/>
      <c r="B4719" s="8"/>
      <c r="C4719" s="9"/>
      <c r="D4719" s="9"/>
      <c r="E4719" s="9"/>
      <c r="F4719" s="9"/>
      <c r="G4719" s="9"/>
      <c r="H4719" s="9"/>
      <c r="I4719" s="9"/>
      <c r="J4719" s="9"/>
      <c r="K4719" s="9"/>
      <c r="L4719" s="9"/>
      <c r="M4719" s="9"/>
      <c r="N4719" s="9"/>
      <c r="O4719" s="9"/>
      <c r="P4719" s="9"/>
      <c r="Q4719" s="9"/>
      <c r="R4719" s="9"/>
      <c r="S4719" s="9"/>
      <c r="T4719" s="9"/>
      <c r="U4719" s="9"/>
      <c r="V4719" s="9"/>
      <c r="W4719" s="9"/>
      <c r="X4719" s="9"/>
      <c r="Y4719" s="9"/>
      <c r="Z4719" s="9"/>
      <c r="AA4719" s="9"/>
    </row>
    <row r="4720" spans="1:27">
      <c r="A4720" s="8"/>
      <c r="B4720" s="8"/>
      <c r="C4720" s="9"/>
      <c r="D4720" s="9"/>
      <c r="E4720" s="9"/>
      <c r="F4720" s="9"/>
      <c r="G4720" s="9"/>
      <c r="H4720" s="9"/>
      <c r="I4720" s="9"/>
      <c r="J4720" s="9"/>
      <c r="K4720" s="9"/>
      <c r="L4720" s="9"/>
      <c r="M4720" s="9"/>
      <c r="N4720" s="9"/>
      <c r="O4720" s="9"/>
      <c r="P4720" s="9"/>
      <c r="Q4720" s="9"/>
      <c r="R4720" s="9"/>
      <c r="S4720" s="9"/>
      <c r="T4720" s="9"/>
      <c r="U4720" s="9"/>
      <c r="V4720" s="9"/>
      <c r="W4720" s="9"/>
      <c r="X4720" s="9"/>
      <c r="Y4720" s="9"/>
      <c r="Z4720" s="9"/>
      <c r="AA4720" s="9"/>
    </row>
    <row r="4721" spans="1:27">
      <c r="A4721" s="8"/>
      <c r="B4721" s="8"/>
      <c r="C4721" s="9"/>
      <c r="D4721" s="9"/>
      <c r="E4721" s="9"/>
      <c r="F4721" s="9"/>
      <c r="G4721" s="9"/>
      <c r="H4721" s="9"/>
      <c r="I4721" s="9"/>
      <c r="J4721" s="9"/>
      <c r="K4721" s="9"/>
      <c r="L4721" s="9"/>
      <c r="M4721" s="9"/>
      <c r="N4721" s="9"/>
      <c r="O4721" s="9"/>
      <c r="P4721" s="9"/>
      <c r="Q4721" s="9"/>
      <c r="R4721" s="9"/>
      <c r="S4721" s="9"/>
      <c r="T4721" s="9"/>
      <c r="U4721" s="9"/>
      <c r="V4721" s="9"/>
      <c r="W4721" s="9"/>
      <c r="X4721" s="9"/>
      <c r="Y4721" s="9"/>
      <c r="Z4721" s="9"/>
      <c r="AA4721" s="9"/>
    </row>
    <row r="4722" spans="1:27">
      <c r="A4722" s="8"/>
      <c r="B4722" s="8"/>
      <c r="C4722" s="9"/>
      <c r="D4722" s="9"/>
      <c r="E4722" s="9"/>
      <c r="F4722" s="9"/>
      <c r="G4722" s="9"/>
      <c r="H4722" s="9"/>
      <c r="I4722" s="9"/>
      <c r="J4722" s="9"/>
      <c r="K4722" s="9"/>
      <c r="L4722" s="9"/>
      <c r="M4722" s="9"/>
      <c r="N4722" s="9"/>
      <c r="O4722" s="9"/>
      <c r="P4722" s="9"/>
      <c r="Q4722" s="9"/>
      <c r="R4722" s="9"/>
      <c r="S4722" s="9"/>
      <c r="T4722" s="9"/>
      <c r="U4722" s="9"/>
      <c r="V4722" s="9"/>
      <c r="W4722" s="9"/>
      <c r="X4722" s="9"/>
      <c r="Y4722" s="9"/>
      <c r="Z4722" s="9"/>
      <c r="AA4722" s="9"/>
    </row>
    <row r="4723" spans="1:27">
      <c r="A4723" s="8"/>
      <c r="B4723" s="8"/>
      <c r="C4723" s="9"/>
      <c r="D4723" s="9"/>
      <c r="E4723" s="9"/>
      <c r="F4723" s="9"/>
      <c r="G4723" s="9"/>
      <c r="H4723" s="9"/>
      <c r="I4723" s="9"/>
      <c r="J4723" s="9"/>
      <c r="K4723" s="9"/>
      <c r="L4723" s="9"/>
      <c r="M4723" s="9"/>
      <c r="N4723" s="9"/>
      <c r="O4723" s="9"/>
      <c r="P4723" s="9"/>
      <c r="Q4723" s="9"/>
      <c r="R4723" s="9"/>
      <c r="S4723" s="9"/>
      <c r="T4723" s="9"/>
      <c r="U4723" s="9"/>
      <c r="V4723" s="9"/>
      <c r="W4723" s="9"/>
      <c r="X4723" s="9"/>
      <c r="Y4723" s="9"/>
      <c r="Z4723" s="9"/>
      <c r="AA4723" s="9"/>
    </row>
    <row r="4724" spans="1:27">
      <c r="A4724" s="8"/>
      <c r="B4724" s="8"/>
      <c r="C4724" s="9"/>
      <c r="D4724" s="9"/>
      <c r="E4724" s="9"/>
      <c r="F4724" s="9"/>
      <c r="G4724" s="9"/>
      <c r="H4724" s="9"/>
      <c r="I4724" s="9"/>
      <c r="J4724" s="9"/>
      <c r="K4724" s="9"/>
      <c r="L4724" s="9"/>
      <c r="M4724" s="9"/>
      <c r="N4724" s="9"/>
      <c r="O4724" s="9"/>
      <c r="P4724" s="9"/>
      <c r="Q4724" s="9"/>
      <c r="R4724" s="9"/>
      <c r="S4724" s="9"/>
      <c r="T4724" s="9"/>
      <c r="U4724" s="9"/>
      <c r="V4724" s="9"/>
      <c r="W4724" s="9"/>
      <c r="X4724" s="9"/>
      <c r="Y4724" s="9"/>
      <c r="Z4724" s="9"/>
      <c r="AA4724" s="9"/>
    </row>
    <row r="4725" spans="1:27">
      <c r="A4725" s="8"/>
      <c r="B4725" s="8"/>
      <c r="C4725" s="9"/>
      <c r="D4725" s="9"/>
      <c r="E4725" s="9"/>
      <c r="F4725" s="9"/>
      <c r="G4725" s="9"/>
      <c r="H4725" s="9"/>
      <c r="I4725" s="9"/>
      <c r="J4725" s="9"/>
      <c r="K4725" s="9"/>
      <c r="L4725" s="9"/>
      <c r="M4725" s="9"/>
      <c r="N4725" s="9"/>
      <c r="O4725" s="9"/>
      <c r="P4725" s="9"/>
      <c r="Q4725" s="9"/>
      <c r="R4725" s="9"/>
      <c r="S4725" s="9"/>
      <c r="T4725" s="9"/>
      <c r="U4725" s="9"/>
      <c r="V4725" s="9"/>
      <c r="W4725" s="9"/>
      <c r="X4725" s="9"/>
      <c r="Y4725" s="9"/>
      <c r="Z4725" s="9"/>
      <c r="AA4725" s="9"/>
    </row>
    <row r="4726" spans="1:27">
      <c r="A4726" s="8"/>
      <c r="B4726" s="8"/>
      <c r="C4726" s="9"/>
      <c r="D4726" s="9"/>
      <c r="E4726" s="9"/>
      <c r="F4726" s="9"/>
      <c r="G4726" s="9"/>
      <c r="H4726" s="9"/>
      <c r="I4726" s="9"/>
      <c r="J4726" s="9"/>
      <c r="K4726" s="9"/>
      <c r="L4726" s="9"/>
      <c r="M4726" s="9"/>
      <c r="N4726" s="9"/>
      <c r="O4726" s="9"/>
      <c r="P4726" s="9"/>
      <c r="Q4726" s="9"/>
      <c r="R4726" s="9"/>
      <c r="S4726" s="9"/>
      <c r="T4726" s="9"/>
      <c r="U4726" s="9"/>
      <c r="V4726" s="9"/>
      <c r="W4726" s="9"/>
      <c r="X4726" s="9"/>
      <c r="Y4726" s="9"/>
      <c r="Z4726" s="9"/>
      <c r="AA4726" s="9"/>
    </row>
    <row r="4727" spans="1:27">
      <c r="A4727" s="8"/>
      <c r="B4727" s="8"/>
      <c r="C4727" s="9"/>
      <c r="D4727" s="9"/>
      <c r="E4727" s="9"/>
      <c r="F4727" s="9"/>
      <c r="G4727" s="9"/>
      <c r="H4727" s="9"/>
      <c r="I4727" s="9"/>
      <c r="J4727" s="9"/>
      <c r="K4727" s="9"/>
      <c r="L4727" s="9"/>
      <c r="M4727" s="9"/>
      <c r="N4727" s="9"/>
      <c r="O4727" s="9"/>
      <c r="P4727" s="9"/>
      <c r="Q4727" s="9"/>
      <c r="R4727" s="9"/>
      <c r="S4727" s="9"/>
      <c r="T4727" s="9"/>
      <c r="U4727" s="9"/>
      <c r="V4727" s="9"/>
      <c r="W4727" s="9"/>
      <c r="X4727" s="9"/>
      <c r="Y4727" s="9"/>
      <c r="Z4727" s="9"/>
      <c r="AA4727" s="9"/>
    </row>
    <row r="4728" spans="1:27">
      <c r="A4728" s="8"/>
      <c r="B4728" s="8"/>
      <c r="C4728" s="9"/>
      <c r="D4728" s="9"/>
      <c r="E4728" s="9"/>
      <c r="F4728" s="9"/>
      <c r="G4728" s="9"/>
      <c r="H4728" s="9"/>
      <c r="I4728" s="9"/>
      <c r="J4728" s="9"/>
      <c r="K4728" s="9"/>
      <c r="L4728" s="9"/>
      <c r="M4728" s="9"/>
      <c r="N4728" s="9"/>
      <c r="O4728" s="9"/>
      <c r="P4728" s="9"/>
      <c r="Q4728" s="9"/>
      <c r="R4728" s="9"/>
      <c r="S4728" s="9"/>
      <c r="T4728" s="9"/>
      <c r="U4728" s="9"/>
      <c r="V4728" s="9"/>
      <c r="W4728" s="9"/>
      <c r="X4728" s="9"/>
      <c r="Y4728" s="9"/>
      <c r="Z4728" s="9"/>
      <c r="AA4728" s="9"/>
    </row>
    <row r="4729" spans="1:27">
      <c r="A4729" s="8"/>
      <c r="B4729" s="8"/>
      <c r="C4729" s="9"/>
      <c r="D4729" s="9"/>
      <c r="E4729" s="9"/>
      <c r="F4729" s="9"/>
      <c r="G4729" s="9"/>
      <c r="H4729" s="9"/>
      <c r="I4729" s="9"/>
      <c r="J4729" s="9"/>
      <c r="K4729" s="9"/>
      <c r="L4729" s="9"/>
      <c r="M4729" s="9"/>
      <c r="N4729" s="9"/>
      <c r="O4729" s="9"/>
      <c r="P4729" s="9"/>
      <c r="Q4729" s="9"/>
      <c r="R4729" s="9"/>
      <c r="S4729" s="9"/>
      <c r="T4729" s="9"/>
      <c r="U4729" s="9"/>
      <c r="V4729" s="9"/>
      <c r="W4729" s="9"/>
      <c r="X4729" s="9"/>
      <c r="Y4729" s="9"/>
      <c r="Z4729" s="9"/>
      <c r="AA4729" s="9"/>
    </row>
    <row r="4730" spans="1:27">
      <c r="A4730" s="8"/>
      <c r="B4730" s="8"/>
      <c r="C4730" s="9"/>
      <c r="D4730" s="9"/>
      <c r="E4730" s="9"/>
      <c r="F4730" s="9"/>
      <c r="G4730" s="9"/>
      <c r="H4730" s="9"/>
      <c r="I4730" s="9"/>
      <c r="J4730" s="9"/>
      <c r="K4730" s="9"/>
      <c r="L4730" s="9"/>
      <c r="M4730" s="9"/>
      <c r="N4730" s="9"/>
      <c r="O4730" s="9"/>
      <c r="P4730" s="9"/>
      <c r="Q4730" s="9"/>
      <c r="R4730" s="9"/>
      <c r="S4730" s="9"/>
      <c r="T4730" s="9"/>
      <c r="U4730" s="9"/>
      <c r="V4730" s="9"/>
      <c r="W4730" s="9"/>
      <c r="X4730" s="9"/>
      <c r="Y4730" s="9"/>
      <c r="Z4730" s="9"/>
      <c r="AA4730" s="9"/>
    </row>
    <row r="4731" spans="1:27">
      <c r="A4731" s="8"/>
      <c r="B4731" s="8"/>
      <c r="C4731" s="9"/>
      <c r="D4731" s="9"/>
      <c r="E4731" s="9"/>
      <c r="F4731" s="9"/>
      <c r="G4731" s="9"/>
      <c r="H4731" s="9"/>
      <c r="I4731" s="9"/>
      <c r="J4731" s="9"/>
      <c r="K4731" s="9"/>
      <c r="L4731" s="9"/>
      <c r="M4731" s="9"/>
      <c r="N4731" s="9"/>
      <c r="O4731" s="9"/>
      <c r="P4731" s="9"/>
      <c r="Q4731" s="9"/>
      <c r="R4731" s="9"/>
      <c r="S4731" s="9"/>
      <c r="T4731" s="9"/>
      <c r="U4731" s="9"/>
      <c r="V4731" s="9"/>
      <c r="W4731" s="9"/>
      <c r="X4731" s="9"/>
      <c r="Y4731" s="9"/>
      <c r="Z4731" s="9"/>
      <c r="AA4731" s="9"/>
    </row>
    <row r="4732" spans="1:27">
      <c r="A4732" s="8"/>
      <c r="B4732" s="8"/>
      <c r="C4732" s="9"/>
      <c r="D4732" s="9"/>
      <c r="E4732" s="9"/>
      <c r="F4732" s="9"/>
      <c r="G4732" s="9"/>
      <c r="H4732" s="9"/>
      <c r="I4732" s="9"/>
      <c r="J4732" s="9"/>
      <c r="K4732" s="9"/>
      <c r="L4732" s="9"/>
      <c r="M4732" s="9"/>
      <c r="N4732" s="9"/>
      <c r="O4732" s="9"/>
      <c r="P4732" s="9"/>
      <c r="Q4732" s="9"/>
      <c r="R4732" s="9"/>
      <c r="S4732" s="9"/>
      <c r="T4732" s="9"/>
      <c r="U4732" s="9"/>
      <c r="V4732" s="9"/>
      <c r="W4732" s="9"/>
      <c r="X4732" s="9"/>
      <c r="Y4732" s="9"/>
      <c r="Z4732" s="9"/>
      <c r="AA4732" s="9"/>
    </row>
    <row r="4733" spans="1:27">
      <c r="A4733" s="8"/>
      <c r="B4733" s="8"/>
      <c r="C4733" s="9"/>
      <c r="D4733" s="9"/>
      <c r="E4733" s="9"/>
      <c r="F4733" s="9"/>
      <c r="G4733" s="9"/>
      <c r="H4733" s="9"/>
      <c r="I4733" s="9"/>
      <c r="J4733" s="9"/>
      <c r="K4733" s="9"/>
      <c r="L4733" s="9"/>
      <c r="M4733" s="9"/>
      <c r="N4733" s="9"/>
      <c r="O4733" s="9"/>
      <c r="P4733" s="9"/>
      <c r="Q4733" s="9"/>
      <c r="R4733" s="9"/>
      <c r="S4733" s="9"/>
      <c r="T4733" s="9"/>
      <c r="U4733" s="9"/>
      <c r="V4733" s="9"/>
      <c r="W4733" s="9"/>
      <c r="X4733" s="9"/>
      <c r="Y4733" s="9"/>
      <c r="Z4733" s="9"/>
      <c r="AA4733" s="9"/>
    </row>
    <row r="4734" spans="1:27">
      <c r="A4734" s="8"/>
      <c r="B4734" s="8"/>
      <c r="C4734" s="9"/>
      <c r="D4734" s="9"/>
      <c r="E4734" s="9"/>
      <c r="F4734" s="9"/>
      <c r="G4734" s="9"/>
      <c r="H4734" s="9"/>
      <c r="I4734" s="9"/>
      <c r="J4734" s="9"/>
      <c r="K4734" s="9"/>
      <c r="L4734" s="9"/>
      <c r="M4734" s="9"/>
      <c r="N4734" s="9"/>
      <c r="O4734" s="9"/>
      <c r="P4734" s="9"/>
      <c r="Q4734" s="9"/>
      <c r="R4734" s="9"/>
      <c r="S4734" s="9"/>
      <c r="T4734" s="9"/>
      <c r="U4734" s="9"/>
      <c r="V4734" s="9"/>
      <c r="W4734" s="9"/>
      <c r="X4734" s="9"/>
      <c r="Y4734" s="9"/>
      <c r="Z4734" s="9"/>
      <c r="AA4734" s="9"/>
    </row>
    <row r="4735" spans="1:27">
      <c r="A4735" s="8"/>
      <c r="B4735" s="8"/>
      <c r="C4735" s="9"/>
      <c r="D4735" s="9"/>
      <c r="E4735" s="9"/>
      <c r="F4735" s="9"/>
      <c r="G4735" s="9"/>
      <c r="H4735" s="9"/>
      <c r="I4735" s="9"/>
      <c r="J4735" s="9"/>
      <c r="K4735" s="9"/>
      <c r="L4735" s="9"/>
      <c r="M4735" s="9"/>
      <c r="N4735" s="9"/>
      <c r="O4735" s="9"/>
      <c r="P4735" s="9"/>
      <c r="Q4735" s="9"/>
      <c r="R4735" s="9"/>
      <c r="S4735" s="9"/>
      <c r="T4735" s="9"/>
      <c r="U4735" s="9"/>
      <c r="V4735" s="9"/>
      <c r="W4735" s="9"/>
      <c r="X4735" s="9"/>
      <c r="Y4735" s="9"/>
      <c r="Z4735" s="9"/>
      <c r="AA4735" s="9"/>
    </row>
    <row r="4736" spans="1:27">
      <c r="A4736" s="8"/>
      <c r="B4736" s="8"/>
      <c r="C4736" s="9"/>
      <c r="D4736" s="9"/>
      <c r="E4736" s="9"/>
      <c r="F4736" s="9"/>
      <c r="G4736" s="9"/>
      <c r="H4736" s="9"/>
      <c r="I4736" s="9"/>
      <c r="J4736" s="9"/>
      <c r="K4736" s="9"/>
      <c r="L4736" s="9"/>
      <c r="M4736" s="9"/>
      <c r="N4736" s="9"/>
      <c r="O4736" s="9"/>
      <c r="P4736" s="9"/>
      <c r="Q4736" s="9"/>
      <c r="R4736" s="9"/>
      <c r="S4736" s="9"/>
      <c r="T4736" s="9"/>
      <c r="U4736" s="9"/>
      <c r="V4736" s="9"/>
      <c r="W4736" s="9"/>
      <c r="X4736" s="9"/>
      <c r="Y4736" s="9"/>
      <c r="Z4736" s="9"/>
      <c r="AA4736" s="9"/>
    </row>
    <row r="4737" spans="1:27">
      <c r="A4737" s="8"/>
      <c r="B4737" s="8"/>
      <c r="C4737" s="9"/>
      <c r="D4737" s="9"/>
      <c r="E4737" s="9"/>
      <c r="F4737" s="9"/>
      <c r="G4737" s="9"/>
      <c r="H4737" s="9"/>
      <c r="I4737" s="9"/>
      <c r="J4737" s="9"/>
      <c r="K4737" s="9"/>
      <c r="L4737" s="9"/>
      <c r="M4737" s="9"/>
      <c r="N4737" s="9"/>
      <c r="O4737" s="9"/>
      <c r="P4737" s="9"/>
      <c r="Q4737" s="9"/>
      <c r="R4737" s="9"/>
      <c r="S4737" s="9"/>
      <c r="T4737" s="9"/>
      <c r="U4737" s="9"/>
      <c r="V4737" s="9"/>
      <c r="W4737" s="9"/>
      <c r="X4737" s="9"/>
      <c r="Y4737" s="9"/>
      <c r="Z4737" s="9"/>
      <c r="AA4737" s="9"/>
    </row>
    <row r="4738" spans="1:27">
      <c r="A4738" s="8"/>
      <c r="B4738" s="8"/>
      <c r="C4738" s="9"/>
      <c r="D4738" s="9"/>
      <c r="E4738" s="9"/>
      <c r="F4738" s="9"/>
      <c r="G4738" s="9"/>
      <c r="H4738" s="9"/>
      <c r="I4738" s="9"/>
      <c r="J4738" s="9"/>
      <c r="K4738" s="9"/>
      <c r="L4738" s="9"/>
      <c r="M4738" s="9"/>
      <c r="N4738" s="9"/>
      <c r="O4738" s="9"/>
      <c r="P4738" s="9"/>
      <c r="Q4738" s="9"/>
      <c r="R4738" s="9"/>
      <c r="S4738" s="9"/>
      <c r="T4738" s="9"/>
      <c r="U4738" s="9"/>
      <c r="V4738" s="9"/>
      <c r="W4738" s="9"/>
      <c r="X4738" s="9"/>
      <c r="Y4738" s="9"/>
      <c r="Z4738" s="9"/>
      <c r="AA4738" s="9"/>
    </row>
    <row r="4739" spans="1:27">
      <c r="A4739" s="8"/>
      <c r="B4739" s="8"/>
      <c r="C4739" s="9"/>
      <c r="D4739" s="9"/>
      <c r="E4739" s="9"/>
      <c r="F4739" s="9"/>
      <c r="G4739" s="9"/>
      <c r="H4739" s="9"/>
      <c r="I4739" s="9"/>
      <c r="J4739" s="9"/>
      <c r="K4739" s="9"/>
      <c r="L4739" s="9"/>
      <c r="M4739" s="9"/>
      <c r="N4739" s="9"/>
      <c r="O4739" s="9"/>
      <c r="P4739" s="9"/>
      <c r="Q4739" s="9"/>
      <c r="R4739" s="9"/>
      <c r="S4739" s="9"/>
      <c r="T4739" s="9"/>
      <c r="U4739" s="9"/>
      <c r="V4739" s="9"/>
      <c r="W4739" s="9"/>
      <c r="X4739" s="9"/>
      <c r="Y4739" s="9"/>
      <c r="Z4739" s="9"/>
      <c r="AA4739" s="9"/>
    </row>
    <row r="4740" spans="1:27">
      <c r="A4740" s="8"/>
      <c r="B4740" s="8"/>
      <c r="C4740" s="9"/>
      <c r="D4740" s="9"/>
      <c r="E4740" s="9"/>
      <c r="F4740" s="9"/>
      <c r="G4740" s="9"/>
      <c r="H4740" s="9"/>
      <c r="I4740" s="9"/>
      <c r="J4740" s="9"/>
      <c r="K4740" s="9"/>
      <c r="L4740" s="9"/>
      <c r="M4740" s="9"/>
      <c r="N4740" s="9"/>
      <c r="O4740" s="9"/>
      <c r="P4740" s="9"/>
      <c r="Q4740" s="9"/>
      <c r="R4740" s="9"/>
      <c r="S4740" s="9"/>
      <c r="T4740" s="9"/>
      <c r="U4740" s="9"/>
      <c r="V4740" s="9"/>
      <c r="W4740" s="9"/>
      <c r="X4740" s="9"/>
      <c r="Y4740" s="9"/>
      <c r="Z4740" s="9"/>
      <c r="AA4740" s="9"/>
    </row>
    <row r="4741" spans="1:27">
      <c r="A4741" s="8"/>
      <c r="B4741" s="8"/>
      <c r="C4741" s="9"/>
      <c r="D4741" s="9"/>
      <c r="E4741" s="9"/>
      <c r="F4741" s="9"/>
      <c r="G4741" s="9"/>
      <c r="H4741" s="9"/>
      <c r="I4741" s="9"/>
      <c r="J4741" s="9"/>
      <c r="K4741" s="9"/>
      <c r="L4741" s="9"/>
      <c r="M4741" s="9"/>
      <c r="N4741" s="9"/>
      <c r="O4741" s="9"/>
      <c r="P4741" s="9"/>
      <c r="Q4741" s="9"/>
      <c r="R4741" s="9"/>
      <c r="S4741" s="9"/>
      <c r="T4741" s="9"/>
      <c r="U4741" s="9"/>
      <c r="V4741" s="9"/>
      <c r="W4741" s="9"/>
      <c r="X4741" s="9"/>
      <c r="Y4741" s="9"/>
      <c r="Z4741" s="9"/>
      <c r="AA4741" s="9"/>
    </row>
    <row r="4742" spans="1:27">
      <c r="A4742" s="8"/>
      <c r="B4742" s="8"/>
      <c r="C4742" s="9"/>
      <c r="D4742" s="9"/>
      <c r="E4742" s="9"/>
      <c r="F4742" s="9"/>
      <c r="G4742" s="9"/>
      <c r="H4742" s="9"/>
      <c r="I4742" s="9"/>
      <c r="J4742" s="9"/>
      <c r="K4742" s="9"/>
      <c r="L4742" s="9"/>
      <c r="M4742" s="9"/>
      <c r="N4742" s="9"/>
      <c r="O4742" s="9"/>
      <c r="P4742" s="9"/>
      <c r="Q4742" s="9"/>
      <c r="R4742" s="9"/>
      <c r="S4742" s="9"/>
      <c r="T4742" s="9"/>
      <c r="U4742" s="9"/>
      <c r="V4742" s="9"/>
      <c r="W4742" s="9"/>
      <c r="X4742" s="9"/>
      <c r="Y4742" s="9"/>
      <c r="Z4742" s="9"/>
      <c r="AA4742" s="9"/>
    </row>
    <row r="4743" spans="1:27">
      <c r="A4743" s="8"/>
      <c r="B4743" s="8"/>
      <c r="C4743" s="9"/>
      <c r="D4743" s="9"/>
      <c r="E4743" s="9"/>
      <c r="F4743" s="9"/>
      <c r="G4743" s="9"/>
      <c r="H4743" s="9"/>
      <c r="I4743" s="9"/>
      <c r="J4743" s="9"/>
      <c r="K4743" s="9"/>
      <c r="L4743" s="9"/>
      <c r="M4743" s="9"/>
      <c r="N4743" s="9"/>
      <c r="O4743" s="9"/>
      <c r="P4743" s="9"/>
      <c r="Q4743" s="9"/>
      <c r="R4743" s="9"/>
      <c r="S4743" s="9"/>
      <c r="T4743" s="9"/>
      <c r="U4743" s="9"/>
      <c r="V4743" s="9"/>
      <c r="W4743" s="9"/>
      <c r="X4743" s="9"/>
      <c r="Y4743" s="9"/>
      <c r="Z4743" s="9"/>
      <c r="AA4743" s="9"/>
    </row>
    <row r="4744" spans="1:27">
      <c r="A4744" s="8"/>
      <c r="B4744" s="8"/>
      <c r="C4744" s="9"/>
      <c r="D4744" s="9"/>
      <c r="E4744" s="9"/>
      <c r="F4744" s="9"/>
      <c r="G4744" s="9"/>
      <c r="H4744" s="9"/>
      <c r="I4744" s="9"/>
      <c r="J4744" s="9"/>
      <c r="K4744" s="9"/>
      <c r="L4744" s="9"/>
      <c r="M4744" s="9"/>
      <c r="N4744" s="9"/>
      <c r="O4744" s="9"/>
      <c r="P4744" s="9"/>
      <c r="Q4744" s="9"/>
      <c r="R4744" s="9"/>
      <c r="S4744" s="9"/>
      <c r="T4744" s="9"/>
      <c r="U4744" s="9"/>
      <c r="V4744" s="9"/>
      <c r="W4744" s="9"/>
      <c r="X4744" s="9"/>
      <c r="Y4744" s="9"/>
      <c r="Z4744" s="9"/>
      <c r="AA4744" s="9"/>
    </row>
    <row r="4745" spans="1:27">
      <c r="A4745" s="8"/>
      <c r="B4745" s="8"/>
      <c r="C4745" s="9"/>
      <c r="D4745" s="9"/>
      <c r="E4745" s="9"/>
      <c r="F4745" s="9"/>
      <c r="G4745" s="9"/>
      <c r="H4745" s="9"/>
      <c r="I4745" s="9"/>
      <c r="J4745" s="9"/>
      <c r="K4745" s="9"/>
      <c r="L4745" s="9"/>
      <c r="M4745" s="9"/>
      <c r="N4745" s="9"/>
      <c r="O4745" s="9"/>
      <c r="P4745" s="9"/>
      <c r="Q4745" s="9"/>
      <c r="R4745" s="9"/>
      <c r="S4745" s="9"/>
      <c r="T4745" s="9"/>
      <c r="U4745" s="9"/>
      <c r="V4745" s="9"/>
      <c r="W4745" s="9"/>
      <c r="X4745" s="9"/>
      <c r="Y4745" s="9"/>
      <c r="Z4745" s="9"/>
      <c r="AA4745" s="9"/>
    </row>
    <row r="4746" spans="1:27">
      <c r="A4746" s="8"/>
      <c r="B4746" s="8"/>
      <c r="C4746" s="9"/>
      <c r="D4746" s="9"/>
      <c r="E4746" s="9"/>
      <c r="F4746" s="9"/>
      <c r="G4746" s="9"/>
      <c r="H4746" s="9"/>
      <c r="I4746" s="9"/>
      <c r="J4746" s="9"/>
      <c r="K4746" s="9"/>
      <c r="L4746" s="9"/>
      <c r="M4746" s="9"/>
      <c r="N4746" s="9"/>
      <c r="O4746" s="9"/>
      <c r="P4746" s="9"/>
      <c r="Q4746" s="9"/>
      <c r="R4746" s="9"/>
      <c r="S4746" s="9"/>
      <c r="T4746" s="9"/>
      <c r="U4746" s="9"/>
      <c r="V4746" s="9"/>
      <c r="W4746" s="9"/>
      <c r="X4746" s="9"/>
      <c r="Y4746" s="9"/>
      <c r="Z4746" s="9"/>
      <c r="AA4746" s="9"/>
    </row>
    <row r="4747" spans="1:27">
      <c r="A4747" s="8"/>
      <c r="B4747" s="8"/>
      <c r="C4747" s="9"/>
      <c r="D4747" s="9"/>
      <c r="E4747" s="9"/>
      <c r="F4747" s="9"/>
      <c r="G4747" s="9"/>
      <c r="H4747" s="9"/>
      <c r="I4747" s="9"/>
      <c r="J4747" s="9"/>
      <c r="K4747" s="9"/>
      <c r="L4747" s="9"/>
      <c r="M4747" s="9"/>
      <c r="N4747" s="9"/>
      <c r="O4747" s="9"/>
      <c r="P4747" s="9"/>
      <c r="Q4747" s="9"/>
      <c r="R4747" s="9"/>
      <c r="S4747" s="9"/>
      <c r="T4747" s="9"/>
      <c r="U4747" s="9"/>
      <c r="V4747" s="9"/>
      <c r="W4747" s="9"/>
      <c r="X4747" s="9"/>
      <c r="Y4747" s="9"/>
      <c r="Z4747" s="9"/>
      <c r="AA4747" s="9"/>
    </row>
    <row r="4748" spans="1:27">
      <c r="A4748" s="8"/>
      <c r="B4748" s="8"/>
      <c r="C4748" s="9"/>
      <c r="D4748" s="9"/>
      <c r="E4748" s="9"/>
      <c r="F4748" s="9"/>
      <c r="G4748" s="9"/>
      <c r="H4748" s="9"/>
      <c r="I4748" s="9"/>
      <c r="J4748" s="9"/>
      <c r="K4748" s="9"/>
      <c r="L4748" s="9"/>
      <c r="M4748" s="9"/>
      <c r="N4748" s="9"/>
      <c r="O4748" s="9"/>
      <c r="P4748" s="9"/>
      <c r="Q4748" s="9"/>
      <c r="R4748" s="9"/>
      <c r="S4748" s="9"/>
      <c r="T4748" s="9"/>
      <c r="U4748" s="9"/>
      <c r="V4748" s="9"/>
      <c r="W4748" s="9"/>
      <c r="X4748" s="9"/>
      <c r="Y4748" s="9"/>
      <c r="Z4748" s="9"/>
      <c r="AA4748" s="9"/>
    </row>
    <row r="4749" spans="1:27">
      <c r="A4749" s="8"/>
      <c r="B4749" s="8"/>
      <c r="C4749" s="9"/>
      <c r="D4749" s="9"/>
      <c r="E4749" s="9"/>
      <c r="F4749" s="9"/>
      <c r="G4749" s="9"/>
      <c r="H4749" s="9"/>
      <c r="I4749" s="9"/>
      <c r="J4749" s="9"/>
      <c r="K4749" s="9"/>
      <c r="L4749" s="9"/>
      <c r="M4749" s="9"/>
      <c r="N4749" s="9"/>
      <c r="O4749" s="9"/>
      <c r="P4749" s="9"/>
      <c r="Q4749" s="9"/>
      <c r="R4749" s="9"/>
      <c r="S4749" s="9"/>
      <c r="T4749" s="9"/>
      <c r="U4749" s="9"/>
      <c r="V4749" s="9"/>
      <c r="W4749" s="9"/>
      <c r="X4749" s="9"/>
      <c r="Y4749" s="9"/>
      <c r="Z4749" s="9"/>
      <c r="AA4749" s="9"/>
    </row>
    <row r="4750" spans="1:27">
      <c r="A4750" s="8"/>
      <c r="B4750" s="8"/>
      <c r="C4750" s="9"/>
      <c r="D4750" s="9"/>
      <c r="E4750" s="9"/>
      <c r="F4750" s="9"/>
      <c r="G4750" s="9"/>
      <c r="H4750" s="9"/>
      <c r="I4750" s="9"/>
      <c r="J4750" s="9"/>
      <c r="K4750" s="9"/>
      <c r="L4750" s="9"/>
      <c r="M4750" s="9"/>
      <c r="N4750" s="9"/>
      <c r="O4750" s="9"/>
      <c r="P4750" s="9"/>
      <c r="Q4750" s="9"/>
      <c r="R4750" s="9"/>
      <c r="S4750" s="9"/>
      <c r="T4750" s="9"/>
      <c r="U4750" s="9"/>
      <c r="V4750" s="9"/>
      <c r="W4750" s="9"/>
      <c r="X4750" s="9"/>
      <c r="Y4750" s="9"/>
      <c r="Z4750" s="9"/>
      <c r="AA4750" s="9"/>
    </row>
    <row r="4751" spans="1:27">
      <c r="A4751" s="8"/>
      <c r="B4751" s="8"/>
      <c r="C4751" s="9"/>
      <c r="D4751" s="9"/>
      <c r="E4751" s="9"/>
      <c r="F4751" s="9"/>
      <c r="G4751" s="9"/>
      <c r="H4751" s="9"/>
      <c r="I4751" s="9"/>
      <c r="J4751" s="9"/>
      <c r="K4751" s="9"/>
      <c r="L4751" s="9"/>
      <c r="M4751" s="9"/>
      <c r="N4751" s="9"/>
      <c r="O4751" s="9"/>
      <c r="P4751" s="9"/>
      <c r="Q4751" s="9"/>
      <c r="R4751" s="9"/>
      <c r="S4751" s="9"/>
      <c r="T4751" s="9"/>
      <c r="U4751" s="9"/>
      <c r="V4751" s="9"/>
      <c r="W4751" s="9"/>
      <c r="X4751" s="9"/>
      <c r="Y4751" s="9"/>
      <c r="Z4751" s="9"/>
      <c r="AA4751" s="9"/>
    </row>
    <row r="4752" spans="1:27">
      <c r="A4752" s="8"/>
      <c r="B4752" s="8"/>
      <c r="C4752" s="9"/>
      <c r="D4752" s="9"/>
      <c r="E4752" s="9"/>
      <c r="F4752" s="9"/>
      <c r="G4752" s="9"/>
      <c r="H4752" s="9"/>
      <c r="I4752" s="9"/>
      <c r="J4752" s="9"/>
      <c r="K4752" s="9"/>
      <c r="L4752" s="9"/>
      <c r="M4752" s="9"/>
      <c r="N4752" s="9"/>
      <c r="O4752" s="9"/>
      <c r="P4752" s="9"/>
      <c r="Q4752" s="9"/>
      <c r="R4752" s="9"/>
      <c r="S4752" s="9"/>
      <c r="T4752" s="9"/>
      <c r="U4752" s="9"/>
      <c r="V4752" s="9"/>
      <c r="W4752" s="9"/>
      <c r="X4752" s="9"/>
      <c r="Y4752" s="9"/>
      <c r="Z4752" s="9"/>
      <c r="AA4752" s="9"/>
    </row>
    <row r="4753" spans="1:27">
      <c r="A4753" s="8"/>
      <c r="B4753" s="8"/>
      <c r="C4753" s="9"/>
      <c r="D4753" s="9"/>
      <c r="E4753" s="9"/>
      <c r="F4753" s="9"/>
      <c r="G4753" s="9"/>
      <c r="H4753" s="9"/>
      <c r="I4753" s="9"/>
      <c r="J4753" s="9"/>
      <c r="K4753" s="9"/>
      <c r="L4753" s="9"/>
      <c r="M4753" s="9"/>
      <c r="N4753" s="9"/>
      <c r="O4753" s="9"/>
      <c r="P4753" s="9"/>
      <c r="Q4753" s="9"/>
      <c r="R4753" s="9"/>
      <c r="S4753" s="9"/>
      <c r="T4753" s="9"/>
      <c r="U4753" s="9"/>
      <c r="V4753" s="9"/>
      <c r="W4753" s="9"/>
      <c r="X4753" s="9"/>
      <c r="Y4753" s="9"/>
      <c r="Z4753" s="9"/>
      <c r="AA4753" s="9"/>
    </row>
    <row r="4754" spans="1:27">
      <c r="A4754" s="8"/>
      <c r="B4754" s="8"/>
      <c r="C4754" s="9"/>
      <c r="D4754" s="9"/>
      <c r="E4754" s="9"/>
      <c r="F4754" s="9"/>
      <c r="G4754" s="9"/>
      <c r="H4754" s="9"/>
      <c r="I4754" s="9"/>
      <c r="J4754" s="9"/>
      <c r="K4754" s="9"/>
      <c r="L4754" s="9"/>
      <c r="M4754" s="9"/>
      <c r="N4754" s="9"/>
      <c r="O4754" s="9"/>
      <c r="P4754" s="9"/>
      <c r="Q4754" s="9"/>
      <c r="R4754" s="9"/>
      <c r="S4754" s="9"/>
      <c r="T4754" s="9"/>
      <c r="U4754" s="9"/>
      <c r="V4754" s="9"/>
      <c r="W4754" s="9"/>
      <c r="X4754" s="9"/>
      <c r="Y4754" s="9"/>
      <c r="Z4754" s="9"/>
      <c r="AA4754" s="9"/>
    </row>
    <row r="4755" spans="1:27">
      <c r="A4755" s="8"/>
      <c r="B4755" s="8"/>
      <c r="C4755" s="9"/>
      <c r="D4755" s="9"/>
      <c r="E4755" s="9"/>
      <c r="F4755" s="9"/>
      <c r="G4755" s="9"/>
      <c r="H4755" s="9"/>
      <c r="I4755" s="9"/>
      <c r="J4755" s="9"/>
      <c r="K4755" s="9"/>
      <c r="L4755" s="9"/>
      <c r="M4755" s="9"/>
      <c r="N4755" s="9"/>
      <c r="O4755" s="9"/>
      <c r="P4755" s="9"/>
      <c r="Q4755" s="9"/>
      <c r="R4755" s="9"/>
      <c r="S4755" s="9"/>
      <c r="T4755" s="9"/>
      <c r="U4755" s="9"/>
      <c r="V4755" s="9"/>
      <c r="W4755" s="9"/>
      <c r="X4755" s="9"/>
      <c r="Y4755" s="9"/>
      <c r="Z4755" s="9"/>
      <c r="AA4755" s="9"/>
    </row>
    <row r="4756" spans="1:27">
      <c r="A4756" s="8"/>
      <c r="B4756" s="8"/>
      <c r="C4756" s="9"/>
      <c r="D4756" s="9"/>
      <c r="E4756" s="9"/>
      <c r="F4756" s="9"/>
      <c r="G4756" s="9"/>
      <c r="H4756" s="9"/>
      <c r="I4756" s="9"/>
      <c r="J4756" s="9"/>
      <c r="K4756" s="9"/>
      <c r="L4756" s="9"/>
      <c r="M4756" s="9"/>
      <c r="N4756" s="9"/>
      <c r="O4756" s="9"/>
      <c r="P4756" s="9"/>
      <c r="Q4756" s="9"/>
      <c r="R4756" s="9"/>
      <c r="S4756" s="9"/>
      <c r="T4756" s="9"/>
      <c r="U4756" s="9"/>
      <c r="V4756" s="9"/>
      <c r="W4756" s="9"/>
      <c r="X4756" s="9"/>
      <c r="Y4756" s="9"/>
      <c r="Z4756" s="9"/>
      <c r="AA4756" s="9"/>
    </row>
    <row r="4757" spans="1:27">
      <c r="A4757" s="8"/>
      <c r="B4757" s="8"/>
      <c r="C4757" s="9"/>
      <c r="D4757" s="9"/>
      <c r="E4757" s="9"/>
      <c r="F4757" s="9"/>
      <c r="G4757" s="9"/>
      <c r="H4757" s="9"/>
      <c r="I4757" s="9"/>
      <c r="J4757" s="9"/>
      <c r="K4757" s="9"/>
      <c r="L4757" s="9"/>
      <c r="M4757" s="9"/>
      <c r="N4757" s="9"/>
      <c r="O4757" s="9"/>
      <c r="P4757" s="9"/>
      <c r="Q4757" s="9"/>
      <c r="R4757" s="9"/>
      <c r="S4757" s="9"/>
      <c r="T4757" s="9"/>
      <c r="U4757" s="9"/>
      <c r="V4757" s="9"/>
      <c r="W4757" s="9"/>
      <c r="X4757" s="9"/>
      <c r="Y4757" s="9"/>
      <c r="Z4757" s="9"/>
      <c r="AA4757" s="9"/>
    </row>
    <row r="4758" spans="1:27">
      <c r="A4758" s="8"/>
      <c r="B4758" s="8"/>
      <c r="C4758" s="9"/>
      <c r="D4758" s="9"/>
      <c r="E4758" s="9"/>
      <c r="F4758" s="9"/>
      <c r="G4758" s="9"/>
      <c r="H4758" s="9"/>
      <c r="I4758" s="9"/>
      <c r="J4758" s="9"/>
      <c r="K4758" s="9"/>
      <c r="L4758" s="9"/>
      <c r="M4758" s="9"/>
      <c r="N4758" s="9"/>
      <c r="O4758" s="9"/>
      <c r="P4758" s="9"/>
      <c r="Q4758" s="9"/>
      <c r="R4758" s="9"/>
      <c r="S4758" s="9"/>
      <c r="T4758" s="9"/>
      <c r="U4758" s="9"/>
      <c r="V4758" s="9"/>
      <c r="W4758" s="9"/>
      <c r="X4758" s="9"/>
      <c r="Y4758" s="9"/>
      <c r="Z4758" s="9"/>
      <c r="AA4758" s="9"/>
    </row>
    <row r="4759" spans="1:27">
      <c r="A4759" s="8"/>
      <c r="B4759" s="8"/>
      <c r="C4759" s="9"/>
      <c r="D4759" s="9"/>
      <c r="E4759" s="9"/>
      <c r="F4759" s="9"/>
      <c r="G4759" s="9"/>
      <c r="H4759" s="9"/>
      <c r="I4759" s="9"/>
      <c r="J4759" s="9"/>
      <c r="K4759" s="9"/>
      <c r="L4759" s="9"/>
      <c r="M4759" s="9"/>
      <c r="N4759" s="9"/>
      <c r="O4759" s="9"/>
      <c r="P4759" s="9"/>
      <c r="Q4759" s="9"/>
      <c r="R4759" s="9"/>
      <c r="S4759" s="9"/>
      <c r="T4759" s="9"/>
      <c r="U4759" s="9"/>
      <c r="V4759" s="9"/>
      <c r="W4759" s="9"/>
      <c r="X4759" s="9"/>
      <c r="Y4759" s="9"/>
      <c r="Z4759" s="9"/>
      <c r="AA4759" s="9"/>
    </row>
    <row r="4760" spans="1:27">
      <c r="A4760" s="8"/>
      <c r="B4760" s="8"/>
      <c r="C4760" s="9"/>
      <c r="D4760" s="9"/>
      <c r="E4760" s="9"/>
      <c r="F4760" s="9"/>
      <c r="G4760" s="9"/>
      <c r="H4760" s="9"/>
      <c r="I4760" s="9"/>
      <c r="J4760" s="9"/>
      <c r="K4760" s="9"/>
      <c r="L4760" s="9"/>
      <c r="M4760" s="9"/>
      <c r="N4760" s="9"/>
      <c r="O4760" s="9"/>
      <c r="P4760" s="9"/>
      <c r="Q4760" s="9"/>
      <c r="R4760" s="9"/>
      <c r="S4760" s="9"/>
      <c r="T4760" s="9"/>
      <c r="U4760" s="9"/>
      <c r="V4760" s="9"/>
      <c r="W4760" s="9"/>
      <c r="X4760" s="9"/>
      <c r="Y4760" s="9"/>
      <c r="Z4760" s="9"/>
      <c r="AA4760" s="9"/>
    </row>
    <row r="4761" spans="1:27">
      <c r="A4761" s="8"/>
      <c r="B4761" s="8"/>
      <c r="C4761" s="9"/>
      <c r="D4761" s="9"/>
      <c r="E4761" s="9"/>
      <c r="F4761" s="9"/>
      <c r="G4761" s="9"/>
      <c r="H4761" s="9"/>
      <c r="I4761" s="9"/>
      <c r="J4761" s="9"/>
      <c r="K4761" s="9"/>
      <c r="L4761" s="9"/>
      <c r="M4761" s="9"/>
      <c r="N4761" s="9"/>
      <c r="O4761" s="9"/>
      <c r="P4761" s="9"/>
      <c r="Q4761" s="9"/>
      <c r="R4761" s="9"/>
      <c r="S4761" s="9"/>
      <c r="T4761" s="9"/>
      <c r="U4761" s="9"/>
      <c r="V4761" s="9"/>
      <c r="W4761" s="9"/>
      <c r="X4761" s="9"/>
      <c r="Y4761" s="9"/>
      <c r="Z4761" s="9"/>
      <c r="AA4761" s="9"/>
    </row>
    <row r="4762" spans="1:27">
      <c r="A4762" s="8"/>
      <c r="B4762" s="8"/>
      <c r="C4762" s="9"/>
      <c r="D4762" s="9"/>
      <c r="E4762" s="9"/>
      <c r="F4762" s="9"/>
      <c r="G4762" s="9"/>
      <c r="H4762" s="9"/>
      <c r="I4762" s="9"/>
      <c r="J4762" s="9"/>
      <c r="K4762" s="9"/>
      <c r="L4762" s="9"/>
      <c r="M4762" s="9"/>
      <c r="N4762" s="9"/>
      <c r="O4762" s="9"/>
      <c r="P4762" s="9"/>
      <c r="Q4762" s="9"/>
      <c r="R4762" s="9"/>
      <c r="S4762" s="9"/>
      <c r="T4762" s="9"/>
      <c r="U4762" s="9"/>
      <c r="V4762" s="9"/>
      <c r="W4762" s="9"/>
      <c r="X4762" s="9"/>
      <c r="Y4762" s="9"/>
      <c r="Z4762" s="9"/>
      <c r="AA4762" s="9"/>
    </row>
    <row r="4763" spans="1:27">
      <c r="A4763" s="8"/>
      <c r="B4763" s="8"/>
      <c r="C4763" s="9"/>
      <c r="D4763" s="9"/>
      <c r="E4763" s="9"/>
      <c r="F4763" s="9"/>
      <c r="G4763" s="9"/>
      <c r="H4763" s="9"/>
      <c r="I4763" s="9"/>
      <c r="J4763" s="9"/>
      <c r="K4763" s="9"/>
      <c r="L4763" s="9"/>
      <c r="M4763" s="9"/>
      <c r="N4763" s="9"/>
      <c r="O4763" s="9"/>
      <c r="P4763" s="9"/>
      <c r="Q4763" s="9"/>
      <c r="R4763" s="9"/>
      <c r="S4763" s="9"/>
      <c r="T4763" s="9"/>
      <c r="U4763" s="9"/>
      <c r="V4763" s="9"/>
      <c r="W4763" s="9"/>
      <c r="X4763" s="9"/>
      <c r="Y4763" s="9"/>
      <c r="Z4763" s="9"/>
      <c r="AA4763" s="9"/>
    </row>
    <row r="4764" spans="1:27">
      <c r="A4764" s="8"/>
      <c r="B4764" s="8"/>
      <c r="C4764" s="9"/>
      <c r="D4764" s="9"/>
      <c r="E4764" s="9"/>
      <c r="F4764" s="9"/>
      <c r="G4764" s="9"/>
      <c r="H4764" s="9"/>
      <c r="I4764" s="9"/>
      <c r="J4764" s="9"/>
      <c r="K4764" s="9"/>
      <c r="L4764" s="9"/>
      <c r="M4764" s="9"/>
      <c r="N4764" s="9"/>
      <c r="O4764" s="9"/>
      <c r="P4764" s="9"/>
      <c r="Q4764" s="9"/>
      <c r="R4764" s="9"/>
      <c r="S4764" s="9"/>
      <c r="T4764" s="9"/>
      <c r="U4764" s="9"/>
      <c r="V4764" s="9"/>
      <c r="W4764" s="9"/>
      <c r="X4764" s="9"/>
      <c r="Y4764" s="9"/>
      <c r="Z4764" s="9"/>
      <c r="AA4764" s="9"/>
    </row>
    <row r="4765" spans="1:27">
      <c r="A4765" s="8"/>
      <c r="B4765" s="8"/>
      <c r="C4765" s="9"/>
      <c r="D4765" s="9"/>
      <c r="E4765" s="9"/>
      <c r="F4765" s="9"/>
      <c r="G4765" s="9"/>
      <c r="H4765" s="9"/>
      <c r="I4765" s="9"/>
      <c r="J4765" s="9"/>
      <c r="K4765" s="9"/>
      <c r="L4765" s="9"/>
      <c r="M4765" s="9"/>
      <c r="N4765" s="9"/>
      <c r="O4765" s="9"/>
      <c r="P4765" s="9"/>
      <c r="Q4765" s="9"/>
      <c r="R4765" s="9"/>
      <c r="S4765" s="9"/>
      <c r="T4765" s="9"/>
      <c r="U4765" s="9"/>
      <c r="V4765" s="9"/>
      <c r="W4765" s="9"/>
      <c r="X4765" s="9"/>
      <c r="Y4765" s="9"/>
      <c r="Z4765" s="9"/>
      <c r="AA4765" s="9"/>
    </row>
    <row r="4766" spans="1:27">
      <c r="A4766" s="8"/>
      <c r="B4766" s="8"/>
      <c r="C4766" s="9"/>
      <c r="D4766" s="9"/>
      <c r="E4766" s="9"/>
      <c r="F4766" s="9"/>
      <c r="G4766" s="9"/>
      <c r="H4766" s="9"/>
      <c r="I4766" s="9"/>
      <c r="J4766" s="9"/>
      <c r="K4766" s="9"/>
      <c r="L4766" s="9"/>
      <c r="M4766" s="9"/>
      <c r="N4766" s="9"/>
      <c r="O4766" s="9"/>
      <c r="P4766" s="9"/>
      <c r="Q4766" s="9"/>
      <c r="R4766" s="9"/>
      <c r="S4766" s="9"/>
      <c r="T4766" s="9"/>
      <c r="U4766" s="9"/>
      <c r="V4766" s="9"/>
      <c r="W4766" s="9"/>
      <c r="X4766" s="9"/>
      <c r="Y4766" s="9"/>
      <c r="Z4766" s="9"/>
      <c r="AA4766" s="9"/>
    </row>
    <row r="4767" spans="1:27">
      <c r="A4767" s="8"/>
      <c r="B4767" s="8"/>
      <c r="C4767" s="9"/>
      <c r="D4767" s="9"/>
      <c r="E4767" s="9"/>
      <c r="F4767" s="9"/>
      <c r="G4767" s="9"/>
      <c r="H4767" s="9"/>
      <c r="I4767" s="9"/>
      <c r="J4767" s="9"/>
      <c r="K4767" s="9"/>
      <c r="L4767" s="9"/>
      <c r="M4767" s="9"/>
      <c r="N4767" s="9"/>
      <c r="O4767" s="9"/>
      <c r="P4767" s="9"/>
      <c r="Q4767" s="9"/>
      <c r="R4767" s="9"/>
      <c r="S4767" s="9"/>
      <c r="T4767" s="9"/>
      <c r="U4767" s="9"/>
      <c r="V4767" s="9"/>
      <c r="W4767" s="9"/>
      <c r="X4767" s="9"/>
      <c r="Y4767" s="9"/>
      <c r="Z4767" s="9"/>
      <c r="AA4767" s="9"/>
    </row>
    <row r="4768" spans="1:27">
      <c r="A4768" s="8"/>
      <c r="B4768" s="8"/>
      <c r="C4768" s="9"/>
      <c r="D4768" s="9"/>
      <c r="E4768" s="9"/>
      <c r="F4768" s="9"/>
      <c r="G4768" s="9"/>
      <c r="H4768" s="9"/>
      <c r="I4768" s="9"/>
      <c r="J4768" s="9"/>
      <c r="K4768" s="9"/>
      <c r="L4768" s="9"/>
      <c r="M4768" s="9"/>
      <c r="N4768" s="9"/>
      <c r="O4768" s="9"/>
      <c r="P4768" s="9"/>
      <c r="Q4768" s="9"/>
      <c r="R4768" s="9"/>
      <c r="S4768" s="9"/>
      <c r="T4768" s="9"/>
      <c r="U4768" s="9"/>
      <c r="V4768" s="9"/>
      <c r="W4768" s="9"/>
      <c r="X4768" s="9"/>
      <c r="Y4768" s="9"/>
      <c r="Z4768" s="9"/>
      <c r="AA4768" s="9"/>
    </row>
    <row r="4769" spans="1:27">
      <c r="A4769" s="8"/>
      <c r="B4769" s="8"/>
      <c r="C4769" s="9"/>
      <c r="D4769" s="9"/>
      <c r="E4769" s="9"/>
      <c r="F4769" s="9"/>
      <c r="G4769" s="9"/>
      <c r="H4769" s="9"/>
      <c r="I4769" s="9"/>
      <c r="J4769" s="9"/>
      <c r="K4769" s="9"/>
      <c r="L4769" s="9"/>
      <c r="M4769" s="9"/>
      <c r="N4769" s="9"/>
      <c r="O4769" s="9"/>
      <c r="P4769" s="9"/>
      <c r="Q4769" s="9"/>
      <c r="R4769" s="9"/>
      <c r="S4769" s="9"/>
      <c r="T4769" s="9"/>
      <c r="U4769" s="9"/>
      <c r="V4769" s="9"/>
      <c r="W4769" s="9"/>
      <c r="X4769" s="9"/>
      <c r="Y4769" s="9"/>
      <c r="Z4769" s="9"/>
      <c r="AA4769" s="9"/>
    </row>
    <row r="4770" spans="1:27">
      <c r="A4770" s="8"/>
      <c r="B4770" s="8"/>
      <c r="C4770" s="9"/>
      <c r="D4770" s="9"/>
      <c r="E4770" s="9"/>
      <c r="F4770" s="9"/>
      <c r="G4770" s="9"/>
      <c r="H4770" s="9"/>
      <c r="I4770" s="9"/>
      <c r="J4770" s="9"/>
      <c r="K4770" s="9"/>
      <c r="L4770" s="9"/>
      <c r="M4770" s="9"/>
      <c r="N4770" s="9"/>
      <c r="O4770" s="9"/>
      <c r="P4770" s="9"/>
      <c r="Q4770" s="9"/>
      <c r="R4770" s="9"/>
      <c r="S4770" s="9"/>
      <c r="T4770" s="9"/>
      <c r="U4770" s="9"/>
      <c r="V4770" s="9"/>
      <c r="W4770" s="9"/>
      <c r="X4770" s="9"/>
      <c r="Y4770" s="9"/>
      <c r="Z4770" s="9"/>
      <c r="AA4770" s="9"/>
    </row>
    <row r="4771" spans="1:27">
      <c r="A4771" s="8"/>
      <c r="B4771" s="8"/>
      <c r="C4771" s="9"/>
      <c r="D4771" s="9"/>
      <c r="E4771" s="9"/>
      <c r="F4771" s="9"/>
      <c r="G4771" s="9"/>
      <c r="H4771" s="9"/>
      <c r="I4771" s="9"/>
      <c r="J4771" s="9"/>
      <c r="K4771" s="9"/>
      <c r="L4771" s="9"/>
      <c r="M4771" s="9"/>
      <c r="N4771" s="9"/>
      <c r="O4771" s="9"/>
      <c r="P4771" s="9"/>
      <c r="Q4771" s="9"/>
      <c r="R4771" s="9"/>
      <c r="S4771" s="9"/>
      <c r="T4771" s="9"/>
      <c r="U4771" s="9"/>
      <c r="V4771" s="9"/>
      <c r="W4771" s="9"/>
      <c r="X4771" s="9"/>
      <c r="Y4771" s="9"/>
      <c r="Z4771" s="9"/>
      <c r="AA4771" s="9"/>
    </row>
    <row r="4772" spans="1:27">
      <c r="A4772" s="8"/>
      <c r="B4772" s="8"/>
      <c r="C4772" s="9"/>
      <c r="D4772" s="9"/>
      <c r="E4772" s="9"/>
      <c r="F4772" s="9"/>
      <c r="G4772" s="9"/>
      <c r="H4772" s="9"/>
      <c r="I4772" s="9"/>
      <c r="J4772" s="9"/>
      <c r="K4772" s="9"/>
      <c r="L4772" s="9"/>
      <c r="M4772" s="9"/>
      <c r="N4772" s="9"/>
      <c r="O4772" s="9"/>
      <c r="P4772" s="9"/>
      <c r="Q4772" s="9"/>
      <c r="R4772" s="9"/>
      <c r="S4772" s="9"/>
      <c r="T4772" s="9"/>
      <c r="U4772" s="9"/>
      <c r="V4772" s="9"/>
      <c r="W4772" s="9"/>
      <c r="X4772" s="9"/>
      <c r="Y4772" s="9"/>
      <c r="Z4772" s="9"/>
      <c r="AA4772" s="9"/>
    </row>
    <row r="4773" spans="1:27">
      <c r="A4773" s="8"/>
      <c r="B4773" s="8"/>
      <c r="C4773" s="9"/>
      <c r="D4773" s="9"/>
      <c r="E4773" s="9"/>
      <c r="F4773" s="9"/>
      <c r="G4773" s="9"/>
      <c r="H4773" s="9"/>
      <c r="I4773" s="9"/>
      <c r="J4773" s="9"/>
      <c r="K4773" s="9"/>
      <c r="L4773" s="9"/>
      <c r="M4773" s="9"/>
      <c r="N4773" s="9"/>
      <c r="O4773" s="9"/>
      <c r="P4773" s="9"/>
      <c r="Q4773" s="9"/>
      <c r="R4773" s="9"/>
      <c r="S4773" s="9"/>
      <c r="T4773" s="9"/>
      <c r="U4773" s="9"/>
      <c r="V4773" s="9"/>
      <c r="W4773" s="9"/>
      <c r="X4773" s="9"/>
      <c r="Y4773" s="9"/>
      <c r="Z4773" s="9"/>
      <c r="AA4773" s="9"/>
    </row>
    <row r="4774" spans="1:27">
      <c r="A4774" s="8"/>
      <c r="B4774" s="8"/>
      <c r="C4774" s="9"/>
      <c r="D4774" s="9"/>
      <c r="E4774" s="9"/>
      <c r="F4774" s="9"/>
      <c r="G4774" s="9"/>
      <c r="H4774" s="9"/>
      <c r="I4774" s="9"/>
      <c r="J4774" s="9"/>
      <c r="K4774" s="9"/>
      <c r="L4774" s="9"/>
      <c r="M4774" s="9"/>
      <c r="N4774" s="9"/>
      <c r="O4774" s="9"/>
      <c r="P4774" s="9"/>
      <c r="Q4774" s="9"/>
      <c r="R4774" s="9"/>
      <c r="S4774" s="9"/>
      <c r="T4774" s="9"/>
      <c r="U4774" s="9"/>
      <c r="V4774" s="9"/>
      <c r="W4774" s="9"/>
      <c r="X4774" s="9"/>
      <c r="Y4774" s="9"/>
      <c r="Z4774" s="9"/>
      <c r="AA4774" s="9"/>
    </row>
    <row r="4775" spans="1:27">
      <c r="A4775" s="8"/>
      <c r="B4775" s="8"/>
      <c r="C4775" s="9"/>
      <c r="D4775" s="9"/>
      <c r="E4775" s="9"/>
      <c r="F4775" s="9"/>
      <c r="G4775" s="9"/>
      <c r="H4775" s="9"/>
      <c r="I4775" s="9"/>
      <c r="J4775" s="9"/>
      <c r="K4775" s="9"/>
      <c r="L4775" s="9"/>
      <c r="M4775" s="9"/>
      <c r="N4775" s="9"/>
      <c r="O4775" s="9"/>
      <c r="P4775" s="9"/>
      <c r="Q4775" s="9"/>
      <c r="R4775" s="9"/>
      <c r="S4775" s="9"/>
      <c r="T4775" s="9"/>
      <c r="U4775" s="9"/>
      <c r="V4775" s="9"/>
      <c r="W4775" s="9"/>
      <c r="X4775" s="9"/>
      <c r="Y4775" s="9"/>
      <c r="Z4775" s="9"/>
      <c r="AA4775" s="9"/>
    </row>
    <row r="4776" spans="1:27">
      <c r="A4776" s="8"/>
      <c r="B4776" s="8"/>
      <c r="C4776" s="9"/>
      <c r="D4776" s="9"/>
      <c r="E4776" s="9"/>
      <c r="F4776" s="9"/>
      <c r="G4776" s="9"/>
      <c r="H4776" s="9"/>
      <c r="I4776" s="9"/>
      <c r="J4776" s="9"/>
      <c r="K4776" s="9"/>
      <c r="L4776" s="9"/>
      <c r="M4776" s="9"/>
      <c r="N4776" s="9"/>
      <c r="O4776" s="9"/>
      <c r="P4776" s="9"/>
      <c r="Q4776" s="9"/>
      <c r="R4776" s="9"/>
      <c r="S4776" s="9"/>
      <c r="T4776" s="9"/>
      <c r="U4776" s="9"/>
      <c r="V4776" s="9"/>
      <c r="W4776" s="9"/>
      <c r="X4776" s="9"/>
      <c r="Y4776" s="9"/>
      <c r="Z4776" s="9"/>
      <c r="AA4776" s="9"/>
    </row>
    <row r="4777" spans="1:27">
      <c r="A4777" s="8"/>
      <c r="B4777" s="8"/>
      <c r="C4777" s="9"/>
      <c r="D4777" s="9"/>
      <c r="E4777" s="9"/>
      <c r="F4777" s="9"/>
      <c r="G4777" s="9"/>
      <c r="H4777" s="9"/>
      <c r="I4777" s="9"/>
      <c r="J4777" s="9"/>
      <c r="K4777" s="9"/>
      <c r="L4777" s="9"/>
      <c r="M4777" s="9"/>
      <c r="N4777" s="9"/>
      <c r="O4777" s="9"/>
      <c r="P4777" s="9"/>
      <c r="Q4777" s="9"/>
      <c r="R4777" s="9"/>
      <c r="S4777" s="9"/>
      <c r="T4777" s="9"/>
      <c r="U4777" s="9"/>
      <c r="V4777" s="9"/>
      <c r="W4777" s="9"/>
      <c r="X4777" s="9"/>
      <c r="Y4777" s="9"/>
      <c r="Z4777" s="9"/>
      <c r="AA4777" s="9"/>
    </row>
    <row r="4778" spans="1:27">
      <c r="A4778" s="8"/>
      <c r="B4778" s="8"/>
      <c r="C4778" s="9"/>
      <c r="D4778" s="9"/>
      <c r="E4778" s="9"/>
      <c r="F4778" s="9"/>
      <c r="G4778" s="9"/>
      <c r="H4778" s="9"/>
      <c r="I4778" s="9"/>
      <c r="J4778" s="9"/>
      <c r="K4778" s="9"/>
      <c r="L4778" s="9"/>
      <c r="M4778" s="9"/>
      <c r="N4778" s="9"/>
      <c r="O4778" s="9"/>
      <c r="P4778" s="9"/>
      <c r="Q4778" s="9"/>
      <c r="R4778" s="9"/>
      <c r="S4778" s="9"/>
      <c r="T4778" s="9"/>
      <c r="U4778" s="9"/>
      <c r="V4778" s="9"/>
      <c r="W4778" s="9"/>
      <c r="X4778" s="9"/>
      <c r="Y4778" s="9"/>
      <c r="Z4778" s="9"/>
      <c r="AA4778" s="9"/>
    </row>
    <row r="4779" spans="1:27">
      <c r="A4779" s="8"/>
      <c r="B4779" s="8"/>
      <c r="C4779" s="9"/>
      <c r="D4779" s="9"/>
      <c r="E4779" s="9"/>
      <c r="F4779" s="9"/>
      <c r="G4779" s="9"/>
      <c r="H4779" s="9"/>
      <c r="I4779" s="9"/>
      <c r="J4779" s="9"/>
      <c r="K4779" s="9"/>
      <c r="L4779" s="9"/>
      <c r="M4779" s="9"/>
      <c r="N4779" s="9"/>
      <c r="O4779" s="9"/>
      <c r="P4779" s="9"/>
      <c r="Q4779" s="9"/>
      <c r="R4779" s="9"/>
      <c r="S4779" s="9"/>
      <c r="T4779" s="9"/>
      <c r="U4779" s="9"/>
      <c r="V4779" s="9"/>
      <c r="W4779" s="9"/>
      <c r="X4779" s="9"/>
      <c r="Y4779" s="9"/>
      <c r="Z4779" s="9"/>
      <c r="AA4779" s="9"/>
    </row>
    <row r="4780" spans="1:27">
      <c r="A4780" s="8"/>
      <c r="B4780" s="8"/>
      <c r="C4780" s="9"/>
      <c r="D4780" s="9"/>
      <c r="E4780" s="9"/>
      <c r="F4780" s="9"/>
      <c r="G4780" s="9"/>
      <c r="H4780" s="9"/>
      <c r="I4780" s="9"/>
      <c r="J4780" s="9"/>
      <c r="K4780" s="9"/>
      <c r="L4780" s="9"/>
      <c r="M4780" s="9"/>
      <c r="N4780" s="9"/>
      <c r="O4780" s="9"/>
      <c r="P4780" s="9"/>
      <c r="Q4780" s="9"/>
      <c r="R4780" s="9"/>
      <c r="S4780" s="9"/>
      <c r="T4780" s="9"/>
      <c r="U4780" s="9"/>
      <c r="V4780" s="9"/>
      <c r="W4780" s="9"/>
      <c r="X4780" s="9"/>
      <c r="Y4780" s="9"/>
      <c r="Z4780" s="9"/>
      <c r="AA4780" s="9"/>
    </row>
    <row r="4781" spans="1:27">
      <c r="A4781" s="8"/>
      <c r="B4781" s="8"/>
      <c r="C4781" s="9"/>
      <c r="D4781" s="9"/>
      <c r="E4781" s="9"/>
      <c r="F4781" s="9"/>
      <c r="G4781" s="9"/>
      <c r="H4781" s="9"/>
      <c r="I4781" s="9"/>
      <c r="J4781" s="9"/>
      <c r="K4781" s="9"/>
      <c r="L4781" s="9"/>
      <c r="M4781" s="9"/>
      <c r="N4781" s="9"/>
      <c r="O4781" s="9"/>
      <c r="P4781" s="9"/>
      <c r="Q4781" s="9"/>
      <c r="R4781" s="9"/>
      <c r="S4781" s="9"/>
      <c r="T4781" s="9"/>
      <c r="U4781" s="9"/>
      <c r="V4781" s="9"/>
      <c r="W4781" s="9"/>
      <c r="X4781" s="9"/>
      <c r="Y4781" s="9"/>
      <c r="Z4781" s="9"/>
      <c r="AA4781" s="9"/>
    </row>
    <row r="4782" spans="1:27">
      <c r="A4782" s="8"/>
      <c r="B4782" s="8"/>
      <c r="C4782" s="9"/>
      <c r="D4782" s="9"/>
      <c r="E4782" s="9"/>
      <c r="F4782" s="9"/>
      <c r="G4782" s="9"/>
      <c r="H4782" s="9"/>
      <c r="I4782" s="9"/>
      <c r="J4782" s="9"/>
      <c r="K4782" s="9"/>
      <c r="L4782" s="9"/>
      <c r="M4782" s="9"/>
      <c r="N4782" s="9"/>
      <c r="O4782" s="9"/>
      <c r="P4782" s="9"/>
      <c r="Q4782" s="9"/>
      <c r="R4782" s="9"/>
      <c r="S4782" s="9"/>
      <c r="T4782" s="9"/>
      <c r="U4782" s="9"/>
      <c r="V4782" s="9"/>
      <c r="W4782" s="9"/>
      <c r="X4782" s="9"/>
      <c r="Y4782" s="9"/>
      <c r="Z4782" s="9"/>
      <c r="AA4782" s="9"/>
    </row>
    <row r="4783" spans="1:27">
      <c r="A4783" s="8"/>
      <c r="B4783" s="8"/>
      <c r="C4783" s="9"/>
      <c r="D4783" s="9"/>
      <c r="E4783" s="9"/>
      <c r="F4783" s="9"/>
      <c r="G4783" s="9"/>
      <c r="H4783" s="9"/>
      <c r="I4783" s="9"/>
      <c r="J4783" s="9"/>
      <c r="K4783" s="9"/>
      <c r="L4783" s="9"/>
      <c r="M4783" s="9"/>
      <c r="N4783" s="9"/>
      <c r="O4783" s="9"/>
      <c r="P4783" s="9"/>
      <c r="Q4783" s="9"/>
      <c r="R4783" s="9"/>
      <c r="S4783" s="9"/>
      <c r="T4783" s="9"/>
      <c r="U4783" s="9"/>
      <c r="V4783" s="9"/>
      <c r="W4783" s="9"/>
      <c r="X4783" s="9"/>
      <c r="Y4783" s="9"/>
      <c r="Z4783" s="9"/>
      <c r="AA4783" s="9"/>
    </row>
    <row r="4784" spans="1:27">
      <c r="A4784" s="8"/>
      <c r="B4784" s="8"/>
      <c r="C4784" s="9"/>
      <c r="D4784" s="9"/>
      <c r="E4784" s="9"/>
      <c r="F4784" s="9"/>
      <c r="G4784" s="9"/>
      <c r="H4784" s="9"/>
      <c r="I4784" s="9"/>
      <c r="J4784" s="9"/>
      <c r="K4784" s="9"/>
      <c r="L4784" s="9"/>
      <c r="M4784" s="9"/>
      <c r="N4784" s="9"/>
      <c r="O4784" s="9"/>
      <c r="P4784" s="9"/>
      <c r="Q4784" s="9"/>
      <c r="R4784" s="9"/>
      <c r="S4784" s="9"/>
      <c r="T4784" s="9"/>
      <c r="U4784" s="9"/>
      <c r="V4784" s="9"/>
      <c r="W4784" s="9"/>
      <c r="X4784" s="9"/>
      <c r="Y4784" s="9"/>
      <c r="Z4784" s="9"/>
      <c r="AA4784" s="9"/>
    </row>
    <row r="4785" spans="1:27">
      <c r="A4785" s="8"/>
      <c r="B4785" s="8"/>
      <c r="C4785" s="9"/>
      <c r="D4785" s="9"/>
      <c r="E4785" s="9"/>
      <c r="F4785" s="9"/>
      <c r="G4785" s="9"/>
      <c r="H4785" s="9"/>
      <c r="I4785" s="9"/>
      <c r="J4785" s="9"/>
      <c r="K4785" s="9"/>
      <c r="L4785" s="9"/>
      <c r="M4785" s="9"/>
      <c r="N4785" s="9"/>
      <c r="O4785" s="9"/>
      <c r="P4785" s="9"/>
      <c r="Q4785" s="9"/>
      <c r="R4785" s="9"/>
      <c r="S4785" s="9"/>
      <c r="T4785" s="9"/>
      <c r="U4785" s="9"/>
      <c r="V4785" s="9"/>
      <c r="W4785" s="9"/>
      <c r="X4785" s="9"/>
      <c r="Y4785" s="9"/>
      <c r="Z4785" s="9"/>
      <c r="AA4785" s="9"/>
    </row>
    <row r="4786" spans="1:27">
      <c r="A4786" s="8"/>
      <c r="B4786" s="8"/>
      <c r="C4786" s="9"/>
      <c r="D4786" s="9"/>
      <c r="E4786" s="9"/>
      <c r="F4786" s="9"/>
      <c r="G4786" s="9"/>
      <c r="H4786" s="9"/>
      <c r="I4786" s="9"/>
      <c r="J4786" s="9"/>
      <c r="K4786" s="9"/>
      <c r="L4786" s="9"/>
      <c r="M4786" s="9"/>
      <c r="N4786" s="9"/>
      <c r="O4786" s="9"/>
      <c r="P4786" s="9"/>
      <c r="Q4786" s="9"/>
      <c r="R4786" s="9"/>
      <c r="S4786" s="9"/>
      <c r="T4786" s="9"/>
      <c r="U4786" s="9"/>
      <c r="V4786" s="9"/>
      <c r="W4786" s="9"/>
      <c r="X4786" s="9"/>
      <c r="Y4786" s="9"/>
      <c r="Z4786" s="9"/>
      <c r="AA4786" s="9"/>
    </row>
    <row r="4787" spans="1:27">
      <c r="A4787" s="8"/>
      <c r="B4787" s="8"/>
      <c r="C4787" s="9"/>
      <c r="D4787" s="9"/>
      <c r="E4787" s="9"/>
      <c r="F4787" s="9"/>
      <c r="G4787" s="9"/>
      <c r="H4787" s="9"/>
      <c r="I4787" s="9"/>
      <c r="J4787" s="9"/>
      <c r="K4787" s="9"/>
      <c r="L4787" s="9"/>
      <c r="M4787" s="9"/>
      <c r="N4787" s="9"/>
      <c r="O4787" s="9"/>
      <c r="P4787" s="9"/>
      <c r="Q4787" s="9"/>
      <c r="R4787" s="9"/>
      <c r="S4787" s="9"/>
      <c r="T4787" s="9"/>
      <c r="U4787" s="9"/>
      <c r="V4787" s="9"/>
      <c r="W4787" s="9"/>
      <c r="X4787" s="9"/>
      <c r="Y4787" s="9"/>
      <c r="Z4787" s="9"/>
      <c r="AA4787" s="9"/>
    </row>
    <row r="4788" spans="1:27">
      <c r="A4788" s="8"/>
      <c r="B4788" s="8"/>
      <c r="C4788" s="9"/>
      <c r="D4788" s="9"/>
      <c r="E4788" s="9"/>
      <c r="F4788" s="9"/>
      <c r="G4788" s="9"/>
      <c r="H4788" s="9"/>
      <c r="I4788" s="9"/>
      <c r="J4788" s="9"/>
      <c r="K4788" s="9"/>
      <c r="L4788" s="9"/>
      <c r="M4788" s="9"/>
      <c r="N4788" s="9"/>
      <c r="O4788" s="9"/>
      <c r="P4788" s="9"/>
      <c r="Q4788" s="9"/>
      <c r="R4788" s="9"/>
      <c r="S4788" s="9"/>
      <c r="T4788" s="9"/>
      <c r="U4788" s="9"/>
      <c r="V4788" s="9"/>
      <c r="W4788" s="9"/>
      <c r="X4788" s="9"/>
      <c r="Y4788" s="9"/>
      <c r="Z4788" s="9"/>
      <c r="AA4788" s="9"/>
    </row>
    <row r="4789" spans="1:27">
      <c r="A4789" s="8"/>
      <c r="B4789" s="8"/>
      <c r="C4789" s="9"/>
      <c r="D4789" s="9"/>
      <c r="E4789" s="9"/>
      <c r="F4789" s="9"/>
      <c r="G4789" s="9"/>
      <c r="H4789" s="9"/>
      <c r="I4789" s="9"/>
      <c r="J4789" s="9"/>
      <c r="K4789" s="9"/>
      <c r="L4789" s="9"/>
      <c r="M4789" s="9"/>
      <c r="N4789" s="9"/>
      <c r="O4789" s="9"/>
      <c r="P4789" s="9"/>
      <c r="Q4789" s="9"/>
      <c r="R4789" s="9"/>
      <c r="S4789" s="9"/>
      <c r="T4789" s="9"/>
      <c r="U4789" s="9"/>
      <c r="V4789" s="9"/>
      <c r="W4789" s="9"/>
      <c r="X4789" s="9"/>
      <c r="Y4789" s="9"/>
      <c r="Z4789" s="9"/>
      <c r="AA4789" s="9"/>
    </row>
    <row r="4790" spans="1:27">
      <c r="A4790" s="8"/>
      <c r="B4790" s="8"/>
      <c r="C4790" s="9"/>
      <c r="D4790" s="9"/>
      <c r="E4790" s="9"/>
      <c r="F4790" s="9"/>
      <c r="G4790" s="9"/>
      <c r="H4790" s="9"/>
      <c r="I4790" s="9"/>
      <c r="J4790" s="9"/>
      <c r="K4790" s="9"/>
      <c r="L4790" s="9"/>
      <c r="M4790" s="9"/>
      <c r="N4790" s="9"/>
      <c r="O4790" s="9"/>
      <c r="P4790" s="9"/>
      <c r="Q4790" s="9"/>
      <c r="R4790" s="9"/>
      <c r="S4790" s="9"/>
      <c r="T4790" s="9"/>
      <c r="U4790" s="9"/>
      <c r="V4790" s="9"/>
      <c r="W4790" s="9"/>
      <c r="X4790" s="9"/>
      <c r="Y4790" s="9"/>
      <c r="Z4790" s="9"/>
      <c r="AA4790" s="9"/>
    </row>
    <row r="4791" spans="1:27">
      <c r="A4791" s="8"/>
      <c r="B4791" s="8"/>
      <c r="C4791" s="9"/>
      <c r="D4791" s="9"/>
      <c r="E4791" s="9"/>
      <c r="F4791" s="9"/>
      <c r="G4791" s="9"/>
      <c r="H4791" s="9"/>
      <c r="I4791" s="9"/>
      <c r="J4791" s="9"/>
      <c r="K4791" s="9"/>
      <c r="L4791" s="9"/>
      <c r="M4791" s="9"/>
      <c r="N4791" s="9"/>
      <c r="O4791" s="9"/>
      <c r="P4791" s="9"/>
      <c r="Q4791" s="9"/>
      <c r="R4791" s="9"/>
      <c r="S4791" s="9"/>
      <c r="T4791" s="9"/>
      <c r="U4791" s="9"/>
      <c r="V4791" s="9"/>
      <c r="W4791" s="9"/>
      <c r="X4791" s="9"/>
      <c r="Y4791" s="9"/>
      <c r="Z4791" s="9"/>
      <c r="AA4791" s="9"/>
    </row>
    <row r="4792" spans="1:27">
      <c r="A4792" s="8"/>
      <c r="B4792" s="8"/>
      <c r="C4792" s="9"/>
      <c r="D4792" s="9"/>
      <c r="E4792" s="9"/>
      <c r="F4792" s="9"/>
      <c r="G4792" s="9"/>
      <c r="H4792" s="9"/>
      <c r="I4792" s="9"/>
      <c r="J4792" s="9"/>
      <c r="K4792" s="9"/>
      <c r="L4792" s="9"/>
      <c r="M4792" s="9"/>
      <c r="N4792" s="9"/>
      <c r="O4792" s="9"/>
      <c r="P4792" s="9"/>
      <c r="Q4792" s="9"/>
      <c r="R4792" s="9"/>
      <c r="S4792" s="9"/>
      <c r="T4792" s="9"/>
      <c r="U4792" s="9"/>
      <c r="V4792" s="9"/>
      <c r="W4792" s="9"/>
      <c r="X4792" s="9"/>
      <c r="Y4792" s="9"/>
      <c r="Z4792" s="9"/>
      <c r="AA4792" s="9"/>
    </row>
    <row r="4793" spans="1:27">
      <c r="A4793" s="8"/>
      <c r="B4793" s="8"/>
      <c r="C4793" s="9"/>
      <c r="D4793" s="9"/>
      <c r="E4793" s="9"/>
      <c r="F4793" s="9"/>
      <c r="G4793" s="9"/>
      <c r="H4793" s="9"/>
      <c r="I4793" s="9"/>
      <c r="J4793" s="9"/>
      <c r="K4793" s="9"/>
      <c r="L4793" s="9"/>
      <c r="M4793" s="9"/>
      <c r="N4793" s="9"/>
      <c r="O4793" s="9"/>
      <c r="P4793" s="9"/>
      <c r="Q4793" s="9"/>
      <c r="R4793" s="9"/>
      <c r="S4793" s="9"/>
      <c r="T4793" s="9"/>
      <c r="U4793" s="9"/>
      <c r="V4793" s="9"/>
      <c r="W4793" s="9"/>
      <c r="X4793" s="9"/>
      <c r="Y4793" s="9"/>
      <c r="Z4793" s="9"/>
      <c r="AA4793" s="9"/>
    </row>
    <row r="4794" spans="1:27">
      <c r="A4794" s="8"/>
      <c r="B4794" s="8"/>
      <c r="C4794" s="9"/>
      <c r="D4794" s="9"/>
      <c r="E4794" s="9"/>
      <c r="F4794" s="9"/>
      <c r="G4794" s="9"/>
      <c r="H4794" s="9"/>
      <c r="I4794" s="9"/>
      <c r="J4794" s="9"/>
      <c r="K4794" s="9"/>
      <c r="L4794" s="9"/>
      <c r="M4794" s="9"/>
      <c r="N4794" s="9"/>
      <c r="O4794" s="9"/>
      <c r="P4794" s="9"/>
      <c r="Q4794" s="9"/>
      <c r="R4794" s="9"/>
      <c r="S4794" s="9"/>
      <c r="T4794" s="9"/>
      <c r="U4794" s="9"/>
      <c r="V4794" s="9"/>
      <c r="W4794" s="9"/>
      <c r="X4794" s="9"/>
      <c r="Y4794" s="9"/>
      <c r="Z4794" s="9"/>
      <c r="AA4794" s="9"/>
    </row>
    <row r="4795" spans="1:27">
      <c r="A4795" s="8"/>
      <c r="B4795" s="8"/>
      <c r="C4795" s="9"/>
      <c r="D4795" s="9"/>
      <c r="E4795" s="9"/>
      <c r="F4795" s="9"/>
      <c r="G4795" s="9"/>
      <c r="H4795" s="9"/>
      <c r="I4795" s="9"/>
      <c r="J4795" s="9"/>
      <c r="K4795" s="9"/>
      <c r="L4795" s="9"/>
      <c r="M4795" s="9"/>
      <c r="N4795" s="9"/>
      <c r="O4795" s="9"/>
      <c r="P4795" s="9"/>
      <c r="Q4795" s="9"/>
      <c r="R4795" s="9"/>
      <c r="S4795" s="9"/>
      <c r="T4795" s="9"/>
      <c r="U4795" s="9"/>
      <c r="V4795" s="9"/>
      <c r="W4795" s="9"/>
      <c r="X4795" s="9"/>
      <c r="Y4795" s="9"/>
      <c r="Z4795" s="9"/>
      <c r="AA4795" s="9"/>
    </row>
    <row r="4796" spans="1:27">
      <c r="A4796" s="8"/>
      <c r="B4796" s="8"/>
      <c r="C4796" s="9"/>
      <c r="D4796" s="9"/>
      <c r="E4796" s="9"/>
      <c r="F4796" s="9"/>
      <c r="G4796" s="9"/>
      <c r="H4796" s="9"/>
      <c r="I4796" s="9"/>
      <c r="J4796" s="9"/>
      <c r="K4796" s="9"/>
      <c r="L4796" s="9"/>
      <c r="M4796" s="9"/>
      <c r="N4796" s="9"/>
      <c r="O4796" s="9"/>
      <c r="P4796" s="9"/>
      <c r="Q4796" s="9"/>
      <c r="R4796" s="9"/>
      <c r="S4796" s="9"/>
      <c r="T4796" s="9"/>
      <c r="U4796" s="9"/>
      <c r="V4796" s="9"/>
      <c r="W4796" s="9"/>
      <c r="X4796" s="9"/>
      <c r="Y4796" s="9"/>
      <c r="Z4796" s="9"/>
      <c r="AA4796" s="9"/>
    </row>
    <row r="4797" spans="1:27">
      <c r="A4797" s="8"/>
      <c r="B4797" s="8"/>
      <c r="C4797" s="9"/>
      <c r="D4797" s="9"/>
      <c r="E4797" s="9"/>
      <c r="F4797" s="9"/>
      <c r="G4797" s="9"/>
      <c r="H4797" s="9"/>
      <c r="I4797" s="9"/>
      <c r="J4797" s="9"/>
      <c r="K4797" s="9"/>
      <c r="L4797" s="9"/>
      <c r="M4797" s="9"/>
      <c r="N4797" s="9"/>
      <c r="O4797" s="9"/>
      <c r="P4797" s="9"/>
      <c r="Q4797" s="9"/>
      <c r="R4797" s="9"/>
      <c r="S4797" s="9"/>
      <c r="T4797" s="9"/>
      <c r="U4797" s="9"/>
      <c r="V4797" s="9"/>
      <c r="W4797" s="9"/>
      <c r="X4797" s="9"/>
      <c r="Y4797" s="9"/>
      <c r="Z4797" s="9"/>
      <c r="AA4797" s="9"/>
    </row>
    <row r="4798" spans="1:27">
      <c r="A4798" s="8"/>
      <c r="B4798" s="8"/>
      <c r="C4798" s="9"/>
      <c r="D4798" s="9"/>
      <c r="E4798" s="9"/>
      <c r="F4798" s="9"/>
      <c r="G4798" s="9"/>
      <c r="H4798" s="9"/>
      <c r="I4798" s="9"/>
      <c r="J4798" s="9"/>
      <c r="K4798" s="9"/>
      <c r="L4798" s="9"/>
      <c r="M4798" s="9"/>
      <c r="N4798" s="9"/>
      <c r="O4798" s="9"/>
      <c r="P4798" s="9"/>
      <c r="Q4798" s="9"/>
      <c r="R4798" s="9"/>
      <c r="S4798" s="9"/>
      <c r="T4798" s="9"/>
      <c r="U4798" s="9"/>
      <c r="V4798" s="9"/>
      <c r="W4798" s="9"/>
      <c r="X4798" s="9"/>
      <c r="Y4798" s="9"/>
      <c r="Z4798" s="9"/>
      <c r="AA4798" s="9"/>
    </row>
    <row r="4799" spans="1:27">
      <c r="A4799" s="8"/>
      <c r="B4799" s="8"/>
      <c r="C4799" s="9"/>
      <c r="D4799" s="9"/>
      <c r="E4799" s="9"/>
      <c r="F4799" s="9"/>
      <c r="G4799" s="9"/>
      <c r="H4799" s="9"/>
      <c r="I4799" s="9"/>
      <c r="J4799" s="9"/>
      <c r="K4799" s="9"/>
      <c r="L4799" s="9"/>
      <c r="M4799" s="9"/>
      <c r="N4799" s="9"/>
      <c r="O4799" s="9"/>
      <c r="P4799" s="9"/>
      <c r="Q4799" s="9"/>
      <c r="R4799" s="9"/>
      <c r="S4799" s="9"/>
      <c r="T4799" s="9"/>
      <c r="U4799" s="9"/>
      <c r="V4799" s="9"/>
      <c r="W4799" s="9"/>
      <c r="X4799" s="9"/>
      <c r="Y4799" s="9"/>
      <c r="Z4799" s="9"/>
      <c r="AA4799" s="9"/>
    </row>
    <row r="4800" spans="1:27">
      <c r="A4800" s="8"/>
      <c r="B4800" s="8"/>
      <c r="C4800" s="9"/>
      <c r="D4800" s="9"/>
      <c r="E4800" s="9"/>
      <c r="F4800" s="9"/>
      <c r="G4800" s="9"/>
      <c r="H4800" s="9"/>
      <c r="I4800" s="9"/>
      <c r="J4800" s="9"/>
      <c r="K4800" s="9"/>
      <c r="L4800" s="9"/>
      <c r="M4800" s="9"/>
      <c r="N4800" s="9"/>
      <c r="O4800" s="9"/>
      <c r="P4800" s="9"/>
      <c r="Q4800" s="9"/>
      <c r="R4800" s="9"/>
      <c r="S4800" s="9"/>
      <c r="T4800" s="9"/>
      <c r="U4800" s="9"/>
      <c r="V4800" s="9"/>
      <c r="W4800" s="9"/>
      <c r="X4800" s="9"/>
      <c r="Y4800" s="9"/>
      <c r="Z4800" s="9"/>
      <c r="AA4800" s="9"/>
    </row>
    <row r="4801" spans="1:27">
      <c r="A4801" s="8"/>
      <c r="B4801" s="8"/>
      <c r="C4801" s="9"/>
      <c r="D4801" s="9"/>
      <c r="E4801" s="9"/>
      <c r="F4801" s="9"/>
      <c r="G4801" s="9"/>
      <c r="H4801" s="9"/>
      <c r="I4801" s="9"/>
      <c r="J4801" s="9"/>
      <c r="K4801" s="9"/>
      <c r="L4801" s="9"/>
      <c r="M4801" s="9"/>
      <c r="N4801" s="9"/>
      <c r="O4801" s="9"/>
      <c r="P4801" s="9"/>
      <c r="Q4801" s="9"/>
      <c r="R4801" s="9"/>
      <c r="S4801" s="9"/>
      <c r="T4801" s="9"/>
      <c r="U4801" s="9"/>
      <c r="V4801" s="9"/>
      <c r="W4801" s="9"/>
      <c r="X4801" s="9"/>
      <c r="Y4801" s="9"/>
      <c r="Z4801" s="9"/>
      <c r="AA4801" s="9"/>
    </row>
    <row r="4802" spans="1:27">
      <c r="A4802" s="8"/>
      <c r="B4802" s="8"/>
      <c r="C4802" s="9"/>
      <c r="D4802" s="9"/>
      <c r="E4802" s="9"/>
      <c r="F4802" s="9"/>
      <c r="G4802" s="9"/>
      <c r="H4802" s="9"/>
      <c r="I4802" s="9"/>
      <c r="J4802" s="9"/>
      <c r="K4802" s="9"/>
      <c r="L4802" s="9"/>
      <c r="M4802" s="9"/>
      <c r="N4802" s="9"/>
      <c r="O4802" s="9"/>
      <c r="P4802" s="9"/>
      <c r="Q4802" s="9"/>
      <c r="R4802" s="9"/>
      <c r="S4802" s="9"/>
      <c r="T4802" s="9"/>
      <c r="U4802" s="9"/>
      <c r="V4802" s="9"/>
      <c r="W4802" s="9"/>
      <c r="X4802" s="9"/>
      <c r="Y4802" s="9"/>
      <c r="Z4802" s="9"/>
      <c r="AA4802" s="9"/>
    </row>
    <row r="4803" spans="1:27">
      <c r="A4803" s="8"/>
      <c r="B4803" s="8"/>
      <c r="C4803" s="9"/>
      <c r="D4803" s="9"/>
      <c r="E4803" s="9"/>
      <c r="F4803" s="9"/>
      <c r="G4803" s="9"/>
      <c r="H4803" s="9"/>
      <c r="I4803" s="9"/>
      <c r="J4803" s="9"/>
      <c r="K4803" s="9"/>
      <c r="L4803" s="9"/>
      <c r="M4803" s="9"/>
      <c r="N4803" s="9"/>
      <c r="O4803" s="9"/>
      <c r="P4803" s="9"/>
      <c r="Q4803" s="9"/>
      <c r="R4803" s="9"/>
      <c r="S4803" s="9"/>
      <c r="T4803" s="9"/>
      <c r="U4803" s="9"/>
      <c r="V4803" s="9"/>
      <c r="W4803" s="9"/>
      <c r="X4803" s="9"/>
      <c r="Y4803" s="9"/>
      <c r="Z4803" s="9"/>
      <c r="AA4803" s="9"/>
    </row>
    <row r="4804" spans="1:27">
      <c r="A4804" s="8"/>
      <c r="B4804" s="8"/>
      <c r="C4804" s="9"/>
      <c r="D4804" s="9"/>
      <c r="E4804" s="9"/>
      <c r="F4804" s="9"/>
      <c r="G4804" s="9"/>
      <c r="H4804" s="9"/>
      <c r="I4804" s="9"/>
      <c r="J4804" s="9"/>
      <c r="K4804" s="9"/>
      <c r="L4804" s="9"/>
      <c r="M4804" s="9"/>
      <c r="N4804" s="9"/>
      <c r="O4804" s="9"/>
      <c r="P4804" s="9"/>
      <c r="Q4804" s="9"/>
      <c r="R4804" s="9"/>
      <c r="S4804" s="9"/>
      <c r="T4804" s="9"/>
      <c r="U4804" s="9"/>
      <c r="V4804" s="9"/>
      <c r="W4804" s="9"/>
      <c r="X4804" s="9"/>
      <c r="Y4804" s="9"/>
      <c r="Z4804" s="9"/>
      <c r="AA4804" s="9"/>
    </row>
    <row r="4805" spans="1:27">
      <c r="A4805" s="8"/>
      <c r="B4805" s="8"/>
      <c r="C4805" s="9"/>
      <c r="D4805" s="9"/>
      <c r="E4805" s="9"/>
      <c r="F4805" s="9"/>
      <c r="G4805" s="9"/>
      <c r="H4805" s="9"/>
      <c r="I4805" s="9"/>
      <c r="J4805" s="9"/>
      <c r="K4805" s="9"/>
      <c r="L4805" s="9"/>
      <c r="M4805" s="9"/>
      <c r="N4805" s="9"/>
      <c r="O4805" s="9"/>
      <c r="P4805" s="9"/>
      <c r="Q4805" s="9"/>
      <c r="R4805" s="9"/>
      <c r="S4805" s="9"/>
      <c r="T4805" s="9"/>
      <c r="U4805" s="9"/>
      <c r="V4805" s="9"/>
      <c r="W4805" s="9"/>
      <c r="X4805" s="9"/>
      <c r="Y4805" s="9"/>
      <c r="Z4805" s="9"/>
      <c r="AA4805" s="9"/>
    </row>
    <row r="4806" spans="1:27">
      <c r="A4806" s="8"/>
      <c r="B4806" s="8"/>
      <c r="C4806" s="9"/>
      <c r="D4806" s="9"/>
      <c r="E4806" s="9"/>
      <c r="F4806" s="9"/>
      <c r="G4806" s="9"/>
      <c r="H4806" s="9"/>
      <c r="I4806" s="9"/>
      <c r="J4806" s="9"/>
      <c r="K4806" s="9"/>
      <c r="L4806" s="9"/>
      <c r="M4806" s="9"/>
      <c r="N4806" s="9"/>
      <c r="O4806" s="9"/>
      <c r="P4806" s="9"/>
      <c r="Q4806" s="9"/>
      <c r="R4806" s="9"/>
      <c r="S4806" s="9"/>
      <c r="T4806" s="9"/>
      <c r="U4806" s="9"/>
      <c r="V4806" s="9"/>
      <c r="W4806" s="9"/>
      <c r="X4806" s="9"/>
      <c r="Y4806" s="9"/>
      <c r="Z4806" s="9"/>
      <c r="AA4806" s="9"/>
    </row>
    <row r="4807" spans="1:27">
      <c r="A4807" s="8"/>
      <c r="B4807" s="8"/>
      <c r="C4807" s="9"/>
      <c r="D4807" s="9"/>
      <c r="E4807" s="9"/>
      <c r="F4807" s="9"/>
      <c r="G4807" s="9"/>
      <c r="H4807" s="9"/>
      <c r="I4807" s="9"/>
      <c r="J4807" s="9"/>
      <c r="K4807" s="9"/>
      <c r="L4807" s="9"/>
      <c r="M4807" s="9"/>
      <c r="N4807" s="9"/>
      <c r="O4807" s="9"/>
      <c r="P4807" s="9"/>
      <c r="Q4807" s="9"/>
      <c r="R4807" s="9"/>
      <c r="S4807" s="9"/>
      <c r="T4807" s="9"/>
      <c r="U4807" s="9"/>
      <c r="V4807" s="9"/>
      <c r="W4807" s="9"/>
      <c r="X4807" s="9"/>
      <c r="Y4807" s="9"/>
      <c r="Z4807" s="9"/>
      <c r="AA4807" s="9"/>
    </row>
    <row r="4808" spans="1:27">
      <c r="A4808" s="8"/>
      <c r="B4808" s="8"/>
      <c r="C4808" s="9"/>
      <c r="D4808" s="9"/>
      <c r="E4808" s="9"/>
      <c r="F4808" s="9"/>
      <c r="G4808" s="9"/>
      <c r="H4808" s="9"/>
      <c r="I4808" s="9"/>
      <c r="J4808" s="9"/>
      <c r="K4808" s="9"/>
      <c r="L4808" s="9"/>
      <c r="M4808" s="9"/>
      <c r="N4808" s="9"/>
      <c r="O4808" s="9"/>
      <c r="P4808" s="9"/>
      <c r="Q4808" s="9"/>
      <c r="R4808" s="9"/>
      <c r="S4808" s="9"/>
      <c r="T4808" s="9"/>
      <c r="U4808" s="9"/>
      <c r="V4808" s="9"/>
      <c r="W4808" s="9"/>
      <c r="X4808" s="9"/>
      <c r="Y4808" s="9"/>
      <c r="Z4808" s="9"/>
      <c r="AA4808" s="9"/>
    </row>
    <row r="4809" spans="1:27">
      <c r="A4809" s="8"/>
      <c r="B4809" s="8"/>
      <c r="C4809" s="9"/>
      <c r="D4809" s="9"/>
      <c r="E4809" s="9"/>
      <c r="F4809" s="9"/>
      <c r="G4809" s="9"/>
      <c r="H4809" s="9"/>
      <c r="I4809" s="9"/>
      <c r="J4809" s="9"/>
      <c r="K4809" s="9"/>
      <c r="L4809" s="9"/>
      <c r="M4809" s="9"/>
      <c r="N4809" s="9"/>
      <c r="O4809" s="9"/>
      <c r="P4809" s="9"/>
      <c r="Q4809" s="9"/>
      <c r="R4809" s="9"/>
      <c r="S4809" s="9"/>
      <c r="T4809" s="9"/>
      <c r="U4809" s="9"/>
      <c r="V4809" s="9"/>
      <c r="W4809" s="9"/>
      <c r="X4809" s="9"/>
      <c r="Y4809" s="9"/>
      <c r="Z4809" s="9"/>
      <c r="AA4809" s="9"/>
    </row>
    <row r="4810" spans="1:27">
      <c r="A4810" s="8"/>
      <c r="B4810" s="8"/>
      <c r="C4810" s="9"/>
      <c r="D4810" s="9"/>
      <c r="E4810" s="9"/>
      <c r="F4810" s="9"/>
      <c r="G4810" s="9"/>
      <c r="H4810" s="9"/>
      <c r="I4810" s="9"/>
      <c r="J4810" s="9"/>
      <c r="K4810" s="9"/>
      <c r="L4810" s="9"/>
      <c r="M4810" s="9"/>
      <c r="N4810" s="9"/>
      <c r="O4810" s="9"/>
      <c r="P4810" s="9"/>
      <c r="Q4810" s="9"/>
      <c r="R4810" s="9"/>
      <c r="S4810" s="9"/>
      <c r="T4810" s="9"/>
      <c r="U4810" s="9"/>
      <c r="V4810" s="9"/>
      <c r="W4810" s="9"/>
      <c r="X4810" s="9"/>
      <c r="Y4810" s="9"/>
      <c r="Z4810" s="9"/>
      <c r="AA4810" s="9"/>
    </row>
    <row r="4811" spans="1:27">
      <c r="A4811" s="8"/>
      <c r="B4811" s="8"/>
      <c r="C4811" s="9"/>
      <c r="D4811" s="9"/>
      <c r="E4811" s="9"/>
      <c r="F4811" s="9"/>
      <c r="G4811" s="9"/>
      <c r="H4811" s="9"/>
      <c r="I4811" s="9"/>
      <c r="J4811" s="9"/>
      <c r="K4811" s="9"/>
      <c r="L4811" s="9"/>
      <c r="M4811" s="9"/>
      <c r="N4811" s="9"/>
      <c r="O4811" s="9"/>
      <c r="P4811" s="9"/>
      <c r="Q4811" s="9"/>
      <c r="R4811" s="9"/>
      <c r="S4811" s="9"/>
      <c r="T4811" s="9"/>
      <c r="U4811" s="9"/>
      <c r="V4811" s="9"/>
      <c r="W4811" s="9"/>
      <c r="X4811" s="9"/>
      <c r="Y4811" s="9"/>
      <c r="Z4811" s="9"/>
      <c r="AA4811" s="9"/>
    </row>
    <row r="4812" spans="1:27">
      <c r="A4812" s="8"/>
      <c r="B4812" s="8"/>
      <c r="C4812" s="9"/>
      <c r="D4812" s="9"/>
      <c r="E4812" s="9"/>
      <c r="F4812" s="9"/>
      <c r="G4812" s="9"/>
      <c r="H4812" s="9"/>
      <c r="I4812" s="9"/>
      <c r="J4812" s="9"/>
      <c r="K4812" s="9"/>
      <c r="L4812" s="9"/>
      <c r="M4812" s="9"/>
      <c r="N4812" s="9"/>
      <c r="O4812" s="9"/>
      <c r="P4812" s="9"/>
      <c r="Q4812" s="9"/>
      <c r="R4812" s="9"/>
      <c r="S4812" s="9"/>
      <c r="T4812" s="9"/>
      <c r="U4812" s="9"/>
      <c r="V4812" s="9"/>
      <c r="W4812" s="9"/>
      <c r="X4812" s="9"/>
      <c r="Y4812" s="9"/>
      <c r="Z4812" s="9"/>
      <c r="AA4812" s="9"/>
    </row>
    <row r="4813" spans="1:27">
      <c r="A4813" s="8"/>
      <c r="B4813" s="8"/>
      <c r="C4813" s="9"/>
      <c r="D4813" s="9"/>
      <c r="E4813" s="9"/>
      <c r="F4813" s="9"/>
      <c r="G4813" s="9"/>
      <c r="H4813" s="9"/>
      <c r="I4813" s="9"/>
      <c r="J4813" s="9"/>
      <c r="K4813" s="9"/>
      <c r="L4813" s="9"/>
      <c r="M4813" s="9"/>
      <c r="N4813" s="9"/>
      <c r="O4813" s="9"/>
      <c r="P4813" s="9"/>
      <c r="Q4813" s="9"/>
      <c r="R4813" s="9"/>
      <c r="S4813" s="9"/>
      <c r="T4813" s="9"/>
      <c r="U4813" s="9"/>
      <c r="V4813" s="9"/>
      <c r="W4813" s="9"/>
      <c r="X4813" s="9"/>
      <c r="Y4813" s="9"/>
      <c r="Z4813" s="9"/>
      <c r="AA4813" s="9"/>
    </row>
    <row r="4814" spans="1:27">
      <c r="A4814" s="8"/>
      <c r="B4814" s="8"/>
      <c r="C4814" s="9"/>
      <c r="D4814" s="9"/>
      <c r="E4814" s="9"/>
      <c r="F4814" s="9"/>
      <c r="G4814" s="9"/>
      <c r="H4814" s="9"/>
      <c r="I4814" s="9"/>
      <c r="J4814" s="9"/>
      <c r="K4814" s="9"/>
      <c r="L4814" s="9"/>
      <c r="M4814" s="9"/>
      <c r="N4814" s="9"/>
      <c r="O4814" s="9"/>
      <c r="P4814" s="9"/>
      <c r="Q4814" s="9"/>
      <c r="R4814" s="9"/>
      <c r="S4814" s="9"/>
      <c r="T4814" s="9"/>
      <c r="U4814" s="9"/>
      <c r="V4814" s="9"/>
      <c r="W4814" s="9"/>
      <c r="X4814" s="9"/>
      <c r="Y4814" s="9"/>
      <c r="Z4814" s="9"/>
      <c r="AA4814" s="9"/>
    </row>
    <row r="4815" spans="1:27">
      <c r="A4815" s="8"/>
      <c r="B4815" s="8"/>
      <c r="C4815" s="9"/>
      <c r="D4815" s="9"/>
      <c r="E4815" s="9"/>
      <c r="F4815" s="9"/>
      <c r="G4815" s="9"/>
      <c r="H4815" s="9"/>
      <c r="I4815" s="9"/>
      <c r="J4815" s="9"/>
      <c r="K4815" s="9"/>
      <c r="L4815" s="9"/>
      <c r="M4815" s="9"/>
      <c r="N4815" s="9"/>
      <c r="O4815" s="9"/>
      <c r="P4815" s="9"/>
      <c r="Q4815" s="9"/>
      <c r="R4815" s="9"/>
      <c r="S4815" s="9"/>
      <c r="T4815" s="9"/>
      <c r="U4815" s="9"/>
      <c r="V4815" s="9"/>
      <c r="W4815" s="9"/>
      <c r="X4815" s="9"/>
      <c r="Y4815" s="9"/>
      <c r="Z4815" s="9"/>
      <c r="AA4815" s="9"/>
    </row>
    <row r="4816" spans="1:27">
      <c r="A4816" s="8"/>
      <c r="B4816" s="8"/>
      <c r="C4816" s="9"/>
      <c r="D4816" s="9"/>
      <c r="E4816" s="9"/>
      <c r="F4816" s="9"/>
      <c r="G4816" s="9"/>
      <c r="H4816" s="9"/>
      <c r="I4816" s="9"/>
      <c r="J4816" s="9"/>
      <c r="K4816" s="9"/>
      <c r="L4816" s="9"/>
      <c r="M4816" s="9"/>
      <c r="N4816" s="9"/>
      <c r="O4816" s="9"/>
      <c r="P4816" s="9"/>
      <c r="Q4816" s="9"/>
      <c r="R4816" s="9"/>
      <c r="S4816" s="9"/>
      <c r="T4816" s="9"/>
      <c r="U4816" s="9"/>
      <c r="V4816" s="9"/>
      <c r="W4816" s="9"/>
      <c r="X4816" s="9"/>
      <c r="Y4816" s="9"/>
      <c r="Z4816" s="9"/>
      <c r="AA4816" s="9"/>
    </row>
    <row r="4817" spans="1:27">
      <c r="A4817" s="8"/>
      <c r="B4817" s="8"/>
      <c r="C4817" s="9"/>
      <c r="D4817" s="9"/>
      <c r="E4817" s="9"/>
      <c r="F4817" s="9"/>
      <c r="G4817" s="9"/>
      <c r="H4817" s="9"/>
      <c r="I4817" s="9"/>
      <c r="J4817" s="9"/>
      <c r="K4817" s="9"/>
      <c r="L4817" s="9"/>
      <c r="M4817" s="9"/>
      <c r="N4817" s="9"/>
      <c r="O4817" s="9"/>
      <c r="P4817" s="9"/>
      <c r="Q4817" s="9"/>
      <c r="R4817" s="9"/>
      <c r="S4817" s="9"/>
      <c r="T4817" s="9"/>
      <c r="U4817" s="9"/>
      <c r="V4817" s="9"/>
      <c r="W4817" s="9"/>
      <c r="X4817" s="9"/>
      <c r="Y4817" s="9"/>
      <c r="Z4817" s="9"/>
      <c r="AA4817" s="9"/>
    </row>
    <row r="4818" spans="1:27">
      <c r="A4818" s="8"/>
      <c r="B4818" s="8"/>
      <c r="C4818" s="9"/>
      <c r="D4818" s="9"/>
      <c r="E4818" s="9"/>
      <c r="F4818" s="9"/>
      <c r="G4818" s="9"/>
      <c r="H4818" s="9"/>
      <c r="I4818" s="9"/>
      <c r="J4818" s="9"/>
      <c r="K4818" s="9"/>
      <c r="L4818" s="9"/>
      <c r="M4818" s="9"/>
      <c r="N4818" s="9"/>
      <c r="O4818" s="9"/>
      <c r="P4818" s="9"/>
      <c r="Q4818" s="9"/>
      <c r="R4818" s="9"/>
      <c r="S4818" s="9"/>
      <c r="T4818" s="9"/>
      <c r="U4818" s="9"/>
      <c r="V4818" s="9"/>
      <c r="W4818" s="9"/>
      <c r="X4818" s="9"/>
      <c r="Y4818" s="9"/>
      <c r="Z4818" s="9"/>
      <c r="AA4818" s="9"/>
    </row>
    <row r="4819" spans="1:27">
      <c r="A4819" s="8"/>
      <c r="B4819" s="8"/>
      <c r="C4819" s="9"/>
      <c r="D4819" s="9"/>
      <c r="E4819" s="9"/>
      <c r="F4819" s="9"/>
      <c r="G4819" s="9"/>
      <c r="H4819" s="9"/>
      <c r="I4819" s="9"/>
      <c r="J4819" s="9"/>
      <c r="K4819" s="9"/>
      <c r="L4819" s="9"/>
      <c r="M4819" s="9"/>
      <c r="N4819" s="9"/>
      <c r="O4819" s="9"/>
      <c r="P4819" s="9"/>
      <c r="Q4819" s="9"/>
      <c r="R4819" s="9"/>
      <c r="S4819" s="9"/>
      <c r="T4819" s="9"/>
      <c r="U4819" s="9"/>
      <c r="V4819" s="9"/>
      <c r="W4819" s="9"/>
      <c r="X4819" s="9"/>
      <c r="Y4819" s="9"/>
      <c r="Z4819" s="9"/>
      <c r="AA4819" s="9"/>
    </row>
    <row r="4820" spans="1:27">
      <c r="A4820" s="8"/>
      <c r="B4820" s="8"/>
      <c r="C4820" s="9"/>
      <c r="D4820" s="9"/>
      <c r="E4820" s="9"/>
      <c r="F4820" s="9"/>
      <c r="G4820" s="9"/>
      <c r="H4820" s="9"/>
      <c r="I4820" s="9"/>
      <c r="J4820" s="9"/>
      <c r="K4820" s="9"/>
      <c r="L4820" s="9"/>
      <c r="M4820" s="9"/>
      <c r="N4820" s="9"/>
      <c r="O4820" s="9"/>
      <c r="P4820" s="9"/>
      <c r="Q4820" s="9"/>
      <c r="R4820" s="9"/>
      <c r="S4820" s="9"/>
      <c r="T4820" s="9"/>
      <c r="U4820" s="9"/>
      <c r="V4820" s="9"/>
      <c r="W4820" s="9"/>
      <c r="X4820" s="9"/>
      <c r="Y4820" s="9"/>
      <c r="Z4820" s="9"/>
      <c r="AA4820" s="9"/>
    </row>
    <row r="4821" spans="1:27">
      <c r="A4821" s="8"/>
      <c r="B4821" s="8"/>
      <c r="C4821" s="9"/>
      <c r="D4821" s="9"/>
      <c r="E4821" s="9"/>
      <c r="F4821" s="9"/>
      <c r="G4821" s="9"/>
      <c r="H4821" s="9"/>
      <c r="I4821" s="9"/>
      <c r="J4821" s="9"/>
      <c r="K4821" s="9"/>
      <c r="L4821" s="9"/>
      <c r="M4821" s="9"/>
      <c r="N4821" s="9"/>
      <c r="O4821" s="9"/>
      <c r="P4821" s="9"/>
      <c r="Q4821" s="9"/>
      <c r="R4821" s="9"/>
      <c r="S4821" s="9"/>
      <c r="T4821" s="9"/>
      <c r="U4821" s="9"/>
      <c r="V4821" s="9"/>
      <c r="W4821" s="9"/>
      <c r="X4821" s="9"/>
      <c r="Y4821" s="9"/>
      <c r="Z4821" s="9"/>
      <c r="AA4821" s="9"/>
    </row>
    <row r="4822" spans="1:27">
      <c r="A4822" s="8"/>
      <c r="B4822" s="8"/>
      <c r="C4822" s="9"/>
      <c r="D4822" s="9"/>
      <c r="E4822" s="9"/>
      <c r="F4822" s="9"/>
      <c r="G4822" s="9"/>
      <c r="H4822" s="9"/>
      <c r="I4822" s="9"/>
      <c r="J4822" s="9"/>
      <c r="K4822" s="9"/>
      <c r="L4822" s="9"/>
      <c r="M4822" s="9"/>
      <c r="N4822" s="9"/>
      <c r="O4822" s="9"/>
      <c r="P4822" s="9"/>
      <c r="Q4822" s="9"/>
      <c r="R4822" s="9"/>
      <c r="S4822" s="9"/>
      <c r="T4822" s="9"/>
      <c r="U4822" s="9"/>
      <c r="V4822" s="9"/>
      <c r="W4822" s="9"/>
      <c r="X4822" s="9"/>
      <c r="Y4822" s="9"/>
      <c r="Z4822" s="9"/>
      <c r="AA4822" s="9"/>
    </row>
    <row r="4823" spans="1:27">
      <c r="A4823" s="8"/>
      <c r="B4823" s="8"/>
      <c r="C4823" s="9"/>
      <c r="D4823" s="9"/>
      <c r="E4823" s="9"/>
      <c r="F4823" s="9"/>
      <c r="G4823" s="9"/>
      <c r="H4823" s="9"/>
      <c r="I4823" s="9"/>
      <c r="J4823" s="9"/>
      <c r="K4823" s="9"/>
      <c r="L4823" s="9"/>
      <c r="M4823" s="9"/>
      <c r="N4823" s="9"/>
      <c r="O4823" s="9"/>
      <c r="P4823" s="9"/>
      <c r="Q4823" s="9"/>
      <c r="R4823" s="9"/>
      <c r="S4823" s="9"/>
      <c r="T4823" s="9"/>
      <c r="U4823" s="9"/>
      <c r="V4823" s="9"/>
      <c r="W4823" s="9"/>
      <c r="X4823" s="9"/>
      <c r="Y4823" s="9"/>
      <c r="Z4823" s="9"/>
      <c r="AA4823" s="9"/>
    </row>
    <row r="4824" spans="1:27">
      <c r="A4824" s="8"/>
      <c r="B4824" s="8"/>
      <c r="C4824" s="9"/>
      <c r="D4824" s="9"/>
      <c r="E4824" s="9"/>
      <c r="F4824" s="9"/>
      <c r="G4824" s="9"/>
      <c r="H4824" s="9"/>
      <c r="I4824" s="9"/>
      <c r="J4824" s="9"/>
      <c r="K4824" s="9"/>
      <c r="L4824" s="9"/>
      <c r="M4824" s="9"/>
      <c r="N4824" s="9"/>
      <c r="O4824" s="9"/>
      <c r="P4824" s="9"/>
      <c r="Q4824" s="9"/>
      <c r="R4824" s="9"/>
      <c r="S4824" s="9"/>
      <c r="T4824" s="9"/>
      <c r="U4824" s="9"/>
      <c r="V4824" s="9"/>
      <c r="W4824" s="9"/>
      <c r="X4824" s="9"/>
      <c r="Y4824" s="9"/>
      <c r="Z4824" s="9"/>
      <c r="AA4824" s="9"/>
    </row>
    <row r="4825" spans="1:27">
      <c r="A4825" s="8"/>
      <c r="B4825" s="8"/>
      <c r="C4825" s="9"/>
      <c r="D4825" s="9"/>
      <c r="E4825" s="9"/>
      <c r="F4825" s="9"/>
      <c r="G4825" s="9"/>
      <c r="H4825" s="9"/>
      <c r="I4825" s="9"/>
      <c r="J4825" s="9"/>
      <c r="K4825" s="9"/>
      <c r="L4825" s="9"/>
      <c r="M4825" s="9"/>
      <c r="N4825" s="9"/>
      <c r="O4825" s="9"/>
      <c r="P4825" s="9"/>
      <c r="Q4825" s="9"/>
      <c r="R4825" s="9"/>
      <c r="S4825" s="9"/>
      <c r="T4825" s="9"/>
      <c r="U4825" s="9"/>
      <c r="V4825" s="9"/>
      <c r="W4825" s="9"/>
      <c r="X4825" s="9"/>
      <c r="Y4825" s="9"/>
      <c r="Z4825" s="9"/>
      <c r="AA4825" s="9"/>
    </row>
    <row r="4826" spans="1:27">
      <c r="A4826" s="8"/>
      <c r="B4826" s="8"/>
      <c r="C4826" s="9"/>
      <c r="D4826" s="9"/>
      <c r="E4826" s="9"/>
      <c r="F4826" s="9"/>
      <c r="G4826" s="9"/>
      <c r="H4826" s="9"/>
      <c r="I4826" s="9"/>
      <c r="J4826" s="9"/>
      <c r="K4826" s="9"/>
      <c r="L4826" s="9"/>
      <c r="M4826" s="9"/>
      <c r="N4826" s="9"/>
      <c r="O4826" s="9"/>
      <c r="P4826" s="9"/>
      <c r="Q4826" s="9"/>
      <c r="R4826" s="9"/>
      <c r="S4826" s="9"/>
      <c r="T4826" s="9"/>
      <c r="U4826" s="9"/>
      <c r="V4826" s="9"/>
      <c r="W4826" s="9"/>
      <c r="X4826" s="9"/>
      <c r="Y4826" s="9"/>
      <c r="Z4826" s="9"/>
      <c r="AA4826" s="9"/>
    </row>
    <row r="4827" spans="1:27">
      <c r="A4827" s="8"/>
      <c r="B4827" s="8"/>
      <c r="C4827" s="9"/>
      <c r="D4827" s="9"/>
      <c r="E4827" s="9"/>
      <c r="F4827" s="9"/>
      <c r="G4827" s="9"/>
      <c r="H4827" s="9"/>
      <c r="I4827" s="9"/>
      <c r="J4827" s="9"/>
      <c r="K4827" s="9"/>
      <c r="L4827" s="9"/>
      <c r="M4827" s="9"/>
      <c r="N4827" s="9"/>
      <c r="O4827" s="9"/>
      <c r="P4827" s="9"/>
      <c r="Q4827" s="9"/>
      <c r="R4827" s="9"/>
      <c r="S4827" s="9"/>
      <c r="T4827" s="9"/>
      <c r="U4827" s="9"/>
      <c r="V4827" s="9"/>
      <c r="W4827" s="9"/>
      <c r="X4827" s="9"/>
      <c r="Y4827" s="9"/>
      <c r="Z4827" s="9"/>
      <c r="AA4827" s="9"/>
    </row>
    <row r="4828" spans="1:27">
      <c r="A4828" s="8"/>
      <c r="B4828" s="8"/>
      <c r="C4828" s="9"/>
      <c r="D4828" s="9"/>
      <c r="E4828" s="9"/>
      <c r="F4828" s="9"/>
      <c r="G4828" s="9"/>
      <c r="H4828" s="9"/>
      <c r="I4828" s="9"/>
      <c r="J4828" s="9"/>
      <c r="K4828" s="9"/>
      <c r="L4828" s="9"/>
      <c r="M4828" s="9"/>
      <c r="N4828" s="9"/>
      <c r="O4828" s="9"/>
      <c r="P4828" s="9"/>
      <c r="Q4828" s="9"/>
      <c r="R4828" s="9"/>
      <c r="S4828" s="9"/>
      <c r="T4828" s="9"/>
      <c r="U4828" s="9"/>
      <c r="V4828" s="9"/>
      <c r="W4828" s="9"/>
      <c r="X4828" s="9"/>
      <c r="Y4828" s="9"/>
      <c r="Z4828" s="9"/>
      <c r="AA4828" s="9"/>
    </row>
    <row r="4829" spans="1:27">
      <c r="A4829" s="8"/>
      <c r="B4829" s="8"/>
      <c r="C4829" s="9"/>
      <c r="D4829" s="9"/>
      <c r="E4829" s="9"/>
      <c r="F4829" s="9"/>
      <c r="G4829" s="9"/>
      <c r="H4829" s="9"/>
      <c r="I4829" s="9"/>
      <c r="J4829" s="9"/>
      <c r="K4829" s="9"/>
      <c r="L4829" s="9"/>
      <c r="M4829" s="9"/>
      <c r="N4829" s="9"/>
      <c r="O4829" s="9"/>
      <c r="P4829" s="9"/>
      <c r="Q4829" s="9"/>
      <c r="R4829" s="9"/>
      <c r="S4829" s="9"/>
      <c r="T4829" s="9"/>
      <c r="U4829" s="9"/>
      <c r="V4829" s="9"/>
      <c r="W4829" s="9"/>
      <c r="X4829" s="9"/>
      <c r="Y4829" s="9"/>
      <c r="Z4829" s="9"/>
      <c r="AA4829" s="9"/>
    </row>
    <row r="4830" spans="1:27">
      <c r="A4830" s="8"/>
      <c r="B4830" s="8"/>
      <c r="C4830" s="9"/>
      <c r="D4830" s="9"/>
      <c r="E4830" s="9"/>
      <c r="F4830" s="9"/>
      <c r="G4830" s="9"/>
      <c r="H4830" s="9"/>
      <c r="I4830" s="9"/>
      <c r="J4830" s="9"/>
      <c r="K4830" s="9"/>
      <c r="L4830" s="9"/>
      <c r="M4830" s="9"/>
      <c r="N4830" s="9"/>
      <c r="O4830" s="9"/>
      <c r="P4830" s="9"/>
      <c r="Q4830" s="9"/>
      <c r="R4830" s="9"/>
      <c r="S4830" s="9"/>
      <c r="T4830" s="9"/>
      <c r="U4830" s="9"/>
      <c r="V4830" s="9"/>
      <c r="W4830" s="9"/>
      <c r="X4830" s="9"/>
      <c r="Y4830" s="9"/>
      <c r="Z4830" s="9"/>
      <c r="AA4830" s="9"/>
    </row>
    <row r="4831" spans="1:27">
      <c r="A4831" s="8"/>
      <c r="B4831" s="8"/>
      <c r="C4831" s="9"/>
      <c r="D4831" s="9"/>
      <c r="E4831" s="9"/>
      <c r="F4831" s="9"/>
      <c r="G4831" s="9"/>
      <c r="H4831" s="9"/>
      <c r="I4831" s="9"/>
      <c r="J4831" s="9"/>
      <c r="K4831" s="9"/>
      <c r="L4831" s="9"/>
      <c r="M4831" s="9"/>
      <c r="N4831" s="9"/>
      <c r="O4831" s="9"/>
      <c r="P4831" s="9"/>
      <c r="Q4831" s="9"/>
      <c r="R4831" s="9"/>
      <c r="S4831" s="9"/>
      <c r="T4831" s="9"/>
      <c r="U4831" s="9"/>
      <c r="V4831" s="9"/>
      <c r="W4831" s="9"/>
      <c r="X4831" s="9"/>
      <c r="Y4831" s="9"/>
      <c r="Z4831" s="9"/>
      <c r="AA4831" s="9"/>
    </row>
    <row r="4832" spans="1:27">
      <c r="A4832" s="8"/>
      <c r="B4832" s="8"/>
      <c r="C4832" s="9"/>
      <c r="D4832" s="9"/>
      <c r="E4832" s="9"/>
      <c r="F4832" s="9"/>
      <c r="G4832" s="9"/>
      <c r="H4832" s="9"/>
      <c r="I4832" s="9"/>
      <c r="J4832" s="9"/>
      <c r="K4832" s="9"/>
      <c r="L4832" s="9"/>
      <c r="M4832" s="9"/>
      <c r="N4832" s="9"/>
      <c r="O4832" s="9"/>
      <c r="P4832" s="9"/>
      <c r="Q4832" s="9"/>
      <c r="R4832" s="9"/>
      <c r="S4832" s="9"/>
      <c r="T4832" s="9"/>
      <c r="U4832" s="9"/>
      <c r="V4832" s="9"/>
      <c r="W4832" s="9"/>
      <c r="X4832" s="9"/>
      <c r="Y4832" s="9"/>
      <c r="Z4832" s="9"/>
      <c r="AA4832" s="9"/>
    </row>
    <row r="4833" spans="1:27">
      <c r="A4833" s="8"/>
      <c r="B4833" s="8"/>
      <c r="C4833" s="9"/>
      <c r="D4833" s="9"/>
      <c r="E4833" s="9"/>
      <c r="F4833" s="9"/>
      <c r="G4833" s="9"/>
      <c r="H4833" s="9"/>
      <c r="I4833" s="9"/>
      <c r="J4833" s="9"/>
      <c r="K4833" s="9"/>
      <c r="L4833" s="9"/>
      <c r="M4833" s="9"/>
      <c r="N4833" s="9"/>
      <c r="O4833" s="9"/>
      <c r="P4833" s="9"/>
      <c r="Q4833" s="9"/>
      <c r="R4833" s="9"/>
      <c r="S4833" s="9"/>
      <c r="T4833" s="9"/>
      <c r="U4833" s="9"/>
      <c r="V4833" s="9"/>
      <c r="W4833" s="9"/>
      <c r="X4833" s="9"/>
      <c r="Y4833" s="9"/>
      <c r="Z4833" s="9"/>
      <c r="AA4833" s="9"/>
    </row>
    <row r="4834" spans="1:27">
      <c r="A4834" s="8"/>
      <c r="B4834" s="8"/>
      <c r="C4834" s="9"/>
      <c r="D4834" s="9"/>
      <c r="E4834" s="9"/>
      <c r="F4834" s="9"/>
      <c r="G4834" s="9"/>
      <c r="H4834" s="9"/>
      <c r="I4834" s="9"/>
      <c r="J4834" s="9"/>
      <c r="K4834" s="9"/>
      <c r="L4834" s="9"/>
      <c r="M4834" s="9"/>
      <c r="N4834" s="9"/>
      <c r="O4834" s="9"/>
      <c r="P4834" s="9"/>
      <c r="Q4834" s="9"/>
      <c r="R4834" s="9"/>
      <c r="S4834" s="9"/>
      <c r="T4834" s="9"/>
      <c r="U4834" s="9"/>
      <c r="V4834" s="9"/>
      <c r="W4834" s="9"/>
      <c r="X4834" s="9"/>
      <c r="Y4834" s="9"/>
      <c r="Z4834" s="9"/>
      <c r="AA4834" s="9"/>
    </row>
    <row r="4835" spans="1:27">
      <c r="A4835" s="8"/>
      <c r="B4835" s="8"/>
      <c r="C4835" s="9"/>
      <c r="D4835" s="9"/>
      <c r="E4835" s="9"/>
      <c r="F4835" s="9"/>
      <c r="G4835" s="9"/>
      <c r="H4835" s="9"/>
      <c r="I4835" s="9"/>
      <c r="J4835" s="9"/>
      <c r="K4835" s="9"/>
      <c r="L4835" s="9"/>
      <c r="M4835" s="9"/>
      <c r="N4835" s="9"/>
      <c r="O4835" s="9"/>
      <c r="P4835" s="9"/>
      <c r="Q4835" s="9"/>
      <c r="R4835" s="9"/>
      <c r="S4835" s="9"/>
      <c r="T4835" s="9"/>
      <c r="U4835" s="9"/>
      <c r="V4835" s="9"/>
      <c r="W4835" s="9"/>
      <c r="X4835" s="9"/>
      <c r="Y4835" s="9"/>
      <c r="Z4835" s="9"/>
      <c r="AA4835" s="9"/>
    </row>
    <row r="4836" spans="1:27">
      <c r="A4836" s="8"/>
      <c r="B4836" s="8"/>
      <c r="C4836" s="9"/>
      <c r="D4836" s="9"/>
      <c r="E4836" s="9"/>
      <c r="F4836" s="9"/>
      <c r="G4836" s="9"/>
      <c r="H4836" s="9"/>
      <c r="I4836" s="9"/>
      <c r="J4836" s="9"/>
      <c r="K4836" s="9"/>
      <c r="L4836" s="9"/>
      <c r="M4836" s="9"/>
      <c r="N4836" s="9"/>
      <c r="O4836" s="9"/>
      <c r="P4836" s="9"/>
      <c r="Q4836" s="9"/>
      <c r="R4836" s="9"/>
      <c r="S4836" s="9"/>
      <c r="T4836" s="9"/>
      <c r="U4836" s="9"/>
      <c r="V4836" s="9"/>
      <c r="W4836" s="9"/>
      <c r="X4836" s="9"/>
      <c r="Y4836" s="9"/>
      <c r="Z4836" s="9"/>
      <c r="AA4836" s="9"/>
    </row>
    <row r="4837" spans="1:27">
      <c r="A4837" s="8"/>
      <c r="B4837" s="8"/>
      <c r="C4837" s="9"/>
      <c r="D4837" s="9"/>
      <c r="E4837" s="9"/>
      <c r="F4837" s="9"/>
      <c r="G4837" s="9"/>
      <c r="H4837" s="9"/>
      <c r="I4837" s="9"/>
      <c r="J4837" s="9"/>
      <c r="K4837" s="9"/>
      <c r="L4837" s="9"/>
      <c r="M4837" s="9"/>
      <c r="N4837" s="9"/>
      <c r="O4837" s="9"/>
      <c r="P4837" s="9"/>
      <c r="Q4837" s="9"/>
      <c r="R4837" s="9"/>
      <c r="S4837" s="9"/>
      <c r="T4837" s="9"/>
      <c r="U4837" s="9"/>
      <c r="V4837" s="9"/>
      <c r="W4837" s="9"/>
      <c r="X4837" s="9"/>
      <c r="Y4837" s="9"/>
      <c r="Z4837" s="9"/>
      <c r="AA4837" s="9"/>
    </row>
    <row r="4838" spans="1:27">
      <c r="A4838" s="8"/>
      <c r="B4838" s="8"/>
      <c r="C4838" s="9"/>
      <c r="D4838" s="9"/>
      <c r="E4838" s="9"/>
      <c r="F4838" s="9"/>
      <c r="G4838" s="9"/>
      <c r="H4838" s="9"/>
      <c r="I4838" s="9"/>
      <c r="J4838" s="9"/>
      <c r="K4838" s="9"/>
      <c r="L4838" s="9"/>
      <c r="M4838" s="9"/>
      <c r="N4838" s="9"/>
      <c r="O4838" s="9"/>
      <c r="P4838" s="9"/>
      <c r="Q4838" s="9"/>
      <c r="R4838" s="9"/>
      <c r="S4838" s="9"/>
      <c r="T4838" s="9"/>
      <c r="U4838" s="9"/>
      <c r="V4838" s="9"/>
      <c r="W4838" s="9"/>
      <c r="X4838" s="9"/>
      <c r="Y4838" s="9"/>
      <c r="Z4838" s="9"/>
      <c r="AA4838" s="9"/>
    </row>
    <row r="4839" spans="1:27">
      <c r="A4839" s="8"/>
      <c r="B4839" s="8"/>
      <c r="C4839" s="9"/>
      <c r="D4839" s="9"/>
      <c r="E4839" s="9"/>
      <c r="F4839" s="9"/>
      <c r="G4839" s="9"/>
      <c r="H4839" s="9"/>
      <c r="I4839" s="9"/>
      <c r="J4839" s="9"/>
      <c r="K4839" s="9"/>
      <c r="L4839" s="9"/>
      <c r="M4839" s="9"/>
      <c r="N4839" s="9"/>
      <c r="O4839" s="9"/>
      <c r="P4839" s="9"/>
      <c r="Q4839" s="9"/>
      <c r="R4839" s="9"/>
      <c r="S4839" s="9"/>
      <c r="T4839" s="9"/>
      <c r="U4839" s="9"/>
      <c r="V4839" s="9"/>
      <c r="W4839" s="9"/>
      <c r="X4839" s="9"/>
      <c r="Y4839" s="9"/>
      <c r="Z4839" s="9"/>
      <c r="AA4839" s="9"/>
    </row>
    <row r="4840" spans="1:27">
      <c r="A4840" s="8"/>
      <c r="B4840" s="8"/>
      <c r="C4840" s="9"/>
      <c r="D4840" s="9"/>
      <c r="E4840" s="9"/>
      <c r="F4840" s="9"/>
      <c r="G4840" s="9"/>
      <c r="H4840" s="9"/>
      <c r="I4840" s="9"/>
      <c r="J4840" s="9"/>
      <c r="K4840" s="9"/>
      <c r="L4840" s="9"/>
      <c r="M4840" s="9"/>
      <c r="N4840" s="9"/>
      <c r="O4840" s="9"/>
      <c r="P4840" s="9"/>
      <c r="Q4840" s="9"/>
      <c r="R4840" s="9"/>
      <c r="S4840" s="9"/>
      <c r="T4840" s="9"/>
      <c r="U4840" s="9"/>
      <c r="V4840" s="9"/>
      <c r="W4840" s="9"/>
      <c r="X4840" s="9"/>
      <c r="Y4840" s="9"/>
      <c r="Z4840" s="9"/>
      <c r="AA4840" s="9"/>
    </row>
    <row r="4841" spans="1:27">
      <c r="A4841" s="8"/>
      <c r="B4841" s="8"/>
      <c r="C4841" s="9"/>
      <c r="D4841" s="9"/>
      <c r="E4841" s="9"/>
      <c r="F4841" s="9"/>
      <c r="G4841" s="9"/>
      <c r="H4841" s="9"/>
      <c r="I4841" s="9"/>
      <c r="J4841" s="9"/>
      <c r="K4841" s="9"/>
      <c r="L4841" s="9"/>
      <c r="M4841" s="9"/>
      <c r="N4841" s="9"/>
      <c r="O4841" s="9"/>
      <c r="P4841" s="9"/>
      <c r="Q4841" s="9"/>
      <c r="R4841" s="9"/>
      <c r="S4841" s="9"/>
      <c r="T4841" s="9"/>
      <c r="U4841" s="9"/>
      <c r="V4841" s="9"/>
      <c r="W4841" s="9"/>
      <c r="X4841" s="9"/>
      <c r="Y4841" s="9"/>
      <c r="Z4841" s="9"/>
      <c r="AA4841" s="9"/>
    </row>
    <row r="4842" spans="1:27">
      <c r="A4842" s="8"/>
      <c r="B4842" s="8"/>
      <c r="C4842" s="9"/>
      <c r="D4842" s="9"/>
      <c r="E4842" s="9"/>
      <c r="F4842" s="9"/>
      <c r="G4842" s="9"/>
      <c r="H4842" s="9"/>
      <c r="I4842" s="9"/>
      <c r="J4842" s="9"/>
      <c r="K4842" s="9"/>
      <c r="L4842" s="9"/>
      <c r="M4842" s="9"/>
      <c r="N4842" s="9"/>
      <c r="O4842" s="9"/>
      <c r="P4842" s="9"/>
      <c r="Q4842" s="9"/>
      <c r="R4842" s="9"/>
      <c r="S4842" s="9"/>
      <c r="T4842" s="9"/>
      <c r="U4842" s="9"/>
      <c r="V4842" s="9"/>
      <c r="W4842" s="9"/>
      <c r="X4842" s="9"/>
      <c r="Y4842" s="9"/>
      <c r="Z4842" s="9"/>
      <c r="AA4842" s="9"/>
    </row>
    <row r="4843" spans="1:27">
      <c r="A4843" s="8"/>
      <c r="B4843" s="8"/>
      <c r="C4843" s="9"/>
      <c r="D4843" s="9"/>
      <c r="E4843" s="9"/>
      <c r="F4843" s="9"/>
      <c r="G4843" s="9"/>
      <c r="H4843" s="9"/>
      <c r="I4843" s="9"/>
      <c r="J4843" s="9"/>
      <c r="K4843" s="9"/>
      <c r="L4843" s="9"/>
      <c r="M4843" s="9"/>
      <c r="N4843" s="9"/>
      <c r="O4843" s="9"/>
      <c r="P4843" s="9"/>
      <c r="Q4843" s="9"/>
      <c r="R4843" s="9"/>
      <c r="S4843" s="9"/>
      <c r="T4843" s="9"/>
      <c r="U4843" s="9"/>
      <c r="V4843" s="9"/>
      <c r="W4843" s="9"/>
      <c r="X4843" s="9"/>
      <c r="Y4843" s="9"/>
      <c r="Z4843" s="9"/>
      <c r="AA4843" s="9"/>
    </row>
    <row r="4844" spans="1:27">
      <c r="A4844" s="8"/>
      <c r="B4844" s="8"/>
      <c r="C4844" s="9"/>
      <c r="D4844" s="9"/>
      <c r="E4844" s="9"/>
      <c r="F4844" s="9"/>
      <c r="G4844" s="9"/>
      <c r="H4844" s="9"/>
      <c r="I4844" s="9"/>
      <c r="J4844" s="9"/>
      <c r="K4844" s="9"/>
      <c r="L4844" s="9"/>
      <c r="M4844" s="9"/>
      <c r="N4844" s="9"/>
      <c r="O4844" s="9"/>
      <c r="P4844" s="9"/>
      <c r="Q4844" s="9"/>
      <c r="R4844" s="9"/>
      <c r="S4844" s="9"/>
      <c r="T4844" s="9"/>
      <c r="U4844" s="9"/>
      <c r="V4844" s="9"/>
      <c r="W4844" s="9"/>
      <c r="X4844" s="9"/>
      <c r="Y4844" s="9"/>
      <c r="Z4844" s="9"/>
      <c r="AA4844" s="9"/>
    </row>
    <row r="4845" spans="1:27">
      <c r="A4845" s="8"/>
      <c r="B4845" s="8"/>
      <c r="C4845" s="9"/>
      <c r="D4845" s="9"/>
      <c r="E4845" s="9"/>
      <c r="F4845" s="9"/>
      <c r="G4845" s="9"/>
      <c r="H4845" s="9"/>
      <c r="I4845" s="9"/>
      <c r="J4845" s="9"/>
      <c r="K4845" s="9"/>
      <c r="L4845" s="9"/>
      <c r="M4845" s="9"/>
      <c r="N4845" s="9"/>
      <c r="O4845" s="9"/>
      <c r="P4845" s="9"/>
      <c r="Q4845" s="9"/>
      <c r="R4845" s="9"/>
      <c r="S4845" s="9"/>
      <c r="T4845" s="9"/>
      <c r="U4845" s="9"/>
      <c r="V4845" s="9"/>
      <c r="W4845" s="9"/>
      <c r="X4845" s="9"/>
      <c r="Y4845" s="9"/>
      <c r="Z4845" s="9"/>
      <c r="AA4845" s="9"/>
    </row>
    <row r="4846" spans="1:27">
      <c r="A4846" s="8"/>
      <c r="B4846" s="8"/>
      <c r="C4846" s="9"/>
      <c r="D4846" s="9"/>
      <c r="E4846" s="9"/>
      <c r="F4846" s="9"/>
      <c r="G4846" s="9"/>
      <c r="H4846" s="9"/>
      <c r="I4846" s="9"/>
      <c r="J4846" s="9"/>
      <c r="K4846" s="9"/>
      <c r="L4846" s="9"/>
      <c r="M4846" s="9"/>
      <c r="N4846" s="9"/>
      <c r="O4846" s="9"/>
      <c r="P4846" s="9"/>
      <c r="Q4846" s="9"/>
      <c r="R4846" s="9"/>
      <c r="S4846" s="9"/>
      <c r="T4846" s="9"/>
      <c r="U4846" s="9"/>
      <c r="V4846" s="9"/>
      <c r="W4846" s="9"/>
      <c r="X4846" s="9"/>
      <c r="Y4846" s="9"/>
      <c r="Z4846" s="9"/>
      <c r="AA4846" s="9"/>
    </row>
    <row r="4847" spans="1:27">
      <c r="A4847" s="8"/>
      <c r="B4847" s="8"/>
      <c r="C4847" s="9"/>
      <c r="D4847" s="9"/>
      <c r="E4847" s="9"/>
      <c r="F4847" s="9"/>
      <c r="G4847" s="9"/>
      <c r="H4847" s="9"/>
      <c r="I4847" s="9"/>
      <c r="J4847" s="9"/>
      <c r="K4847" s="9"/>
      <c r="L4847" s="9"/>
      <c r="M4847" s="9"/>
      <c r="N4847" s="9"/>
      <c r="O4847" s="9"/>
      <c r="P4847" s="9"/>
      <c r="Q4847" s="9"/>
      <c r="R4847" s="9"/>
      <c r="S4847" s="9"/>
      <c r="T4847" s="9"/>
      <c r="U4847" s="9"/>
      <c r="V4847" s="9"/>
      <c r="W4847" s="9"/>
      <c r="X4847" s="9"/>
      <c r="Y4847" s="9"/>
      <c r="Z4847" s="9"/>
      <c r="AA4847" s="9"/>
    </row>
    <row r="4848" spans="1:27">
      <c r="A4848" s="8"/>
      <c r="B4848" s="8"/>
      <c r="C4848" s="9"/>
      <c r="D4848" s="9"/>
      <c r="E4848" s="9"/>
      <c r="F4848" s="9"/>
      <c r="G4848" s="9"/>
      <c r="H4848" s="9"/>
      <c r="I4848" s="9"/>
      <c r="J4848" s="9"/>
      <c r="K4848" s="9"/>
      <c r="L4848" s="9"/>
      <c r="M4848" s="9"/>
      <c r="N4848" s="9"/>
      <c r="O4848" s="9"/>
      <c r="P4848" s="9"/>
      <c r="Q4848" s="9"/>
      <c r="R4848" s="9"/>
      <c r="S4848" s="9"/>
      <c r="T4848" s="9"/>
      <c r="U4848" s="9"/>
      <c r="V4848" s="9"/>
      <c r="W4848" s="9"/>
      <c r="X4848" s="9"/>
      <c r="Y4848" s="9"/>
      <c r="Z4848" s="9"/>
      <c r="AA4848" s="9"/>
    </row>
    <row r="4849" spans="1:27">
      <c r="A4849" s="8"/>
      <c r="B4849" s="8"/>
      <c r="C4849" s="9"/>
      <c r="D4849" s="9"/>
      <c r="E4849" s="9"/>
      <c r="F4849" s="9"/>
      <c r="G4849" s="9"/>
      <c r="H4849" s="9"/>
      <c r="I4849" s="9"/>
      <c r="J4849" s="9"/>
      <c r="K4849" s="9"/>
      <c r="L4849" s="9"/>
      <c r="M4849" s="9"/>
      <c r="N4849" s="9"/>
      <c r="O4849" s="9"/>
      <c r="P4849" s="9"/>
      <c r="Q4849" s="9"/>
      <c r="R4849" s="9"/>
      <c r="S4849" s="9"/>
      <c r="T4849" s="9"/>
      <c r="U4849" s="9"/>
      <c r="V4849" s="9"/>
      <c r="W4849" s="9"/>
      <c r="X4849" s="9"/>
      <c r="Y4849" s="9"/>
      <c r="Z4849" s="9"/>
      <c r="AA4849" s="9"/>
    </row>
    <row r="4850" spans="1:27">
      <c r="A4850" s="8"/>
      <c r="B4850" s="8"/>
      <c r="C4850" s="9"/>
      <c r="D4850" s="9"/>
      <c r="E4850" s="9"/>
      <c r="F4850" s="9"/>
      <c r="G4850" s="9"/>
      <c r="H4850" s="9"/>
      <c r="I4850" s="9"/>
      <c r="J4850" s="9"/>
      <c r="K4850" s="9"/>
      <c r="L4850" s="9"/>
      <c r="M4850" s="9"/>
      <c r="N4850" s="9"/>
      <c r="O4850" s="9"/>
      <c r="P4850" s="9"/>
      <c r="Q4850" s="9"/>
      <c r="R4850" s="9"/>
      <c r="S4850" s="9"/>
      <c r="T4850" s="9"/>
      <c r="U4850" s="9"/>
      <c r="V4850" s="9"/>
      <c r="W4850" s="9"/>
      <c r="X4850" s="9"/>
      <c r="Y4850" s="9"/>
      <c r="Z4850" s="9"/>
      <c r="AA4850" s="9"/>
    </row>
    <row r="4851" spans="1:27">
      <c r="A4851" s="8"/>
      <c r="B4851" s="8"/>
      <c r="C4851" s="9"/>
      <c r="D4851" s="9"/>
      <c r="E4851" s="9"/>
      <c r="F4851" s="9"/>
      <c r="G4851" s="9"/>
      <c r="H4851" s="9"/>
      <c r="I4851" s="9"/>
      <c r="J4851" s="9"/>
      <c r="K4851" s="9"/>
      <c r="L4851" s="9"/>
      <c r="M4851" s="9"/>
      <c r="N4851" s="9"/>
      <c r="O4851" s="9"/>
      <c r="P4851" s="9"/>
      <c r="Q4851" s="9"/>
      <c r="R4851" s="9"/>
      <c r="S4851" s="9"/>
      <c r="T4851" s="9"/>
      <c r="U4851" s="9"/>
      <c r="V4851" s="9"/>
      <c r="W4851" s="9"/>
      <c r="X4851" s="9"/>
      <c r="Y4851" s="9"/>
      <c r="Z4851" s="9"/>
      <c r="AA4851" s="9"/>
    </row>
    <row r="4852" spans="1:27">
      <c r="A4852" s="8"/>
      <c r="B4852" s="8"/>
      <c r="C4852" s="9"/>
      <c r="D4852" s="9"/>
      <c r="E4852" s="9"/>
      <c r="F4852" s="9"/>
      <c r="G4852" s="9"/>
      <c r="H4852" s="9"/>
      <c r="I4852" s="9"/>
      <c r="J4852" s="9"/>
      <c r="K4852" s="9"/>
      <c r="L4852" s="9"/>
      <c r="M4852" s="9"/>
      <c r="N4852" s="9"/>
      <c r="O4852" s="9"/>
      <c r="P4852" s="9"/>
      <c r="Q4852" s="9"/>
      <c r="R4852" s="9"/>
      <c r="S4852" s="9"/>
      <c r="T4852" s="9"/>
      <c r="U4852" s="9"/>
      <c r="V4852" s="9"/>
      <c r="W4852" s="9"/>
      <c r="X4852" s="9"/>
      <c r="Y4852" s="9"/>
      <c r="Z4852" s="9"/>
      <c r="AA4852" s="9"/>
    </row>
    <row r="4853" spans="1:27">
      <c r="A4853" s="8"/>
      <c r="B4853" s="8"/>
      <c r="C4853" s="9"/>
      <c r="D4853" s="9"/>
      <c r="E4853" s="9"/>
      <c r="F4853" s="9"/>
      <c r="G4853" s="9"/>
      <c r="H4853" s="9"/>
      <c r="I4853" s="9"/>
      <c r="J4853" s="9"/>
      <c r="K4853" s="9"/>
      <c r="L4853" s="9"/>
      <c r="M4853" s="9"/>
      <c r="N4853" s="9"/>
      <c r="O4853" s="9"/>
      <c r="P4853" s="9"/>
      <c r="Q4853" s="9"/>
      <c r="R4853" s="9"/>
      <c r="S4853" s="9"/>
      <c r="T4853" s="9"/>
      <c r="U4853" s="9"/>
      <c r="V4853" s="9"/>
      <c r="W4853" s="9"/>
      <c r="X4853" s="9"/>
      <c r="Y4853" s="9"/>
      <c r="Z4853" s="9"/>
      <c r="AA4853" s="9"/>
    </row>
    <row r="4854" spans="1:27">
      <c r="A4854" s="8"/>
      <c r="B4854" s="8"/>
      <c r="C4854" s="9"/>
      <c r="D4854" s="9"/>
      <c r="E4854" s="9"/>
      <c r="F4854" s="9"/>
      <c r="G4854" s="9"/>
      <c r="H4854" s="9"/>
      <c r="I4854" s="9"/>
      <c r="J4854" s="9"/>
      <c r="K4854" s="9"/>
      <c r="L4854" s="9"/>
      <c r="M4854" s="9"/>
      <c r="N4854" s="9"/>
      <c r="O4854" s="9"/>
      <c r="P4854" s="9"/>
      <c r="Q4854" s="9"/>
      <c r="R4854" s="9"/>
      <c r="S4854" s="9"/>
      <c r="T4854" s="9"/>
      <c r="U4854" s="9"/>
      <c r="V4854" s="9"/>
      <c r="W4854" s="9"/>
      <c r="X4854" s="9"/>
      <c r="Y4854" s="9"/>
      <c r="Z4854" s="9"/>
      <c r="AA4854" s="9"/>
    </row>
    <row r="4855" spans="1:27">
      <c r="A4855" s="8"/>
      <c r="B4855" s="8"/>
      <c r="C4855" s="9"/>
      <c r="D4855" s="9"/>
      <c r="E4855" s="9"/>
      <c r="F4855" s="9"/>
      <c r="G4855" s="9"/>
      <c r="H4855" s="9"/>
      <c r="I4855" s="9"/>
      <c r="J4855" s="9"/>
      <c r="K4855" s="9"/>
      <c r="L4855" s="9"/>
      <c r="M4855" s="9"/>
      <c r="N4855" s="9"/>
      <c r="O4855" s="9"/>
      <c r="P4855" s="9"/>
      <c r="Q4855" s="9"/>
      <c r="R4855" s="9"/>
      <c r="S4855" s="9"/>
      <c r="T4855" s="9"/>
      <c r="U4855" s="9"/>
      <c r="V4855" s="9"/>
      <c r="W4855" s="9"/>
      <c r="X4855" s="9"/>
      <c r="Y4855" s="9"/>
      <c r="Z4855" s="9"/>
      <c r="AA4855" s="9"/>
    </row>
    <row r="4856" spans="1:27">
      <c r="A4856" s="8"/>
      <c r="B4856" s="8"/>
      <c r="C4856" s="9"/>
      <c r="D4856" s="9"/>
      <c r="E4856" s="9"/>
      <c r="F4856" s="9"/>
      <c r="G4856" s="9"/>
      <c r="H4856" s="9"/>
      <c r="I4856" s="9"/>
      <c r="J4856" s="9"/>
      <c r="K4856" s="9"/>
      <c r="L4856" s="9"/>
      <c r="M4856" s="9"/>
      <c r="N4856" s="9"/>
      <c r="O4856" s="9"/>
      <c r="P4856" s="9"/>
      <c r="Q4856" s="9"/>
      <c r="R4856" s="9"/>
      <c r="S4856" s="9"/>
      <c r="T4856" s="9"/>
      <c r="U4856" s="9"/>
      <c r="V4856" s="9"/>
      <c r="W4856" s="9"/>
      <c r="X4856" s="9"/>
      <c r="Y4856" s="9"/>
      <c r="Z4856" s="9"/>
      <c r="AA4856" s="9"/>
    </row>
    <row r="4857" spans="1:27">
      <c r="A4857" s="8"/>
      <c r="B4857" s="8"/>
      <c r="C4857" s="9"/>
      <c r="D4857" s="9"/>
      <c r="E4857" s="9"/>
      <c r="F4857" s="9"/>
      <c r="G4857" s="9"/>
      <c r="H4857" s="9"/>
      <c r="I4857" s="9"/>
      <c r="J4857" s="9"/>
      <c r="K4857" s="9"/>
      <c r="L4857" s="9"/>
      <c r="M4857" s="9"/>
      <c r="N4857" s="9"/>
      <c r="O4857" s="9"/>
      <c r="P4857" s="9"/>
      <c r="Q4857" s="9"/>
      <c r="R4857" s="9"/>
      <c r="S4857" s="9"/>
      <c r="T4857" s="9"/>
      <c r="U4857" s="9"/>
      <c r="V4857" s="9"/>
      <c r="W4857" s="9"/>
      <c r="X4857" s="9"/>
      <c r="Y4857" s="9"/>
      <c r="Z4857" s="9"/>
      <c r="AA4857" s="9"/>
    </row>
    <row r="4858" spans="1:27">
      <c r="A4858" s="8"/>
      <c r="B4858" s="8"/>
      <c r="C4858" s="9"/>
      <c r="D4858" s="9"/>
      <c r="E4858" s="9"/>
      <c r="F4858" s="9"/>
      <c r="G4858" s="9"/>
      <c r="H4858" s="9"/>
      <c r="I4858" s="9"/>
      <c r="J4858" s="9"/>
      <c r="K4858" s="9"/>
      <c r="L4858" s="9"/>
      <c r="M4858" s="9"/>
      <c r="N4858" s="9"/>
      <c r="O4858" s="9"/>
      <c r="P4858" s="9"/>
      <c r="Q4858" s="9"/>
      <c r="R4858" s="9"/>
      <c r="S4858" s="9"/>
      <c r="T4858" s="9"/>
      <c r="U4858" s="9"/>
      <c r="V4858" s="9"/>
      <c r="W4858" s="9"/>
      <c r="X4858" s="9"/>
      <c r="Y4858" s="9"/>
      <c r="Z4858" s="9"/>
      <c r="AA4858" s="9"/>
    </row>
    <row r="4859" spans="1:27">
      <c r="A4859" s="8"/>
      <c r="B4859" s="8"/>
      <c r="C4859" s="9"/>
      <c r="D4859" s="9"/>
      <c r="E4859" s="9"/>
      <c r="F4859" s="9"/>
      <c r="G4859" s="9"/>
      <c r="H4859" s="9"/>
      <c r="I4859" s="9"/>
      <c r="J4859" s="9"/>
      <c r="K4859" s="9"/>
      <c r="L4859" s="9"/>
      <c r="M4859" s="9"/>
      <c r="N4859" s="9"/>
      <c r="O4859" s="9"/>
      <c r="P4859" s="9"/>
      <c r="Q4859" s="9"/>
      <c r="R4859" s="9"/>
      <c r="S4859" s="9"/>
      <c r="T4859" s="9"/>
      <c r="U4859" s="9"/>
      <c r="V4859" s="9"/>
      <c r="W4859" s="9"/>
      <c r="X4859" s="9"/>
      <c r="Y4859" s="9"/>
      <c r="Z4859" s="9"/>
      <c r="AA4859" s="9"/>
    </row>
    <row r="4860" spans="1:27">
      <c r="A4860" s="8"/>
      <c r="B4860" s="8"/>
      <c r="C4860" s="9"/>
      <c r="D4860" s="9"/>
      <c r="E4860" s="9"/>
      <c r="F4860" s="9"/>
      <c r="G4860" s="9"/>
      <c r="H4860" s="9"/>
      <c r="I4860" s="9"/>
      <c r="J4860" s="9"/>
      <c r="K4860" s="9"/>
      <c r="L4860" s="9"/>
      <c r="M4860" s="9"/>
      <c r="N4860" s="9"/>
      <c r="O4860" s="9"/>
      <c r="P4860" s="9"/>
      <c r="Q4860" s="9"/>
      <c r="R4860" s="9"/>
      <c r="S4860" s="9"/>
      <c r="T4860" s="9"/>
      <c r="U4860" s="9"/>
      <c r="V4860" s="9"/>
      <c r="W4860" s="9"/>
      <c r="X4860" s="9"/>
      <c r="Y4860" s="9"/>
      <c r="Z4860" s="9"/>
      <c r="AA4860" s="9"/>
    </row>
    <row r="4861" spans="1:27">
      <c r="A4861" s="8"/>
      <c r="B4861" s="8"/>
      <c r="C4861" s="9"/>
      <c r="D4861" s="9"/>
      <c r="E4861" s="9"/>
      <c r="F4861" s="9"/>
      <c r="G4861" s="9"/>
      <c r="H4861" s="9"/>
      <c r="I4861" s="9"/>
      <c r="J4861" s="9"/>
      <c r="K4861" s="9"/>
      <c r="L4861" s="9"/>
      <c r="M4861" s="9"/>
      <c r="N4861" s="9"/>
      <c r="O4861" s="9"/>
      <c r="P4861" s="9"/>
      <c r="Q4861" s="9"/>
      <c r="R4861" s="9"/>
      <c r="S4861" s="9"/>
      <c r="T4861" s="9"/>
      <c r="U4861" s="9"/>
      <c r="V4861" s="9"/>
      <c r="W4861" s="9"/>
      <c r="X4861" s="9"/>
      <c r="Y4861" s="9"/>
      <c r="Z4861" s="9"/>
      <c r="AA4861" s="9"/>
    </row>
    <row r="4862" spans="1:27">
      <c r="A4862" s="8"/>
      <c r="B4862" s="8"/>
      <c r="C4862" s="9"/>
      <c r="D4862" s="9"/>
      <c r="E4862" s="9"/>
      <c r="F4862" s="9"/>
      <c r="G4862" s="9"/>
      <c r="H4862" s="9"/>
      <c r="I4862" s="9"/>
      <c r="J4862" s="9"/>
      <c r="K4862" s="9"/>
      <c r="L4862" s="9"/>
      <c r="M4862" s="9"/>
      <c r="N4862" s="9"/>
      <c r="O4862" s="9"/>
      <c r="P4862" s="9"/>
      <c r="Q4862" s="9"/>
      <c r="R4862" s="9"/>
      <c r="S4862" s="9"/>
      <c r="T4862" s="9"/>
      <c r="U4862" s="9"/>
      <c r="V4862" s="9"/>
      <c r="W4862" s="9"/>
      <c r="X4862" s="9"/>
      <c r="Y4862" s="9"/>
      <c r="Z4862" s="9"/>
      <c r="AA4862" s="9"/>
    </row>
    <row r="4863" spans="1:27">
      <c r="A4863" s="8"/>
      <c r="B4863" s="8"/>
      <c r="C4863" s="9"/>
      <c r="D4863" s="9"/>
      <c r="E4863" s="9"/>
      <c r="F4863" s="9"/>
      <c r="G4863" s="9"/>
      <c r="H4863" s="9"/>
      <c r="I4863" s="9"/>
      <c r="J4863" s="9"/>
      <c r="K4863" s="9"/>
      <c r="L4863" s="9"/>
      <c r="M4863" s="9"/>
      <c r="N4863" s="9"/>
      <c r="O4863" s="9"/>
      <c r="P4863" s="9"/>
      <c r="Q4863" s="9"/>
      <c r="R4863" s="9"/>
      <c r="S4863" s="9"/>
      <c r="T4863" s="9"/>
      <c r="U4863" s="9"/>
      <c r="V4863" s="9"/>
      <c r="W4863" s="9"/>
      <c r="X4863" s="9"/>
      <c r="Y4863" s="9"/>
      <c r="Z4863" s="9"/>
      <c r="AA4863" s="9"/>
    </row>
    <row r="4864" spans="1:27">
      <c r="A4864" s="8"/>
      <c r="B4864" s="8"/>
      <c r="C4864" s="9"/>
      <c r="D4864" s="9"/>
      <c r="E4864" s="9"/>
      <c r="F4864" s="9"/>
      <c r="G4864" s="9"/>
      <c r="H4864" s="9"/>
      <c r="I4864" s="9"/>
      <c r="J4864" s="9"/>
      <c r="K4864" s="9"/>
      <c r="L4864" s="9"/>
      <c r="M4864" s="9"/>
      <c r="N4864" s="9"/>
      <c r="O4864" s="9"/>
      <c r="P4864" s="9"/>
      <c r="Q4864" s="9"/>
      <c r="R4864" s="9"/>
      <c r="S4864" s="9"/>
      <c r="T4864" s="9"/>
      <c r="U4864" s="9"/>
      <c r="V4864" s="9"/>
      <c r="W4864" s="9"/>
      <c r="X4864" s="9"/>
      <c r="Y4864" s="9"/>
      <c r="Z4864" s="9"/>
      <c r="AA4864" s="9"/>
    </row>
    <row r="4865" spans="1:27">
      <c r="A4865" s="8"/>
      <c r="B4865" s="8"/>
      <c r="C4865" s="9"/>
      <c r="D4865" s="9"/>
      <c r="E4865" s="9"/>
      <c r="F4865" s="9"/>
      <c r="G4865" s="9"/>
      <c r="H4865" s="9"/>
      <c r="I4865" s="9"/>
      <c r="J4865" s="9"/>
      <c r="K4865" s="9"/>
      <c r="L4865" s="9"/>
      <c r="M4865" s="9"/>
      <c r="N4865" s="9"/>
      <c r="O4865" s="9"/>
      <c r="P4865" s="9"/>
      <c r="Q4865" s="9"/>
      <c r="R4865" s="9"/>
      <c r="S4865" s="9"/>
      <c r="T4865" s="9"/>
      <c r="U4865" s="9"/>
      <c r="V4865" s="9"/>
      <c r="W4865" s="9"/>
      <c r="X4865" s="9"/>
      <c r="Y4865" s="9"/>
      <c r="Z4865" s="9"/>
      <c r="AA4865" s="9"/>
    </row>
    <row r="4866" spans="1:27">
      <c r="A4866" s="8"/>
      <c r="B4866" s="8"/>
      <c r="C4866" s="9"/>
      <c r="D4866" s="9"/>
      <c r="E4866" s="9"/>
      <c r="F4866" s="9"/>
      <c r="G4866" s="9"/>
      <c r="H4866" s="9"/>
      <c r="I4866" s="9"/>
      <c r="J4866" s="9"/>
      <c r="K4866" s="9"/>
      <c r="L4866" s="9"/>
      <c r="M4866" s="9"/>
      <c r="N4866" s="9"/>
      <c r="O4866" s="9"/>
      <c r="P4866" s="9"/>
      <c r="Q4866" s="9"/>
      <c r="R4866" s="9"/>
      <c r="S4866" s="9"/>
      <c r="T4866" s="9"/>
      <c r="U4866" s="9"/>
      <c r="V4866" s="9"/>
      <c r="W4866" s="9"/>
      <c r="X4866" s="9"/>
      <c r="Y4866" s="9"/>
      <c r="Z4866" s="9"/>
      <c r="AA4866" s="9"/>
    </row>
    <row r="4867" spans="1:27">
      <c r="A4867" s="8"/>
      <c r="B4867" s="8"/>
      <c r="C4867" s="9"/>
      <c r="D4867" s="9"/>
      <c r="E4867" s="9"/>
      <c r="F4867" s="9"/>
      <c r="G4867" s="9"/>
      <c r="H4867" s="9"/>
      <c r="I4867" s="9"/>
      <c r="J4867" s="9"/>
      <c r="K4867" s="9"/>
      <c r="L4867" s="9"/>
      <c r="M4867" s="9"/>
      <c r="N4867" s="9"/>
      <c r="O4867" s="9"/>
      <c r="P4867" s="9"/>
      <c r="Q4867" s="9"/>
      <c r="R4867" s="9"/>
      <c r="S4867" s="9"/>
      <c r="T4867" s="9"/>
      <c r="U4867" s="9"/>
      <c r="V4867" s="9"/>
      <c r="W4867" s="9"/>
      <c r="X4867" s="9"/>
      <c r="Y4867" s="9"/>
      <c r="Z4867" s="9"/>
      <c r="AA4867" s="9"/>
    </row>
    <row r="4868" spans="1:27">
      <c r="A4868" s="8"/>
      <c r="B4868" s="8"/>
      <c r="C4868" s="9"/>
      <c r="D4868" s="9"/>
      <c r="E4868" s="9"/>
      <c r="F4868" s="9"/>
      <c r="G4868" s="9"/>
      <c r="H4868" s="9"/>
      <c r="I4868" s="9"/>
      <c r="J4868" s="9"/>
      <c r="K4868" s="9"/>
      <c r="L4868" s="9"/>
      <c r="M4868" s="9"/>
      <c r="N4868" s="9"/>
      <c r="O4868" s="9"/>
      <c r="P4868" s="9"/>
      <c r="Q4868" s="9"/>
      <c r="R4868" s="9"/>
      <c r="S4868" s="9"/>
      <c r="T4868" s="9"/>
      <c r="U4868" s="9"/>
      <c r="V4868" s="9"/>
      <c r="W4868" s="9"/>
      <c r="X4868" s="9"/>
      <c r="Y4868" s="9"/>
      <c r="Z4868" s="9"/>
      <c r="AA4868" s="9"/>
    </row>
    <row r="4869" spans="1:27">
      <c r="A4869" s="8"/>
      <c r="B4869" s="8"/>
      <c r="C4869" s="9"/>
      <c r="D4869" s="9"/>
      <c r="E4869" s="9"/>
      <c r="F4869" s="9"/>
      <c r="G4869" s="9"/>
      <c r="H4869" s="9"/>
      <c r="I4869" s="9"/>
      <c r="J4869" s="9"/>
      <c r="K4869" s="9"/>
      <c r="L4869" s="9"/>
      <c r="M4869" s="9"/>
      <c r="N4869" s="9"/>
      <c r="O4869" s="9"/>
      <c r="P4869" s="9"/>
      <c r="Q4869" s="9"/>
      <c r="R4869" s="9"/>
      <c r="S4869" s="9"/>
      <c r="T4869" s="9"/>
      <c r="U4869" s="9"/>
      <c r="V4869" s="9"/>
      <c r="W4869" s="9"/>
      <c r="X4869" s="9"/>
      <c r="Y4869" s="9"/>
      <c r="Z4869" s="9"/>
      <c r="AA4869" s="9"/>
    </row>
    <row r="4870" spans="1:27">
      <c r="A4870" s="8"/>
      <c r="B4870" s="8"/>
      <c r="C4870" s="9"/>
      <c r="D4870" s="9"/>
      <c r="E4870" s="9"/>
      <c r="F4870" s="9"/>
      <c r="G4870" s="9"/>
      <c r="H4870" s="9"/>
      <c r="I4870" s="9"/>
      <c r="J4870" s="9"/>
      <c r="K4870" s="9"/>
      <c r="L4870" s="9"/>
      <c r="M4870" s="9"/>
      <c r="N4870" s="9"/>
      <c r="O4870" s="9"/>
      <c r="P4870" s="9"/>
      <c r="Q4870" s="9"/>
      <c r="R4870" s="9"/>
      <c r="S4870" s="9"/>
      <c r="T4870" s="9"/>
      <c r="U4870" s="9"/>
      <c r="V4870" s="9"/>
      <c r="W4870" s="9"/>
      <c r="X4870" s="9"/>
      <c r="Y4870" s="9"/>
      <c r="Z4870" s="9"/>
      <c r="AA4870" s="9"/>
    </row>
    <row r="4871" spans="1:27">
      <c r="A4871" s="8"/>
      <c r="B4871" s="8"/>
      <c r="C4871" s="9"/>
      <c r="D4871" s="9"/>
      <c r="E4871" s="9"/>
      <c r="F4871" s="9"/>
      <c r="G4871" s="9"/>
      <c r="H4871" s="9"/>
      <c r="I4871" s="9"/>
      <c r="J4871" s="9"/>
      <c r="K4871" s="9"/>
      <c r="L4871" s="9"/>
      <c r="M4871" s="9"/>
      <c r="N4871" s="9"/>
      <c r="O4871" s="9"/>
      <c r="P4871" s="9"/>
      <c r="Q4871" s="9"/>
      <c r="R4871" s="9"/>
      <c r="S4871" s="9"/>
      <c r="T4871" s="9"/>
      <c r="U4871" s="9"/>
      <c r="V4871" s="9"/>
      <c r="W4871" s="9"/>
      <c r="X4871" s="9"/>
      <c r="Y4871" s="9"/>
      <c r="Z4871" s="9"/>
      <c r="AA4871" s="9"/>
    </row>
    <row r="4872" spans="1:27">
      <c r="A4872" s="8"/>
      <c r="B4872" s="8"/>
      <c r="C4872" s="9"/>
      <c r="D4872" s="9"/>
      <c r="E4872" s="9"/>
      <c r="F4872" s="9"/>
      <c r="G4872" s="9"/>
      <c r="H4872" s="9"/>
      <c r="I4872" s="9"/>
      <c r="J4872" s="9"/>
      <c r="K4872" s="9"/>
      <c r="L4872" s="9"/>
      <c r="M4872" s="9"/>
      <c r="N4872" s="9"/>
      <c r="O4872" s="9"/>
      <c r="P4872" s="9"/>
      <c r="Q4872" s="9"/>
      <c r="R4872" s="9"/>
      <c r="S4872" s="9"/>
      <c r="T4872" s="9"/>
      <c r="U4872" s="9"/>
      <c r="V4872" s="9"/>
      <c r="W4872" s="9"/>
      <c r="X4872" s="9"/>
      <c r="Y4872" s="9"/>
      <c r="Z4872" s="9"/>
      <c r="AA4872" s="9"/>
    </row>
    <row r="4873" spans="1:27">
      <c r="A4873" s="8"/>
      <c r="B4873" s="8"/>
      <c r="C4873" s="9"/>
      <c r="D4873" s="9"/>
      <c r="E4873" s="9"/>
      <c r="F4873" s="9"/>
      <c r="G4873" s="9"/>
      <c r="H4873" s="9"/>
      <c r="I4873" s="9"/>
      <c r="J4873" s="9"/>
      <c r="K4873" s="9"/>
      <c r="L4873" s="9"/>
      <c r="M4873" s="9"/>
      <c r="N4873" s="9"/>
      <c r="O4873" s="9"/>
      <c r="P4873" s="9"/>
      <c r="Q4873" s="9"/>
      <c r="R4873" s="9"/>
      <c r="S4873" s="9"/>
      <c r="T4873" s="9"/>
      <c r="U4873" s="9"/>
      <c r="V4873" s="9"/>
      <c r="W4873" s="9"/>
      <c r="X4873" s="9"/>
      <c r="Y4873" s="9"/>
      <c r="Z4873" s="9"/>
      <c r="AA4873" s="9"/>
    </row>
    <row r="4874" spans="1:27">
      <c r="A4874" s="8"/>
      <c r="B4874" s="8"/>
      <c r="C4874" s="9"/>
      <c r="D4874" s="9"/>
      <c r="E4874" s="9"/>
      <c r="F4874" s="9"/>
      <c r="G4874" s="9"/>
      <c r="H4874" s="9"/>
      <c r="I4874" s="9"/>
      <c r="J4874" s="9"/>
      <c r="K4874" s="9"/>
      <c r="L4874" s="9"/>
      <c r="M4874" s="9"/>
      <c r="N4874" s="9"/>
      <c r="O4874" s="9"/>
      <c r="P4874" s="9"/>
      <c r="Q4874" s="9"/>
      <c r="R4874" s="9"/>
      <c r="S4874" s="9"/>
      <c r="T4874" s="9"/>
      <c r="U4874" s="9"/>
      <c r="V4874" s="9"/>
      <c r="W4874" s="9"/>
      <c r="X4874" s="9"/>
      <c r="Y4874" s="9"/>
      <c r="Z4874" s="9"/>
      <c r="AA4874" s="9"/>
    </row>
    <row r="4875" spans="1:27">
      <c r="A4875" s="8"/>
      <c r="B4875" s="8"/>
      <c r="C4875" s="9"/>
      <c r="D4875" s="9"/>
      <c r="E4875" s="9"/>
      <c r="F4875" s="9"/>
      <c r="G4875" s="9"/>
      <c r="H4875" s="9"/>
      <c r="I4875" s="9"/>
      <c r="J4875" s="9"/>
      <c r="K4875" s="9"/>
      <c r="L4875" s="9"/>
      <c r="M4875" s="9"/>
      <c r="N4875" s="9"/>
      <c r="O4875" s="9"/>
      <c r="P4875" s="9"/>
      <c r="Q4875" s="9"/>
      <c r="R4875" s="9"/>
      <c r="S4875" s="9"/>
      <c r="T4875" s="9"/>
      <c r="U4875" s="9"/>
      <c r="V4875" s="9"/>
      <c r="W4875" s="9"/>
      <c r="X4875" s="9"/>
      <c r="Y4875" s="9"/>
      <c r="Z4875" s="9"/>
      <c r="AA4875" s="9"/>
    </row>
    <row r="4876" spans="1:27">
      <c r="A4876" s="8"/>
      <c r="B4876" s="8"/>
      <c r="C4876" s="9"/>
      <c r="D4876" s="9"/>
      <c r="E4876" s="9"/>
      <c r="F4876" s="9"/>
      <c r="G4876" s="9"/>
      <c r="H4876" s="9"/>
      <c r="I4876" s="9"/>
      <c r="J4876" s="9"/>
      <c r="K4876" s="9"/>
      <c r="L4876" s="9"/>
      <c r="M4876" s="9"/>
      <c r="N4876" s="9"/>
      <c r="O4876" s="9"/>
      <c r="P4876" s="9"/>
      <c r="Q4876" s="9"/>
      <c r="R4876" s="9"/>
      <c r="S4876" s="9"/>
      <c r="T4876" s="9"/>
      <c r="U4876" s="9"/>
      <c r="V4876" s="9"/>
      <c r="W4876" s="9"/>
      <c r="X4876" s="9"/>
      <c r="Y4876" s="9"/>
      <c r="Z4876" s="9"/>
      <c r="AA4876" s="9"/>
    </row>
    <row r="4877" spans="1:27">
      <c r="A4877" s="8"/>
      <c r="B4877" s="8"/>
      <c r="C4877" s="9"/>
      <c r="D4877" s="9"/>
      <c r="E4877" s="9"/>
      <c r="F4877" s="9"/>
      <c r="G4877" s="9"/>
      <c r="H4877" s="9"/>
      <c r="I4877" s="9"/>
      <c r="J4877" s="9"/>
      <c r="K4877" s="9"/>
      <c r="L4877" s="9"/>
      <c r="M4877" s="9"/>
      <c r="N4877" s="9"/>
      <c r="O4877" s="9"/>
      <c r="P4877" s="9"/>
      <c r="Q4877" s="9"/>
      <c r="R4877" s="9"/>
      <c r="S4877" s="9"/>
      <c r="T4877" s="9"/>
      <c r="U4877" s="9"/>
      <c r="V4877" s="9"/>
      <c r="W4877" s="9"/>
      <c r="X4877" s="9"/>
      <c r="Y4877" s="9"/>
      <c r="Z4877" s="9"/>
      <c r="AA4877" s="9"/>
    </row>
    <row r="4878" spans="1:27">
      <c r="A4878" s="8"/>
      <c r="B4878" s="8"/>
      <c r="C4878" s="9"/>
      <c r="D4878" s="9"/>
      <c r="E4878" s="9"/>
      <c r="F4878" s="9"/>
      <c r="G4878" s="9"/>
      <c r="H4878" s="9"/>
      <c r="I4878" s="9"/>
      <c r="J4878" s="9"/>
      <c r="K4878" s="9"/>
      <c r="L4878" s="9"/>
      <c r="M4878" s="9"/>
      <c r="N4878" s="9"/>
      <c r="O4878" s="9"/>
      <c r="P4878" s="9"/>
      <c r="Q4878" s="9"/>
      <c r="R4878" s="9"/>
      <c r="S4878" s="9"/>
      <c r="T4878" s="9"/>
      <c r="U4878" s="9"/>
      <c r="V4878" s="9"/>
      <c r="W4878" s="9"/>
      <c r="X4878" s="9"/>
      <c r="Y4878" s="9"/>
      <c r="Z4878" s="9"/>
      <c r="AA4878" s="9"/>
    </row>
    <row r="4879" spans="1:27">
      <c r="A4879" s="8"/>
      <c r="B4879" s="8"/>
      <c r="C4879" s="9"/>
      <c r="D4879" s="9"/>
      <c r="E4879" s="9"/>
      <c r="F4879" s="9"/>
      <c r="G4879" s="9"/>
      <c r="H4879" s="9"/>
      <c r="I4879" s="9"/>
      <c r="J4879" s="9"/>
      <c r="K4879" s="9"/>
      <c r="L4879" s="9"/>
      <c r="M4879" s="9"/>
      <c r="N4879" s="9"/>
      <c r="O4879" s="9"/>
      <c r="P4879" s="9"/>
      <c r="Q4879" s="9"/>
      <c r="R4879" s="9"/>
      <c r="S4879" s="9"/>
      <c r="T4879" s="9"/>
      <c r="U4879" s="9"/>
      <c r="V4879" s="9"/>
      <c r="W4879" s="9"/>
      <c r="X4879" s="9"/>
      <c r="Y4879" s="9"/>
      <c r="Z4879" s="9"/>
      <c r="AA4879" s="9"/>
    </row>
    <row r="4880" spans="1:27">
      <c r="A4880" s="8"/>
      <c r="B4880" s="8"/>
      <c r="C4880" s="9"/>
      <c r="D4880" s="9"/>
      <c r="E4880" s="9"/>
      <c r="F4880" s="9"/>
      <c r="G4880" s="9"/>
      <c r="H4880" s="9"/>
      <c r="I4880" s="9"/>
      <c r="J4880" s="9"/>
      <c r="K4880" s="9"/>
      <c r="L4880" s="9"/>
      <c r="M4880" s="9"/>
      <c r="N4880" s="9"/>
      <c r="O4880" s="9"/>
      <c r="P4880" s="9"/>
      <c r="Q4880" s="9"/>
      <c r="R4880" s="9"/>
      <c r="S4880" s="9"/>
      <c r="T4880" s="9"/>
      <c r="U4880" s="9"/>
      <c r="V4880" s="9"/>
      <c r="W4880" s="9"/>
      <c r="X4880" s="9"/>
      <c r="Y4880" s="9"/>
      <c r="Z4880" s="9"/>
      <c r="AA4880" s="9"/>
    </row>
    <row r="4881" spans="1:27">
      <c r="A4881" s="8"/>
      <c r="B4881" s="8"/>
      <c r="C4881" s="9"/>
      <c r="D4881" s="9"/>
      <c r="E4881" s="9"/>
      <c r="F4881" s="9"/>
      <c r="G4881" s="9"/>
      <c r="H4881" s="9"/>
      <c r="I4881" s="9"/>
      <c r="J4881" s="9"/>
      <c r="K4881" s="9"/>
      <c r="L4881" s="9"/>
      <c r="M4881" s="9"/>
      <c r="N4881" s="9"/>
      <c r="O4881" s="9"/>
      <c r="P4881" s="9"/>
      <c r="Q4881" s="9"/>
      <c r="R4881" s="9"/>
      <c r="S4881" s="9"/>
      <c r="T4881" s="9"/>
      <c r="U4881" s="9"/>
      <c r="V4881" s="9"/>
      <c r="W4881" s="9"/>
      <c r="X4881" s="9"/>
      <c r="Y4881" s="9"/>
      <c r="Z4881" s="9"/>
      <c r="AA4881" s="9"/>
    </row>
    <row r="4882" spans="1:27">
      <c r="A4882" s="8"/>
      <c r="B4882" s="8"/>
      <c r="C4882" s="9"/>
      <c r="D4882" s="9"/>
      <c r="E4882" s="9"/>
      <c r="F4882" s="9"/>
      <c r="G4882" s="9"/>
      <c r="H4882" s="9"/>
      <c r="I4882" s="9"/>
      <c r="J4882" s="9"/>
      <c r="K4882" s="9"/>
      <c r="L4882" s="9"/>
      <c r="M4882" s="9"/>
      <c r="N4882" s="9"/>
      <c r="O4882" s="9"/>
      <c r="P4882" s="9"/>
      <c r="Q4882" s="9"/>
      <c r="R4882" s="9"/>
      <c r="S4882" s="9"/>
      <c r="T4882" s="9"/>
      <c r="U4882" s="9"/>
      <c r="V4882" s="9"/>
      <c r="W4882" s="9"/>
      <c r="X4882" s="9"/>
      <c r="Y4882" s="9"/>
      <c r="Z4882" s="9"/>
      <c r="AA4882" s="9"/>
    </row>
    <row r="4883" spans="1:27">
      <c r="A4883" s="8"/>
      <c r="B4883" s="8"/>
      <c r="C4883" s="9"/>
      <c r="D4883" s="9"/>
      <c r="E4883" s="9"/>
      <c r="F4883" s="9"/>
      <c r="G4883" s="9"/>
      <c r="H4883" s="9"/>
      <c r="I4883" s="9"/>
      <c r="J4883" s="9"/>
      <c r="K4883" s="9"/>
      <c r="L4883" s="9"/>
      <c r="M4883" s="9"/>
      <c r="N4883" s="9"/>
      <c r="O4883" s="9"/>
      <c r="P4883" s="9"/>
      <c r="Q4883" s="9"/>
      <c r="R4883" s="9"/>
      <c r="S4883" s="9"/>
      <c r="T4883" s="9"/>
      <c r="U4883" s="9"/>
      <c r="V4883" s="9"/>
      <c r="W4883" s="9"/>
      <c r="X4883" s="9"/>
      <c r="Y4883" s="9"/>
      <c r="Z4883" s="9"/>
      <c r="AA4883" s="9"/>
    </row>
    <row r="4884" spans="1:27">
      <c r="A4884" s="8"/>
      <c r="B4884" s="8"/>
      <c r="C4884" s="9"/>
      <c r="D4884" s="9"/>
      <c r="E4884" s="9"/>
      <c r="F4884" s="9"/>
      <c r="G4884" s="9"/>
      <c r="H4884" s="9"/>
      <c r="I4884" s="9"/>
      <c r="J4884" s="9"/>
      <c r="K4884" s="9"/>
      <c r="L4884" s="9"/>
      <c r="M4884" s="9"/>
      <c r="N4884" s="9"/>
      <c r="O4884" s="9"/>
      <c r="P4884" s="9"/>
      <c r="Q4884" s="9"/>
      <c r="R4884" s="9"/>
      <c r="S4884" s="9"/>
      <c r="T4884" s="9"/>
      <c r="U4884" s="9"/>
      <c r="V4884" s="9"/>
      <c r="W4884" s="9"/>
      <c r="X4884" s="9"/>
      <c r="Y4884" s="9"/>
      <c r="Z4884" s="9"/>
      <c r="AA4884" s="9"/>
    </row>
    <row r="4885" spans="1:27">
      <c r="A4885" s="8"/>
      <c r="B4885" s="8"/>
      <c r="C4885" s="9"/>
      <c r="D4885" s="9"/>
      <c r="E4885" s="9"/>
      <c r="F4885" s="9"/>
      <c r="G4885" s="9"/>
      <c r="H4885" s="9"/>
      <c r="I4885" s="9"/>
      <c r="J4885" s="9"/>
      <c r="K4885" s="9"/>
      <c r="L4885" s="9"/>
      <c r="M4885" s="9"/>
      <c r="N4885" s="9"/>
      <c r="O4885" s="9"/>
      <c r="P4885" s="9"/>
      <c r="Q4885" s="9"/>
      <c r="R4885" s="9"/>
      <c r="S4885" s="9"/>
      <c r="T4885" s="9"/>
      <c r="U4885" s="9"/>
      <c r="V4885" s="9"/>
      <c r="W4885" s="9"/>
      <c r="X4885" s="9"/>
      <c r="Y4885" s="9"/>
      <c r="Z4885" s="9"/>
      <c r="AA4885" s="9"/>
    </row>
    <row r="4886" spans="1:27">
      <c r="A4886" s="8"/>
      <c r="B4886" s="8"/>
      <c r="C4886" s="9"/>
      <c r="D4886" s="9"/>
      <c r="E4886" s="9"/>
      <c r="F4886" s="9"/>
      <c r="G4886" s="9"/>
      <c r="H4886" s="9"/>
      <c r="I4886" s="9"/>
      <c r="J4886" s="9"/>
      <c r="K4886" s="9"/>
      <c r="L4886" s="9"/>
      <c r="M4886" s="9"/>
      <c r="N4886" s="9"/>
      <c r="O4886" s="9"/>
      <c r="P4886" s="9"/>
      <c r="Q4886" s="9"/>
      <c r="R4886" s="9"/>
      <c r="S4886" s="9"/>
      <c r="T4886" s="9"/>
      <c r="U4886" s="9"/>
      <c r="V4886" s="9"/>
      <c r="W4886" s="9"/>
      <c r="X4886" s="9"/>
      <c r="Y4886" s="9"/>
      <c r="Z4886" s="9"/>
      <c r="AA4886" s="9"/>
    </row>
    <row r="4887" spans="1:27">
      <c r="A4887" s="8"/>
      <c r="B4887" s="8"/>
      <c r="C4887" s="9"/>
      <c r="D4887" s="9"/>
      <c r="E4887" s="9"/>
      <c r="F4887" s="9"/>
      <c r="G4887" s="9"/>
      <c r="H4887" s="9"/>
      <c r="I4887" s="9"/>
      <c r="J4887" s="9"/>
      <c r="K4887" s="9"/>
      <c r="L4887" s="9"/>
      <c r="M4887" s="9"/>
      <c r="N4887" s="9"/>
      <c r="O4887" s="9"/>
      <c r="P4887" s="9"/>
      <c r="Q4887" s="9"/>
      <c r="R4887" s="9"/>
      <c r="S4887" s="9"/>
      <c r="T4887" s="9"/>
      <c r="U4887" s="9"/>
      <c r="V4887" s="9"/>
      <c r="W4887" s="9"/>
      <c r="X4887" s="9"/>
      <c r="Y4887" s="9"/>
      <c r="Z4887" s="9"/>
      <c r="AA4887" s="9"/>
    </row>
    <row r="4888" spans="1:27">
      <c r="A4888" s="8"/>
      <c r="B4888" s="8"/>
      <c r="C4888" s="9"/>
      <c r="D4888" s="9"/>
      <c r="E4888" s="9"/>
      <c r="F4888" s="9"/>
      <c r="G4888" s="9"/>
      <c r="H4888" s="9"/>
      <c r="I4888" s="9"/>
      <c r="J4888" s="9"/>
      <c r="K4888" s="9"/>
      <c r="L4888" s="9"/>
      <c r="M4888" s="9"/>
      <c r="N4888" s="9"/>
      <c r="O4888" s="9"/>
      <c r="P4888" s="9"/>
      <c r="Q4888" s="9"/>
      <c r="R4888" s="9"/>
      <c r="S4888" s="9"/>
      <c r="T4888" s="9"/>
      <c r="U4888" s="9"/>
      <c r="V4888" s="9"/>
      <c r="W4888" s="9"/>
      <c r="X4888" s="9"/>
      <c r="Y4888" s="9"/>
      <c r="Z4888" s="9"/>
      <c r="AA4888" s="9"/>
    </row>
    <row r="4889" spans="1:27">
      <c r="A4889" s="8"/>
      <c r="B4889" s="8"/>
      <c r="C4889" s="9"/>
      <c r="D4889" s="9"/>
      <c r="E4889" s="9"/>
      <c r="F4889" s="9"/>
      <c r="G4889" s="9"/>
      <c r="H4889" s="9"/>
      <c r="I4889" s="9"/>
      <c r="J4889" s="9"/>
      <c r="K4889" s="9"/>
      <c r="L4889" s="9"/>
      <c r="M4889" s="9"/>
      <c r="N4889" s="9"/>
      <c r="O4889" s="9"/>
      <c r="P4889" s="9"/>
      <c r="Q4889" s="9"/>
      <c r="R4889" s="9"/>
      <c r="S4889" s="9"/>
      <c r="T4889" s="9"/>
      <c r="U4889" s="9"/>
      <c r="V4889" s="9"/>
      <c r="W4889" s="9"/>
      <c r="X4889" s="9"/>
      <c r="Y4889" s="9"/>
      <c r="Z4889" s="9"/>
      <c r="AA4889" s="9"/>
    </row>
    <row r="4890" spans="1:27">
      <c r="A4890" s="8"/>
      <c r="B4890" s="8"/>
      <c r="C4890" s="9"/>
      <c r="D4890" s="9"/>
      <c r="E4890" s="9"/>
      <c r="F4890" s="9"/>
      <c r="G4890" s="9"/>
      <c r="H4890" s="9"/>
      <c r="I4890" s="9"/>
      <c r="J4890" s="9"/>
      <c r="K4890" s="9"/>
      <c r="L4890" s="9"/>
      <c r="M4890" s="9"/>
      <c r="N4890" s="9"/>
      <c r="O4890" s="9"/>
      <c r="P4890" s="9"/>
      <c r="Q4890" s="9"/>
      <c r="R4890" s="9"/>
      <c r="S4890" s="9"/>
      <c r="T4890" s="9"/>
      <c r="U4890" s="9"/>
      <c r="V4890" s="9"/>
      <c r="W4890" s="9"/>
      <c r="X4890" s="9"/>
      <c r="Y4890" s="9"/>
      <c r="Z4890" s="9"/>
      <c r="AA4890" s="9"/>
    </row>
    <row r="4891" spans="1:27">
      <c r="A4891" s="8"/>
      <c r="B4891" s="8"/>
      <c r="C4891" s="9"/>
      <c r="D4891" s="9"/>
      <c r="E4891" s="9"/>
      <c r="F4891" s="9"/>
      <c r="G4891" s="9"/>
      <c r="H4891" s="9"/>
      <c r="I4891" s="9"/>
      <c r="J4891" s="9"/>
      <c r="K4891" s="9"/>
      <c r="L4891" s="9"/>
      <c r="M4891" s="9"/>
      <c r="N4891" s="9"/>
      <c r="O4891" s="9"/>
      <c r="P4891" s="9"/>
      <c r="Q4891" s="9"/>
      <c r="R4891" s="9"/>
      <c r="S4891" s="9"/>
      <c r="T4891" s="9"/>
      <c r="U4891" s="9"/>
      <c r="V4891" s="9"/>
      <c r="W4891" s="9"/>
      <c r="X4891" s="9"/>
      <c r="Y4891" s="9"/>
      <c r="Z4891" s="9"/>
      <c r="AA4891" s="9"/>
    </row>
    <row r="4892" spans="1:27">
      <c r="A4892" s="8"/>
      <c r="B4892" s="8"/>
      <c r="C4892" s="9"/>
      <c r="D4892" s="9"/>
      <c r="E4892" s="9"/>
      <c r="F4892" s="9"/>
      <c r="G4892" s="9"/>
      <c r="H4892" s="9"/>
      <c r="I4892" s="9"/>
      <c r="J4892" s="9"/>
      <c r="K4892" s="9"/>
      <c r="L4892" s="9"/>
      <c r="M4892" s="9"/>
      <c r="N4892" s="9"/>
      <c r="O4892" s="9"/>
      <c r="P4892" s="9"/>
      <c r="Q4892" s="9"/>
      <c r="R4892" s="9"/>
      <c r="S4892" s="9"/>
      <c r="T4892" s="9"/>
      <c r="U4892" s="9"/>
      <c r="V4892" s="9"/>
      <c r="W4892" s="9"/>
      <c r="X4892" s="9"/>
      <c r="Y4892" s="9"/>
      <c r="Z4892" s="9"/>
      <c r="AA4892" s="9"/>
    </row>
    <row r="4893" spans="1:27">
      <c r="A4893" s="8"/>
      <c r="B4893" s="8"/>
      <c r="C4893" s="9"/>
      <c r="D4893" s="9"/>
      <c r="E4893" s="9"/>
      <c r="F4893" s="9"/>
      <c r="G4893" s="9"/>
      <c r="H4893" s="9"/>
      <c r="I4893" s="9"/>
      <c r="J4893" s="9"/>
      <c r="K4893" s="9"/>
      <c r="L4893" s="9"/>
      <c r="M4893" s="9"/>
      <c r="N4893" s="9"/>
      <c r="O4893" s="9"/>
      <c r="P4893" s="9"/>
      <c r="Q4893" s="9"/>
      <c r="R4893" s="9"/>
      <c r="S4893" s="9"/>
      <c r="T4893" s="9"/>
      <c r="U4893" s="9"/>
      <c r="V4893" s="9"/>
      <c r="W4893" s="9"/>
      <c r="X4893" s="9"/>
      <c r="Y4893" s="9"/>
      <c r="Z4893" s="9"/>
      <c r="AA4893" s="9"/>
    </row>
    <row r="4894" spans="1:27">
      <c r="A4894" s="8"/>
      <c r="B4894" s="8"/>
      <c r="C4894" s="9"/>
      <c r="D4894" s="9"/>
      <c r="E4894" s="9"/>
      <c r="F4894" s="9"/>
      <c r="G4894" s="9"/>
      <c r="H4894" s="9"/>
      <c r="I4894" s="9"/>
      <c r="J4894" s="9"/>
      <c r="K4894" s="9"/>
      <c r="L4894" s="9"/>
      <c r="M4894" s="9"/>
      <c r="N4894" s="9"/>
      <c r="O4894" s="9"/>
      <c r="P4894" s="9"/>
      <c r="Q4894" s="9"/>
      <c r="R4894" s="9"/>
      <c r="S4894" s="9"/>
      <c r="T4894" s="9"/>
      <c r="U4894" s="9"/>
      <c r="V4894" s="9"/>
      <c r="W4894" s="9"/>
      <c r="X4894" s="9"/>
      <c r="Y4894" s="9"/>
      <c r="Z4894" s="9"/>
      <c r="AA4894" s="9"/>
    </row>
    <row r="4895" spans="1:27">
      <c r="A4895" s="8"/>
      <c r="B4895" s="8"/>
      <c r="C4895" s="9"/>
      <c r="D4895" s="9"/>
      <c r="E4895" s="9"/>
      <c r="F4895" s="9"/>
      <c r="G4895" s="9"/>
      <c r="H4895" s="9"/>
      <c r="I4895" s="9"/>
      <c r="J4895" s="9"/>
      <c r="K4895" s="9"/>
      <c r="L4895" s="9"/>
      <c r="M4895" s="9"/>
      <c r="N4895" s="9"/>
      <c r="O4895" s="9"/>
      <c r="P4895" s="9"/>
      <c r="Q4895" s="9"/>
      <c r="R4895" s="9"/>
      <c r="S4895" s="9"/>
      <c r="T4895" s="9"/>
      <c r="U4895" s="9"/>
      <c r="V4895" s="9"/>
      <c r="W4895" s="9"/>
      <c r="X4895" s="9"/>
      <c r="Y4895" s="9"/>
      <c r="Z4895" s="9"/>
      <c r="AA4895" s="9"/>
    </row>
    <row r="4896" spans="1:27">
      <c r="A4896" s="8"/>
      <c r="B4896" s="8"/>
      <c r="C4896" s="9"/>
      <c r="D4896" s="9"/>
      <c r="E4896" s="9"/>
      <c r="F4896" s="9"/>
      <c r="G4896" s="9"/>
      <c r="H4896" s="9"/>
      <c r="I4896" s="9"/>
      <c r="J4896" s="9"/>
      <c r="K4896" s="9"/>
      <c r="L4896" s="9"/>
      <c r="M4896" s="9"/>
      <c r="N4896" s="9"/>
      <c r="O4896" s="9"/>
      <c r="P4896" s="9"/>
      <c r="Q4896" s="9"/>
      <c r="R4896" s="9"/>
      <c r="S4896" s="9"/>
      <c r="T4896" s="9"/>
      <c r="U4896" s="9"/>
      <c r="V4896" s="9"/>
      <c r="W4896" s="9"/>
      <c r="X4896" s="9"/>
      <c r="Y4896" s="9"/>
      <c r="Z4896" s="9"/>
      <c r="AA4896" s="9"/>
    </row>
    <row r="4897" spans="1:27">
      <c r="A4897" s="8"/>
      <c r="B4897" s="8"/>
      <c r="C4897" s="9"/>
      <c r="D4897" s="9"/>
      <c r="E4897" s="9"/>
      <c r="F4897" s="9"/>
      <c r="G4897" s="9"/>
      <c r="H4897" s="9"/>
      <c r="I4897" s="9"/>
      <c r="J4897" s="9"/>
      <c r="K4897" s="9"/>
      <c r="L4897" s="9"/>
      <c r="M4897" s="9"/>
      <c r="N4897" s="9"/>
      <c r="O4897" s="9"/>
      <c r="P4897" s="9"/>
      <c r="Q4897" s="9"/>
      <c r="R4897" s="9"/>
      <c r="S4897" s="9"/>
      <c r="T4897" s="9"/>
      <c r="U4897" s="9"/>
      <c r="V4897" s="9"/>
      <c r="W4897" s="9"/>
      <c r="X4897" s="9"/>
      <c r="Y4897" s="9"/>
      <c r="Z4897" s="9"/>
      <c r="AA4897" s="9"/>
    </row>
    <row r="4898" spans="1:27">
      <c r="A4898" s="8"/>
      <c r="B4898" s="8"/>
      <c r="C4898" s="9"/>
      <c r="D4898" s="9"/>
      <c r="E4898" s="9"/>
      <c r="F4898" s="9"/>
      <c r="G4898" s="9"/>
      <c r="H4898" s="9"/>
      <c r="I4898" s="9"/>
      <c r="J4898" s="9"/>
      <c r="K4898" s="9"/>
      <c r="L4898" s="9"/>
      <c r="M4898" s="9"/>
      <c r="N4898" s="9"/>
      <c r="O4898" s="9"/>
      <c r="P4898" s="9"/>
      <c r="Q4898" s="9"/>
      <c r="R4898" s="9"/>
      <c r="S4898" s="9"/>
      <c r="T4898" s="9"/>
      <c r="U4898" s="9"/>
      <c r="V4898" s="9"/>
      <c r="W4898" s="9"/>
      <c r="X4898" s="9"/>
      <c r="Y4898" s="9"/>
      <c r="Z4898" s="9"/>
      <c r="AA4898" s="9"/>
    </row>
    <row r="4899" spans="1:27">
      <c r="A4899" s="8"/>
      <c r="B4899" s="8"/>
      <c r="C4899" s="9"/>
      <c r="D4899" s="9"/>
      <c r="E4899" s="9"/>
      <c r="F4899" s="9"/>
      <c r="G4899" s="9"/>
      <c r="H4899" s="9"/>
      <c r="I4899" s="9"/>
      <c r="J4899" s="9"/>
      <c r="K4899" s="9"/>
      <c r="L4899" s="9"/>
      <c r="M4899" s="9"/>
      <c r="N4899" s="9"/>
      <c r="O4899" s="9"/>
      <c r="P4899" s="9"/>
      <c r="Q4899" s="9"/>
      <c r="R4899" s="9"/>
      <c r="S4899" s="9"/>
      <c r="T4899" s="9"/>
      <c r="U4899" s="9"/>
      <c r="V4899" s="9"/>
      <c r="W4899" s="9"/>
      <c r="X4899" s="9"/>
      <c r="Y4899" s="9"/>
      <c r="Z4899" s="9"/>
      <c r="AA4899" s="9"/>
    </row>
    <row r="4900" spans="1:27">
      <c r="A4900" s="8"/>
      <c r="B4900" s="8"/>
      <c r="C4900" s="9"/>
      <c r="D4900" s="9"/>
      <c r="E4900" s="9"/>
      <c r="F4900" s="9"/>
      <c r="G4900" s="9"/>
      <c r="H4900" s="9"/>
      <c r="I4900" s="9"/>
      <c r="J4900" s="9"/>
      <c r="K4900" s="9"/>
      <c r="L4900" s="9"/>
      <c r="M4900" s="9"/>
      <c r="N4900" s="9"/>
      <c r="O4900" s="9"/>
      <c r="P4900" s="9"/>
      <c r="Q4900" s="9"/>
      <c r="R4900" s="9"/>
      <c r="S4900" s="9"/>
      <c r="T4900" s="9"/>
      <c r="U4900" s="9"/>
      <c r="V4900" s="9"/>
      <c r="W4900" s="9"/>
      <c r="X4900" s="9"/>
      <c r="Y4900" s="9"/>
      <c r="Z4900" s="9"/>
      <c r="AA4900" s="9"/>
    </row>
    <row r="4901" spans="1:27">
      <c r="A4901" s="8"/>
      <c r="B4901" s="8"/>
      <c r="C4901" s="9"/>
      <c r="D4901" s="9"/>
      <c r="E4901" s="9"/>
      <c r="F4901" s="9"/>
      <c r="G4901" s="9"/>
      <c r="H4901" s="9"/>
      <c r="I4901" s="9"/>
      <c r="J4901" s="9"/>
      <c r="K4901" s="9"/>
      <c r="L4901" s="9"/>
      <c r="M4901" s="9"/>
      <c r="N4901" s="9"/>
      <c r="O4901" s="9"/>
      <c r="P4901" s="9"/>
      <c r="Q4901" s="9"/>
      <c r="R4901" s="9"/>
      <c r="S4901" s="9"/>
      <c r="T4901" s="9"/>
      <c r="U4901" s="9"/>
      <c r="V4901" s="9"/>
      <c r="W4901" s="9"/>
      <c r="X4901" s="9"/>
      <c r="Y4901" s="9"/>
      <c r="Z4901" s="9"/>
      <c r="AA4901" s="9"/>
    </row>
    <row r="4902" spans="1:27">
      <c r="A4902" s="8"/>
      <c r="B4902" s="8"/>
      <c r="C4902" s="9"/>
      <c r="D4902" s="9"/>
      <c r="E4902" s="9"/>
      <c r="F4902" s="9"/>
      <c r="G4902" s="9"/>
      <c r="H4902" s="9"/>
      <c r="I4902" s="9"/>
      <c r="J4902" s="9"/>
      <c r="K4902" s="9"/>
      <c r="L4902" s="9"/>
      <c r="M4902" s="9"/>
      <c r="N4902" s="9"/>
      <c r="O4902" s="9"/>
      <c r="P4902" s="9"/>
      <c r="Q4902" s="9"/>
      <c r="R4902" s="9"/>
      <c r="S4902" s="9"/>
      <c r="T4902" s="9"/>
      <c r="U4902" s="9"/>
      <c r="V4902" s="9"/>
      <c r="W4902" s="9"/>
      <c r="X4902" s="9"/>
      <c r="Y4902" s="9"/>
      <c r="Z4902" s="9"/>
      <c r="AA4902" s="9"/>
    </row>
    <row r="4903" spans="1:27">
      <c r="A4903" s="8"/>
      <c r="B4903" s="8"/>
      <c r="C4903" s="9"/>
      <c r="D4903" s="9"/>
      <c r="E4903" s="9"/>
      <c r="F4903" s="9"/>
      <c r="G4903" s="9"/>
      <c r="H4903" s="9"/>
      <c r="I4903" s="9"/>
      <c r="J4903" s="9"/>
      <c r="K4903" s="9"/>
      <c r="L4903" s="9"/>
      <c r="M4903" s="9"/>
      <c r="N4903" s="9"/>
      <c r="O4903" s="9"/>
      <c r="P4903" s="9"/>
      <c r="Q4903" s="9"/>
      <c r="R4903" s="9"/>
      <c r="S4903" s="9"/>
      <c r="T4903" s="9"/>
      <c r="U4903" s="9"/>
      <c r="V4903" s="9"/>
      <c r="W4903" s="9"/>
      <c r="X4903" s="9"/>
      <c r="Y4903" s="9"/>
      <c r="Z4903" s="9"/>
      <c r="AA4903" s="9"/>
    </row>
    <row r="4904" spans="1:27">
      <c r="A4904" s="8"/>
      <c r="B4904" s="8"/>
      <c r="C4904" s="9"/>
      <c r="D4904" s="9"/>
      <c r="E4904" s="9"/>
      <c r="F4904" s="9"/>
      <c r="G4904" s="9"/>
      <c r="H4904" s="9"/>
      <c r="I4904" s="9"/>
      <c r="J4904" s="9"/>
      <c r="K4904" s="9"/>
      <c r="L4904" s="9"/>
      <c r="M4904" s="9"/>
      <c r="N4904" s="9"/>
      <c r="O4904" s="9"/>
      <c r="P4904" s="9"/>
      <c r="Q4904" s="9"/>
      <c r="R4904" s="9"/>
      <c r="S4904" s="9"/>
      <c r="T4904" s="9"/>
      <c r="U4904" s="9"/>
      <c r="V4904" s="9"/>
      <c r="W4904" s="9"/>
      <c r="X4904" s="9"/>
      <c r="Y4904" s="9"/>
      <c r="Z4904" s="9"/>
      <c r="AA4904" s="9"/>
    </row>
    <row r="4905" spans="1:27">
      <c r="A4905" s="8"/>
      <c r="B4905" s="8"/>
      <c r="C4905" s="9"/>
      <c r="D4905" s="9"/>
      <c r="E4905" s="9"/>
      <c r="F4905" s="9"/>
      <c r="G4905" s="9"/>
      <c r="H4905" s="9"/>
      <c r="I4905" s="9"/>
      <c r="J4905" s="9"/>
      <c r="K4905" s="9"/>
      <c r="L4905" s="9"/>
      <c r="M4905" s="9"/>
      <c r="N4905" s="9"/>
      <c r="O4905" s="9"/>
      <c r="P4905" s="9"/>
      <c r="Q4905" s="9"/>
      <c r="R4905" s="9"/>
      <c r="S4905" s="9"/>
      <c r="T4905" s="9"/>
      <c r="U4905" s="9"/>
      <c r="V4905" s="9"/>
      <c r="W4905" s="9"/>
      <c r="X4905" s="9"/>
      <c r="Y4905" s="9"/>
      <c r="Z4905" s="9"/>
      <c r="AA4905" s="9"/>
    </row>
    <row r="4906" spans="1:27">
      <c r="A4906" s="8"/>
      <c r="B4906" s="8"/>
      <c r="C4906" s="9"/>
      <c r="D4906" s="9"/>
      <c r="E4906" s="9"/>
      <c r="F4906" s="9"/>
      <c r="G4906" s="9"/>
      <c r="H4906" s="9"/>
      <c r="I4906" s="9"/>
      <c r="J4906" s="9"/>
      <c r="K4906" s="9"/>
      <c r="L4906" s="9"/>
      <c r="M4906" s="9"/>
      <c r="N4906" s="9"/>
      <c r="O4906" s="9"/>
      <c r="P4906" s="9"/>
      <c r="Q4906" s="9"/>
      <c r="R4906" s="9"/>
      <c r="S4906" s="9"/>
      <c r="T4906" s="9"/>
      <c r="U4906" s="9"/>
      <c r="V4906" s="9"/>
      <c r="W4906" s="9"/>
      <c r="X4906" s="9"/>
      <c r="Y4906" s="9"/>
      <c r="Z4906" s="9"/>
      <c r="AA4906" s="9"/>
    </row>
    <row r="4907" spans="1:27">
      <c r="A4907" s="8"/>
      <c r="B4907" s="8"/>
      <c r="C4907" s="9"/>
      <c r="D4907" s="9"/>
      <c r="E4907" s="9"/>
      <c r="F4907" s="9"/>
      <c r="G4907" s="9"/>
      <c r="H4907" s="9"/>
      <c r="I4907" s="9"/>
      <c r="J4907" s="9"/>
      <c r="K4907" s="9"/>
      <c r="L4907" s="9"/>
      <c r="M4907" s="9"/>
      <c r="N4907" s="9"/>
      <c r="O4907" s="9"/>
      <c r="P4907" s="9"/>
      <c r="Q4907" s="9"/>
      <c r="R4907" s="9"/>
      <c r="S4907" s="9"/>
      <c r="T4907" s="9"/>
      <c r="U4907" s="9"/>
      <c r="V4907" s="9"/>
      <c r="W4907" s="9"/>
      <c r="X4907" s="9"/>
      <c r="Y4907" s="9"/>
      <c r="Z4907" s="9"/>
      <c r="AA4907" s="9"/>
    </row>
    <row r="4908" spans="1:27">
      <c r="A4908" s="8"/>
      <c r="B4908" s="8"/>
      <c r="C4908" s="9"/>
      <c r="D4908" s="9"/>
      <c r="E4908" s="9"/>
      <c r="F4908" s="9"/>
      <c r="G4908" s="9"/>
      <c r="H4908" s="9"/>
      <c r="I4908" s="9"/>
      <c r="J4908" s="9"/>
      <c r="K4908" s="9"/>
      <c r="L4908" s="9"/>
      <c r="M4908" s="9"/>
      <c r="N4908" s="9"/>
      <c r="O4908" s="9"/>
      <c r="P4908" s="9"/>
      <c r="Q4908" s="9"/>
      <c r="R4908" s="9"/>
      <c r="S4908" s="9"/>
      <c r="T4908" s="9"/>
      <c r="U4908" s="9"/>
      <c r="V4908" s="9"/>
      <c r="W4908" s="9"/>
      <c r="X4908" s="9"/>
      <c r="Y4908" s="9"/>
      <c r="Z4908" s="9"/>
      <c r="AA4908" s="9"/>
    </row>
    <row r="4909" spans="1:27">
      <c r="A4909" s="8"/>
      <c r="B4909" s="8"/>
      <c r="C4909" s="9"/>
      <c r="D4909" s="9"/>
      <c r="E4909" s="9"/>
      <c r="F4909" s="9"/>
      <c r="G4909" s="9"/>
      <c r="H4909" s="9"/>
      <c r="I4909" s="9"/>
      <c r="J4909" s="9"/>
      <c r="K4909" s="9"/>
      <c r="L4909" s="9"/>
      <c r="M4909" s="9"/>
      <c r="N4909" s="9"/>
      <c r="O4909" s="9"/>
      <c r="P4909" s="9"/>
      <c r="Q4909" s="9"/>
      <c r="R4909" s="9"/>
      <c r="S4909" s="9"/>
      <c r="T4909" s="9"/>
      <c r="U4909" s="9"/>
      <c r="V4909" s="9"/>
      <c r="W4909" s="9"/>
      <c r="X4909" s="9"/>
      <c r="Y4909" s="9"/>
      <c r="Z4909" s="9"/>
      <c r="AA4909" s="9"/>
    </row>
    <row r="4910" spans="1:27">
      <c r="A4910" s="8"/>
      <c r="B4910" s="8"/>
      <c r="C4910" s="9"/>
      <c r="D4910" s="9"/>
      <c r="E4910" s="9"/>
      <c r="F4910" s="9"/>
      <c r="G4910" s="9"/>
      <c r="H4910" s="9"/>
      <c r="I4910" s="9"/>
      <c r="J4910" s="9"/>
      <c r="K4910" s="9"/>
      <c r="L4910" s="9"/>
      <c r="M4910" s="9"/>
      <c r="N4910" s="9"/>
      <c r="O4910" s="9"/>
      <c r="P4910" s="9"/>
      <c r="Q4910" s="9"/>
      <c r="R4910" s="9"/>
      <c r="S4910" s="9"/>
      <c r="T4910" s="9"/>
      <c r="U4910" s="9"/>
      <c r="V4910" s="9"/>
      <c r="W4910" s="9"/>
      <c r="X4910" s="9"/>
      <c r="Y4910" s="9"/>
      <c r="Z4910" s="9"/>
      <c r="AA4910" s="9"/>
    </row>
    <row r="4911" spans="1:27">
      <c r="A4911" s="8"/>
      <c r="B4911" s="8"/>
      <c r="C4911" s="9"/>
      <c r="D4911" s="9"/>
      <c r="E4911" s="9"/>
      <c r="F4911" s="9"/>
      <c r="G4911" s="9"/>
      <c r="H4911" s="9"/>
      <c r="I4911" s="9"/>
      <c r="J4911" s="9"/>
      <c r="K4911" s="9"/>
      <c r="L4911" s="9"/>
      <c r="M4911" s="9"/>
      <c r="N4911" s="9"/>
      <c r="O4911" s="9"/>
      <c r="P4911" s="9"/>
      <c r="Q4911" s="9"/>
      <c r="R4911" s="9"/>
      <c r="S4911" s="9"/>
      <c r="T4911" s="9"/>
      <c r="U4911" s="9"/>
      <c r="V4911" s="9"/>
      <c r="W4911" s="9"/>
      <c r="X4911" s="9"/>
      <c r="Y4911" s="9"/>
      <c r="Z4911" s="9"/>
      <c r="AA4911" s="9"/>
    </row>
    <row r="4912" spans="1:27">
      <c r="A4912" s="8"/>
      <c r="B4912" s="8"/>
      <c r="C4912" s="9"/>
      <c r="D4912" s="9"/>
      <c r="E4912" s="9"/>
      <c r="F4912" s="9"/>
      <c r="G4912" s="9"/>
      <c r="H4912" s="9"/>
      <c r="I4912" s="9"/>
      <c r="J4912" s="9"/>
      <c r="K4912" s="9"/>
      <c r="L4912" s="9"/>
      <c r="M4912" s="9"/>
      <c r="N4912" s="9"/>
      <c r="O4912" s="9"/>
      <c r="P4912" s="9"/>
      <c r="Q4912" s="9"/>
      <c r="R4912" s="9"/>
      <c r="S4912" s="9"/>
      <c r="T4912" s="9"/>
      <c r="U4912" s="9"/>
      <c r="V4912" s="9"/>
      <c r="W4912" s="9"/>
      <c r="X4912" s="9"/>
      <c r="Y4912" s="9"/>
      <c r="Z4912" s="9"/>
      <c r="AA4912" s="9"/>
    </row>
    <row r="4913" spans="1:27">
      <c r="A4913" s="8"/>
      <c r="B4913" s="8"/>
      <c r="C4913" s="9"/>
      <c r="D4913" s="9"/>
      <c r="E4913" s="9"/>
      <c r="F4913" s="9"/>
      <c r="G4913" s="9"/>
      <c r="H4913" s="9"/>
      <c r="I4913" s="9"/>
      <c r="J4913" s="9"/>
      <c r="K4913" s="9"/>
      <c r="L4913" s="9"/>
      <c r="M4913" s="9"/>
      <c r="N4913" s="9"/>
      <c r="O4913" s="9"/>
      <c r="P4913" s="9"/>
      <c r="Q4913" s="9"/>
      <c r="R4913" s="9"/>
      <c r="S4913" s="9"/>
      <c r="T4913" s="9"/>
      <c r="U4913" s="9"/>
      <c r="V4913" s="9"/>
      <c r="W4913" s="9"/>
      <c r="X4913" s="9"/>
      <c r="Y4913" s="9"/>
      <c r="Z4913" s="9"/>
      <c r="AA4913" s="9"/>
    </row>
    <row r="4914" spans="1:27">
      <c r="A4914" s="8"/>
      <c r="B4914" s="8"/>
      <c r="C4914" s="9"/>
      <c r="D4914" s="9"/>
      <c r="E4914" s="9"/>
      <c r="F4914" s="9"/>
      <c r="G4914" s="9"/>
      <c r="H4914" s="9"/>
      <c r="I4914" s="9"/>
      <c r="J4914" s="9"/>
      <c r="K4914" s="9"/>
      <c r="L4914" s="9"/>
      <c r="M4914" s="9"/>
      <c r="N4914" s="9"/>
      <c r="O4914" s="9"/>
      <c r="P4914" s="9"/>
      <c r="Q4914" s="9"/>
      <c r="R4914" s="9"/>
      <c r="S4914" s="9"/>
      <c r="T4914" s="9"/>
      <c r="U4914" s="9"/>
      <c r="V4914" s="9"/>
      <c r="W4914" s="9"/>
      <c r="X4914" s="9"/>
      <c r="Y4914" s="9"/>
      <c r="Z4914" s="9"/>
      <c r="AA4914" s="9"/>
    </row>
    <row r="4915" spans="1:27">
      <c r="A4915" s="8"/>
      <c r="B4915" s="8"/>
      <c r="C4915" s="9"/>
      <c r="D4915" s="9"/>
      <c r="E4915" s="9"/>
      <c r="F4915" s="9"/>
      <c r="G4915" s="9"/>
      <c r="H4915" s="9"/>
      <c r="I4915" s="9"/>
      <c r="J4915" s="9"/>
      <c r="K4915" s="9"/>
      <c r="L4915" s="9"/>
      <c r="M4915" s="9"/>
      <c r="N4915" s="9"/>
      <c r="O4915" s="9"/>
      <c r="P4915" s="9"/>
      <c r="Q4915" s="9"/>
      <c r="R4915" s="9"/>
      <c r="S4915" s="9"/>
      <c r="T4915" s="9"/>
      <c r="U4915" s="9"/>
      <c r="V4915" s="9"/>
      <c r="W4915" s="9"/>
      <c r="X4915" s="9"/>
      <c r="Y4915" s="9"/>
      <c r="Z4915" s="9"/>
      <c r="AA4915" s="9"/>
    </row>
    <row r="4916" spans="1:27">
      <c r="A4916" s="8"/>
      <c r="B4916" s="8"/>
      <c r="C4916" s="9"/>
      <c r="D4916" s="9"/>
      <c r="E4916" s="9"/>
      <c r="F4916" s="9"/>
      <c r="G4916" s="9"/>
      <c r="H4916" s="9"/>
      <c r="I4916" s="9"/>
      <c r="J4916" s="9"/>
      <c r="K4916" s="9"/>
      <c r="L4916" s="9"/>
      <c r="M4916" s="9"/>
      <c r="N4916" s="9"/>
      <c r="O4916" s="9"/>
      <c r="P4916" s="9"/>
      <c r="Q4916" s="9"/>
      <c r="R4916" s="9"/>
      <c r="S4916" s="9"/>
      <c r="T4916" s="9"/>
      <c r="U4916" s="9"/>
      <c r="V4916" s="9"/>
      <c r="W4916" s="9"/>
      <c r="X4916" s="9"/>
      <c r="Y4916" s="9"/>
      <c r="Z4916" s="9"/>
      <c r="AA4916" s="9"/>
    </row>
    <row r="4917" spans="1:27">
      <c r="A4917" s="8"/>
      <c r="B4917" s="8"/>
      <c r="C4917" s="9"/>
      <c r="D4917" s="9"/>
      <c r="E4917" s="9"/>
      <c r="F4917" s="9"/>
      <c r="G4917" s="9"/>
      <c r="H4917" s="9"/>
      <c r="I4917" s="9"/>
      <c r="J4917" s="9"/>
      <c r="K4917" s="9"/>
      <c r="L4917" s="9"/>
      <c r="M4917" s="9"/>
      <c r="N4917" s="9"/>
      <c r="O4917" s="9"/>
      <c r="P4917" s="9"/>
      <c r="Q4917" s="9"/>
      <c r="R4917" s="9"/>
      <c r="S4917" s="9"/>
      <c r="T4917" s="9"/>
      <c r="U4917" s="9"/>
      <c r="V4917" s="9"/>
      <c r="W4917" s="9"/>
      <c r="X4917" s="9"/>
      <c r="Y4917" s="9"/>
      <c r="Z4917" s="9"/>
      <c r="AA4917" s="9"/>
    </row>
    <row r="4918" spans="1:27">
      <c r="A4918" s="8"/>
      <c r="B4918" s="8"/>
      <c r="C4918" s="9"/>
      <c r="D4918" s="9"/>
      <c r="E4918" s="9"/>
      <c r="F4918" s="9"/>
      <c r="G4918" s="9"/>
      <c r="H4918" s="9"/>
      <c r="I4918" s="9"/>
      <c r="J4918" s="9"/>
      <c r="K4918" s="9"/>
      <c r="L4918" s="9"/>
      <c r="M4918" s="9"/>
      <c r="N4918" s="9"/>
      <c r="O4918" s="9"/>
      <c r="P4918" s="9"/>
      <c r="Q4918" s="9"/>
      <c r="R4918" s="9"/>
      <c r="S4918" s="9"/>
      <c r="T4918" s="9"/>
      <c r="U4918" s="9"/>
      <c r="V4918" s="9"/>
      <c r="W4918" s="9"/>
      <c r="X4918" s="9"/>
      <c r="Y4918" s="9"/>
      <c r="Z4918" s="9"/>
      <c r="AA4918" s="9"/>
    </row>
    <row r="4919" spans="1:27">
      <c r="A4919" s="8"/>
      <c r="B4919" s="8"/>
      <c r="C4919" s="9"/>
      <c r="D4919" s="9"/>
      <c r="E4919" s="9"/>
      <c r="F4919" s="9"/>
      <c r="G4919" s="9"/>
      <c r="H4919" s="9"/>
      <c r="I4919" s="9"/>
      <c r="J4919" s="9"/>
      <c r="K4919" s="9"/>
      <c r="L4919" s="9"/>
      <c r="M4919" s="9"/>
      <c r="N4919" s="9"/>
      <c r="O4919" s="9"/>
      <c r="P4919" s="9"/>
      <c r="Q4919" s="9"/>
      <c r="R4919" s="9"/>
      <c r="S4919" s="9"/>
      <c r="T4919" s="9"/>
      <c r="U4919" s="9"/>
      <c r="V4919" s="9"/>
      <c r="W4919" s="9"/>
      <c r="X4919" s="9"/>
      <c r="Y4919" s="9"/>
      <c r="Z4919" s="9"/>
      <c r="AA4919" s="9"/>
    </row>
    <row r="4920" spans="1:27">
      <c r="A4920" s="8"/>
      <c r="B4920" s="8"/>
      <c r="C4920" s="9"/>
      <c r="D4920" s="9"/>
      <c r="E4920" s="9"/>
      <c r="F4920" s="9"/>
      <c r="G4920" s="9"/>
      <c r="H4920" s="9"/>
      <c r="I4920" s="9"/>
      <c r="J4920" s="9"/>
      <c r="K4920" s="9"/>
      <c r="L4920" s="9"/>
      <c r="M4920" s="9"/>
      <c r="N4920" s="9"/>
      <c r="O4920" s="9"/>
      <c r="P4920" s="9"/>
      <c r="Q4920" s="9"/>
      <c r="R4920" s="9"/>
      <c r="S4920" s="9"/>
      <c r="T4920" s="9"/>
      <c r="U4920" s="9"/>
      <c r="V4920" s="9"/>
      <c r="W4920" s="9"/>
      <c r="X4920" s="9"/>
      <c r="Y4920" s="9"/>
      <c r="Z4920" s="9"/>
      <c r="AA4920" s="9"/>
    </row>
    <row r="4921" spans="1:27">
      <c r="A4921" s="8"/>
      <c r="B4921" s="8"/>
      <c r="C4921" s="9"/>
      <c r="D4921" s="9"/>
      <c r="E4921" s="9"/>
      <c r="F4921" s="9"/>
      <c r="G4921" s="9"/>
      <c r="H4921" s="9"/>
      <c r="I4921" s="9"/>
      <c r="J4921" s="9"/>
      <c r="K4921" s="9"/>
      <c r="L4921" s="9"/>
      <c r="M4921" s="9"/>
      <c r="N4921" s="9"/>
      <c r="O4921" s="9"/>
      <c r="P4921" s="9"/>
      <c r="Q4921" s="9"/>
      <c r="R4921" s="9"/>
      <c r="S4921" s="9"/>
      <c r="T4921" s="9"/>
      <c r="U4921" s="9"/>
      <c r="V4921" s="9"/>
      <c r="W4921" s="9"/>
      <c r="X4921" s="9"/>
      <c r="Y4921" s="9"/>
      <c r="Z4921" s="9"/>
      <c r="AA4921" s="9"/>
    </row>
    <row r="4922" spans="1:27">
      <c r="A4922" s="8"/>
      <c r="B4922" s="8"/>
      <c r="C4922" s="9"/>
      <c r="D4922" s="9"/>
      <c r="E4922" s="9"/>
      <c r="F4922" s="9"/>
      <c r="G4922" s="9"/>
      <c r="H4922" s="9"/>
      <c r="I4922" s="9"/>
      <c r="J4922" s="9"/>
      <c r="K4922" s="9"/>
      <c r="L4922" s="9"/>
      <c r="M4922" s="9"/>
      <c r="N4922" s="9"/>
      <c r="O4922" s="9"/>
      <c r="P4922" s="9"/>
      <c r="Q4922" s="9"/>
      <c r="R4922" s="9"/>
      <c r="S4922" s="9"/>
      <c r="T4922" s="9"/>
      <c r="U4922" s="9"/>
      <c r="V4922" s="9"/>
      <c r="W4922" s="9"/>
      <c r="X4922" s="9"/>
      <c r="Y4922" s="9"/>
      <c r="Z4922" s="9"/>
      <c r="AA4922" s="9"/>
    </row>
    <row r="4923" spans="1:27">
      <c r="A4923" s="8"/>
      <c r="B4923" s="8"/>
      <c r="C4923" s="9"/>
      <c r="D4923" s="9"/>
      <c r="E4923" s="9"/>
      <c r="F4923" s="9"/>
      <c r="G4923" s="9"/>
      <c r="H4923" s="9"/>
      <c r="I4923" s="9"/>
      <c r="J4923" s="9"/>
      <c r="K4923" s="9"/>
      <c r="L4923" s="9"/>
      <c r="M4923" s="9"/>
      <c r="N4923" s="9"/>
      <c r="O4923" s="9"/>
      <c r="P4923" s="9"/>
      <c r="Q4923" s="9"/>
      <c r="R4923" s="9"/>
      <c r="S4923" s="9"/>
      <c r="T4923" s="9"/>
      <c r="U4923" s="9"/>
      <c r="V4923" s="9"/>
      <c r="W4923" s="9"/>
      <c r="X4923" s="9"/>
      <c r="Y4923" s="9"/>
      <c r="Z4923" s="9"/>
      <c r="AA4923" s="9"/>
    </row>
    <row r="4924" spans="1:27">
      <c r="A4924" s="8"/>
      <c r="B4924" s="8"/>
      <c r="C4924" s="9"/>
      <c r="D4924" s="9"/>
      <c r="E4924" s="9"/>
      <c r="F4924" s="9"/>
      <c r="G4924" s="9"/>
      <c r="H4924" s="9"/>
      <c r="I4924" s="9"/>
      <c r="J4924" s="9"/>
      <c r="K4924" s="9"/>
      <c r="L4924" s="9"/>
      <c r="M4924" s="9"/>
      <c r="N4924" s="9"/>
      <c r="O4924" s="9"/>
      <c r="P4924" s="9"/>
      <c r="Q4924" s="9"/>
      <c r="R4924" s="9"/>
      <c r="S4924" s="9"/>
      <c r="T4924" s="9"/>
      <c r="U4924" s="9"/>
      <c r="V4924" s="9"/>
      <c r="W4924" s="9"/>
      <c r="X4924" s="9"/>
      <c r="Y4924" s="9"/>
      <c r="Z4924" s="9"/>
      <c r="AA4924" s="9"/>
    </row>
    <row r="4925" spans="1:27">
      <c r="A4925" s="8"/>
      <c r="B4925" s="8"/>
      <c r="C4925" s="9"/>
      <c r="D4925" s="9"/>
      <c r="E4925" s="9"/>
      <c r="F4925" s="9"/>
      <c r="G4925" s="9"/>
      <c r="H4925" s="9"/>
      <c r="I4925" s="9"/>
      <c r="J4925" s="9"/>
      <c r="K4925" s="9"/>
      <c r="L4925" s="9"/>
      <c r="M4925" s="9"/>
      <c r="N4925" s="9"/>
      <c r="O4925" s="9"/>
      <c r="P4925" s="9"/>
      <c r="Q4925" s="9"/>
      <c r="R4925" s="9"/>
      <c r="S4925" s="9"/>
      <c r="T4925" s="9"/>
      <c r="U4925" s="9"/>
      <c r="V4925" s="9"/>
      <c r="W4925" s="9"/>
      <c r="X4925" s="9"/>
      <c r="Y4925" s="9"/>
      <c r="Z4925" s="9"/>
      <c r="AA4925" s="9"/>
    </row>
    <row r="4926" spans="1:27">
      <c r="A4926" s="8"/>
      <c r="B4926" s="8"/>
      <c r="C4926" s="9"/>
      <c r="D4926" s="9"/>
      <c r="E4926" s="9"/>
      <c r="F4926" s="9"/>
      <c r="G4926" s="9"/>
      <c r="H4926" s="9"/>
      <c r="I4926" s="9"/>
      <c r="J4926" s="9"/>
      <c r="K4926" s="9"/>
      <c r="L4926" s="9"/>
      <c r="M4926" s="9"/>
      <c r="N4926" s="9"/>
      <c r="O4926" s="9"/>
      <c r="P4926" s="9"/>
      <c r="Q4926" s="9"/>
      <c r="R4926" s="9"/>
      <c r="S4926" s="9"/>
      <c r="T4926" s="9"/>
      <c r="U4926" s="9"/>
      <c r="V4926" s="9"/>
      <c r="W4926" s="9"/>
      <c r="X4926" s="9"/>
      <c r="Y4926" s="9"/>
      <c r="Z4926" s="9"/>
      <c r="AA4926" s="9"/>
    </row>
    <row r="4927" spans="1:27">
      <c r="A4927" s="8"/>
      <c r="B4927" s="8"/>
      <c r="C4927" s="9"/>
      <c r="D4927" s="9"/>
      <c r="E4927" s="9"/>
      <c r="F4927" s="9"/>
      <c r="G4927" s="9"/>
      <c r="H4927" s="9"/>
      <c r="I4927" s="9"/>
      <c r="J4927" s="9"/>
      <c r="K4927" s="9"/>
      <c r="L4927" s="9"/>
      <c r="M4927" s="9"/>
      <c r="N4927" s="9"/>
      <c r="O4927" s="9"/>
      <c r="P4927" s="9"/>
      <c r="Q4927" s="9"/>
      <c r="R4927" s="9"/>
      <c r="S4927" s="9"/>
      <c r="T4927" s="9"/>
      <c r="U4927" s="9"/>
      <c r="V4927" s="9"/>
      <c r="W4927" s="9"/>
      <c r="X4927" s="9"/>
      <c r="Y4927" s="9"/>
      <c r="Z4927" s="9"/>
      <c r="AA4927" s="9"/>
    </row>
    <row r="4928" spans="1:27">
      <c r="A4928" s="8"/>
      <c r="B4928" s="8"/>
      <c r="C4928" s="9"/>
      <c r="D4928" s="9"/>
      <c r="E4928" s="9"/>
      <c r="F4928" s="9"/>
      <c r="G4928" s="9"/>
      <c r="H4928" s="9"/>
      <c r="I4928" s="9"/>
      <c r="J4928" s="9"/>
      <c r="K4928" s="9"/>
      <c r="L4928" s="9"/>
      <c r="M4928" s="9"/>
      <c r="N4928" s="9"/>
      <c r="O4928" s="9"/>
      <c r="P4928" s="9"/>
      <c r="Q4928" s="9"/>
      <c r="R4928" s="9"/>
      <c r="S4928" s="9"/>
      <c r="T4928" s="9"/>
      <c r="U4928" s="9"/>
      <c r="V4928" s="9"/>
      <c r="W4928" s="9"/>
      <c r="X4928" s="9"/>
      <c r="Y4928" s="9"/>
      <c r="Z4928" s="9"/>
      <c r="AA4928" s="9"/>
    </row>
    <row r="4929" spans="1:27">
      <c r="A4929" s="8"/>
      <c r="B4929" s="8"/>
      <c r="C4929" s="9"/>
      <c r="D4929" s="9"/>
      <c r="E4929" s="9"/>
      <c r="F4929" s="9"/>
      <c r="G4929" s="9"/>
      <c r="H4929" s="9"/>
      <c r="I4929" s="9"/>
      <c r="J4929" s="9"/>
      <c r="K4929" s="9"/>
      <c r="L4929" s="9"/>
      <c r="M4929" s="9"/>
      <c r="N4929" s="9"/>
      <c r="O4929" s="9"/>
      <c r="P4929" s="9"/>
      <c r="Q4929" s="9"/>
      <c r="R4929" s="9"/>
      <c r="S4929" s="9"/>
      <c r="T4929" s="9"/>
      <c r="U4929" s="9"/>
      <c r="V4929" s="9"/>
      <c r="W4929" s="9"/>
      <c r="X4929" s="9"/>
      <c r="Y4929" s="9"/>
      <c r="Z4929" s="9"/>
      <c r="AA4929" s="9"/>
    </row>
    <row r="4930" spans="1:27">
      <c r="A4930" s="8"/>
      <c r="B4930" s="8"/>
      <c r="C4930" s="9"/>
      <c r="D4930" s="9"/>
      <c r="E4930" s="9"/>
      <c r="F4930" s="9"/>
      <c r="G4930" s="9"/>
      <c r="H4930" s="9"/>
      <c r="I4930" s="9"/>
      <c r="J4930" s="9"/>
      <c r="K4930" s="9"/>
      <c r="L4930" s="9"/>
      <c r="M4930" s="9"/>
      <c r="N4930" s="9"/>
      <c r="O4930" s="9"/>
      <c r="P4930" s="9"/>
      <c r="Q4930" s="9"/>
      <c r="R4930" s="9"/>
      <c r="S4930" s="9"/>
      <c r="T4930" s="9"/>
      <c r="U4930" s="9"/>
      <c r="V4930" s="9"/>
      <c r="W4930" s="9"/>
      <c r="X4930" s="9"/>
      <c r="Y4930" s="9"/>
      <c r="Z4930" s="9"/>
      <c r="AA4930" s="9"/>
    </row>
    <row r="4931" spans="1:27">
      <c r="A4931" s="8"/>
      <c r="B4931" s="8"/>
      <c r="C4931" s="9"/>
      <c r="D4931" s="9"/>
      <c r="E4931" s="9"/>
      <c r="F4931" s="9"/>
      <c r="G4931" s="9"/>
      <c r="H4931" s="9"/>
      <c r="I4931" s="9"/>
      <c r="J4931" s="9"/>
      <c r="K4931" s="9"/>
      <c r="L4931" s="9"/>
      <c r="M4931" s="9"/>
      <c r="N4931" s="9"/>
      <c r="O4931" s="9"/>
      <c r="P4931" s="9"/>
      <c r="Q4931" s="9"/>
      <c r="R4931" s="9"/>
      <c r="S4931" s="9"/>
      <c r="T4931" s="9"/>
      <c r="U4931" s="9"/>
      <c r="V4931" s="9"/>
      <c r="W4931" s="9"/>
      <c r="X4931" s="9"/>
      <c r="Y4931" s="9"/>
      <c r="Z4931" s="9"/>
      <c r="AA4931" s="9"/>
    </row>
    <row r="4932" spans="1:27">
      <c r="A4932" s="8"/>
      <c r="B4932" s="8"/>
      <c r="C4932" s="9"/>
      <c r="D4932" s="9"/>
      <c r="E4932" s="9"/>
      <c r="F4932" s="9"/>
      <c r="G4932" s="9"/>
      <c r="H4932" s="9"/>
      <c r="I4932" s="9"/>
      <c r="J4932" s="9"/>
      <c r="K4932" s="9"/>
      <c r="L4932" s="9"/>
      <c r="M4932" s="9"/>
      <c r="N4932" s="9"/>
      <c r="O4932" s="9"/>
      <c r="P4932" s="9"/>
      <c r="Q4932" s="9"/>
      <c r="R4932" s="9"/>
      <c r="S4932" s="9"/>
      <c r="T4932" s="9"/>
      <c r="U4932" s="9"/>
      <c r="V4932" s="9"/>
      <c r="W4932" s="9"/>
      <c r="X4932" s="9"/>
      <c r="Y4932" s="9"/>
      <c r="Z4932" s="9"/>
      <c r="AA4932" s="9"/>
    </row>
    <row r="4933" spans="1:27">
      <c r="A4933" s="8"/>
      <c r="B4933" s="8"/>
      <c r="C4933" s="9"/>
      <c r="D4933" s="9"/>
      <c r="E4933" s="9"/>
      <c r="F4933" s="9"/>
      <c r="G4933" s="9"/>
      <c r="H4933" s="9"/>
      <c r="I4933" s="9"/>
      <c r="J4933" s="9"/>
      <c r="K4933" s="9"/>
      <c r="L4933" s="9"/>
      <c r="M4933" s="9"/>
      <c r="N4933" s="9"/>
      <c r="O4933" s="9"/>
      <c r="P4933" s="9"/>
      <c r="Q4933" s="9"/>
      <c r="R4933" s="9"/>
      <c r="S4933" s="9"/>
      <c r="T4933" s="9"/>
      <c r="U4933" s="9"/>
      <c r="V4933" s="9"/>
      <c r="W4933" s="9"/>
      <c r="X4933" s="9"/>
      <c r="Y4933" s="9"/>
      <c r="Z4933" s="9"/>
      <c r="AA4933" s="9"/>
    </row>
    <row r="4934" spans="1:27">
      <c r="A4934" s="8"/>
      <c r="B4934" s="8"/>
      <c r="C4934" s="9"/>
      <c r="D4934" s="9"/>
      <c r="E4934" s="9"/>
      <c r="F4934" s="9"/>
      <c r="G4934" s="9"/>
      <c r="H4934" s="9"/>
      <c r="I4934" s="9"/>
      <c r="J4934" s="9"/>
      <c r="K4934" s="9"/>
      <c r="L4934" s="9"/>
      <c r="M4934" s="9"/>
      <c r="N4934" s="9"/>
      <c r="O4934" s="9"/>
      <c r="P4934" s="9"/>
      <c r="Q4934" s="9"/>
      <c r="R4934" s="9"/>
      <c r="S4934" s="9"/>
      <c r="T4934" s="9"/>
      <c r="U4934" s="9"/>
      <c r="V4934" s="9"/>
      <c r="W4934" s="9"/>
      <c r="X4934" s="9"/>
      <c r="Y4934" s="9"/>
      <c r="Z4934" s="9"/>
      <c r="AA4934" s="9"/>
    </row>
    <row r="4935" spans="1:27">
      <c r="A4935" s="8"/>
      <c r="B4935" s="8"/>
      <c r="C4935" s="9"/>
      <c r="D4935" s="9"/>
      <c r="E4935" s="9"/>
      <c r="F4935" s="9"/>
      <c r="G4935" s="9"/>
      <c r="H4935" s="9"/>
      <c r="I4935" s="9"/>
      <c r="J4935" s="9"/>
      <c r="K4935" s="9"/>
      <c r="L4935" s="9"/>
      <c r="M4935" s="9"/>
      <c r="N4935" s="9"/>
      <c r="O4935" s="9"/>
      <c r="P4935" s="9"/>
      <c r="Q4935" s="9"/>
      <c r="R4935" s="9"/>
      <c r="S4935" s="9"/>
      <c r="T4935" s="9"/>
      <c r="U4935" s="9"/>
      <c r="V4935" s="9"/>
      <c r="W4935" s="9"/>
      <c r="X4935" s="9"/>
      <c r="Y4935" s="9"/>
      <c r="Z4935" s="9"/>
      <c r="AA4935" s="9"/>
    </row>
    <row r="4936" spans="1:27">
      <c r="A4936" s="8"/>
      <c r="B4936" s="8"/>
      <c r="C4936" s="9"/>
      <c r="D4936" s="9"/>
      <c r="E4936" s="9"/>
      <c r="F4936" s="9"/>
      <c r="G4936" s="9"/>
      <c r="H4936" s="9"/>
      <c r="I4936" s="9"/>
      <c r="J4936" s="9"/>
      <c r="K4936" s="9"/>
      <c r="L4936" s="9"/>
      <c r="M4936" s="9"/>
      <c r="N4936" s="9"/>
      <c r="O4936" s="9"/>
      <c r="P4936" s="9"/>
      <c r="Q4936" s="9"/>
      <c r="R4936" s="9"/>
      <c r="S4936" s="9"/>
      <c r="T4936" s="9"/>
      <c r="U4936" s="9"/>
      <c r="V4936" s="9"/>
      <c r="W4936" s="9"/>
      <c r="X4936" s="9"/>
      <c r="Y4936" s="9"/>
      <c r="Z4936" s="9"/>
      <c r="AA4936" s="9"/>
    </row>
    <row r="4937" spans="1:27">
      <c r="A4937" s="8"/>
      <c r="B4937" s="8"/>
      <c r="C4937" s="9"/>
      <c r="D4937" s="9"/>
      <c r="E4937" s="9"/>
      <c r="F4937" s="9"/>
      <c r="G4937" s="9"/>
      <c r="H4937" s="9"/>
      <c r="I4937" s="9"/>
      <c r="J4937" s="9"/>
      <c r="K4937" s="9"/>
      <c r="L4937" s="9"/>
      <c r="M4937" s="9"/>
      <c r="N4937" s="9"/>
      <c r="O4937" s="9"/>
      <c r="P4937" s="9"/>
      <c r="Q4937" s="9"/>
      <c r="R4937" s="9"/>
      <c r="S4937" s="9"/>
      <c r="T4937" s="9"/>
      <c r="U4937" s="9"/>
      <c r="V4937" s="9"/>
      <c r="W4937" s="9"/>
      <c r="X4937" s="9"/>
      <c r="Y4937" s="9"/>
      <c r="Z4937" s="9"/>
      <c r="AA4937" s="9"/>
    </row>
    <row r="4938" spans="1:27">
      <c r="A4938" s="8"/>
      <c r="B4938" s="8"/>
      <c r="C4938" s="9"/>
      <c r="D4938" s="9"/>
      <c r="E4938" s="9"/>
      <c r="F4938" s="9"/>
      <c r="G4938" s="9"/>
      <c r="H4938" s="9"/>
      <c r="I4938" s="9"/>
      <c r="J4938" s="9"/>
      <c r="K4938" s="9"/>
      <c r="L4938" s="9"/>
      <c r="M4938" s="9"/>
      <c r="N4938" s="9"/>
      <c r="O4938" s="9"/>
      <c r="P4938" s="9"/>
      <c r="Q4938" s="9"/>
      <c r="R4938" s="9"/>
      <c r="S4938" s="9"/>
      <c r="T4938" s="9"/>
      <c r="U4938" s="9"/>
      <c r="V4938" s="9"/>
      <c r="W4938" s="9"/>
      <c r="X4938" s="9"/>
      <c r="Y4938" s="9"/>
      <c r="Z4938" s="9"/>
      <c r="AA4938" s="9"/>
    </row>
    <row r="4939" spans="1:27">
      <c r="A4939" s="8"/>
      <c r="B4939" s="8"/>
      <c r="C4939" s="9"/>
      <c r="D4939" s="9"/>
      <c r="E4939" s="9"/>
      <c r="F4939" s="9"/>
      <c r="G4939" s="9"/>
      <c r="H4939" s="9"/>
      <c r="I4939" s="9"/>
      <c r="J4939" s="9"/>
      <c r="K4939" s="9"/>
      <c r="L4939" s="9"/>
      <c r="M4939" s="9"/>
      <c r="N4939" s="9"/>
      <c r="O4939" s="9"/>
      <c r="P4939" s="9"/>
      <c r="Q4939" s="9"/>
      <c r="R4939" s="9"/>
      <c r="S4939" s="9"/>
      <c r="T4939" s="9"/>
      <c r="U4939" s="9"/>
      <c r="V4939" s="9"/>
      <c r="W4939" s="9"/>
      <c r="X4939" s="9"/>
      <c r="Y4939" s="9"/>
      <c r="Z4939" s="9"/>
      <c r="AA4939" s="9"/>
    </row>
    <row r="4940" spans="1:27">
      <c r="A4940" s="8"/>
      <c r="B4940" s="8"/>
      <c r="C4940" s="9"/>
      <c r="D4940" s="9"/>
      <c r="E4940" s="9"/>
      <c r="F4940" s="9"/>
      <c r="G4940" s="9"/>
      <c r="H4940" s="9"/>
      <c r="I4940" s="9"/>
      <c r="J4940" s="9"/>
      <c r="K4940" s="9"/>
      <c r="L4940" s="9"/>
      <c r="M4940" s="9"/>
      <c r="N4940" s="9"/>
      <c r="O4940" s="9"/>
      <c r="P4940" s="9"/>
      <c r="Q4940" s="9"/>
      <c r="R4940" s="9"/>
      <c r="S4940" s="9"/>
      <c r="T4940" s="9"/>
      <c r="U4940" s="9"/>
      <c r="V4940" s="9"/>
      <c r="W4940" s="9"/>
      <c r="X4940" s="9"/>
      <c r="Y4940" s="9"/>
      <c r="Z4940" s="9"/>
      <c r="AA4940" s="9"/>
    </row>
    <row r="4941" spans="1:27">
      <c r="A4941" s="8"/>
      <c r="B4941" s="8"/>
      <c r="C4941" s="9"/>
      <c r="D4941" s="9"/>
      <c r="E4941" s="9"/>
      <c r="F4941" s="9"/>
      <c r="G4941" s="9"/>
      <c r="H4941" s="9"/>
      <c r="I4941" s="9"/>
      <c r="J4941" s="9"/>
      <c r="K4941" s="9"/>
      <c r="L4941" s="9"/>
      <c r="M4941" s="9"/>
      <c r="N4941" s="9"/>
      <c r="O4941" s="9"/>
      <c r="P4941" s="9"/>
      <c r="Q4941" s="9"/>
      <c r="R4941" s="9"/>
      <c r="S4941" s="9"/>
      <c r="T4941" s="9"/>
      <c r="U4941" s="9"/>
      <c r="V4941" s="9"/>
      <c r="W4941" s="9"/>
      <c r="X4941" s="9"/>
      <c r="Y4941" s="9"/>
      <c r="Z4941" s="9"/>
      <c r="AA4941" s="9"/>
    </row>
    <row r="4942" spans="1:27">
      <c r="A4942" s="8"/>
      <c r="B4942" s="8"/>
      <c r="C4942" s="9"/>
      <c r="D4942" s="9"/>
      <c r="E4942" s="9"/>
      <c r="F4942" s="9"/>
      <c r="G4942" s="9"/>
      <c r="H4942" s="9"/>
      <c r="I4942" s="9"/>
      <c r="J4942" s="9"/>
      <c r="K4942" s="9"/>
      <c r="L4942" s="9"/>
      <c r="M4942" s="9"/>
      <c r="N4942" s="9"/>
      <c r="O4942" s="9"/>
      <c r="P4942" s="9"/>
      <c r="Q4942" s="9"/>
      <c r="R4942" s="9"/>
      <c r="S4942" s="9"/>
      <c r="T4942" s="9"/>
      <c r="U4942" s="9"/>
      <c r="V4942" s="9"/>
      <c r="W4942" s="9"/>
      <c r="X4942" s="9"/>
      <c r="Y4942" s="9"/>
      <c r="Z4942" s="9"/>
      <c r="AA4942" s="9"/>
    </row>
    <row r="4943" spans="1:27">
      <c r="A4943" s="8"/>
      <c r="B4943" s="8"/>
      <c r="C4943" s="9"/>
      <c r="D4943" s="9"/>
      <c r="E4943" s="9"/>
      <c r="F4943" s="9"/>
      <c r="G4943" s="9"/>
      <c r="H4943" s="9"/>
      <c r="I4943" s="9"/>
      <c r="J4943" s="9"/>
      <c r="K4943" s="9"/>
      <c r="L4943" s="9"/>
      <c r="M4943" s="9"/>
      <c r="N4943" s="9"/>
      <c r="O4943" s="9"/>
      <c r="P4943" s="9"/>
      <c r="Q4943" s="9"/>
      <c r="R4943" s="9"/>
      <c r="S4943" s="9"/>
      <c r="T4943" s="9"/>
      <c r="U4943" s="9"/>
      <c r="V4943" s="9"/>
      <c r="W4943" s="9"/>
      <c r="X4943" s="9"/>
      <c r="Y4943" s="9"/>
      <c r="Z4943" s="9"/>
      <c r="AA4943" s="9"/>
    </row>
    <row r="4944" spans="1:27">
      <c r="A4944" s="8"/>
      <c r="B4944" s="8"/>
      <c r="C4944" s="9"/>
      <c r="D4944" s="9"/>
      <c r="E4944" s="9"/>
      <c r="F4944" s="9"/>
      <c r="G4944" s="9"/>
      <c r="H4944" s="9"/>
      <c r="I4944" s="9"/>
      <c r="J4944" s="9"/>
      <c r="K4944" s="9"/>
      <c r="L4944" s="9"/>
      <c r="M4944" s="9"/>
      <c r="N4944" s="9"/>
      <c r="O4944" s="9"/>
      <c r="P4944" s="9"/>
      <c r="Q4944" s="9"/>
      <c r="R4944" s="9"/>
      <c r="S4944" s="9"/>
      <c r="T4944" s="9"/>
      <c r="U4944" s="9"/>
      <c r="V4944" s="9"/>
      <c r="W4944" s="9"/>
      <c r="X4944" s="9"/>
      <c r="Y4944" s="9"/>
      <c r="Z4944" s="9"/>
      <c r="AA4944" s="9"/>
    </row>
    <row r="4945" spans="1:27">
      <c r="A4945" s="8"/>
      <c r="B4945" s="8"/>
      <c r="C4945" s="9"/>
      <c r="D4945" s="9"/>
      <c r="E4945" s="9"/>
      <c r="F4945" s="9"/>
      <c r="G4945" s="9"/>
      <c r="H4945" s="9"/>
      <c r="I4945" s="9"/>
      <c r="J4945" s="9"/>
      <c r="K4945" s="9"/>
      <c r="L4945" s="9"/>
      <c r="M4945" s="9"/>
      <c r="N4945" s="9"/>
      <c r="O4945" s="9"/>
      <c r="P4945" s="9"/>
      <c r="Q4945" s="9"/>
      <c r="R4945" s="9"/>
      <c r="S4945" s="9"/>
      <c r="T4945" s="9"/>
      <c r="U4945" s="9"/>
      <c r="V4945" s="9"/>
      <c r="W4945" s="9"/>
      <c r="X4945" s="9"/>
      <c r="Y4945" s="9"/>
      <c r="Z4945" s="9"/>
      <c r="AA4945" s="9"/>
    </row>
    <row r="4946" spans="1:27">
      <c r="A4946" s="8"/>
      <c r="B4946" s="8"/>
      <c r="C4946" s="9"/>
      <c r="D4946" s="9"/>
      <c r="E4946" s="9"/>
      <c r="F4946" s="9"/>
      <c r="G4946" s="9"/>
      <c r="H4946" s="9"/>
      <c r="I4946" s="9"/>
      <c r="J4946" s="9"/>
      <c r="K4946" s="9"/>
      <c r="L4946" s="9"/>
      <c r="M4946" s="9"/>
      <c r="N4946" s="9"/>
      <c r="O4946" s="9"/>
      <c r="P4946" s="9"/>
      <c r="Q4946" s="9"/>
      <c r="R4946" s="9"/>
      <c r="S4946" s="9"/>
      <c r="T4946" s="9"/>
      <c r="U4946" s="9"/>
      <c r="V4946" s="9"/>
      <c r="W4946" s="9"/>
      <c r="X4946" s="9"/>
      <c r="Y4946" s="9"/>
      <c r="Z4946" s="9"/>
      <c r="AA4946" s="9"/>
    </row>
    <row r="4947" spans="1:27">
      <c r="A4947" s="8"/>
      <c r="B4947" s="8"/>
      <c r="C4947" s="9"/>
      <c r="D4947" s="9"/>
      <c r="E4947" s="9"/>
      <c r="F4947" s="9"/>
      <c r="G4947" s="9"/>
      <c r="H4947" s="9"/>
      <c r="I4947" s="9"/>
      <c r="J4947" s="9"/>
      <c r="K4947" s="9"/>
      <c r="L4947" s="9"/>
      <c r="M4947" s="9"/>
      <c r="N4947" s="9"/>
      <c r="O4947" s="9"/>
      <c r="P4947" s="9"/>
      <c r="Q4947" s="9"/>
      <c r="R4947" s="9"/>
      <c r="S4947" s="9"/>
      <c r="T4947" s="9"/>
      <c r="U4947" s="9"/>
      <c r="V4947" s="9"/>
      <c r="W4947" s="9"/>
      <c r="X4947" s="9"/>
      <c r="Y4947" s="9"/>
      <c r="Z4947" s="9"/>
      <c r="AA4947" s="9"/>
    </row>
    <row r="4948" spans="1:27">
      <c r="A4948" s="8"/>
      <c r="B4948" s="8"/>
      <c r="C4948" s="9"/>
      <c r="D4948" s="9"/>
      <c r="E4948" s="9"/>
      <c r="F4948" s="9"/>
      <c r="G4948" s="9"/>
      <c r="H4948" s="9"/>
      <c r="I4948" s="9"/>
      <c r="J4948" s="9"/>
      <c r="K4948" s="9"/>
      <c r="L4948" s="9"/>
      <c r="M4948" s="9"/>
      <c r="N4948" s="9"/>
      <c r="O4948" s="9"/>
      <c r="P4948" s="9"/>
      <c r="Q4948" s="9"/>
      <c r="R4948" s="9"/>
      <c r="S4948" s="9"/>
      <c r="T4948" s="9"/>
      <c r="U4948" s="9"/>
      <c r="V4948" s="9"/>
      <c r="W4948" s="9"/>
      <c r="X4948" s="9"/>
      <c r="Y4948" s="9"/>
      <c r="Z4948" s="9"/>
      <c r="AA4948" s="9"/>
    </row>
    <row r="4949" spans="1:27">
      <c r="A4949" s="8"/>
      <c r="B4949" s="8"/>
      <c r="C4949" s="9"/>
      <c r="D4949" s="9"/>
      <c r="E4949" s="9"/>
      <c r="F4949" s="9"/>
      <c r="G4949" s="9"/>
      <c r="H4949" s="9"/>
      <c r="I4949" s="9"/>
      <c r="J4949" s="9"/>
      <c r="K4949" s="9"/>
      <c r="L4949" s="9"/>
      <c r="M4949" s="9"/>
      <c r="N4949" s="9"/>
      <c r="O4949" s="9"/>
      <c r="P4949" s="9"/>
      <c r="Q4949" s="9"/>
      <c r="R4949" s="9"/>
      <c r="S4949" s="9"/>
      <c r="T4949" s="9"/>
      <c r="U4949" s="9"/>
      <c r="V4949" s="9"/>
      <c r="W4949" s="9"/>
      <c r="X4949" s="9"/>
      <c r="Y4949" s="9"/>
      <c r="Z4949" s="9"/>
      <c r="AA4949" s="9"/>
    </row>
    <row r="4950" spans="1:27">
      <c r="A4950" s="8"/>
      <c r="B4950" s="8"/>
      <c r="C4950" s="9"/>
      <c r="D4950" s="9"/>
      <c r="E4950" s="9"/>
      <c r="F4950" s="9"/>
      <c r="G4950" s="9"/>
      <c r="H4950" s="9"/>
      <c r="I4950" s="9"/>
      <c r="J4950" s="9"/>
      <c r="K4950" s="9"/>
      <c r="L4950" s="9"/>
      <c r="M4950" s="9"/>
      <c r="N4950" s="9"/>
      <c r="O4950" s="9"/>
      <c r="P4950" s="9"/>
      <c r="Q4950" s="9"/>
      <c r="R4950" s="9"/>
      <c r="S4950" s="9"/>
      <c r="T4950" s="9"/>
      <c r="U4950" s="9"/>
      <c r="V4950" s="9"/>
      <c r="W4950" s="9"/>
      <c r="X4950" s="9"/>
      <c r="Y4950" s="9"/>
      <c r="Z4950" s="9"/>
      <c r="AA4950" s="9"/>
    </row>
    <row r="4951" spans="1:27">
      <c r="A4951" s="8"/>
      <c r="B4951" s="8"/>
      <c r="C4951" s="9"/>
      <c r="D4951" s="9"/>
      <c r="E4951" s="9"/>
      <c r="F4951" s="9"/>
      <c r="G4951" s="9"/>
      <c r="H4951" s="9"/>
      <c r="I4951" s="9"/>
      <c r="J4951" s="9"/>
      <c r="K4951" s="9"/>
      <c r="L4951" s="9"/>
      <c r="M4951" s="9"/>
      <c r="N4951" s="9"/>
      <c r="O4951" s="9"/>
      <c r="P4951" s="9"/>
      <c r="Q4951" s="9"/>
      <c r="R4951" s="9"/>
      <c r="S4951" s="9"/>
      <c r="T4951" s="9"/>
      <c r="U4951" s="9"/>
      <c r="V4951" s="9"/>
      <c r="W4951" s="9"/>
      <c r="X4951" s="9"/>
      <c r="Y4951" s="9"/>
      <c r="Z4951" s="9"/>
      <c r="AA4951" s="9"/>
    </row>
    <row r="4952" spans="1:27">
      <c r="A4952" s="8"/>
      <c r="B4952" s="8"/>
      <c r="C4952" s="9"/>
      <c r="D4952" s="9"/>
      <c r="E4952" s="9"/>
      <c r="F4952" s="9"/>
      <c r="G4952" s="9"/>
      <c r="H4952" s="9"/>
      <c r="I4952" s="9"/>
      <c r="J4952" s="9"/>
      <c r="K4952" s="9"/>
      <c r="L4952" s="9"/>
      <c r="M4952" s="9"/>
      <c r="N4952" s="9"/>
      <c r="O4952" s="9"/>
      <c r="P4952" s="9"/>
      <c r="Q4952" s="9"/>
      <c r="R4952" s="9"/>
      <c r="S4952" s="9"/>
      <c r="T4952" s="9"/>
      <c r="U4952" s="9"/>
      <c r="V4952" s="9"/>
      <c r="W4952" s="9"/>
      <c r="X4952" s="9"/>
      <c r="Y4952" s="9"/>
      <c r="Z4952" s="9"/>
      <c r="AA4952" s="9"/>
    </row>
    <row r="4953" spans="1:27">
      <c r="A4953" s="8"/>
      <c r="B4953" s="8"/>
      <c r="C4953" s="9"/>
      <c r="D4953" s="9"/>
      <c r="E4953" s="9"/>
      <c r="F4953" s="9"/>
      <c r="G4953" s="9"/>
      <c r="H4953" s="9"/>
      <c r="I4953" s="9"/>
      <c r="J4953" s="9"/>
      <c r="K4953" s="9"/>
      <c r="L4953" s="9"/>
      <c r="M4953" s="9"/>
      <c r="N4953" s="9"/>
      <c r="O4953" s="9"/>
      <c r="P4953" s="9"/>
      <c r="Q4953" s="9"/>
      <c r="R4953" s="9"/>
      <c r="S4953" s="9"/>
      <c r="T4953" s="9"/>
      <c r="U4953" s="9"/>
      <c r="V4953" s="9"/>
      <c r="W4953" s="9"/>
      <c r="X4953" s="9"/>
      <c r="Y4953" s="9"/>
      <c r="Z4953" s="9"/>
      <c r="AA4953" s="9"/>
    </row>
    <row r="4954" spans="1:27">
      <c r="A4954" s="8"/>
      <c r="B4954" s="8"/>
      <c r="C4954" s="9"/>
      <c r="D4954" s="9"/>
      <c r="E4954" s="9"/>
      <c r="F4954" s="9"/>
      <c r="G4954" s="9"/>
      <c r="H4954" s="9"/>
      <c r="I4954" s="9"/>
      <c r="J4954" s="9"/>
      <c r="K4954" s="9"/>
      <c r="L4954" s="9"/>
      <c r="M4954" s="9"/>
      <c r="N4954" s="9"/>
      <c r="O4954" s="9"/>
      <c r="P4954" s="9"/>
      <c r="Q4954" s="9"/>
      <c r="R4954" s="9"/>
      <c r="S4954" s="9"/>
      <c r="T4954" s="9"/>
      <c r="U4954" s="9"/>
      <c r="V4954" s="9"/>
      <c r="W4954" s="9"/>
      <c r="X4954" s="9"/>
      <c r="Y4954" s="9"/>
      <c r="Z4954" s="9"/>
      <c r="AA4954" s="9"/>
    </row>
    <row r="4955" spans="1:27">
      <c r="A4955" s="8"/>
      <c r="B4955" s="8"/>
      <c r="C4955" s="9"/>
      <c r="D4955" s="9"/>
      <c r="E4955" s="9"/>
      <c r="F4955" s="9"/>
      <c r="G4955" s="9"/>
      <c r="H4955" s="9"/>
      <c r="I4955" s="9"/>
      <c r="J4955" s="9"/>
      <c r="K4955" s="9"/>
      <c r="L4955" s="9"/>
      <c r="M4955" s="9"/>
      <c r="N4955" s="9"/>
      <c r="O4955" s="9"/>
      <c r="P4955" s="9"/>
      <c r="Q4955" s="9"/>
      <c r="R4955" s="9"/>
      <c r="S4955" s="9"/>
      <c r="T4955" s="9"/>
      <c r="U4955" s="9"/>
      <c r="V4955" s="9"/>
      <c r="W4955" s="9"/>
      <c r="X4955" s="9"/>
      <c r="Y4955" s="9"/>
      <c r="Z4955" s="9"/>
      <c r="AA4955" s="9"/>
    </row>
    <row r="4956" spans="1:27">
      <c r="A4956" s="8"/>
      <c r="B4956" s="8"/>
      <c r="C4956" s="9"/>
      <c r="D4956" s="9"/>
      <c r="E4956" s="9"/>
      <c r="F4956" s="9"/>
      <c r="G4956" s="9"/>
      <c r="H4956" s="9"/>
      <c r="I4956" s="9"/>
      <c r="J4956" s="9"/>
      <c r="K4956" s="9"/>
      <c r="L4956" s="9"/>
      <c r="M4956" s="9"/>
      <c r="N4956" s="9"/>
      <c r="O4956" s="9"/>
      <c r="P4956" s="9"/>
      <c r="Q4956" s="9"/>
      <c r="R4956" s="9"/>
      <c r="S4956" s="9"/>
      <c r="T4956" s="9"/>
      <c r="U4956" s="9"/>
      <c r="V4956" s="9"/>
      <c r="W4956" s="9"/>
      <c r="X4956" s="9"/>
      <c r="Y4956" s="9"/>
      <c r="Z4956" s="9"/>
      <c r="AA4956" s="9"/>
    </row>
    <row r="4957" spans="1:27">
      <c r="A4957" s="8"/>
      <c r="B4957" s="8"/>
      <c r="C4957" s="9"/>
      <c r="D4957" s="9"/>
      <c r="E4957" s="9"/>
      <c r="F4957" s="9"/>
      <c r="G4957" s="9"/>
      <c r="H4957" s="9"/>
      <c r="I4957" s="9"/>
      <c r="J4957" s="9"/>
      <c r="K4957" s="9"/>
      <c r="L4957" s="9"/>
      <c r="M4957" s="9"/>
      <c r="N4957" s="9"/>
      <c r="O4957" s="9"/>
      <c r="P4957" s="9"/>
      <c r="Q4957" s="9"/>
      <c r="R4957" s="9"/>
      <c r="S4957" s="9"/>
      <c r="T4957" s="9"/>
      <c r="U4957" s="9"/>
      <c r="V4957" s="9"/>
      <c r="W4957" s="9"/>
      <c r="X4957" s="9"/>
      <c r="Y4957" s="9"/>
      <c r="Z4957" s="9"/>
      <c r="AA4957" s="9"/>
    </row>
    <row r="4958" spans="1:27">
      <c r="A4958" s="8"/>
      <c r="B4958" s="8"/>
      <c r="C4958" s="9"/>
      <c r="D4958" s="9"/>
      <c r="E4958" s="9"/>
      <c r="F4958" s="9"/>
      <c r="G4958" s="9"/>
      <c r="H4958" s="9"/>
      <c r="I4958" s="9"/>
      <c r="J4958" s="9"/>
      <c r="K4958" s="9"/>
      <c r="L4958" s="9"/>
      <c r="M4958" s="9"/>
      <c r="N4958" s="9"/>
      <c r="O4958" s="9"/>
      <c r="P4958" s="9"/>
      <c r="Q4958" s="9"/>
      <c r="R4958" s="9"/>
      <c r="S4958" s="9"/>
      <c r="T4958" s="9"/>
      <c r="U4958" s="9"/>
      <c r="V4958" s="9"/>
      <c r="W4958" s="9"/>
      <c r="X4958" s="9"/>
      <c r="Y4958" s="9"/>
      <c r="Z4958" s="9"/>
      <c r="AA4958" s="9"/>
    </row>
    <row r="4959" spans="1:27">
      <c r="A4959" s="8"/>
      <c r="B4959" s="8"/>
      <c r="C4959" s="9"/>
      <c r="D4959" s="9"/>
      <c r="E4959" s="9"/>
      <c r="F4959" s="9"/>
      <c r="G4959" s="9"/>
      <c r="H4959" s="9"/>
      <c r="I4959" s="9"/>
      <c r="J4959" s="9"/>
      <c r="K4959" s="9"/>
      <c r="L4959" s="9"/>
      <c r="M4959" s="9"/>
      <c r="N4959" s="9"/>
      <c r="O4959" s="9"/>
      <c r="P4959" s="9"/>
      <c r="Q4959" s="9"/>
      <c r="R4959" s="9"/>
      <c r="S4959" s="9"/>
      <c r="T4959" s="9"/>
      <c r="U4959" s="9"/>
      <c r="V4959" s="9"/>
      <c r="W4959" s="9"/>
      <c r="X4959" s="9"/>
      <c r="Y4959" s="9"/>
      <c r="Z4959" s="9"/>
      <c r="AA4959" s="9"/>
    </row>
    <row r="4960" spans="1:27">
      <c r="A4960" s="8"/>
      <c r="B4960" s="8"/>
      <c r="C4960" s="9"/>
      <c r="D4960" s="9"/>
      <c r="E4960" s="9"/>
      <c r="F4960" s="9"/>
      <c r="G4960" s="9"/>
      <c r="H4960" s="9"/>
      <c r="I4960" s="9"/>
      <c r="J4960" s="9"/>
      <c r="K4960" s="9"/>
      <c r="L4960" s="9"/>
      <c r="M4960" s="9"/>
      <c r="N4960" s="9"/>
      <c r="O4960" s="9"/>
      <c r="P4960" s="9"/>
      <c r="Q4960" s="9"/>
      <c r="R4960" s="9"/>
      <c r="S4960" s="9"/>
      <c r="T4960" s="9"/>
      <c r="U4960" s="9"/>
      <c r="V4960" s="9"/>
      <c r="W4960" s="9"/>
      <c r="X4960" s="9"/>
      <c r="Y4960" s="9"/>
      <c r="Z4960" s="9"/>
      <c r="AA4960" s="9"/>
    </row>
    <row r="4961" spans="1:27">
      <c r="A4961" s="8"/>
      <c r="B4961" s="8"/>
      <c r="C4961" s="9"/>
      <c r="D4961" s="9"/>
      <c r="E4961" s="9"/>
      <c r="F4961" s="9"/>
      <c r="G4961" s="9"/>
      <c r="H4961" s="9"/>
      <c r="I4961" s="9"/>
      <c r="J4961" s="9"/>
      <c r="K4961" s="9"/>
      <c r="L4961" s="9"/>
      <c r="M4961" s="9"/>
      <c r="N4961" s="9"/>
      <c r="O4961" s="9"/>
      <c r="P4961" s="9"/>
      <c r="Q4961" s="9"/>
      <c r="R4961" s="9"/>
      <c r="S4961" s="9"/>
      <c r="T4961" s="9"/>
      <c r="U4961" s="9"/>
      <c r="V4961" s="9"/>
      <c r="W4961" s="9"/>
      <c r="X4961" s="9"/>
      <c r="Y4961" s="9"/>
      <c r="Z4961" s="9"/>
      <c r="AA4961" s="9"/>
    </row>
    <row r="4962" spans="1:27">
      <c r="A4962" s="8"/>
      <c r="B4962" s="8"/>
      <c r="C4962" s="9"/>
      <c r="D4962" s="9"/>
      <c r="E4962" s="9"/>
      <c r="F4962" s="9"/>
      <c r="G4962" s="9"/>
      <c r="H4962" s="9"/>
      <c r="I4962" s="9"/>
      <c r="J4962" s="9"/>
      <c r="K4962" s="9"/>
      <c r="L4962" s="9"/>
      <c r="M4962" s="9"/>
      <c r="N4962" s="9"/>
      <c r="O4962" s="9"/>
      <c r="P4962" s="9"/>
      <c r="Q4962" s="9"/>
      <c r="R4962" s="9"/>
      <c r="S4962" s="9"/>
      <c r="T4962" s="9"/>
      <c r="U4962" s="9"/>
      <c r="V4962" s="9"/>
      <c r="W4962" s="9"/>
      <c r="X4962" s="9"/>
      <c r="Y4962" s="9"/>
      <c r="Z4962" s="9"/>
      <c r="AA4962" s="9"/>
    </row>
    <row r="4963" spans="1:27">
      <c r="A4963" s="8"/>
      <c r="B4963" s="8"/>
      <c r="C4963" s="9"/>
      <c r="D4963" s="9"/>
      <c r="E4963" s="9"/>
      <c r="F4963" s="9"/>
      <c r="G4963" s="9"/>
      <c r="H4963" s="9"/>
      <c r="I4963" s="9"/>
      <c r="J4963" s="9"/>
      <c r="K4963" s="9"/>
      <c r="L4963" s="9"/>
      <c r="M4963" s="9"/>
      <c r="N4963" s="9"/>
      <c r="O4963" s="9"/>
      <c r="P4963" s="9"/>
      <c r="Q4963" s="9"/>
      <c r="R4963" s="9"/>
      <c r="S4963" s="9"/>
      <c r="T4963" s="9"/>
      <c r="U4963" s="9"/>
      <c r="V4963" s="9"/>
      <c r="W4963" s="9"/>
      <c r="X4963" s="9"/>
      <c r="Y4963" s="9"/>
      <c r="Z4963" s="9"/>
      <c r="AA4963" s="9"/>
    </row>
    <row r="4964" spans="1:27">
      <c r="A4964" s="8"/>
      <c r="B4964" s="8"/>
      <c r="C4964" s="9"/>
      <c r="D4964" s="9"/>
      <c r="E4964" s="9"/>
      <c r="F4964" s="9"/>
      <c r="G4964" s="9"/>
      <c r="H4964" s="9"/>
      <c r="I4964" s="9"/>
      <c r="J4964" s="9"/>
      <c r="K4964" s="9"/>
      <c r="L4964" s="9"/>
      <c r="M4964" s="9"/>
      <c r="N4964" s="9"/>
      <c r="O4964" s="9"/>
      <c r="P4964" s="9"/>
      <c r="Q4964" s="9"/>
      <c r="R4964" s="9"/>
      <c r="S4964" s="9"/>
      <c r="T4964" s="9"/>
      <c r="U4964" s="9"/>
      <c r="V4964" s="9"/>
      <c r="W4964" s="9"/>
      <c r="X4964" s="9"/>
      <c r="Y4964" s="9"/>
      <c r="Z4964" s="9"/>
      <c r="AA4964" s="9"/>
    </row>
    <row r="4965" spans="1:27">
      <c r="A4965" s="8"/>
      <c r="B4965" s="8"/>
      <c r="C4965" s="9"/>
      <c r="D4965" s="9"/>
      <c r="E4965" s="9"/>
      <c r="F4965" s="9"/>
      <c r="G4965" s="9"/>
      <c r="H4965" s="9"/>
      <c r="I4965" s="9"/>
      <c r="J4965" s="9"/>
      <c r="K4965" s="9"/>
      <c r="L4965" s="9"/>
      <c r="M4965" s="9"/>
      <c r="N4965" s="9"/>
      <c r="O4965" s="9"/>
      <c r="P4965" s="9"/>
      <c r="Q4965" s="9"/>
      <c r="R4965" s="9"/>
      <c r="S4965" s="9"/>
      <c r="T4965" s="9"/>
      <c r="U4965" s="9"/>
      <c r="V4965" s="9"/>
      <c r="W4965" s="9"/>
      <c r="X4965" s="9"/>
      <c r="Y4965" s="9"/>
      <c r="Z4965" s="9"/>
      <c r="AA4965" s="9"/>
    </row>
    <row r="4966" spans="1:27">
      <c r="A4966" s="8"/>
      <c r="B4966" s="8"/>
      <c r="C4966" s="9"/>
      <c r="D4966" s="9"/>
      <c r="E4966" s="9"/>
      <c r="F4966" s="9"/>
      <c r="G4966" s="9"/>
      <c r="H4966" s="9"/>
      <c r="I4966" s="9"/>
      <c r="J4966" s="9"/>
      <c r="K4966" s="9"/>
      <c r="L4966" s="9"/>
      <c r="M4966" s="9"/>
      <c r="N4966" s="9"/>
      <c r="O4966" s="9"/>
      <c r="P4966" s="9"/>
      <c r="Q4966" s="9"/>
      <c r="R4966" s="9"/>
      <c r="S4966" s="9"/>
      <c r="T4966" s="9"/>
      <c r="U4966" s="9"/>
      <c r="V4966" s="9"/>
      <c r="W4966" s="9"/>
      <c r="X4966" s="9"/>
      <c r="Y4966" s="9"/>
      <c r="Z4966" s="9"/>
      <c r="AA4966" s="9"/>
    </row>
    <row r="4967" spans="1:27">
      <c r="A4967" s="8"/>
      <c r="B4967" s="8"/>
      <c r="C4967" s="9"/>
      <c r="D4967" s="9"/>
      <c r="E4967" s="9"/>
      <c r="F4967" s="9"/>
      <c r="G4967" s="9"/>
      <c r="H4967" s="9"/>
      <c r="I4967" s="9"/>
      <c r="J4967" s="9"/>
      <c r="K4967" s="9"/>
      <c r="L4967" s="9"/>
      <c r="M4967" s="9"/>
      <c r="N4967" s="9"/>
      <c r="O4967" s="9"/>
      <c r="P4967" s="9"/>
      <c r="Q4967" s="9"/>
      <c r="R4967" s="9"/>
      <c r="S4967" s="9"/>
      <c r="T4967" s="9"/>
      <c r="U4967" s="9"/>
      <c r="V4967" s="9"/>
      <c r="W4967" s="9"/>
      <c r="X4967" s="9"/>
      <c r="Y4967" s="9"/>
      <c r="Z4967" s="9"/>
      <c r="AA4967" s="9"/>
    </row>
    <row r="4968" spans="1:27">
      <c r="A4968" s="8"/>
      <c r="B4968" s="8"/>
      <c r="C4968" s="9"/>
      <c r="D4968" s="9"/>
      <c r="E4968" s="9"/>
      <c r="F4968" s="9"/>
      <c r="G4968" s="9"/>
      <c r="H4968" s="9"/>
      <c r="I4968" s="9"/>
      <c r="J4968" s="9"/>
      <c r="K4968" s="9"/>
      <c r="L4968" s="9"/>
      <c r="M4968" s="9"/>
      <c r="N4968" s="9"/>
      <c r="O4968" s="9"/>
      <c r="P4968" s="9"/>
      <c r="Q4968" s="9"/>
      <c r="R4968" s="9"/>
      <c r="S4968" s="9"/>
      <c r="T4968" s="9"/>
      <c r="U4968" s="9"/>
      <c r="V4968" s="9"/>
      <c r="W4968" s="9"/>
      <c r="X4968" s="9"/>
      <c r="Y4968" s="9"/>
      <c r="Z4968" s="9"/>
      <c r="AA4968" s="9"/>
    </row>
    <row r="4969" spans="1:27">
      <c r="A4969" s="8"/>
      <c r="B4969" s="8"/>
      <c r="C4969" s="9"/>
      <c r="D4969" s="9"/>
      <c r="E4969" s="9"/>
      <c r="F4969" s="9"/>
      <c r="G4969" s="9"/>
      <c r="H4969" s="9"/>
      <c r="I4969" s="9"/>
      <c r="J4969" s="9"/>
      <c r="K4969" s="9"/>
      <c r="L4969" s="9"/>
      <c r="M4969" s="9"/>
      <c r="N4969" s="9"/>
      <c r="O4969" s="9"/>
      <c r="P4969" s="9"/>
      <c r="Q4969" s="9"/>
      <c r="R4969" s="9"/>
      <c r="S4969" s="9"/>
      <c r="T4969" s="9"/>
      <c r="U4969" s="9"/>
      <c r="V4969" s="9"/>
      <c r="W4969" s="9"/>
      <c r="X4969" s="9"/>
      <c r="Y4969" s="9"/>
      <c r="Z4969" s="9"/>
      <c r="AA4969" s="9"/>
    </row>
    <row r="4970" spans="1:27">
      <c r="A4970" s="8"/>
      <c r="B4970" s="8"/>
      <c r="C4970" s="9"/>
      <c r="D4970" s="9"/>
      <c r="E4970" s="9"/>
      <c r="F4970" s="9"/>
      <c r="G4970" s="9"/>
      <c r="H4970" s="9"/>
      <c r="I4970" s="9"/>
      <c r="J4970" s="9"/>
      <c r="K4970" s="9"/>
      <c r="L4970" s="9"/>
      <c r="M4970" s="9"/>
      <c r="N4970" s="9"/>
      <c r="O4970" s="9"/>
      <c r="P4970" s="9"/>
      <c r="Q4970" s="9"/>
      <c r="R4970" s="9"/>
      <c r="S4970" s="9"/>
      <c r="T4970" s="9"/>
      <c r="U4970" s="9"/>
      <c r="V4970" s="9"/>
      <c r="W4970" s="9"/>
      <c r="X4970" s="9"/>
      <c r="Y4970" s="9"/>
      <c r="Z4970" s="9"/>
      <c r="AA4970" s="9"/>
    </row>
    <row r="4971" spans="1:27">
      <c r="A4971" s="8"/>
      <c r="B4971" s="8"/>
      <c r="C4971" s="9"/>
      <c r="D4971" s="9"/>
      <c r="E4971" s="9"/>
      <c r="F4971" s="9"/>
      <c r="G4971" s="9"/>
      <c r="H4971" s="9"/>
      <c r="I4971" s="9"/>
      <c r="J4971" s="9"/>
      <c r="K4971" s="9"/>
      <c r="L4971" s="9"/>
      <c r="M4971" s="9"/>
      <c r="N4971" s="9"/>
      <c r="O4971" s="9"/>
      <c r="P4971" s="9"/>
      <c r="Q4971" s="9"/>
      <c r="R4971" s="9"/>
      <c r="S4971" s="9"/>
      <c r="T4971" s="9"/>
      <c r="U4971" s="9"/>
      <c r="V4971" s="9"/>
      <c r="W4971" s="9"/>
      <c r="X4971" s="9"/>
      <c r="Y4971" s="9"/>
      <c r="Z4971" s="9"/>
      <c r="AA4971" s="9"/>
    </row>
    <row r="4972" spans="1:27">
      <c r="A4972" s="8"/>
      <c r="B4972" s="8"/>
      <c r="C4972" s="9"/>
      <c r="D4972" s="9"/>
      <c r="E4972" s="9"/>
      <c r="F4972" s="9"/>
      <c r="G4972" s="9"/>
      <c r="H4972" s="9"/>
      <c r="I4972" s="9"/>
      <c r="J4972" s="9"/>
      <c r="K4972" s="9"/>
      <c r="L4972" s="9"/>
      <c r="M4972" s="9"/>
      <c r="N4972" s="9"/>
      <c r="O4972" s="9"/>
      <c r="P4972" s="9"/>
      <c r="Q4972" s="9"/>
      <c r="R4972" s="9"/>
      <c r="S4972" s="9"/>
      <c r="T4972" s="9"/>
      <c r="U4972" s="9"/>
      <c r="V4972" s="9"/>
      <c r="W4972" s="9"/>
      <c r="X4972" s="9"/>
      <c r="Y4972" s="9"/>
      <c r="Z4972" s="9"/>
      <c r="AA4972" s="9"/>
    </row>
    <row r="4973" spans="1:27">
      <c r="A4973" s="8"/>
      <c r="B4973" s="8"/>
      <c r="C4973" s="9"/>
      <c r="D4973" s="9"/>
      <c r="E4973" s="9"/>
      <c r="F4973" s="9"/>
      <c r="G4973" s="9"/>
      <c r="H4973" s="9"/>
      <c r="I4973" s="9"/>
      <c r="J4973" s="9"/>
      <c r="K4973" s="9"/>
      <c r="L4973" s="9"/>
      <c r="M4973" s="9"/>
      <c r="N4973" s="9"/>
      <c r="O4973" s="9"/>
      <c r="P4973" s="9"/>
      <c r="Q4973" s="9"/>
      <c r="R4973" s="9"/>
      <c r="S4973" s="9"/>
      <c r="T4973" s="9"/>
      <c r="U4973" s="9"/>
      <c r="V4973" s="9"/>
      <c r="W4973" s="9"/>
      <c r="X4973" s="9"/>
      <c r="Y4973" s="9"/>
      <c r="Z4973" s="9"/>
      <c r="AA4973" s="9"/>
    </row>
    <row r="4974" spans="1:27">
      <c r="A4974" s="8"/>
      <c r="B4974" s="8"/>
      <c r="C4974" s="9"/>
      <c r="D4974" s="9"/>
      <c r="E4974" s="9"/>
      <c r="F4974" s="9"/>
      <c r="G4974" s="9"/>
      <c r="H4974" s="9"/>
      <c r="I4974" s="9"/>
      <c r="J4974" s="9"/>
      <c r="K4974" s="9"/>
      <c r="L4974" s="9"/>
      <c r="M4974" s="9"/>
      <c r="N4974" s="9"/>
      <c r="O4974" s="9"/>
      <c r="P4974" s="9"/>
      <c r="Q4974" s="9"/>
      <c r="R4974" s="9"/>
      <c r="S4974" s="9"/>
      <c r="T4974" s="9"/>
      <c r="U4974" s="9"/>
      <c r="V4974" s="9"/>
      <c r="W4974" s="9"/>
      <c r="X4974" s="9"/>
      <c r="Y4974" s="9"/>
      <c r="Z4974" s="9"/>
      <c r="AA4974" s="9"/>
    </row>
    <row r="4975" spans="1:27">
      <c r="A4975" s="8"/>
      <c r="B4975" s="8"/>
      <c r="C4975" s="9"/>
      <c r="D4975" s="9"/>
      <c r="E4975" s="9"/>
      <c r="F4975" s="9"/>
      <c r="G4975" s="9"/>
      <c r="H4975" s="9"/>
      <c r="I4975" s="9"/>
      <c r="J4975" s="9"/>
      <c r="K4975" s="9"/>
      <c r="L4975" s="9"/>
      <c r="M4975" s="9"/>
      <c r="N4975" s="9"/>
      <c r="O4975" s="9"/>
      <c r="P4975" s="9"/>
      <c r="Q4975" s="9"/>
      <c r="R4975" s="9"/>
      <c r="S4975" s="9"/>
      <c r="T4975" s="9"/>
      <c r="U4975" s="9"/>
      <c r="V4975" s="9"/>
      <c r="W4975" s="9"/>
      <c r="X4975" s="9"/>
      <c r="Y4975" s="9"/>
      <c r="Z4975" s="9"/>
      <c r="AA4975" s="9"/>
    </row>
    <row r="4976" spans="1:27">
      <c r="A4976" s="8"/>
      <c r="B4976" s="8"/>
      <c r="C4976" s="9"/>
      <c r="D4976" s="9"/>
      <c r="E4976" s="9"/>
      <c r="F4976" s="9"/>
      <c r="G4976" s="9"/>
      <c r="H4976" s="9"/>
      <c r="I4976" s="9"/>
      <c r="J4976" s="9"/>
      <c r="K4976" s="9"/>
      <c r="L4976" s="9"/>
      <c r="M4976" s="9"/>
      <c r="N4976" s="9"/>
      <c r="O4976" s="9"/>
      <c r="P4976" s="9"/>
      <c r="Q4976" s="9"/>
      <c r="R4976" s="9"/>
      <c r="S4976" s="9"/>
      <c r="T4976" s="9"/>
      <c r="U4976" s="9"/>
      <c r="V4976" s="9"/>
      <c r="W4976" s="9"/>
      <c r="X4976" s="9"/>
      <c r="Y4976" s="9"/>
      <c r="Z4976" s="9"/>
      <c r="AA4976" s="9"/>
    </row>
    <row r="4977" spans="1:27">
      <c r="A4977" s="8"/>
      <c r="B4977" s="8"/>
      <c r="C4977" s="9"/>
      <c r="D4977" s="9"/>
      <c r="E4977" s="9"/>
      <c r="F4977" s="9"/>
      <c r="G4977" s="9"/>
      <c r="H4977" s="9"/>
      <c r="I4977" s="9"/>
      <c r="J4977" s="9"/>
      <c r="K4977" s="9"/>
      <c r="L4977" s="9"/>
      <c r="M4977" s="9"/>
      <c r="N4977" s="9"/>
      <c r="O4977" s="9"/>
      <c r="P4977" s="9"/>
      <c r="Q4977" s="9"/>
      <c r="R4977" s="9"/>
      <c r="S4977" s="9"/>
      <c r="T4977" s="9"/>
      <c r="U4977" s="9"/>
      <c r="V4977" s="9"/>
      <c r="W4977" s="9"/>
      <c r="X4977" s="9"/>
      <c r="Y4977" s="9"/>
      <c r="Z4977" s="9"/>
      <c r="AA4977" s="9"/>
    </row>
    <row r="4978" spans="1:27">
      <c r="A4978" s="8"/>
      <c r="B4978" s="8"/>
      <c r="C4978" s="9"/>
      <c r="D4978" s="9"/>
      <c r="E4978" s="9"/>
      <c r="F4978" s="9"/>
      <c r="G4978" s="9"/>
      <c r="H4978" s="9"/>
      <c r="I4978" s="9"/>
      <c r="J4978" s="9"/>
      <c r="K4978" s="9"/>
      <c r="L4978" s="9"/>
      <c r="M4978" s="9"/>
      <c r="N4978" s="9"/>
      <c r="O4978" s="9"/>
      <c r="P4978" s="9"/>
      <c r="Q4978" s="9"/>
      <c r="R4978" s="9"/>
      <c r="S4978" s="9"/>
      <c r="T4978" s="9"/>
      <c r="U4978" s="9"/>
      <c r="V4978" s="9"/>
      <c r="W4978" s="9"/>
      <c r="X4978" s="9"/>
      <c r="Y4978" s="9"/>
      <c r="Z4978" s="9"/>
      <c r="AA4978" s="9"/>
    </row>
    <row r="4979" spans="1:27">
      <c r="A4979" s="8"/>
      <c r="B4979" s="8"/>
      <c r="C4979" s="9"/>
      <c r="D4979" s="9"/>
      <c r="E4979" s="9"/>
      <c r="F4979" s="9"/>
      <c r="G4979" s="9"/>
      <c r="H4979" s="9"/>
      <c r="I4979" s="9"/>
      <c r="J4979" s="9"/>
      <c r="K4979" s="9"/>
      <c r="L4979" s="9"/>
      <c r="M4979" s="9"/>
      <c r="N4979" s="9"/>
      <c r="O4979" s="9"/>
      <c r="P4979" s="9"/>
      <c r="Q4979" s="9"/>
      <c r="R4979" s="9"/>
      <c r="S4979" s="9"/>
      <c r="T4979" s="9"/>
      <c r="U4979" s="9"/>
      <c r="V4979" s="9"/>
      <c r="W4979" s="9"/>
      <c r="X4979" s="9"/>
      <c r="Y4979" s="9"/>
      <c r="Z4979" s="9"/>
      <c r="AA4979" s="9"/>
    </row>
    <row r="4980" spans="1:27">
      <c r="A4980" s="8"/>
      <c r="B4980" s="8"/>
      <c r="C4980" s="9"/>
      <c r="D4980" s="9"/>
      <c r="E4980" s="9"/>
      <c r="F4980" s="9"/>
      <c r="G4980" s="9"/>
      <c r="H4980" s="9"/>
      <c r="I4980" s="9"/>
      <c r="J4980" s="9"/>
      <c r="K4980" s="9"/>
      <c r="L4980" s="9"/>
      <c r="M4980" s="9"/>
      <c r="N4980" s="9"/>
      <c r="O4980" s="9"/>
      <c r="P4980" s="9"/>
      <c r="Q4980" s="9"/>
      <c r="R4980" s="9"/>
      <c r="S4980" s="9"/>
      <c r="T4980" s="9"/>
      <c r="U4980" s="9"/>
      <c r="V4980" s="9"/>
      <c r="W4980" s="9"/>
      <c r="X4980" s="9"/>
      <c r="Y4980" s="9"/>
      <c r="Z4980" s="9"/>
      <c r="AA4980" s="9"/>
    </row>
    <row r="4981" spans="1:27">
      <c r="A4981" s="8"/>
      <c r="B4981" s="8"/>
      <c r="C4981" s="9"/>
      <c r="D4981" s="9"/>
      <c r="E4981" s="9"/>
      <c r="F4981" s="9"/>
      <c r="G4981" s="9"/>
      <c r="H4981" s="9"/>
      <c r="I4981" s="9"/>
      <c r="J4981" s="9"/>
      <c r="K4981" s="9"/>
      <c r="L4981" s="9"/>
      <c r="M4981" s="9"/>
      <c r="N4981" s="9"/>
      <c r="O4981" s="9"/>
      <c r="P4981" s="9"/>
      <c r="Q4981" s="9"/>
      <c r="R4981" s="9"/>
      <c r="S4981" s="9"/>
      <c r="T4981" s="9"/>
      <c r="U4981" s="9"/>
      <c r="V4981" s="9"/>
      <c r="W4981" s="9"/>
      <c r="X4981" s="9"/>
      <c r="Y4981" s="9"/>
      <c r="Z4981" s="9"/>
      <c r="AA4981" s="9"/>
    </row>
    <row r="4982" spans="1:27">
      <c r="A4982" s="8"/>
      <c r="B4982" s="8"/>
      <c r="C4982" s="9"/>
      <c r="D4982" s="9"/>
      <c r="E4982" s="9"/>
      <c r="F4982" s="9"/>
      <c r="G4982" s="9"/>
      <c r="H4982" s="9"/>
      <c r="I4982" s="9"/>
      <c r="J4982" s="9"/>
      <c r="K4982" s="9"/>
      <c r="L4982" s="9"/>
      <c r="M4982" s="9"/>
      <c r="N4982" s="9"/>
      <c r="O4982" s="9"/>
      <c r="P4982" s="9"/>
      <c r="Q4982" s="9"/>
      <c r="R4982" s="9"/>
      <c r="S4982" s="9"/>
      <c r="T4982" s="9"/>
      <c r="U4982" s="9"/>
      <c r="V4982" s="9"/>
      <c r="W4982" s="9"/>
      <c r="X4982" s="9"/>
      <c r="Y4982" s="9"/>
      <c r="Z4982" s="9"/>
      <c r="AA4982" s="9"/>
    </row>
    <row r="4983" spans="1:27">
      <c r="A4983" s="8"/>
      <c r="B4983" s="8"/>
      <c r="C4983" s="9"/>
      <c r="D4983" s="9"/>
      <c r="E4983" s="9"/>
      <c r="F4983" s="9"/>
      <c r="G4983" s="9"/>
      <c r="H4983" s="9"/>
      <c r="I4983" s="9"/>
      <c r="J4983" s="9"/>
      <c r="K4983" s="9"/>
      <c r="L4983" s="9"/>
      <c r="M4983" s="9"/>
      <c r="N4983" s="9"/>
      <c r="O4983" s="9"/>
      <c r="P4983" s="9"/>
      <c r="Q4983" s="9"/>
      <c r="R4983" s="9"/>
      <c r="S4983" s="9"/>
      <c r="T4983" s="9"/>
      <c r="U4983" s="9"/>
      <c r="V4983" s="9"/>
      <c r="W4983" s="9"/>
      <c r="X4983" s="9"/>
      <c r="Y4983" s="9"/>
      <c r="Z4983" s="9"/>
      <c r="AA4983" s="9"/>
    </row>
    <row r="4984" spans="1:27">
      <c r="A4984" s="8"/>
      <c r="B4984" s="8"/>
      <c r="C4984" s="9"/>
      <c r="D4984" s="9"/>
      <c r="E4984" s="9"/>
      <c r="F4984" s="9"/>
      <c r="G4984" s="9"/>
      <c r="H4984" s="9"/>
      <c r="I4984" s="9"/>
      <c r="J4984" s="9"/>
      <c r="K4984" s="9"/>
      <c r="L4984" s="9"/>
      <c r="M4984" s="9"/>
      <c r="N4984" s="9"/>
      <c r="O4984" s="9"/>
      <c r="P4984" s="9"/>
      <c r="Q4984" s="9"/>
      <c r="R4984" s="9"/>
      <c r="S4984" s="9"/>
      <c r="T4984" s="9"/>
      <c r="U4984" s="9"/>
      <c r="V4984" s="9"/>
      <c r="W4984" s="9"/>
      <c r="X4984" s="9"/>
      <c r="Y4984" s="9"/>
      <c r="Z4984" s="9"/>
      <c r="AA4984" s="9"/>
    </row>
    <row r="4985" spans="1:27">
      <c r="A4985" s="8"/>
      <c r="B4985" s="8"/>
      <c r="C4985" s="9"/>
      <c r="D4985" s="9"/>
      <c r="E4985" s="9"/>
      <c r="F4985" s="9"/>
      <c r="G4985" s="9"/>
      <c r="H4985" s="9"/>
      <c r="I4985" s="9"/>
      <c r="J4985" s="9"/>
      <c r="K4985" s="9"/>
      <c r="L4985" s="9"/>
      <c r="M4985" s="9"/>
      <c r="N4985" s="9"/>
      <c r="O4985" s="9"/>
      <c r="P4985" s="9"/>
      <c r="Q4985" s="9"/>
      <c r="R4985" s="9"/>
      <c r="S4985" s="9"/>
      <c r="T4985" s="9"/>
      <c r="U4985" s="9"/>
      <c r="V4985" s="9"/>
      <c r="W4985" s="9"/>
      <c r="X4985" s="9"/>
      <c r="Y4985" s="9"/>
      <c r="Z4985" s="9"/>
      <c r="AA4985" s="9"/>
    </row>
    <row r="4986" spans="1:27">
      <c r="A4986" s="8"/>
      <c r="B4986" s="8"/>
      <c r="C4986" s="9"/>
      <c r="D4986" s="9"/>
      <c r="E4986" s="9"/>
      <c r="F4986" s="9"/>
      <c r="G4986" s="9"/>
      <c r="H4986" s="9"/>
      <c r="I4986" s="9"/>
      <c r="J4986" s="9"/>
      <c r="K4986" s="9"/>
      <c r="L4986" s="9"/>
      <c r="M4986" s="9"/>
      <c r="N4986" s="9"/>
      <c r="O4986" s="9"/>
      <c r="P4986" s="9"/>
      <c r="Q4986" s="9"/>
      <c r="R4986" s="9"/>
      <c r="S4986" s="9"/>
      <c r="T4986" s="9"/>
      <c r="U4986" s="9"/>
      <c r="V4986" s="9"/>
      <c r="W4986" s="9"/>
      <c r="X4986" s="9"/>
      <c r="Y4986" s="9"/>
      <c r="Z4986" s="9"/>
      <c r="AA4986" s="9"/>
    </row>
    <row r="4987" spans="1:27">
      <c r="A4987" s="8"/>
      <c r="B4987" s="8"/>
      <c r="C4987" s="9"/>
      <c r="D4987" s="9"/>
      <c r="E4987" s="9"/>
      <c r="F4987" s="9"/>
      <c r="G4987" s="9"/>
      <c r="H4987" s="9"/>
      <c r="I4987" s="9"/>
      <c r="J4987" s="9"/>
      <c r="K4987" s="9"/>
      <c r="L4987" s="9"/>
      <c r="M4987" s="9"/>
      <c r="N4987" s="9"/>
      <c r="O4987" s="9"/>
      <c r="P4987" s="9"/>
      <c r="Q4987" s="9"/>
      <c r="R4987" s="9"/>
      <c r="S4987" s="9"/>
      <c r="T4987" s="9"/>
      <c r="U4987" s="9"/>
      <c r="V4987" s="9"/>
      <c r="W4987" s="9"/>
      <c r="X4987" s="9"/>
      <c r="Y4987" s="9"/>
      <c r="Z4987" s="9"/>
      <c r="AA4987" s="9"/>
    </row>
    <row r="4988" spans="1:27">
      <c r="A4988" s="8"/>
      <c r="B4988" s="8"/>
      <c r="C4988" s="9"/>
      <c r="D4988" s="9"/>
      <c r="E4988" s="9"/>
      <c r="F4988" s="9"/>
      <c r="G4988" s="9"/>
      <c r="H4988" s="9"/>
      <c r="I4988" s="9"/>
      <c r="J4988" s="9"/>
      <c r="K4988" s="9"/>
      <c r="L4988" s="9"/>
      <c r="M4988" s="9"/>
      <c r="N4988" s="9"/>
      <c r="O4988" s="9"/>
      <c r="P4988" s="9"/>
      <c r="Q4988" s="9"/>
      <c r="R4988" s="9"/>
      <c r="S4988" s="9"/>
      <c r="T4988" s="9"/>
      <c r="U4988" s="9"/>
      <c r="V4988" s="9"/>
      <c r="W4988" s="9"/>
      <c r="X4988" s="9"/>
      <c r="Y4988" s="9"/>
      <c r="Z4988" s="9"/>
      <c r="AA4988" s="9"/>
    </row>
    <row r="4989" spans="1:27">
      <c r="A4989" s="8"/>
      <c r="B4989" s="8"/>
      <c r="C4989" s="9"/>
      <c r="D4989" s="9"/>
      <c r="E4989" s="9"/>
      <c r="F4989" s="9"/>
      <c r="G4989" s="9"/>
      <c r="H4989" s="9"/>
      <c r="I4989" s="9"/>
      <c r="J4989" s="9"/>
      <c r="K4989" s="9"/>
      <c r="L4989" s="9"/>
      <c r="M4989" s="9"/>
      <c r="N4989" s="9"/>
      <c r="O4989" s="9"/>
      <c r="P4989" s="9"/>
      <c r="Q4989" s="9"/>
      <c r="R4989" s="9"/>
      <c r="S4989" s="9"/>
      <c r="T4989" s="9"/>
      <c r="U4989" s="9"/>
      <c r="V4989" s="9"/>
      <c r="W4989" s="9"/>
      <c r="X4989" s="9"/>
      <c r="Y4989" s="9"/>
      <c r="Z4989" s="9"/>
      <c r="AA4989" s="9"/>
    </row>
    <row r="4990" spans="1:27">
      <c r="A4990" s="8"/>
      <c r="B4990" s="8"/>
      <c r="C4990" s="9"/>
      <c r="D4990" s="9"/>
      <c r="E4990" s="9"/>
      <c r="F4990" s="9"/>
      <c r="G4990" s="9"/>
      <c r="H4990" s="9"/>
      <c r="I4990" s="9"/>
      <c r="J4990" s="9"/>
      <c r="K4990" s="9"/>
      <c r="L4990" s="9"/>
      <c r="M4990" s="9"/>
      <c r="N4990" s="9"/>
      <c r="O4990" s="9"/>
      <c r="P4990" s="9"/>
      <c r="Q4990" s="9"/>
      <c r="R4990" s="9"/>
      <c r="S4990" s="9"/>
      <c r="T4990" s="9"/>
      <c r="U4990" s="9"/>
      <c r="V4990" s="9"/>
      <c r="W4990" s="9"/>
      <c r="X4990" s="9"/>
      <c r="Y4990" s="9"/>
      <c r="Z4990" s="9"/>
      <c r="AA4990" s="9"/>
    </row>
    <row r="4991" spans="1:27">
      <c r="A4991" s="8"/>
      <c r="B4991" s="8"/>
      <c r="C4991" s="9"/>
      <c r="D4991" s="9"/>
      <c r="E4991" s="9"/>
      <c r="F4991" s="9"/>
      <c r="G4991" s="9"/>
      <c r="H4991" s="9"/>
      <c r="I4991" s="9"/>
      <c r="J4991" s="9"/>
      <c r="K4991" s="9"/>
      <c r="L4991" s="9"/>
      <c r="M4991" s="9"/>
      <c r="N4991" s="9"/>
      <c r="O4991" s="9"/>
      <c r="P4991" s="9"/>
      <c r="Q4991" s="9"/>
      <c r="R4991" s="9"/>
      <c r="S4991" s="9"/>
      <c r="T4991" s="9"/>
      <c r="U4991" s="9"/>
      <c r="V4991" s="9"/>
      <c r="W4991" s="9"/>
      <c r="X4991" s="9"/>
      <c r="Y4991" s="9"/>
      <c r="Z4991" s="9"/>
      <c r="AA4991" s="9"/>
    </row>
    <row r="4992" spans="1:27">
      <c r="A4992" s="8"/>
      <c r="B4992" s="8"/>
      <c r="C4992" s="9"/>
      <c r="D4992" s="9"/>
      <c r="E4992" s="9"/>
      <c r="F4992" s="9"/>
      <c r="G4992" s="9"/>
      <c r="H4992" s="9"/>
      <c r="I4992" s="9"/>
      <c r="J4992" s="9"/>
      <c r="K4992" s="9"/>
      <c r="L4992" s="9"/>
      <c r="M4992" s="9"/>
      <c r="N4992" s="9"/>
      <c r="O4992" s="9"/>
      <c r="P4992" s="9"/>
      <c r="Q4992" s="9"/>
      <c r="R4992" s="9"/>
      <c r="S4992" s="9"/>
      <c r="T4992" s="9"/>
      <c r="U4992" s="9"/>
      <c r="V4992" s="9"/>
      <c r="W4992" s="9"/>
      <c r="X4992" s="9"/>
      <c r="Y4992" s="9"/>
      <c r="Z4992" s="9"/>
      <c r="AA4992" s="9"/>
    </row>
    <row r="4993" spans="1:27">
      <c r="A4993" s="8"/>
      <c r="B4993" s="8"/>
      <c r="C4993" s="9"/>
      <c r="D4993" s="9"/>
      <c r="E4993" s="9"/>
      <c r="F4993" s="9"/>
      <c r="G4993" s="9"/>
      <c r="H4993" s="9"/>
      <c r="I4993" s="9"/>
      <c r="J4993" s="9"/>
      <c r="K4993" s="9"/>
      <c r="L4993" s="9"/>
      <c r="M4993" s="9"/>
      <c r="N4993" s="9"/>
      <c r="O4993" s="9"/>
      <c r="P4993" s="9"/>
      <c r="Q4993" s="9"/>
      <c r="R4993" s="9"/>
      <c r="S4993" s="9"/>
      <c r="T4993" s="9"/>
      <c r="U4993" s="9"/>
      <c r="V4993" s="9"/>
      <c r="W4993" s="9"/>
      <c r="X4993" s="9"/>
      <c r="Y4993" s="9"/>
      <c r="Z4993" s="9"/>
      <c r="AA4993" s="9"/>
    </row>
    <row r="4994" spans="1:27">
      <c r="A4994" s="8"/>
      <c r="B4994" s="8"/>
      <c r="C4994" s="9"/>
      <c r="D4994" s="9"/>
      <c r="E4994" s="9"/>
      <c r="F4994" s="9"/>
      <c r="G4994" s="9"/>
      <c r="H4994" s="9"/>
      <c r="I4994" s="9"/>
      <c r="J4994" s="9"/>
      <c r="K4994" s="9"/>
      <c r="L4994" s="9"/>
      <c r="M4994" s="9"/>
      <c r="N4994" s="9"/>
      <c r="O4994" s="9"/>
      <c r="P4994" s="9"/>
      <c r="Q4994" s="9"/>
      <c r="R4994" s="9"/>
      <c r="S4994" s="9"/>
      <c r="T4994" s="9"/>
      <c r="U4994" s="9"/>
      <c r="V4994" s="9"/>
      <c r="W4994" s="9"/>
      <c r="X4994" s="9"/>
      <c r="Y4994" s="9"/>
      <c r="Z4994" s="9"/>
      <c r="AA4994" s="9"/>
    </row>
    <row r="4995" spans="1:27">
      <c r="A4995" s="8"/>
      <c r="B4995" s="8"/>
      <c r="C4995" s="9"/>
      <c r="D4995" s="9"/>
      <c r="E4995" s="9"/>
      <c r="F4995" s="9"/>
      <c r="G4995" s="9"/>
      <c r="H4995" s="9"/>
      <c r="I4995" s="9"/>
      <c r="J4995" s="9"/>
      <c r="K4995" s="9"/>
      <c r="L4995" s="9"/>
      <c r="M4995" s="9"/>
      <c r="N4995" s="9"/>
      <c r="O4995" s="9"/>
      <c r="P4995" s="9"/>
      <c r="Q4995" s="9"/>
      <c r="R4995" s="9"/>
      <c r="S4995" s="9"/>
      <c r="T4995" s="9"/>
      <c r="U4995" s="9"/>
      <c r="V4995" s="9"/>
      <c r="W4995" s="9"/>
      <c r="X4995" s="9"/>
      <c r="Y4995" s="9"/>
      <c r="Z4995" s="9"/>
      <c r="AA4995" s="9"/>
    </row>
    <row r="4996" spans="1:27">
      <c r="A4996" s="8"/>
      <c r="B4996" s="8"/>
      <c r="C4996" s="9"/>
      <c r="D4996" s="9"/>
      <c r="E4996" s="9"/>
      <c r="F4996" s="9"/>
      <c r="G4996" s="9"/>
      <c r="H4996" s="9"/>
      <c r="I4996" s="9"/>
      <c r="J4996" s="9"/>
      <c r="K4996" s="9"/>
      <c r="L4996" s="9"/>
      <c r="M4996" s="9"/>
      <c r="N4996" s="9"/>
      <c r="O4996" s="9"/>
      <c r="P4996" s="9"/>
      <c r="Q4996" s="9"/>
      <c r="R4996" s="9"/>
      <c r="S4996" s="9"/>
      <c r="T4996" s="9"/>
      <c r="U4996" s="9"/>
      <c r="V4996" s="9"/>
      <c r="W4996" s="9"/>
      <c r="X4996" s="9"/>
      <c r="Y4996" s="9"/>
      <c r="Z4996" s="9"/>
      <c r="AA4996" s="9"/>
    </row>
    <row r="4997" spans="1:27">
      <c r="A4997" s="8"/>
      <c r="B4997" s="8"/>
      <c r="C4997" s="9"/>
      <c r="D4997" s="9"/>
      <c r="E4997" s="9"/>
      <c r="F4997" s="9"/>
      <c r="G4997" s="9"/>
      <c r="H4997" s="9"/>
      <c r="I4997" s="9"/>
      <c r="J4997" s="9"/>
      <c r="K4997" s="9"/>
      <c r="L4997" s="9"/>
      <c r="M4997" s="9"/>
      <c r="N4997" s="9"/>
      <c r="O4997" s="9"/>
      <c r="P4997" s="9"/>
      <c r="Q4997" s="9"/>
      <c r="R4997" s="9"/>
      <c r="S4997" s="9"/>
      <c r="T4997" s="9"/>
      <c r="U4997" s="9"/>
      <c r="V4997" s="9"/>
      <c r="W4997" s="9"/>
      <c r="X4997" s="9"/>
      <c r="Y4997" s="9"/>
      <c r="Z4997" s="9"/>
      <c r="AA4997" s="9"/>
    </row>
    <row r="4998" spans="1:27">
      <c r="A4998" s="8"/>
      <c r="B4998" s="8"/>
      <c r="C4998" s="9"/>
      <c r="D4998" s="9"/>
      <c r="E4998" s="9"/>
      <c r="F4998" s="9"/>
      <c r="G4998" s="9"/>
      <c r="H4998" s="9"/>
      <c r="I4998" s="9"/>
      <c r="J4998" s="9"/>
      <c r="K4998" s="9"/>
      <c r="L4998" s="9"/>
      <c r="M4998" s="9"/>
      <c r="N4998" s="9"/>
      <c r="O4998" s="9"/>
      <c r="P4998" s="9"/>
      <c r="Q4998" s="9"/>
      <c r="R4998" s="9"/>
      <c r="S4998" s="9"/>
      <c r="T4998" s="9"/>
      <c r="U4998" s="9"/>
      <c r="V4998" s="9"/>
      <c r="W4998" s="9"/>
      <c r="X4998" s="9"/>
      <c r="Y4998" s="9"/>
      <c r="Z4998" s="9"/>
      <c r="AA4998" s="9"/>
    </row>
    <row r="4999" spans="1:27">
      <c r="A4999" s="8"/>
      <c r="B4999" s="8"/>
      <c r="C4999" s="9"/>
      <c r="D4999" s="9"/>
      <c r="E4999" s="9"/>
      <c r="F4999" s="9"/>
      <c r="G4999" s="9"/>
      <c r="H4999" s="9"/>
      <c r="I4999" s="9"/>
      <c r="J4999" s="9"/>
      <c r="K4999" s="9"/>
      <c r="L4999" s="9"/>
      <c r="M4999" s="9"/>
      <c r="N4999" s="9"/>
      <c r="O4999" s="9"/>
      <c r="P4999" s="9"/>
      <c r="Q4999" s="9"/>
      <c r="R4999" s="9"/>
      <c r="S4999" s="9"/>
      <c r="T4999" s="9"/>
      <c r="U4999" s="9"/>
      <c r="V4999" s="9"/>
      <c r="W4999" s="9"/>
      <c r="X4999" s="9"/>
      <c r="Y4999" s="9"/>
      <c r="Z4999" s="9"/>
      <c r="AA4999" s="9"/>
    </row>
    <row r="5000" spans="1:27">
      <c r="A5000" s="8"/>
      <c r="B5000" s="8"/>
      <c r="C5000" s="9"/>
      <c r="D5000" s="9"/>
      <c r="E5000" s="9"/>
      <c r="F5000" s="9"/>
      <c r="G5000" s="9"/>
      <c r="H5000" s="9"/>
      <c r="I5000" s="9"/>
      <c r="J5000" s="9"/>
      <c r="K5000" s="9"/>
      <c r="L5000" s="9"/>
      <c r="M5000" s="9"/>
      <c r="N5000" s="9"/>
      <c r="O5000" s="9"/>
      <c r="P5000" s="9"/>
      <c r="Q5000" s="9"/>
      <c r="R5000" s="9"/>
      <c r="S5000" s="9"/>
      <c r="T5000" s="9"/>
      <c r="U5000" s="9"/>
      <c r="V5000" s="9"/>
      <c r="W5000" s="9"/>
      <c r="X5000" s="9"/>
      <c r="Y5000" s="9"/>
      <c r="Z5000" s="9"/>
      <c r="AA5000" s="9"/>
    </row>
    <row r="5001" spans="1:27">
      <c r="A5001" s="8"/>
      <c r="B5001" s="8"/>
      <c r="C5001" s="9"/>
      <c r="D5001" s="9"/>
      <c r="E5001" s="9"/>
      <c r="F5001" s="9"/>
      <c r="G5001" s="9"/>
      <c r="H5001" s="9"/>
      <c r="I5001" s="9"/>
      <c r="J5001" s="9"/>
      <c r="K5001" s="9"/>
      <c r="L5001" s="9"/>
      <c r="M5001" s="9"/>
      <c r="N5001" s="9"/>
      <c r="O5001" s="9"/>
      <c r="P5001" s="9"/>
      <c r="Q5001" s="9"/>
      <c r="R5001" s="9"/>
      <c r="S5001" s="9"/>
      <c r="T5001" s="9"/>
      <c r="U5001" s="9"/>
      <c r="V5001" s="9"/>
      <c r="W5001" s="9"/>
      <c r="X5001" s="9"/>
      <c r="Y5001" s="9"/>
      <c r="Z5001" s="9"/>
      <c r="AA5001" s="9"/>
    </row>
    <row r="5002" spans="1:27">
      <c r="A5002" s="8"/>
      <c r="B5002" s="8"/>
      <c r="C5002" s="9"/>
      <c r="D5002" s="9"/>
      <c r="E5002" s="9"/>
      <c r="F5002" s="9"/>
      <c r="G5002" s="9"/>
      <c r="H5002" s="9"/>
      <c r="I5002" s="9"/>
      <c r="J5002" s="9"/>
      <c r="K5002" s="9"/>
      <c r="L5002" s="9"/>
      <c r="M5002" s="9"/>
      <c r="N5002" s="9"/>
      <c r="O5002" s="9"/>
      <c r="P5002" s="9"/>
      <c r="Q5002" s="9"/>
      <c r="R5002" s="9"/>
      <c r="S5002" s="9"/>
      <c r="T5002" s="9"/>
      <c r="U5002" s="9"/>
      <c r="V5002" s="9"/>
      <c r="W5002" s="9"/>
      <c r="X5002" s="9"/>
      <c r="Y5002" s="9"/>
      <c r="Z5002" s="9"/>
      <c r="AA5002" s="9"/>
    </row>
    <row r="5003" spans="1:27">
      <c r="A5003" s="8"/>
      <c r="B5003" s="8"/>
      <c r="C5003" s="9"/>
      <c r="D5003" s="9"/>
      <c r="E5003" s="9"/>
      <c r="F5003" s="9"/>
      <c r="G5003" s="9"/>
      <c r="H5003" s="9"/>
      <c r="I5003" s="9"/>
      <c r="J5003" s="9"/>
      <c r="K5003" s="9"/>
      <c r="L5003" s="9"/>
      <c r="M5003" s="9"/>
      <c r="N5003" s="9"/>
      <c r="O5003" s="9"/>
      <c r="P5003" s="9"/>
      <c r="Q5003" s="9"/>
      <c r="R5003" s="9"/>
      <c r="S5003" s="9"/>
      <c r="T5003" s="9"/>
      <c r="U5003" s="9"/>
      <c r="V5003" s="9"/>
      <c r="W5003" s="9"/>
      <c r="X5003" s="9"/>
      <c r="Y5003" s="9"/>
      <c r="Z5003" s="9"/>
      <c r="AA5003" s="9"/>
    </row>
    <row r="5004" spans="1:27">
      <c r="A5004" s="8"/>
      <c r="B5004" s="8"/>
      <c r="C5004" s="9"/>
      <c r="D5004" s="9"/>
      <c r="E5004" s="9"/>
      <c r="F5004" s="9"/>
      <c r="G5004" s="9"/>
      <c r="H5004" s="9"/>
      <c r="I5004" s="9"/>
      <c r="J5004" s="9"/>
      <c r="K5004" s="9"/>
      <c r="L5004" s="9"/>
      <c r="M5004" s="9"/>
      <c r="N5004" s="9"/>
      <c r="O5004" s="9"/>
      <c r="P5004" s="9"/>
      <c r="Q5004" s="9"/>
      <c r="R5004" s="9"/>
      <c r="S5004" s="9"/>
      <c r="T5004" s="9"/>
      <c r="U5004" s="9"/>
      <c r="V5004" s="9"/>
      <c r="W5004" s="9"/>
      <c r="X5004" s="9"/>
      <c r="Y5004" s="9"/>
      <c r="Z5004" s="9"/>
      <c r="AA5004" s="9"/>
    </row>
    <row r="5005" spans="1:27">
      <c r="A5005" s="8"/>
      <c r="B5005" s="8"/>
      <c r="C5005" s="9"/>
      <c r="D5005" s="9"/>
      <c r="E5005" s="9"/>
      <c r="F5005" s="9"/>
      <c r="G5005" s="9"/>
      <c r="H5005" s="9"/>
      <c r="I5005" s="9"/>
      <c r="J5005" s="9"/>
      <c r="K5005" s="9"/>
      <c r="L5005" s="9"/>
      <c r="M5005" s="9"/>
      <c r="N5005" s="9"/>
      <c r="O5005" s="9"/>
      <c r="P5005" s="9"/>
      <c r="Q5005" s="9"/>
      <c r="R5005" s="9"/>
      <c r="S5005" s="9"/>
      <c r="T5005" s="9"/>
      <c r="U5005" s="9"/>
      <c r="V5005" s="9"/>
      <c r="W5005" s="9"/>
      <c r="X5005" s="9"/>
      <c r="Y5005" s="9"/>
      <c r="Z5005" s="9"/>
      <c r="AA5005" s="9"/>
    </row>
    <row r="5006" spans="1:27">
      <c r="A5006" s="8"/>
      <c r="B5006" s="8"/>
      <c r="C5006" s="9"/>
      <c r="D5006" s="9"/>
      <c r="E5006" s="9"/>
      <c r="F5006" s="9"/>
      <c r="G5006" s="9"/>
      <c r="H5006" s="9"/>
      <c r="I5006" s="9"/>
      <c r="J5006" s="9"/>
      <c r="K5006" s="9"/>
      <c r="L5006" s="9"/>
      <c r="M5006" s="9"/>
      <c r="N5006" s="9"/>
      <c r="O5006" s="9"/>
      <c r="P5006" s="9"/>
      <c r="Q5006" s="9"/>
      <c r="R5006" s="9"/>
      <c r="S5006" s="9"/>
      <c r="T5006" s="9"/>
      <c r="U5006" s="9"/>
      <c r="V5006" s="9"/>
      <c r="W5006" s="9"/>
      <c r="X5006" s="9"/>
      <c r="Y5006" s="9"/>
      <c r="Z5006" s="9"/>
      <c r="AA5006" s="9"/>
    </row>
    <row r="5007" spans="1:27">
      <c r="A5007" s="8"/>
      <c r="B5007" s="8"/>
      <c r="C5007" s="9"/>
      <c r="D5007" s="9"/>
      <c r="E5007" s="9"/>
      <c r="F5007" s="9"/>
      <c r="G5007" s="9"/>
      <c r="H5007" s="9"/>
      <c r="I5007" s="9"/>
      <c r="J5007" s="9"/>
      <c r="K5007" s="9"/>
      <c r="L5007" s="9"/>
      <c r="M5007" s="9"/>
      <c r="N5007" s="9"/>
      <c r="O5007" s="9"/>
      <c r="P5007" s="9"/>
      <c r="Q5007" s="9"/>
      <c r="R5007" s="9"/>
      <c r="S5007" s="9"/>
      <c r="T5007" s="9"/>
      <c r="U5007" s="9"/>
      <c r="V5007" s="9"/>
      <c r="W5007" s="9"/>
      <c r="X5007" s="9"/>
      <c r="Y5007" s="9"/>
      <c r="Z5007" s="9"/>
      <c r="AA5007" s="9"/>
    </row>
    <row r="5008" spans="1:27">
      <c r="A5008" s="8"/>
      <c r="B5008" s="8"/>
      <c r="C5008" s="9"/>
      <c r="D5008" s="9"/>
      <c r="E5008" s="9"/>
      <c r="F5008" s="9"/>
      <c r="G5008" s="9"/>
      <c r="H5008" s="9"/>
      <c r="I5008" s="9"/>
      <c r="J5008" s="9"/>
      <c r="K5008" s="9"/>
      <c r="L5008" s="9"/>
      <c r="M5008" s="9"/>
      <c r="N5008" s="9"/>
      <c r="O5008" s="9"/>
      <c r="P5008" s="9"/>
      <c r="Q5008" s="9"/>
      <c r="R5008" s="9"/>
      <c r="S5008" s="9"/>
      <c r="T5008" s="9"/>
      <c r="U5008" s="9"/>
      <c r="V5008" s="9"/>
      <c r="W5008" s="9"/>
      <c r="X5008" s="9"/>
      <c r="Y5008" s="9"/>
      <c r="Z5008" s="9"/>
      <c r="AA5008" s="9"/>
    </row>
    <row r="5009" spans="1:27">
      <c r="A5009" s="8"/>
      <c r="B5009" s="8"/>
      <c r="C5009" s="9"/>
      <c r="D5009" s="9"/>
      <c r="E5009" s="9"/>
      <c r="F5009" s="9"/>
      <c r="G5009" s="9"/>
      <c r="H5009" s="9"/>
      <c r="I5009" s="9"/>
      <c r="J5009" s="9"/>
      <c r="K5009" s="9"/>
      <c r="L5009" s="9"/>
      <c r="M5009" s="9"/>
      <c r="N5009" s="9"/>
      <c r="O5009" s="9"/>
      <c r="P5009" s="9"/>
      <c r="Q5009" s="9"/>
      <c r="R5009" s="9"/>
      <c r="S5009" s="9"/>
      <c r="T5009" s="9"/>
      <c r="U5009" s="9"/>
      <c r="V5009" s="9"/>
      <c r="W5009" s="9"/>
      <c r="X5009" s="9"/>
      <c r="Y5009" s="9"/>
      <c r="Z5009" s="9"/>
      <c r="AA5009" s="9"/>
    </row>
    <row r="5010" spans="1:27">
      <c r="A5010" s="8"/>
      <c r="B5010" s="8"/>
      <c r="C5010" s="9"/>
      <c r="D5010" s="9"/>
      <c r="E5010" s="9"/>
      <c r="F5010" s="9"/>
      <c r="G5010" s="9"/>
      <c r="H5010" s="9"/>
      <c r="I5010" s="9"/>
      <c r="J5010" s="9"/>
      <c r="K5010" s="9"/>
      <c r="L5010" s="9"/>
      <c r="M5010" s="9"/>
      <c r="N5010" s="9"/>
      <c r="O5010" s="9"/>
      <c r="P5010" s="9"/>
      <c r="Q5010" s="9"/>
      <c r="R5010" s="9"/>
      <c r="S5010" s="9"/>
      <c r="T5010" s="9"/>
      <c r="U5010" s="9"/>
      <c r="V5010" s="9"/>
      <c r="W5010" s="9"/>
      <c r="X5010" s="9"/>
      <c r="Y5010" s="9"/>
      <c r="Z5010" s="9"/>
      <c r="AA5010" s="9"/>
    </row>
    <row r="5011" spans="1:27">
      <c r="A5011" s="8"/>
      <c r="B5011" s="8"/>
      <c r="C5011" s="9"/>
      <c r="D5011" s="9"/>
      <c r="E5011" s="9"/>
      <c r="F5011" s="9"/>
      <c r="G5011" s="9"/>
      <c r="H5011" s="9"/>
      <c r="I5011" s="9"/>
      <c r="J5011" s="9"/>
      <c r="K5011" s="9"/>
      <c r="L5011" s="9"/>
      <c r="M5011" s="9"/>
      <c r="N5011" s="9"/>
      <c r="O5011" s="9"/>
      <c r="P5011" s="9"/>
      <c r="Q5011" s="9"/>
      <c r="R5011" s="9"/>
      <c r="S5011" s="9"/>
      <c r="T5011" s="9"/>
      <c r="U5011" s="9"/>
      <c r="V5011" s="9"/>
      <c r="W5011" s="9"/>
      <c r="X5011" s="9"/>
      <c r="Y5011" s="9"/>
      <c r="Z5011" s="9"/>
      <c r="AA5011" s="9"/>
    </row>
    <row r="5012" spans="1:27">
      <c r="A5012" s="8"/>
      <c r="B5012" s="8"/>
      <c r="C5012" s="9"/>
      <c r="D5012" s="9"/>
      <c r="E5012" s="9"/>
      <c r="F5012" s="9"/>
      <c r="G5012" s="9"/>
      <c r="H5012" s="9"/>
      <c r="I5012" s="9"/>
      <c r="J5012" s="9"/>
      <c r="K5012" s="9"/>
      <c r="L5012" s="9"/>
      <c r="M5012" s="9"/>
      <c r="N5012" s="9"/>
      <c r="O5012" s="9"/>
      <c r="P5012" s="9"/>
      <c r="Q5012" s="9"/>
      <c r="R5012" s="9"/>
      <c r="S5012" s="9"/>
      <c r="T5012" s="9"/>
      <c r="U5012" s="9"/>
      <c r="V5012" s="9"/>
      <c r="W5012" s="9"/>
      <c r="X5012" s="9"/>
      <c r="Y5012" s="9"/>
      <c r="Z5012" s="9"/>
      <c r="AA5012" s="9"/>
    </row>
    <row r="5013" spans="1:27">
      <c r="A5013" s="8"/>
      <c r="B5013" s="8"/>
      <c r="C5013" s="9"/>
      <c r="D5013" s="9"/>
      <c r="E5013" s="9"/>
      <c r="F5013" s="9"/>
      <c r="G5013" s="9"/>
      <c r="H5013" s="9"/>
      <c r="I5013" s="9"/>
      <c r="J5013" s="9"/>
      <c r="K5013" s="9"/>
      <c r="L5013" s="9"/>
      <c r="M5013" s="9"/>
      <c r="N5013" s="9"/>
      <c r="O5013" s="9"/>
      <c r="P5013" s="9"/>
      <c r="Q5013" s="9"/>
      <c r="R5013" s="9"/>
      <c r="S5013" s="9"/>
      <c r="T5013" s="9"/>
      <c r="U5013" s="9"/>
      <c r="V5013" s="9"/>
      <c r="W5013" s="9"/>
      <c r="X5013" s="9"/>
      <c r="Y5013" s="9"/>
      <c r="Z5013" s="9"/>
      <c r="AA5013" s="9"/>
    </row>
    <row r="5014" spans="1:27">
      <c r="A5014" s="8"/>
      <c r="B5014" s="8"/>
      <c r="C5014" s="9"/>
      <c r="D5014" s="9"/>
      <c r="E5014" s="9"/>
      <c r="F5014" s="9"/>
      <c r="G5014" s="9"/>
      <c r="H5014" s="9"/>
      <c r="I5014" s="9"/>
      <c r="J5014" s="9"/>
      <c r="K5014" s="9"/>
      <c r="L5014" s="9"/>
      <c r="M5014" s="9"/>
      <c r="N5014" s="9"/>
      <c r="O5014" s="9"/>
      <c r="P5014" s="9"/>
      <c r="Q5014" s="9"/>
      <c r="R5014" s="9"/>
      <c r="S5014" s="9"/>
      <c r="T5014" s="9"/>
      <c r="U5014" s="9"/>
      <c r="V5014" s="9"/>
      <c r="W5014" s="9"/>
      <c r="X5014" s="9"/>
      <c r="Y5014" s="9"/>
      <c r="Z5014" s="9"/>
      <c r="AA5014" s="9"/>
    </row>
    <row r="5015" spans="1:27">
      <c r="A5015" s="8"/>
      <c r="B5015" s="8"/>
      <c r="C5015" s="9"/>
      <c r="D5015" s="9"/>
      <c r="E5015" s="9"/>
      <c r="F5015" s="9"/>
      <c r="G5015" s="9"/>
      <c r="H5015" s="9"/>
      <c r="I5015" s="9"/>
      <c r="J5015" s="9"/>
      <c r="K5015" s="9"/>
      <c r="L5015" s="9"/>
      <c r="M5015" s="9"/>
      <c r="N5015" s="9"/>
      <c r="O5015" s="9"/>
      <c r="P5015" s="9"/>
      <c r="Q5015" s="9"/>
      <c r="R5015" s="9"/>
      <c r="S5015" s="9"/>
      <c r="T5015" s="9"/>
      <c r="U5015" s="9"/>
      <c r="V5015" s="9"/>
      <c r="W5015" s="9"/>
      <c r="X5015" s="9"/>
      <c r="Y5015" s="9"/>
      <c r="Z5015" s="9"/>
      <c r="AA5015" s="9"/>
    </row>
    <row r="5016" spans="1:27">
      <c r="A5016" s="8"/>
      <c r="B5016" s="8"/>
      <c r="C5016" s="9"/>
      <c r="D5016" s="9"/>
      <c r="E5016" s="9"/>
      <c r="F5016" s="9"/>
      <c r="G5016" s="9"/>
      <c r="H5016" s="9"/>
      <c r="I5016" s="9"/>
      <c r="J5016" s="9"/>
      <c r="K5016" s="9"/>
      <c r="L5016" s="9"/>
      <c r="M5016" s="9"/>
      <c r="N5016" s="9"/>
      <c r="O5016" s="9"/>
      <c r="P5016" s="9"/>
      <c r="Q5016" s="9"/>
      <c r="R5016" s="9"/>
      <c r="S5016" s="9"/>
      <c r="T5016" s="9"/>
      <c r="U5016" s="9"/>
      <c r="V5016" s="9"/>
      <c r="W5016" s="9"/>
      <c r="X5016" s="9"/>
      <c r="Y5016" s="9"/>
      <c r="Z5016" s="9"/>
      <c r="AA5016" s="9"/>
    </row>
    <row r="5017" spans="1:27">
      <c r="A5017" s="8"/>
      <c r="B5017" s="8"/>
      <c r="C5017" s="9"/>
      <c r="D5017" s="9"/>
      <c r="E5017" s="9"/>
      <c r="F5017" s="9"/>
      <c r="G5017" s="9"/>
      <c r="H5017" s="9"/>
      <c r="I5017" s="9"/>
      <c r="J5017" s="9"/>
      <c r="K5017" s="9"/>
      <c r="L5017" s="9"/>
      <c r="M5017" s="9"/>
      <c r="N5017" s="9"/>
      <c r="O5017" s="9"/>
      <c r="P5017" s="9"/>
      <c r="Q5017" s="9"/>
      <c r="R5017" s="9"/>
      <c r="S5017" s="9"/>
      <c r="T5017" s="9"/>
      <c r="U5017" s="9"/>
      <c r="V5017" s="9"/>
      <c r="W5017" s="9"/>
      <c r="X5017" s="9"/>
      <c r="Y5017" s="9"/>
      <c r="Z5017" s="9"/>
      <c r="AA5017" s="9"/>
    </row>
    <row r="5018" spans="1:27">
      <c r="A5018" s="8"/>
      <c r="B5018" s="8"/>
      <c r="C5018" s="9"/>
      <c r="D5018" s="9"/>
      <c r="E5018" s="9"/>
      <c r="F5018" s="9"/>
      <c r="G5018" s="9"/>
      <c r="H5018" s="9"/>
      <c r="I5018" s="9"/>
      <c r="J5018" s="9"/>
      <c r="K5018" s="9"/>
      <c r="L5018" s="9"/>
      <c r="M5018" s="9"/>
      <c r="N5018" s="9"/>
      <c r="O5018" s="9"/>
      <c r="P5018" s="9"/>
      <c r="Q5018" s="9"/>
      <c r="R5018" s="9"/>
      <c r="S5018" s="9"/>
      <c r="T5018" s="9"/>
      <c r="U5018" s="9"/>
      <c r="V5018" s="9"/>
      <c r="W5018" s="9"/>
      <c r="X5018" s="9"/>
      <c r="Y5018" s="9"/>
      <c r="Z5018" s="9"/>
      <c r="AA5018" s="9"/>
    </row>
    <row r="5019" spans="1:27">
      <c r="A5019" s="8"/>
      <c r="B5019" s="8"/>
      <c r="C5019" s="9"/>
      <c r="D5019" s="9"/>
      <c r="E5019" s="9"/>
      <c r="F5019" s="9"/>
      <c r="G5019" s="9"/>
      <c r="H5019" s="9"/>
      <c r="I5019" s="9"/>
      <c r="J5019" s="9"/>
      <c r="K5019" s="9"/>
      <c r="L5019" s="9"/>
      <c r="M5019" s="9"/>
      <c r="N5019" s="9"/>
      <c r="O5019" s="9"/>
      <c r="P5019" s="9"/>
      <c r="Q5019" s="9"/>
      <c r="R5019" s="9"/>
      <c r="S5019" s="9"/>
      <c r="T5019" s="9"/>
      <c r="U5019" s="9"/>
      <c r="V5019" s="9"/>
      <c r="W5019" s="9"/>
      <c r="X5019" s="9"/>
      <c r="Y5019" s="9"/>
      <c r="Z5019" s="9"/>
      <c r="AA5019" s="9"/>
    </row>
    <row r="5020" spans="1:27">
      <c r="A5020" s="8"/>
      <c r="B5020" s="8"/>
      <c r="C5020" s="9"/>
      <c r="D5020" s="9"/>
      <c r="E5020" s="9"/>
      <c r="F5020" s="9"/>
      <c r="G5020" s="9"/>
      <c r="H5020" s="9"/>
      <c r="I5020" s="9"/>
      <c r="J5020" s="9"/>
      <c r="K5020" s="9"/>
      <c r="L5020" s="9"/>
      <c r="M5020" s="9"/>
      <c r="N5020" s="9"/>
      <c r="O5020" s="9"/>
      <c r="P5020" s="9"/>
      <c r="Q5020" s="9"/>
      <c r="R5020" s="9"/>
      <c r="S5020" s="9"/>
      <c r="T5020" s="9"/>
      <c r="U5020" s="9"/>
      <c r="V5020" s="9"/>
      <c r="W5020" s="9"/>
      <c r="X5020" s="9"/>
      <c r="Y5020" s="9"/>
      <c r="Z5020" s="9"/>
      <c r="AA5020" s="9"/>
    </row>
    <row r="5021" spans="1:27">
      <c r="A5021" s="8"/>
      <c r="B5021" s="8"/>
      <c r="C5021" s="9"/>
      <c r="D5021" s="9"/>
      <c r="E5021" s="9"/>
      <c r="F5021" s="9"/>
      <c r="G5021" s="9"/>
      <c r="H5021" s="9"/>
      <c r="I5021" s="9"/>
      <c r="J5021" s="9"/>
      <c r="K5021" s="9"/>
      <c r="L5021" s="9"/>
      <c r="M5021" s="9"/>
      <c r="N5021" s="9"/>
      <c r="O5021" s="9"/>
      <c r="P5021" s="9"/>
      <c r="Q5021" s="9"/>
      <c r="R5021" s="9"/>
      <c r="S5021" s="9"/>
      <c r="T5021" s="9"/>
      <c r="U5021" s="9"/>
      <c r="V5021" s="9"/>
      <c r="W5021" s="9"/>
      <c r="X5021" s="9"/>
      <c r="Y5021" s="9"/>
      <c r="Z5021" s="9"/>
      <c r="AA5021" s="9"/>
    </row>
    <row r="5022" spans="1:27">
      <c r="A5022" s="8"/>
      <c r="B5022" s="8"/>
      <c r="C5022" s="9"/>
      <c r="D5022" s="9"/>
      <c r="E5022" s="9"/>
      <c r="F5022" s="9"/>
      <c r="G5022" s="9"/>
      <c r="H5022" s="9"/>
      <c r="I5022" s="9"/>
      <c r="J5022" s="9"/>
      <c r="K5022" s="9"/>
      <c r="L5022" s="9"/>
      <c r="M5022" s="9"/>
      <c r="N5022" s="9"/>
      <c r="O5022" s="9"/>
      <c r="P5022" s="9"/>
      <c r="Q5022" s="9"/>
      <c r="R5022" s="9"/>
      <c r="S5022" s="9"/>
      <c r="T5022" s="9"/>
      <c r="U5022" s="9"/>
      <c r="V5022" s="9"/>
      <c r="W5022" s="9"/>
      <c r="X5022" s="9"/>
      <c r="Y5022" s="9"/>
      <c r="Z5022" s="9"/>
      <c r="AA5022" s="9"/>
    </row>
    <row r="5023" spans="1:27">
      <c r="A5023" s="8"/>
      <c r="B5023" s="8"/>
      <c r="C5023" s="9"/>
      <c r="D5023" s="9"/>
      <c r="E5023" s="9"/>
      <c r="F5023" s="9"/>
      <c r="G5023" s="9"/>
      <c r="H5023" s="9"/>
      <c r="I5023" s="9"/>
      <c r="J5023" s="9"/>
      <c r="K5023" s="9"/>
      <c r="L5023" s="9"/>
      <c r="M5023" s="9"/>
      <c r="N5023" s="9"/>
      <c r="O5023" s="9"/>
      <c r="P5023" s="9"/>
      <c r="Q5023" s="9"/>
      <c r="R5023" s="9"/>
      <c r="S5023" s="9"/>
      <c r="T5023" s="9"/>
      <c r="U5023" s="9"/>
      <c r="V5023" s="9"/>
      <c r="W5023" s="9"/>
      <c r="X5023" s="9"/>
      <c r="Y5023" s="9"/>
      <c r="Z5023" s="9"/>
      <c r="AA5023" s="9"/>
    </row>
    <row r="5024" spans="1:27">
      <c r="A5024" s="8"/>
      <c r="B5024" s="8"/>
      <c r="C5024" s="9"/>
      <c r="D5024" s="9"/>
      <c r="E5024" s="9"/>
      <c r="F5024" s="9"/>
      <c r="G5024" s="9"/>
      <c r="H5024" s="9"/>
      <c r="I5024" s="9"/>
      <c r="J5024" s="9"/>
      <c r="K5024" s="9"/>
      <c r="L5024" s="9"/>
      <c r="M5024" s="9"/>
      <c r="N5024" s="9"/>
      <c r="O5024" s="9"/>
      <c r="P5024" s="9"/>
      <c r="Q5024" s="9"/>
      <c r="R5024" s="9"/>
      <c r="S5024" s="9"/>
      <c r="T5024" s="9"/>
      <c r="U5024" s="9"/>
      <c r="V5024" s="9"/>
      <c r="W5024" s="9"/>
      <c r="X5024" s="9"/>
      <c r="Y5024" s="9"/>
      <c r="Z5024" s="9"/>
      <c r="AA5024" s="9"/>
    </row>
    <row r="5025" spans="1:27">
      <c r="A5025" s="8"/>
      <c r="B5025" s="8"/>
      <c r="C5025" s="9"/>
      <c r="D5025" s="9"/>
      <c r="E5025" s="9"/>
      <c r="F5025" s="9"/>
      <c r="G5025" s="9"/>
      <c r="H5025" s="9"/>
      <c r="I5025" s="9"/>
      <c r="J5025" s="9"/>
      <c r="K5025" s="9"/>
      <c r="L5025" s="9"/>
      <c r="M5025" s="9"/>
      <c r="N5025" s="9"/>
      <c r="O5025" s="9"/>
      <c r="P5025" s="9"/>
      <c r="Q5025" s="9"/>
      <c r="R5025" s="9"/>
      <c r="S5025" s="9"/>
      <c r="T5025" s="9"/>
      <c r="U5025" s="9"/>
      <c r="V5025" s="9"/>
      <c r="W5025" s="9"/>
      <c r="X5025" s="9"/>
      <c r="Y5025" s="9"/>
      <c r="Z5025" s="9"/>
      <c r="AA5025" s="9"/>
    </row>
    <row r="5026" spans="1:27">
      <c r="A5026" s="8"/>
      <c r="B5026" s="8"/>
      <c r="C5026" s="9"/>
      <c r="D5026" s="9"/>
      <c r="E5026" s="9"/>
      <c r="F5026" s="9"/>
      <c r="G5026" s="9"/>
      <c r="H5026" s="9"/>
      <c r="I5026" s="9"/>
      <c r="J5026" s="9"/>
      <c r="K5026" s="9"/>
      <c r="L5026" s="9"/>
      <c r="M5026" s="9"/>
      <c r="N5026" s="9"/>
      <c r="O5026" s="9"/>
      <c r="P5026" s="9"/>
      <c r="Q5026" s="9"/>
      <c r="R5026" s="9"/>
      <c r="S5026" s="9"/>
      <c r="T5026" s="9"/>
      <c r="U5026" s="9"/>
      <c r="V5026" s="9"/>
      <c r="W5026" s="9"/>
      <c r="X5026" s="9"/>
      <c r="Y5026" s="9"/>
      <c r="Z5026" s="9"/>
      <c r="AA5026" s="9"/>
    </row>
    <row r="5027" spans="1:27">
      <c r="A5027" s="8"/>
      <c r="B5027" s="8"/>
      <c r="C5027" s="9"/>
      <c r="D5027" s="9"/>
      <c r="E5027" s="9"/>
      <c r="F5027" s="9"/>
      <c r="G5027" s="9"/>
      <c r="H5027" s="9"/>
      <c r="I5027" s="9"/>
      <c r="J5027" s="9"/>
      <c r="K5027" s="9"/>
      <c r="L5027" s="9"/>
      <c r="M5027" s="9"/>
      <c r="N5027" s="9"/>
      <c r="O5027" s="9"/>
      <c r="P5027" s="9"/>
      <c r="Q5027" s="9"/>
      <c r="R5027" s="9"/>
      <c r="S5027" s="9"/>
      <c r="T5027" s="9"/>
      <c r="U5027" s="9"/>
      <c r="V5027" s="9"/>
      <c r="W5027" s="9"/>
      <c r="X5027" s="9"/>
      <c r="Y5027" s="9"/>
      <c r="Z5027" s="9"/>
      <c r="AA5027" s="9"/>
    </row>
    <row r="5028" spans="1:27">
      <c r="A5028" s="8"/>
      <c r="B5028" s="8"/>
      <c r="C5028" s="9"/>
      <c r="D5028" s="9"/>
      <c r="E5028" s="9"/>
      <c r="F5028" s="9"/>
      <c r="G5028" s="9"/>
      <c r="H5028" s="9"/>
      <c r="I5028" s="9"/>
      <c r="J5028" s="9"/>
      <c r="K5028" s="9"/>
      <c r="L5028" s="9"/>
      <c r="M5028" s="9"/>
      <c r="N5028" s="9"/>
      <c r="O5028" s="9"/>
      <c r="P5028" s="9"/>
      <c r="Q5028" s="9"/>
      <c r="R5028" s="9"/>
      <c r="S5028" s="9"/>
      <c r="T5028" s="9"/>
      <c r="U5028" s="9"/>
      <c r="V5028" s="9"/>
      <c r="W5028" s="9"/>
      <c r="X5028" s="9"/>
      <c r="Y5028" s="9"/>
      <c r="Z5028" s="9"/>
      <c r="AA5028" s="9"/>
    </row>
    <row r="5029" spans="1:27">
      <c r="A5029" s="8"/>
      <c r="B5029" s="8"/>
      <c r="C5029" s="9"/>
      <c r="D5029" s="9"/>
      <c r="E5029" s="9"/>
      <c r="F5029" s="9"/>
      <c r="G5029" s="9"/>
      <c r="H5029" s="9"/>
      <c r="I5029" s="9"/>
      <c r="J5029" s="9"/>
      <c r="K5029" s="9"/>
      <c r="L5029" s="9"/>
      <c r="M5029" s="9"/>
      <c r="N5029" s="9"/>
      <c r="O5029" s="9"/>
      <c r="P5029" s="9"/>
      <c r="Q5029" s="9"/>
      <c r="R5029" s="9"/>
      <c r="S5029" s="9"/>
      <c r="T5029" s="9"/>
      <c r="U5029" s="9"/>
      <c r="V5029" s="9"/>
      <c r="W5029" s="9"/>
      <c r="X5029" s="9"/>
      <c r="Y5029" s="9"/>
      <c r="Z5029" s="9"/>
      <c r="AA5029" s="9"/>
    </row>
    <row r="5030" spans="1:27">
      <c r="A5030" s="8"/>
      <c r="B5030" s="8"/>
      <c r="C5030" s="9"/>
      <c r="D5030" s="9"/>
      <c r="E5030" s="9"/>
      <c r="F5030" s="9"/>
      <c r="G5030" s="9"/>
      <c r="H5030" s="9"/>
      <c r="I5030" s="9"/>
      <c r="J5030" s="9"/>
      <c r="K5030" s="9"/>
      <c r="L5030" s="9"/>
      <c r="M5030" s="9"/>
      <c r="N5030" s="9"/>
      <c r="O5030" s="9"/>
      <c r="P5030" s="9"/>
      <c r="Q5030" s="9"/>
      <c r="R5030" s="9"/>
      <c r="S5030" s="9"/>
      <c r="T5030" s="9"/>
      <c r="U5030" s="9"/>
      <c r="V5030" s="9"/>
      <c r="W5030" s="9"/>
      <c r="X5030" s="9"/>
      <c r="Y5030" s="9"/>
      <c r="Z5030" s="9"/>
      <c r="AA5030" s="9"/>
    </row>
    <row r="5031" spans="1:27">
      <c r="A5031" s="8"/>
      <c r="B5031" s="8"/>
      <c r="C5031" s="9"/>
      <c r="D5031" s="9"/>
      <c r="E5031" s="9"/>
      <c r="F5031" s="9"/>
      <c r="G5031" s="9"/>
      <c r="H5031" s="9"/>
      <c r="I5031" s="9"/>
      <c r="J5031" s="9"/>
      <c r="K5031" s="9"/>
      <c r="L5031" s="9"/>
      <c r="M5031" s="9"/>
      <c r="N5031" s="9"/>
      <c r="O5031" s="9"/>
      <c r="P5031" s="9"/>
      <c r="Q5031" s="9"/>
      <c r="R5031" s="9"/>
      <c r="S5031" s="9"/>
      <c r="T5031" s="9"/>
      <c r="U5031" s="9"/>
      <c r="V5031" s="9"/>
      <c r="W5031" s="9"/>
      <c r="X5031" s="9"/>
      <c r="Y5031" s="9"/>
      <c r="Z5031" s="9"/>
      <c r="AA5031" s="9"/>
    </row>
    <row r="5032" spans="1:27">
      <c r="A5032" s="8"/>
      <c r="B5032" s="8"/>
      <c r="C5032" s="9"/>
      <c r="D5032" s="9"/>
      <c r="E5032" s="9"/>
      <c r="F5032" s="9"/>
      <c r="G5032" s="9"/>
      <c r="H5032" s="9"/>
      <c r="I5032" s="9"/>
      <c r="J5032" s="9"/>
      <c r="K5032" s="9"/>
      <c r="L5032" s="9"/>
      <c r="M5032" s="9"/>
      <c r="N5032" s="9"/>
      <c r="O5032" s="9"/>
      <c r="P5032" s="9"/>
      <c r="Q5032" s="9"/>
      <c r="R5032" s="9"/>
      <c r="S5032" s="9"/>
      <c r="T5032" s="9"/>
      <c r="U5032" s="9"/>
      <c r="V5032" s="9"/>
      <c r="W5032" s="9"/>
      <c r="X5032" s="9"/>
      <c r="Y5032" s="9"/>
      <c r="Z5032" s="9"/>
      <c r="AA5032" s="9"/>
    </row>
    <row r="5033" spans="1:27">
      <c r="A5033" s="8"/>
      <c r="B5033" s="8"/>
      <c r="C5033" s="9"/>
      <c r="D5033" s="9"/>
      <c r="E5033" s="9"/>
      <c r="F5033" s="9"/>
      <c r="G5033" s="9"/>
      <c r="H5033" s="9"/>
      <c r="I5033" s="9"/>
      <c r="J5033" s="9"/>
      <c r="K5033" s="9"/>
      <c r="L5033" s="9"/>
      <c r="M5033" s="9"/>
      <c r="N5033" s="9"/>
      <c r="O5033" s="9"/>
      <c r="P5033" s="9"/>
      <c r="Q5033" s="9"/>
      <c r="R5033" s="9"/>
      <c r="S5033" s="9"/>
      <c r="T5033" s="9"/>
      <c r="U5033" s="9"/>
      <c r="V5033" s="9"/>
      <c r="W5033" s="9"/>
      <c r="X5033" s="9"/>
      <c r="Y5033" s="9"/>
      <c r="Z5033" s="9"/>
      <c r="AA5033" s="9"/>
    </row>
    <row r="5034" spans="1:27">
      <c r="A5034" s="8"/>
      <c r="B5034" s="8"/>
      <c r="C5034" s="9"/>
      <c r="D5034" s="9"/>
      <c r="E5034" s="9"/>
      <c r="F5034" s="9"/>
      <c r="G5034" s="9"/>
      <c r="H5034" s="9"/>
      <c r="I5034" s="9"/>
      <c r="J5034" s="9"/>
      <c r="K5034" s="9"/>
      <c r="L5034" s="9"/>
      <c r="M5034" s="9"/>
      <c r="N5034" s="9"/>
      <c r="O5034" s="9"/>
      <c r="P5034" s="9"/>
      <c r="Q5034" s="9"/>
      <c r="R5034" s="9"/>
      <c r="S5034" s="9"/>
      <c r="T5034" s="9"/>
      <c r="U5034" s="9"/>
      <c r="V5034" s="9"/>
      <c r="W5034" s="9"/>
      <c r="X5034" s="9"/>
      <c r="Y5034" s="9"/>
      <c r="Z5034" s="9"/>
      <c r="AA5034" s="9"/>
    </row>
    <row r="5035" spans="1:27">
      <c r="A5035" s="8"/>
      <c r="B5035" s="8"/>
      <c r="C5035" s="9"/>
      <c r="D5035" s="9"/>
      <c r="E5035" s="9"/>
      <c r="F5035" s="9"/>
      <c r="G5035" s="9"/>
      <c r="H5035" s="9"/>
      <c r="I5035" s="9"/>
      <c r="J5035" s="9"/>
      <c r="K5035" s="9"/>
      <c r="L5035" s="9"/>
      <c r="M5035" s="9"/>
      <c r="N5035" s="9"/>
      <c r="O5035" s="9"/>
      <c r="P5035" s="9"/>
      <c r="Q5035" s="9"/>
      <c r="R5035" s="9"/>
      <c r="S5035" s="9"/>
      <c r="T5035" s="9"/>
      <c r="U5035" s="9"/>
      <c r="V5035" s="9"/>
      <c r="W5035" s="9"/>
      <c r="X5035" s="9"/>
      <c r="Y5035" s="9"/>
      <c r="Z5035" s="9"/>
      <c r="AA5035" s="9"/>
    </row>
    <row r="5036" spans="1:27">
      <c r="A5036" s="8"/>
      <c r="B5036" s="8"/>
      <c r="C5036" s="9"/>
      <c r="D5036" s="9"/>
      <c r="E5036" s="9"/>
      <c r="F5036" s="9"/>
      <c r="G5036" s="9"/>
      <c r="H5036" s="9"/>
      <c r="I5036" s="9"/>
      <c r="J5036" s="9"/>
      <c r="K5036" s="9"/>
      <c r="L5036" s="9"/>
      <c r="M5036" s="9"/>
      <c r="N5036" s="9"/>
      <c r="O5036" s="9"/>
      <c r="P5036" s="9"/>
      <c r="Q5036" s="9"/>
      <c r="R5036" s="9"/>
      <c r="S5036" s="9"/>
      <c r="T5036" s="9"/>
      <c r="U5036" s="9"/>
      <c r="V5036" s="9"/>
      <c r="W5036" s="9"/>
      <c r="X5036" s="9"/>
      <c r="Y5036" s="9"/>
      <c r="Z5036" s="9"/>
      <c r="AA5036" s="9"/>
    </row>
    <row r="5037" spans="1:27">
      <c r="A5037" s="8"/>
      <c r="B5037" s="8"/>
      <c r="C5037" s="9"/>
      <c r="D5037" s="9"/>
      <c r="E5037" s="9"/>
      <c r="F5037" s="9"/>
      <c r="G5037" s="9"/>
      <c r="H5037" s="9"/>
      <c r="I5037" s="9"/>
      <c r="J5037" s="9"/>
      <c r="K5037" s="9"/>
      <c r="L5037" s="9"/>
      <c r="M5037" s="9"/>
      <c r="N5037" s="9"/>
      <c r="O5037" s="9"/>
      <c r="P5037" s="9"/>
      <c r="Q5037" s="9"/>
      <c r="R5037" s="9"/>
      <c r="S5037" s="9"/>
      <c r="T5037" s="9"/>
      <c r="U5037" s="9"/>
      <c r="V5037" s="9"/>
      <c r="W5037" s="9"/>
      <c r="X5037" s="9"/>
      <c r="Y5037" s="9"/>
      <c r="Z5037" s="9"/>
      <c r="AA5037" s="9"/>
    </row>
    <row r="5038" spans="1:27">
      <c r="A5038" s="8"/>
      <c r="B5038" s="8"/>
      <c r="C5038" s="9"/>
      <c r="D5038" s="9"/>
      <c r="E5038" s="9"/>
      <c r="F5038" s="9"/>
      <c r="G5038" s="9"/>
      <c r="H5038" s="9"/>
      <c r="I5038" s="9"/>
      <c r="J5038" s="9"/>
      <c r="K5038" s="9"/>
      <c r="L5038" s="9"/>
      <c r="M5038" s="9"/>
      <c r="N5038" s="9"/>
      <c r="O5038" s="9"/>
      <c r="P5038" s="9"/>
      <c r="Q5038" s="9"/>
      <c r="R5038" s="9"/>
      <c r="S5038" s="9"/>
      <c r="T5038" s="9"/>
      <c r="U5038" s="9"/>
      <c r="V5038" s="9"/>
      <c r="W5038" s="9"/>
      <c r="X5038" s="9"/>
      <c r="Y5038" s="9"/>
      <c r="Z5038" s="9"/>
      <c r="AA5038" s="9"/>
    </row>
    <row r="5039" spans="1:27">
      <c r="A5039" s="8"/>
      <c r="B5039" s="8"/>
      <c r="C5039" s="9"/>
      <c r="D5039" s="9"/>
      <c r="E5039" s="9"/>
      <c r="F5039" s="9"/>
      <c r="G5039" s="9"/>
      <c r="H5039" s="9"/>
      <c r="I5039" s="9"/>
      <c r="J5039" s="9"/>
      <c r="K5039" s="9"/>
      <c r="L5039" s="9"/>
      <c r="M5039" s="9"/>
      <c r="N5039" s="9"/>
      <c r="O5039" s="9"/>
      <c r="P5039" s="9"/>
      <c r="Q5039" s="9"/>
      <c r="R5039" s="9"/>
      <c r="S5039" s="9"/>
      <c r="T5039" s="9"/>
      <c r="U5039" s="9"/>
      <c r="V5039" s="9"/>
      <c r="W5039" s="9"/>
      <c r="X5039" s="9"/>
      <c r="Y5039" s="9"/>
      <c r="Z5039" s="9"/>
      <c r="AA5039" s="9"/>
    </row>
    <row r="5040" spans="1:27">
      <c r="A5040" s="8"/>
      <c r="B5040" s="8"/>
      <c r="C5040" s="9"/>
      <c r="D5040" s="9"/>
      <c r="E5040" s="9"/>
      <c r="F5040" s="9"/>
      <c r="G5040" s="9"/>
      <c r="H5040" s="9"/>
      <c r="I5040" s="9"/>
      <c r="J5040" s="9"/>
      <c r="K5040" s="9"/>
      <c r="L5040" s="9"/>
      <c r="M5040" s="9"/>
      <c r="N5040" s="9"/>
      <c r="O5040" s="9"/>
      <c r="P5040" s="9"/>
      <c r="Q5040" s="9"/>
      <c r="R5040" s="9"/>
      <c r="S5040" s="9"/>
      <c r="T5040" s="9"/>
      <c r="U5040" s="9"/>
      <c r="V5040" s="9"/>
      <c r="W5040" s="9"/>
      <c r="X5040" s="9"/>
      <c r="Y5040" s="9"/>
      <c r="Z5040" s="9"/>
      <c r="AA5040" s="9"/>
    </row>
    <row r="5041" spans="1:27">
      <c r="A5041" s="8"/>
      <c r="B5041" s="8"/>
      <c r="C5041" s="9"/>
      <c r="D5041" s="9"/>
      <c r="E5041" s="9"/>
      <c r="F5041" s="9"/>
      <c r="G5041" s="9"/>
      <c r="H5041" s="9"/>
      <c r="I5041" s="9"/>
      <c r="J5041" s="9"/>
      <c r="K5041" s="9"/>
      <c r="L5041" s="9"/>
      <c r="M5041" s="9"/>
      <c r="N5041" s="9"/>
      <c r="O5041" s="9"/>
      <c r="P5041" s="9"/>
      <c r="Q5041" s="9"/>
      <c r="R5041" s="9"/>
      <c r="S5041" s="9"/>
      <c r="T5041" s="9"/>
      <c r="U5041" s="9"/>
      <c r="V5041" s="9"/>
      <c r="W5041" s="9"/>
      <c r="X5041" s="9"/>
      <c r="Y5041" s="9"/>
      <c r="Z5041" s="9"/>
      <c r="AA5041" s="9"/>
    </row>
    <row r="5042" spans="1:27">
      <c r="A5042" s="8"/>
      <c r="B5042" s="8"/>
      <c r="C5042" s="9"/>
      <c r="D5042" s="9"/>
      <c r="E5042" s="9"/>
      <c r="F5042" s="9"/>
      <c r="G5042" s="9"/>
      <c r="H5042" s="9"/>
      <c r="I5042" s="9"/>
      <c r="J5042" s="9"/>
      <c r="K5042" s="9"/>
      <c r="L5042" s="9"/>
      <c r="M5042" s="9"/>
      <c r="N5042" s="9"/>
      <c r="O5042" s="9"/>
      <c r="P5042" s="9"/>
      <c r="Q5042" s="9"/>
      <c r="R5042" s="9"/>
      <c r="S5042" s="9"/>
      <c r="T5042" s="9"/>
      <c r="U5042" s="9"/>
      <c r="V5042" s="9"/>
      <c r="W5042" s="9"/>
      <c r="X5042" s="9"/>
      <c r="Y5042" s="9"/>
      <c r="Z5042" s="9"/>
      <c r="AA5042" s="9"/>
    </row>
    <row r="5043" spans="1:27">
      <c r="A5043" s="8"/>
      <c r="B5043" s="8"/>
      <c r="C5043" s="9"/>
      <c r="D5043" s="9"/>
      <c r="E5043" s="9"/>
      <c r="F5043" s="9"/>
      <c r="G5043" s="9"/>
      <c r="H5043" s="9"/>
      <c r="I5043" s="9"/>
      <c r="J5043" s="9"/>
      <c r="K5043" s="9"/>
      <c r="L5043" s="9"/>
      <c r="M5043" s="9"/>
      <c r="N5043" s="9"/>
      <c r="O5043" s="9"/>
      <c r="P5043" s="9"/>
      <c r="Q5043" s="9"/>
      <c r="R5043" s="9"/>
      <c r="S5043" s="9"/>
      <c r="T5043" s="9"/>
      <c r="U5043" s="9"/>
      <c r="V5043" s="9"/>
      <c r="W5043" s="9"/>
      <c r="X5043" s="9"/>
      <c r="Y5043" s="9"/>
      <c r="Z5043" s="9"/>
      <c r="AA5043" s="9"/>
    </row>
    <row r="5044" spans="1:27">
      <c r="A5044" s="8"/>
      <c r="B5044" s="8"/>
      <c r="C5044" s="9"/>
      <c r="D5044" s="9"/>
      <c r="E5044" s="9"/>
      <c r="F5044" s="9"/>
      <c r="G5044" s="9"/>
      <c r="H5044" s="9"/>
      <c r="I5044" s="9"/>
      <c r="J5044" s="9"/>
      <c r="K5044" s="9"/>
      <c r="L5044" s="9"/>
      <c r="M5044" s="9"/>
      <c r="N5044" s="9"/>
      <c r="O5044" s="9"/>
      <c r="P5044" s="9"/>
      <c r="Q5044" s="9"/>
      <c r="R5044" s="9"/>
      <c r="S5044" s="9"/>
      <c r="T5044" s="9"/>
      <c r="U5044" s="9"/>
      <c r="V5044" s="9"/>
      <c r="W5044" s="9"/>
      <c r="X5044" s="9"/>
      <c r="Y5044" s="9"/>
      <c r="Z5044" s="9"/>
      <c r="AA5044" s="9"/>
    </row>
    <row r="5045" spans="1:27">
      <c r="A5045" s="8"/>
      <c r="B5045" s="8"/>
      <c r="C5045" s="9"/>
      <c r="D5045" s="9"/>
      <c r="E5045" s="9"/>
      <c r="F5045" s="9"/>
      <c r="G5045" s="9"/>
      <c r="H5045" s="9"/>
      <c r="I5045" s="9"/>
      <c r="J5045" s="9"/>
      <c r="K5045" s="9"/>
      <c r="L5045" s="9"/>
      <c r="M5045" s="9"/>
      <c r="N5045" s="9"/>
      <c r="O5045" s="9"/>
      <c r="P5045" s="9"/>
      <c r="Q5045" s="9"/>
      <c r="R5045" s="9"/>
      <c r="S5045" s="9"/>
      <c r="T5045" s="9"/>
      <c r="U5045" s="9"/>
      <c r="V5045" s="9"/>
      <c r="W5045" s="9"/>
      <c r="X5045" s="9"/>
      <c r="Y5045" s="9"/>
      <c r="Z5045" s="9"/>
      <c r="AA5045" s="9"/>
    </row>
    <row r="5046" spans="1:27">
      <c r="A5046" s="8"/>
      <c r="B5046" s="8"/>
      <c r="C5046" s="9"/>
      <c r="D5046" s="9"/>
      <c r="E5046" s="9"/>
      <c r="F5046" s="9"/>
      <c r="G5046" s="9"/>
      <c r="H5046" s="9"/>
      <c r="I5046" s="9"/>
      <c r="J5046" s="9"/>
      <c r="K5046" s="9"/>
      <c r="L5046" s="9"/>
      <c r="M5046" s="9"/>
      <c r="N5046" s="9"/>
      <c r="O5046" s="9"/>
      <c r="P5046" s="9"/>
      <c r="Q5046" s="9"/>
      <c r="R5046" s="9"/>
      <c r="S5046" s="9"/>
      <c r="T5046" s="9"/>
      <c r="U5046" s="9"/>
      <c r="V5046" s="9"/>
      <c r="W5046" s="9"/>
      <c r="X5046" s="9"/>
      <c r="Y5046" s="9"/>
      <c r="Z5046" s="9"/>
      <c r="AA5046" s="9"/>
    </row>
    <row r="5047" spans="1:27">
      <c r="A5047" s="8"/>
      <c r="B5047" s="8"/>
      <c r="C5047" s="9"/>
      <c r="D5047" s="9"/>
      <c r="E5047" s="9"/>
      <c r="F5047" s="9"/>
      <c r="G5047" s="9"/>
      <c r="H5047" s="9"/>
      <c r="I5047" s="9"/>
      <c r="J5047" s="9"/>
      <c r="K5047" s="9"/>
      <c r="L5047" s="9"/>
      <c r="M5047" s="9"/>
      <c r="N5047" s="9"/>
      <c r="O5047" s="9"/>
      <c r="P5047" s="9"/>
      <c r="Q5047" s="9"/>
      <c r="R5047" s="9"/>
      <c r="S5047" s="9"/>
      <c r="T5047" s="9"/>
      <c r="U5047" s="9"/>
      <c r="V5047" s="9"/>
      <c r="W5047" s="9"/>
      <c r="X5047" s="9"/>
      <c r="Y5047" s="9"/>
      <c r="Z5047" s="9"/>
      <c r="AA5047" s="9"/>
    </row>
    <row r="5048" spans="1:27">
      <c r="A5048" s="8"/>
      <c r="B5048" s="8"/>
      <c r="C5048" s="9"/>
      <c r="D5048" s="9"/>
      <c r="E5048" s="9"/>
      <c r="F5048" s="9"/>
      <c r="G5048" s="9"/>
      <c r="H5048" s="9"/>
      <c r="I5048" s="9"/>
      <c r="J5048" s="9"/>
      <c r="K5048" s="9"/>
      <c r="L5048" s="9"/>
      <c r="M5048" s="9"/>
      <c r="N5048" s="9"/>
      <c r="O5048" s="9"/>
      <c r="P5048" s="9"/>
      <c r="Q5048" s="9"/>
      <c r="R5048" s="9"/>
      <c r="S5048" s="9"/>
      <c r="T5048" s="9"/>
      <c r="U5048" s="9"/>
      <c r="V5048" s="9"/>
      <c r="W5048" s="9"/>
      <c r="X5048" s="9"/>
      <c r="Y5048" s="9"/>
      <c r="Z5048" s="9"/>
      <c r="AA5048" s="9"/>
    </row>
    <row r="5049" spans="1:27">
      <c r="A5049" s="8"/>
      <c r="B5049" s="8"/>
      <c r="C5049" s="9"/>
      <c r="D5049" s="9"/>
      <c r="E5049" s="9"/>
      <c r="F5049" s="9"/>
      <c r="G5049" s="9"/>
      <c r="H5049" s="9"/>
      <c r="I5049" s="9"/>
      <c r="J5049" s="9"/>
      <c r="K5049" s="9"/>
      <c r="L5049" s="9"/>
      <c r="M5049" s="9"/>
      <c r="N5049" s="9"/>
      <c r="O5049" s="9"/>
      <c r="P5049" s="9"/>
      <c r="Q5049" s="9"/>
      <c r="R5049" s="9"/>
      <c r="S5049" s="9"/>
      <c r="T5049" s="9"/>
      <c r="U5049" s="9"/>
      <c r="V5049" s="9"/>
      <c r="W5049" s="9"/>
      <c r="X5049" s="9"/>
      <c r="Y5049" s="9"/>
      <c r="Z5049" s="9"/>
      <c r="AA5049" s="9"/>
    </row>
    <row r="5050" spans="1:27">
      <c r="A5050" s="8"/>
      <c r="B5050" s="8"/>
      <c r="C5050" s="9"/>
      <c r="D5050" s="9"/>
      <c r="E5050" s="9"/>
      <c r="F5050" s="9"/>
      <c r="G5050" s="9"/>
      <c r="H5050" s="9"/>
      <c r="I5050" s="9"/>
      <c r="J5050" s="9"/>
      <c r="K5050" s="9"/>
      <c r="L5050" s="9"/>
      <c r="M5050" s="9"/>
      <c r="N5050" s="9"/>
      <c r="O5050" s="9"/>
      <c r="P5050" s="9"/>
      <c r="Q5050" s="9"/>
      <c r="R5050" s="9"/>
      <c r="S5050" s="9"/>
      <c r="T5050" s="9"/>
      <c r="U5050" s="9"/>
      <c r="V5050" s="9"/>
      <c r="W5050" s="9"/>
      <c r="X5050" s="9"/>
      <c r="Y5050" s="9"/>
      <c r="Z5050" s="9"/>
      <c r="AA5050" s="9"/>
    </row>
    <row r="5051" spans="1:27">
      <c r="A5051" s="8"/>
      <c r="B5051" s="8"/>
      <c r="C5051" s="9"/>
      <c r="D5051" s="9"/>
      <c r="E5051" s="9"/>
      <c r="F5051" s="9"/>
      <c r="G5051" s="9"/>
      <c r="H5051" s="9"/>
      <c r="I5051" s="9"/>
      <c r="J5051" s="9"/>
      <c r="K5051" s="9"/>
      <c r="L5051" s="9"/>
      <c r="M5051" s="9"/>
      <c r="N5051" s="9"/>
      <c r="O5051" s="9"/>
      <c r="P5051" s="9"/>
      <c r="Q5051" s="9"/>
      <c r="R5051" s="9"/>
      <c r="S5051" s="9"/>
      <c r="T5051" s="9"/>
      <c r="U5051" s="9"/>
      <c r="V5051" s="9"/>
      <c r="W5051" s="9"/>
      <c r="X5051" s="9"/>
      <c r="Y5051" s="9"/>
      <c r="Z5051" s="9"/>
      <c r="AA5051" s="9"/>
    </row>
    <row r="5052" spans="1:27">
      <c r="A5052" s="8"/>
      <c r="B5052" s="8"/>
      <c r="C5052" s="9"/>
      <c r="D5052" s="9"/>
      <c r="E5052" s="9"/>
      <c r="F5052" s="9"/>
      <c r="G5052" s="9"/>
      <c r="H5052" s="9"/>
      <c r="I5052" s="9"/>
      <c r="J5052" s="9"/>
      <c r="K5052" s="9"/>
      <c r="L5052" s="9"/>
      <c r="M5052" s="9"/>
      <c r="N5052" s="9"/>
      <c r="O5052" s="9"/>
      <c r="P5052" s="9"/>
      <c r="Q5052" s="9"/>
      <c r="R5052" s="9"/>
      <c r="S5052" s="9"/>
      <c r="T5052" s="9"/>
      <c r="U5052" s="9"/>
      <c r="V5052" s="9"/>
      <c r="W5052" s="9"/>
      <c r="X5052" s="9"/>
      <c r="Y5052" s="9"/>
      <c r="Z5052" s="9"/>
      <c r="AA5052" s="9"/>
    </row>
    <row r="5053" spans="1:27">
      <c r="A5053" s="8"/>
      <c r="B5053" s="8"/>
      <c r="C5053" s="9"/>
      <c r="D5053" s="9"/>
      <c r="E5053" s="9"/>
      <c r="F5053" s="9"/>
      <c r="G5053" s="9"/>
      <c r="H5053" s="9"/>
      <c r="I5053" s="9"/>
      <c r="J5053" s="9"/>
      <c r="K5053" s="9"/>
      <c r="L5053" s="9"/>
      <c r="M5053" s="9"/>
      <c r="N5053" s="9"/>
      <c r="O5053" s="9"/>
      <c r="P5053" s="9"/>
      <c r="Q5053" s="9"/>
      <c r="R5053" s="9"/>
      <c r="S5053" s="9"/>
      <c r="T5053" s="9"/>
      <c r="U5053" s="9"/>
      <c r="V5053" s="9"/>
      <c r="W5053" s="9"/>
      <c r="X5053" s="9"/>
      <c r="Y5053" s="9"/>
      <c r="Z5053" s="9"/>
      <c r="AA5053" s="9"/>
    </row>
    <row r="5054" spans="1:27">
      <c r="A5054" s="8"/>
      <c r="B5054" s="8"/>
      <c r="C5054" s="9"/>
      <c r="D5054" s="9"/>
      <c r="E5054" s="9"/>
      <c r="F5054" s="9"/>
      <c r="G5054" s="9"/>
      <c r="H5054" s="9"/>
      <c r="I5054" s="9"/>
      <c r="J5054" s="9"/>
      <c r="K5054" s="9"/>
      <c r="L5054" s="9"/>
      <c r="M5054" s="9"/>
      <c r="N5054" s="9"/>
      <c r="O5054" s="9"/>
      <c r="P5054" s="9"/>
      <c r="Q5054" s="9"/>
      <c r="R5054" s="9"/>
      <c r="S5054" s="9"/>
      <c r="T5054" s="9"/>
      <c r="U5054" s="9"/>
      <c r="V5054" s="9"/>
      <c r="W5054" s="9"/>
      <c r="X5054" s="9"/>
      <c r="Y5054" s="9"/>
      <c r="Z5054" s="9"/>
      <c r="AA5054" s="9"/>
    </row>
    <row r="5055" spans="1:27">
      <c r="A5055" s="8"/>
      <c r="B5055" s="8"/>
      <c r="C5055" s="9"/>
      <c r="D5055" s="9"/>
      <c r="E5055" s="9"/>
      <c r="F5055" s="9"/>
      <c r="G5055" s="9"/>
      <c r="H5055" s="9"/>
      <c r="I5055" s="9"/>
      <c r="J5055" s="9"/>
      <c r="K5055" s="9"/>
      <c r="L5055" s="9"/>
      <c r="M5055" s="9"/>
      <c r="N5055" s="9"/>
      <c r="O5055" s="9"/>
      <c r="P5055" s="9"/>
      <c r="Q5055" s="9"/>
      <c r="R5055" s="9"/>
      <c r="S5055" s="9"/>
      <c r="T5055" s="9"/>
      <c r="U5055" s="9"/>
      <c r="V5055" s="9"/>
      <c r="W5055" s="9"/>
      <c r="X5055" s="9"/>
      <c r="Y5055" s="9"/>
      <c r="Z5055" s="9"/>
      <c r="AA5055" s="9"/>
    </row>
    <row r="5056" spans="1:27">
      <c r="A5056" s="8"/>
      <c r="B5056" s="8"/>
      <c r="C5056" s="9"/>
      <c r="D5056" s="9"/>
      <c r="E5056" s="9"/>
      <c r="F5056" s="9"/>
      <c r="G5056" s="9"/>
      <c r="H5056" s="9"/>
      <c r="I5056" s="9"/>
      <c r="J5056" s="9"/>
      <c r="K5056" s="9"/>
      <c r="L5056" s="9"/>
      <c r="M5056" s="9"/>
      <c r="N5056" s="9"/>
      <c r="O5056" s="9"/>
      <c r="P5056" s="9"/>
      <c r="Q5056" s="9"/>
      <c r="R5056" s="9"/>
      <c r="S5056" s="9"/>
      <c r="T5056" s="9"/>
      <c r="U5056" s="9"/>
      <c r="V5056" s="9"/>
      <c r="W5056" s="9"/>
      <c r="X5056" s="9"/>
      <c r="Y5056" s="9"/>
      <c r="Z5056" s="9"/>
      <c r="AA5056" s="9"/>
    </row>
    <row r="5057" spans="1:27">
      <c r="A5057" s="8"/>
      <c r="B5057" s="8"/>
      <c r="C5057" s="9"/>
      <c r="D5057" s="9"/>
      <c r="E5057" s="9"/>
      <c r="F5057" s="9"/>
      <c r="G5057" s="9"/>
      <c r="H5057" s="9"/>
      <c r="I5057" s="9"/>
      <c r="J5057" s="9"/>
      <c r="K5057" s="9"/>
      <c r="L5057" s="9"/>
      <c r="M5057" s="9"/>
      <c r="N5057" s="9"/>
      <c r="O5057" s="9"/>
      <c r="P5057" s="9"/>
      <c r="Q5057" s="9"/>
      <c r="R5057" s="9"/>
      <c r="S5057" s="9"/>
      <c r="T5057" s="9"/>
      <c r="U5057" s="9"/>
      <c r="V5057" s="9"/>
      <c r="W5057" s="9"/>
      <c r="X5057" s="9"/>
      <c r="Y5057" s="9"/>
      <c r="Z5057" s="9"/>
      <c r="AA5057" s="9"/>
    </row>
    <row r="5058" spans="1:27">
      <c r="A5058" s="8"/>
      <c r="B5058" s="8"/>
      <c r="C5058" s="9"/>
      <c r="D5058" s="9"/>
      <c r="E5058" s="9"/>
      <c r="F5058" s="9"/>
      <c r="G5058" s="9"/>
      <c r="H5058" s="9"/>
      <c r="I5058" s="9"/>
      <c r="J5058" s="9"/>
      <c r="K5058" s="9"/>
      <c r="L5058" s="9"/>
      <c r="M5058" s="9"/>
      <c r="N5058" s="9"/>
      <c r="O5058" s="9"/>
      <c r="P5058" s="9"/>
      <c r="Q5058" s="9"/>
      <c r="R5058" s="9"/>
      <c r="S5058" s="9"/>
      <c r="T5058" s="9"/>
      <c r="U5058" s="9"/>
      <c r="V5058" s="9"/>
      <c r="W5058" s="9"/>
      <c r="X5058" s="9"/>
      <c r="Y5058" s="9"/>
      <c r="Z5058" s="9"/>
      <c r="AA5058" s="9"/>
    </row>
    <row r="5059" spans="1:27">
      <c r="A5059" s="8"/>
      <c r="B5059" s="8"/>
      <c r="C5059" s="9"/>
      <c r="D5059" s="9"/>
      <c r="E5059" s="9"/>
      <c r="F5059" s="9"/>
      <c r="G5059" s="9"/>
      <c r="H5059" s="9"/>
      <c r="I5059" s="9"/>
      <c r="J5059" s="9"/>
      <c r="K5059" s="9"/>
      <c r="L5059" s="9"/>
      <c r="M5059" s="9"/>
      <c r="N5059" s="9"/>
      <c r="O5059" s="9"/>
      <c r="P5059" s="9"/>
      <c r="Q5059" s="9"/>
      <c r="R5059" s="9"/>
      <c r="S5059" s="9"/>
      <c r="T5059" s="9"/>
      <c r="U5059" s="9"/>
      <c r="V5059" s="9"/>
      <c r="W5059" s="9"/>
      <c r="X5059" s="9"/>
      <c r="Y5059" s="9"/>
      <c r="Z5059" s="9"/>
      <c r="AA5059" s="9"/>
    </row>
    <row r="5060" spans="1:27">
      <c r="A5060" s="8"/>
      <c r="B5060" s="8"/>
      <c r="C5060" s="9"/>
      <c r="D5060" s="9"/>
      <c r="E5060" s="9"/>
      <c r="F5060" s="9"/>
      <c r="G5060" s="9"/>
      <c r="H5060" s="9"/>
      <c r="I5060" s="9"/>
      <c r="J5060" s="9"/>
      <c r="K5060" s="9"/>
      <c r="L5060" s="9"/>
      <c r="M5060" s="9"/>
      <c r="N5060" s="9"/>
      <c r="O5060" s="9"/>
      <c r="P5060" s="9"/>
      <c r="Q5060" s="9"/>
      <c r="R5060" s="9"/>
      <c r="S5060" s="9"/>
      <c r="T5060" s="9"/>
      <c r="U5060" s="9"/>
      <c r="V5060" s="9"/>
      <c r="W5060" s="9"/>
      <c r="X5060" s="9"/>
      <c r="Y5060" s="9"/>
      <c r="Z5060" s="9"/>
      <c r="AA5060" s="9"/>
    </row>
    <row r="5061" spans="1:27">
      <c r="A5061" s="8"/>
      <c r="B5061" s="8"/>
      <c r="C5061" s="9"/>
      <c r="D5061" s="9"/>
      <c r="E5061" s="9"/>
      <c r="F5061" s="9"/>
      <c r="G5061" s="9"/>
      <c r="H5061" s="9"/>
      <c r="I5061" s="9"/>
      <c r="J5061" s="9"/>
      <c r="K5061" s="9"/>
      <c r="L5061" s="9"/>
      <c r="M5061" s="9"/>
      <c r="N5061" s="9"/>
      <c r="O5061" s="9"/>
      <c r="P5061" s="9"/>
      <c r="Q5061" s="9"/>
      <c r="R5061" s="9"/>
      <c r="S5061" s="9"/>
      <c r="T5061" s="9"/>
      <c r="U5061" s="9"/>
      <c r="V5061" s="9"/>
      <c r="W5061" s="9"/>
      <c r="X5061" s="9"/>
      <c r="Y5061" s="9"/>
      <c r="Z5061" s="9"/>
      <c r="AA5061" s="9"/>
    </row>
    <row r="5062" spans="1:27">
      <c r="A5062" s="8"/>
      <c r="B5062" s="8"/>
      <c r="C5062" s="9"/>
      <c r="D5062" s="9"/>
      <c r="E5062" s="9"/>
      <c r="F5062" s="9"/>
      <c r="G5062" s="9"/>
      <c r="H5062" s="9"/>
      <c r="I5062" s="9"/>
      <c r="J5062" s="9"/>
      <c r="K5062" s="9"/>
      <c r="L5062" s="9"/>
      <c r="M5062" s="9"/>
      <c r="N5062" s="9"/>
      <c r="O5062" s="9"/>
      <c r="P5062" s="9"/>
      <c r="Q5062" s="9"/>
      <c r="R5062" s="9"/>
      <c r="S5062" s="9"/>
      <c r="T5062" s="9"/>
      <c r="U5062" s="9"/>
      <c r="V5062" s="9"/>
      <c r="W5062" s="9"/>
      <c r="X5062" s="9"/>
      <c r="Y5062" s="9"/>
      <c r="Z5062" s="9"/>
      <c r="AA5062" s="9"/>
    </row>
    <row r="5063" spans="1:27">
      <c r="A5063" s="8"/>
      <c r="B5063" s="8"/>
      <c r="C5063" s="9"/>
      <c r="D5063" s="9"/>
      <c r="E5063" s="9"/>
      <c r="F5063" s="9"/>
      <c r="G5063" s="9"/>
      <c r="H5063" s="9"/>
      <c r="I5063" s="9"/>
      <c r="J5063" s="9"/>
      <c r="K5063" s="9"/>
      <c r="L5063" s="9"/>
      <c r="M5063" s="9"/>
      <c r="N5063" s="9"/>
      <c r="O5063" s="9"/>
      <c r="P5063" s="9"/>
      <c r="Q5063" s="9"/>
      <c r="R5063" s="9"/>
      <c r="S5063" s="9"/>
      <c r="T5063" s="9"/>
      <c r="U5063" s="9"/>
      <c r="V5063" s="9"/>
      <c r="W5063" s="9"/>
      <c r="X5063" s="9"/>
      <c r="Y5063" s="9"/>
      <c r="Z5063" s="9"/>
      <c r="AA5063" s="9"/>
    </row>
    <row r="5064" spans="1:27">
      <c r="A5064" s="8"/>
      <c r="B5064" s="8"/>
      <c r="C5064" s="9"/>
      <c r="D5064" s="9"/>
      <c r="E5064" s="9"/>
      <c r="F5064" s="9"/>
      <c r="G5064" s="9"/>
      <c r="H5064" s="9"/>
      <c r="I5064" s="9"/>
      <c r="J5064" s="9"/>
      <c r="K5064" s="9"/>
      <c r="L5064" s="9"/>
      <c r="M5064" s="9"/>
      <c r="N5064" s="9"/>
      <c r="O5064" s="9"/>
      <c r="P5064" s="9"/>
      <c r="Q5064" s="9"/>
      <c r="R5064" s="9"/>
      <c r="S5064" s="9"/>
      <c r="T5064" s="9"/>
      <c r="U5064" s="9"/>
      <c r="V5064" s="9"/>
      <c r="W5064" s="9"/>
      <c r="X5064" s="9"/>
      <c r="Y5064" s="9"/>
      <c r="Z5064" s="9"/>
      <c r="AA5064" s="9"/>
    </row>
    <row r="5065" spans="1:27">
      <c r="A5065" s="8"/>
      <c r="B5065" s="8"/>
      <c r="C5065" s="9"/>
      <c r="D5065" s="9"/>
      <c r="E5065" s="9"/>
      <c r="F5065" s="9"/>
      <c r="G5065" s="9"/>
      <c r="H5065" s="9"/>
      <c r="I5065" s="9"/>
      <c r="J5065" s="9"/>
      <c r="K5065" s="9"/>
      <c r="L5065" s="9"/>
      <c r="M5065" s="9"/>
      <c r="N5065" s="9"/>
      <c r="O5065" s="9"/>
      <c r="P5065" s="9"/>
      <c r="Q5065" s="9"/>
      <c r="R5065" s="9"/>
      <c r="S5065" s="9"/>
      <c r="T5065" s="9"/>
      <c r="U5065" s="9"/>
      <c r="V5065" s="9"/>
      <c r="W5065" s="9"/>
      <c r="X5065" s="9"/>
      <c r="Y5065" s="9"/>
      <c r="Z5065" s="9"/>
      <c r="AA5065" s="9"/>
    </row>
    <row r="5066" spans="1:27">
      <c r="A5066" s="8"/>
      <c r="B5066" s="8"/>
      <c r="C5066" s="9"/>
      <c r="D5066" s="9"/>
      <c r="E5066" s="9"/>
      <c r="F5066" s="9"/>
      <c r="G5066" s="9"/>
      <c r="H5066" s="9"/>
      <c r="I5066" s="9"/>
      <c r="J5066" s="9"/>
      <c r="K5066" s="9"/>
      <c r="L5066" s="9"/>
      <c r="M5066" s="9"/>
      <c r="N5066" s="9"/>
      <c r="O5066" s="9"/>
      <c r="P5066" s="9"/>
      <c r="Q5066" s="9"/>
      <c r="R5066" s="9"/>
      <c r="S5066" s="9"/>
      <c r="T5066" s="9"/>
      <c r="U5066" s="9"/>
      <c r="V5066" s="9"/>
      <c r="W5066" s="9"/>
      <c r="X5066" s="9"/>
      <c r="Y5066" s="9"/>
      <c r="Z5066" s="9"/>
      <c r="AA5066" s="9"/>
    </row>
    <row r="5067" spans="1:27">
      <c r="A5067" s="8"/>
      <c r="B5067" s="8"/>
      <c r="C5067" s="9"/>
      <c r="D5067" s="9"/>
      <c r="E5067" s="9"/>
      <c r="F5067" s="9"/>
      <c r="G5067" s="9"/>
      <c r="H5067" s="9"/>
      <c r="I5067" s="9"/>
      <c r="J5067" s="9"/>
      <c r="K5067" s="9"/>
      <c r="L5067" s="9"/>
      <c r="M5067" s="9"/>
      <c r="N5067" s="9"/>
      <c r="O5067" s="9"/>
      <c r="P5067" s="9"/>
      <c r="Q5067" s="9"/>
      <c r="R5067" s="9"/>
      <c r="S5067" s="9"/>
      <c r="T5067" s="9"/>
      <c r="U5067" s="9"/>
      <c r="V5067" s="9"/>
      <c r="W5067" s="9"/>
      <c r="X5067" s="9"/>
      <c r="Y5067" s="9"/>
      <c r="Z5067" s="9"/>
      <c r="AA5067" s="9"/>
    </row>
    <row r="5068" spans="1:27">
      <c r="A5068" s="8"/>
      <c r="B5068" s="8"/>
      <c r="C5068" s="9"/>
      <c r="D5068" s="9"/>
      <c r="E5068" s="9"/>
      <c r="F5068" s="9"/>
      <c r="G5068" s="9"/>
      <c r="H5068" s="9"/>
      <c r="I5068" s="9"/>
      <c r="J5068" s="9"/>
      <c r="K5068" s="9"/>
      <c r="L5068" s="9"/>
      <c r="M5068" s="9"/>
      <c r="N5068" s="9"/>
      <c r="O5068" s="9"/>
      <c r="P5068" s="9"/>
      <c r="Q5068" s="9"/>
      <c r="R5068" s="9"/>
      <c r="S5068" s="9"/>
      <c r="T5068" s="9"/>
      <c r="U5068" s="9"/>
      <c r="V5068" s="9"/>
      <c r="W5068" s="9"/>
      <c r="X5068" s="9"/>
      <c r="Y5068" s="9"/>
      <c r="Z5068" s="9"/>
      <c r="AA5068" s="9"/>
    </row>
    <row r="5069" spans="1:27">
      <c r="A5069" s="8"/>
      <c r="B5069" s="8"/>
      <c r="C5069" s="9"/>
      <c r="D5069" s="9"/>
      <c r="E5069" s="9"/>
      <c r="F5069" s="9"/>
      <c r="G5069" s="9"/>
      <c r="H5069" s="9"/>
      <c r="I5069" s="9"/>
      <c r="J5069" s="9"/>
      <c r="K5069" s="9"/>
      <c r="L5069" s="9"/>
      <c r="M5069" s="9"/>
      <c r="N5069" s="9"/>
      <c r="O5069" s="9"/>
      <c r="P5069" s="9"/>
      <c r="Q5069" s="9"/>
      <c r="R5069" s="9"/>
      <c r="S5069" s="9"/>
      <c r="T5069" s="9"/>
      <c r="U5069" s="9"/>
      <c r="V5069" s="9"/>
      <c r="W5069" s="9"/>
      <c r="X5069" s="9"/>
      <c r="Y5069" s="9"/>
      <c r="Z5069" s="9"/>
      <c r="AA5069" s="9"/>
    </row>
    <row r="5070" spans="1:27">
      <c r="A5070" s="8"/>
      <c r="B5070" s="8"/>
      <c r="C5070" s="9"/>
      <c r="D5070" s="9"/>
      <c r="E5070" s="9"/>
      <c r="F5070" s="9"/>
      <c r="G5070" s="9"/>
      <c r="H5070" s="9"/>
      <c r="I5070" s="9"/>
      <c r="J5070" s="9"/>
      <c r="K5070" s="9"/>
      <c r="L5070" s="9"/>
      <c r="M5070" s="9"/>
      <c r="N5070" s="9"/>
      <c r="O5070" s="9"/>
      <c r="P5070" s="9"/>
      <c r="Q5070" s="9"/>
      <c r="R5070" s="9"/>
      <c r="S5070" s="9"/>
      <c r="T5070" s="9"/>
      <c r="U5070" s="9"/>
      <c r="V5070" s="9"/>
      <c r="W5070" s="9"/>
      <c r="X5070" s="9"/>
      <c r="Y5070" s="9"/>
      <c r="Z5070" s="9"/>
      <c r="AA5070" s="9"/>
    </row>
    <row r="5071" spans="1:27">
      <c r="A5071" s="8"/>
      <c r="B5071" s="8"/>
      <c r="C5071" s="9"/>
      <c r="D5071" s="9"/>
      <c r="E5071" s="9"/>
      <c r="F5071" s="9"/>
      <c r="G5071" s="9"/>
      <c r="H5071" s="9"/>
      <c r="I5071" s="9"/>
      <c r="J5071" s="9"/>
      <c r="K5071" s="9"/>
      <c r="L5071" s="9"/>
      <c r="M5071" s="9"/>
      <c r="N5071" s="9"/>
      <c r="O5071" s="9"/>
      <c r="P5071" s="9"/>
      <c r="Q5071" s="9"/>
      <c r="R5071" s="9"/>
      <c r="S5071" s="9"/>
      <c r="T5071" s="9"/>
      <c r="U5071" s="9"/>
      <c r="V5071" s="9"/>
      <c r="W5071" s="9"/>
      <c r="X5071" s="9"/>
      <c r="Y5071" s="9"/>
      <c r="Z5071" s="9"/>
      <c r="AA5071" s="9"/>
    </row>
    <row r="5072" spans="1:27">
      <c r="A5072" s="8"/>
      <c r="B5072" s="8"/>
      <c r="C5072" s="9"/>
      <c r="D5072" s="9"/>
      <c r="E5072" s="9"/>
      <c r="F5072" s="9"/>
      <c r="G5072" s="9"/>
      <c r="H5072" s="9"/>
      <c r="I5072" s="9"/>
      <c r="J5072" s="9"/>
      <c r="K5072" s="9"/>
      <c r="L5072" s="9"/>
      <c r="M5072" s="9"/>
      <c r="N5072" s="9"/>
      <c r="O5072" s="9"/>
      <c r="P5072" s="9"/>
      <c r="Q5072" s="9"/>
      <c r="R5072" s="9"/>
      <c r="S5072" s="9"/>
      <c r="T5072" s="9"/>
      <c r="U5072" s="9"/>
      <c r="V5072" s="9"/>
      <c r="W5072" s="9"/>
      <c r="X5072" s="9"/>
      <c r="Y5072" s="9"/>
      <c r="Z5072" s="9"/>
      <c r="AA5072" s="9"/>
    </row>
    <row r="5073" spans="1:27">
      <c r="A5073" s="8"/>
      <c r="B5073" s="8"/>
      <c r="C5073" s="9"/>
      <c r="D5073" s="9"/>
      <c r="E5073" s="9"/>
      <c r="F5073" s="9"/>
      <c r="G5073" s="9"/>
      <c r="H5073" s="9"/>
      <c r="I5073" s="9"/>
      <c r="J5073" s="9"/>
      <c r="K5073" s="9"/>
      <c r="L5073" s="9"/>
      <c r="M5073" s="9"/>
      <c r="N5073" s="9"/>
      <c r="O5073" s="9"/>
      <c r="P5073" s="9"/>
      <c r="Q5073" s="9"/>
      <c r="R5073" s="9"/>
      <c r="S5073" s="9"/>
      <c r="T5073" s="9"/>
      <c r="U5073" s="9"/>
      <c r="V5073" s="9"/>
      <c r="W5073" s="9"/>
      <c r="X5073" s="9"/>
      <c r="Y5073" s="9"/>
      <c r="Z5073" s="9"/>
      <c r="AA5073" s="9"/>
    </row>
    <row r="5074" spans="1:27">
      <c r="A5074" s="8"/>
      <c r="B5074" s="8"/>
      <c r="C5074" s="9"/>
      <c r="D5074" s="9"/>
      <c r="E5074" s="9"/>
      <c r="F5074" s="9"/>
      <c r="G5074" s="9"/>
      <c r="H5074" s="9"/>
      <c r="I5074" s="9"/>
      <c r="J5074" s="9"/>
      <c r="K5074" s="9"/>
      <c r="L5074" s="9"/>
      <c r="M5074" s="9"/>
      <c r="N5074" s="9"/>
      <c r="O5074" s="9"/>
      <c r="P5074" s="9"/>
      <c r="Q5074" s="9"/>
      <c r="R5074" s="9"/>
      <c r="S5074" s="9"/>
      <c r="T5074" s="9"/>
      <c r="U5074" s="9"/>
      <c r="V5074" s="9"/>
      <c r="W5074" s="9"/>
      <c r="X5074" s="9"/>
      <c r="Y5074" s="9"/>
      <c r="Z5074" s="9"/>
      <c r="AA5074" s="9"/>
    </row>
    <row r="5075" spans="1:27">
      <c r="A5075" s="8"/>
      <c r="B5075" s="8"/>
      <c r="C5075" s="9"/>
      <c r="D5075" s="9"/>
      <c r="E5075" s="9"/>
      <c r="F5075" s="9"/>
      <c r="G5075" s="9"/>
      <c r="H5075" s="9"/>
      <c r="I5075" s="9"/>
      <c r="J5075" s="9"/>
      <c r="K5075" s="9"/>
      <c r="L5075" s="9"/>
      <c r="M5075" s="9"/>
      <c r="N5075" s="9"/>
      <c r="O5075" s="9"/>
      <c r="P5075" s="9"/>
      <c r="Q5075" s="9"/>
      <c r="R5075" s="9"/>
      <c r="S5075" s="9"/>
      <c r="T5075" s="9"/>
      <c r="U5075" s="9"/>
      <c r="V5075" s="9"/>
      <c r="W5075" s="9"/>
      <c r="X5075" s="9"/>
      <c r="Y5075" s="9"/>
      <c r="Z5075" s="9"/>
      <c r="AA5075" s="9"/>
    </row>
    <row r="5076" spans="1:27">
      <c r="A5076" s="8"/>
      <c r="B5076" s="8"/>
      <c r="C5076" s="9"/>
      <c r="D5076" s="9"/>
      <c r="E5076" s="9"/>
      <c r="F5076" s="9"/>
      <c r="G5076" s="9"/>
      <c r="H5076" s="9"/>
      <c r="I5076" s="9"/>
      <c r="J5076" s="9"/>
      <c r="K5076" s="9"/>
      <c r="L5076" s="9"/>
      <c r="M5076" s="9"/>
      <c r="N5076" s="9"/>
      <c r="O5076" s="9"/>
      <c r="P5076" s="9"/>
      <c r="Q5076" s="9"/>
      <c r="R5076" s="9"/>
      <c r="S5076" s="9"/>
      <c r="T5076" s="9"/>
      <c r="U5076" s="9"/>
      <c r="V5076" s="9"/>
      <c r="W5076" s="9"/>
      <c r="X5076" s="9"/>
      <c r="Y5076" s="9"/>
      <c r="Z5076" s="9"/>
      <c r="AA5076" s="9"/>
    </row>
    <row r="5077" spans="1:27">
      <c r="A5077" s="8"/>
      <c r="B5077" s="8"/>
      <c r="C5077" s="9"/>
      <c r="D5077" s="9"/>
      <c r="E5077" s="9"/>
      <c r="F5077" s="9"/>
      <c r="G5077" s="9"/>
      <c r="H5077" s="9"/>
      <c r="I5077" s="9"/>
      <c r="J5077" s="9"/>
      <c r="K5077" s="9"/>
      <c r="L5077" s="9"/>
      <c r="M5077" s="9"/>
      <c r="N5077" s="9"/>
      <c r="O5077" s="9"/>
      <c r="P5077" s="9"/>
      <c r="Q5077" s="9"/>
      <c r="R5077" s="9"/>
      <c r="S5077" s="9"/>
      <c r="T5077" s="9"/>
      <c r="U5077" s="9"/>
      <c r="V5077" s="9"/>
      <c r="W5077" s="9"/>
      <c r="X5077" s="9"/>
      <c r="Y5077" s="9"/>
      <c r="Z5077" s="9"/>
      <c r="AA5077" s="9"/>
    </row>
    <row r="5078" spans="1:27">
      <c r="A5078" s="8"/>
      <c r="B5078" s="8"/>
      <c r="C5078" s="9"/>
      <c r="D5078" s="9"/>
      <c r="E5078" s="9"/>
      <c r="F5078" s="9"/>
      <c r="G5078" s="9"/>
      <c r="H5078" s="9"/>
      <c r="I5078" s="9"/>
      <c r="J5078" s="9"/>
      <c r="K5078" s="9"/>
      <c r="L5078" s="9"/>
      <c r="M5078" s="9"/>
      <c r="N5078" s="9"/>
      <c r="O5078" s="9"/>
      <c r="P5078" s="9"/>
      <c r="Q5078" s="9"/>
      <c r="R5078" s="9"/>
      <c r="S5078" s="9"/>
      <c r="T5078" s="9"/>
      <c r="U5078" s="9"/>
      <c r="V5078" s="9"/>
      <c r="W5078" s="9"/>
      <c r="X5078" s="9"/>
      <c r="Y5078" s="9"/>
      <c r="Z5078" s="9"/>
      <c r="AA5078" s="9"/>
    </row>
    <row r="5079" spans="1:27">
      <c r="A5079" s="8"/>
      <c r="B5079" s="8"/>
      <c r="C5079" s="9"/>
      <c r="D5079" s="9"/>
      <c r="E5079" s="9"/>
      <c r="F5079" s="9"/>
      <c r="G5079" s="9"/>
      <c r="H5079" s="9"/>
      <c r="I5079" s="9"/>
      <c r="J5079" s="9"/>
      <c r="K5079" s="9"/>
      <c r="L5079" s="9"/>
      <c r="M5079" s="9"/>
      <c r="N5079" s="9"/>
      <c r="O5079" s="9"/>
      <c r="P5079" s="9"/>
      <c r="Q5079" s="9"/>
      <c r="R5079" s="9"/>
      <c r="S5079" s="9"/>
      <c r="T5079" s="9"/>
      <c r="U5079" s="9"/>
      <c r="V5079" s="9"/>
      <c r="W5079" s="9"/>
      <c r="X5079" s="9"/>
      <c r="Y5079" s="9"/>
      <c r="Z5079" s="9"/>
      <c r="AA5079" s="9"/>
    </row>
    <row r="5080" spans="1:27">
      <c r="A5080" s="8"/>
      <c r="B5080" s="8"/>
      <c r="C5080" s="9"/>
      <c r="D5080" s="9"/>
      <c r="E5080" s="9"/>
      <c r="F5080" s="9"/>
      <c r="G5080" s="9"/>
      <c r="H5080" s="9"/>
      <c r="I5080" s="9"/>
      <c r="J5080" s="9"/>
      <c r="K5080" s="9"/>
      <c r="L5080" s="9"/>
      <c r="M5080" s="9"/>
      <c r="N5080" s="9"/>
      <c r="O5080" s="9"/>
      <c r="P5080" s="9"/>
      <c r="Q5080" s="9"/>
      <c r="R5080" s="9"/>
      <c r="S5080" s="9"/>
      <c r="T5080" s="9"/>
      <c r="U5080" s="9"/>
      <c r="V5080" s="9"/>
      <c r="W5080" s="9"/>
      <c r="X5080" s="9"/>
      <c r="Y5080" s="9"/>
      <c r="Z5080" s="9"/>
      <c r="AA5080" s="9"/>
    </row>
    <row r="5081" spans="1:27">
      <c r="A5081" s="8"/>
      <c r="B5081" s="8"/>
      <c r="C5081" s="9"/>
      <c r="D5081" s="9"/>
      <c r="E5081" s="9"/>
      <c r="F5081" s="9"/>
      <c r="G5081" s="9"/>
      <c r="H5081" s="9"/>
      <c r="I5081" s="9"/>
      <c r="J5081" s="9"/>
      <c r="K5081" s="9"/>
      <c r="L5081" s="9"/>
      <c r="M5081" s="9"/>
      <c r="N5081" s="9"/>
      <c r="O5081" s="9"/>
      <c r="P5081" s="9"/>
      <c r="Q5081" s="9"/>
      <c r="R5081" s="9"/>
      <c r="S5081" s="9"/>
      <c r="T5081" s="9"/>
      <c r="U5081" s="9"/>
      <c r="V5081" s="9"/>
      <c r="W5081" s="9"/>
      <c r="X5081" s="9"/>
      <c r="Y5081" s="9"/>
      <c r="Z5081" s="9"/>
      <c r="AA5081" s="9"/>
    </row>
    <row r="5082" spans="1:27">
      <c r="A5082" s="8"/>
      <c r="B5082" s="8"/>
      <c r="C5082" s="9"/>
      <c r="D5082" s="9"/>
      <c r="E5082" s="9"/>
      <c r="F5082" s="9"/>
      <c r="G5082" s="9"/>
      <c r="H5082" s="9"/>
      <c r="I5082" s="9"/>
      <c r="J5082" s="9"/>
      <c r="K5082" s="9"/>
      <c r="L5082" s="9"/>
      <c r="M5082" s="9"/>
      <c r="N5082" s="9"/>
      <c r="O5082" s="9"/>
      <c r="P5082" s="9"/>
      <c r="Q5082" s="9"/>
      <c r="R5082" s="9"/>
      <c r="S5082" s="9"/>
      <c r="T5082" s="9"/>
      <c r="U5082" s="9"/>
      <c r="V5082" s="9"/>
      <c r="W5082" s="9"/>
      <c r="X5082" s="9"/>
      <c r="Y5082" s="9"/>
      <c r="Z5082" s="9"/>
      <c r="AA5082" s="9"/>
    </row>
    <row r="5083" spans="1:27">
      <c r="A5083" s="8"/>
      <c r="B5083" s="8"/>
      <c r="C5083" s="9"/>
      <c r="D5083" s="9"/>
      <c r="E5083" s="9"/>
      <c r="F5083" s="9"/>
      <c r="G5083" s="9"/>
      <c r="H5083" s="9"/>
      <c r="I5083" s="9"/>
      <c r="J5083" s="9"/>
      <c r="K5083" s="9"/>
      <c r="L5083" s="9"/>
      <c r="M5083" s="9"/>
      <c r="N5083" s="9"/>
      <c r="O5083" s="9"/>
      <c r="P5083" s="9"/>
      <c r="Q5083" s="9"/>
      <c r="R5083" s="9"/>
      <c r="S5083" s="9"/>
      <c r="T5083" s="9"/>
      <c r="U5083" s="9"/>
      <c r="V5083" s="9"/>
      <c r="W5083" s="9"/>
      <c r="X5083" s="9"/>
      <c r="Y5083" s="9"/>
      <c r="Z5083" s="9"/>
      <c r="AA5083" s="9"/>
    </row>
    <row r="5084" spans="1:27">
      <c r="A5084" s="8"/>
      <c r="B5084" s="8"/>
      <c r="C5084" s="9"/>
      <c r="D5084" s="9"/>
      <c r="E5084" s="9"/>
      <c r="F5084" s="9"/>
      <c r="G5084" s="9"/>
      <c r="H5084" s="9"/>
      <c r="I5084" s="9"/>
      <c r="J5084" s="9"/>
      <c r="K5084" s="9"/>
      <c r="L5084" s="9"/>
      <c r="M5084" s="9"/>
      <c r="N5084" s="9"/>
      <c r="O5084" s="9"/>
      <c r="P5084" s="9"/>
      <c r="Q5084" s="9"/>
      <c r="R5084" s="9"/>
      <c r="S5084" s="9"/>
      <c r="T5084" s="9"/>
      <c r="U5084" s="9"/>
      <c r="V5084" s="9"/>
      <c r="W5084" s="9"/>
      <c r="X5084" s="9"/>
      <c r="Y5084" s="9"/>
      <c r="Z5084" s="9"/>
      <c r="AA5084" s="9"/>
    </row>
    <row r="5085" spans="1:27">
      <c r="A5085" s="8"/>
      <c r="B5085" s="8"/>
      <c r="C5085" s="9"/>
      <c r="D5085" s="9"/>
      <c r="E5085" s="9"/>
      <c r="F5085" s="9"/>
      <c r="G5085" s="9"/>
      <c r="H5085" s="9"/>
      <c r="I5085" s="9"/>
      <c r="J5085" s="9"/>
      <c r="K5085" s="9"/>
      <c r="L5085" s="9"/>
      <c r="M5085" s="9"/>
      <c r="N5085" s="9"/>
      <c r="O5085" s="9"/>
      <c r="P5085" s="9"/>
      <c r="Q5085" s="9"/>
      <c r="R5085" s="9"/>
      <c r="S5085" s="9"/>
      <c r="T5085" s="9"/>
      <c r="U5085" s="9"/>
      <c r="V5085" s="9"/>
      <c r="W5085" s="9"/>
      <c r="X5085" s="9"/>
      <c r="Y5085" s="9"/>
      <c r="Z5085" s="9"/>
      <c r="AA5085" s="9"/>
    </row>
    <row r="5086" spans="1:27">
      <c r="A5086" s="8"/>
      <c r="B5086" s="8"/>
      <c r="C5086" s="9"/>
      <c r="D5086" s="9"/>
      <c r="E5086" s="9"/>
      <c r="F5086" s="9"/>
      <c r="G5086" s="9"/>
      <c r="H5086" s="9"/>
      <c r="I5086" s="9"/>
      <c r="J5086" s="9"/>
      <c r="K5086" s="9"/>
      <c r="L5086" s="9"/>
      <c r="M5086" s="9"/>
      <c r="N5086" s="9"/>
      <c r="O5086" s="9"/>
      <c r="P5086" s="9"/>
      <c r="Q5086" s="9"/>
      <c r="R5086" s="9"/>
      <c r="S5086" s="9"/>
      <c r="T5086" s="9"/>
      <c r="U5086" s="9"/>
      <c r="V5086" s="9"/>
      <c r="W5086" s="9"/>
      <c r="X5086" s="9"/>
      <c r="Y5086" s="9"/>
      <c r="Z5086" s="9"/>
      <c r="AA5086" s="9"/>
    </row>
    <row r="5087" spans="1:27">
      <c r="A5087" s="8"/>
      <c r="B5087" s="8"/>
      <c r="C5087" s="9"/>
      <c r="D5087" s="9"/>
      <c r="E5087" s="9"/>
      <c r="F5087" s="9"/>
      <c r="G5087" s="9"/>
      <c r="H5087" s="9"/>
      <c r="I5087" s="9"/>
      <c r="J5087" s="9"/>
      <c r="K5087" s="9"/>
      <c r="L5087" s="9"/>
      <c r="M5087" s="9"/>
      <c r="N5087" s="9"/>
      <c r="O5087" s="9"/>
      <c r="P5087" s="9"/>
      <c r="Q5087" s="9"/>
      <c r="R5087" s="9"/>
      <c r="S5087" s="9"/>
      <c r="T5087" s="9"/>
      <c r="U5087" s="9"/>
      <c r="V5087" s="9"/>
      <c r="W5087" s="9"/>
      <c r="X5087" s="9"/>
      <c r="Y5087" s="9"/>
      <c r="Z5087" s="9"/>
      <c r="AA5087" s="9"/>
    </row>
    <row r="5088" spans="1:27">
      <c r="A5088" s="8"/>
      <c r="B5088" s="8"/>
      <c r="C5088" s="9"/>
      <c r="D5088" s="9"/>
      <c r="E5088" s="9"/>
      <c r="F5088" s="9"/>
      <c r="G5088" s="9"/>
      <c r="H5088" s="9"/>
      <c r="I5088" s="9"/>
      <c r="J5088" s="9"/>
      <c r="K5088" s="9"/>
      <c r="L5088" s="9"/>
      <c r="M5088" s="9"/>
      <c r="N5088" s="9"/>
      <c r="O5088" s="9"/>
      <c r="P5088" s="9"/>
      <c r="Q5088" s="9"/>
      <c r="R5088" s="9"/>
      <c r="S5088" s="9"/>
      <c r="T5088" s="9"/>
      <c r="U5088" s="9"/>
      <c r="V5088" s="9"/>
      <c r="W5088" s="9"/>
      <c r="X5088" s="9"/>
      <c r="Y5088" s="9"/>
      <c r="Z5088" s="9"/>
      <c r="AA5088" s="9"/>
    </row>
    <row r="5089" spans="1:27">
      <c r="A5089" s="8"/>
      <c r="B5089" s="8"/>
      <c r="C5089" s="9"/>
      <c r="D5089" s="9"/>
      <c r="E5089" s="9"/>
      <c r="F5089" s="9"/>
      <c r="G5089" s="9"/>
      <c r="H5089" s="9"/>
      <c r="I5089" s="9"/>
      <c r="J5089" s="9"/>
      <c r="K5089" s="9"/>
      <c r="L5089" s="9"/>
      <c r="M5089" s="9"/>
      <c r="N5089" s="9"/>
      <c r="O5089" s="9"/>
      <c r="P5089" s="9"/>
      <c r="Q5089" s="9"/>
      <c r="R5089" s="9"/>
      <c r="S5089" s="9"/>
      <c r="T5089" s="9"/>
      <c r="U5089" s="9"/>
      <c r="V5089" s="9"/>
      <c r="W5089" s="9"/>
      <c r="X5089" s="9"/>
      <c r="Y5089" s="9"/>
      <c r="Z5089" s="9"/>
      <c r="AA5089" s="9"/>
    </row>
    <row r="5090" spans="1:27">
      <c r="A5090" s="8"/>
      <c r="B5090" s="8"/>
      <c r="C5090" s="9"/>
      <c r="D5090" s="9"/>
      <c r="E5090" s="9"/>
      <c r="F5090" s="9"/>
      <c r="G5090" s="9"/>
      <c r="H5090" s="9"/>
      <c r="I5090" s="9"/>
      <c r="J5090" s="9"/>
      <c r="K5090" s="9"/>
      <c r="L5090" s="9"/>
      <c r="M5090" s="9"/>
      <c r="N5090" s="9"/>
      <c r="O5090" s="9"/>
      <c r="P5090" s="9"/>
      <c r="Q5090" s="9"/>
      <c r="R5090" s="9"/>
      <c r="S5090" s="9"/>
      <c r="T5090" s="9"/>
      <c r="U5090" s="9"/>
      <c r="V5090" s="9"/>
      <c r="W5090" s="9"/>
      <c r="X5090" s="9"/>
      <c r="Y5090" s="9"/>
      <c r="Z5090" s="9"/>
      <c r="AA5090" s="9"/>
    </row>
    <row r="5091" spans="1:27">
      <c r="A5091" s="8"/>
      <c r="B5091" s="8"/>
      <c r="C5091" s="9"/>
      <c r="D5091" s="9"/>
      <c r="E5091" s="9"/>
      <c r="F5091" s="9"/>
      <c r="G5091" s="9"/>
      <c r="H5091" s="9"/>
      <c r="I5091" s="9"/>
      <c r="J5091" s="9"/>
      <c r="K5091" s="9"/>
      <c r="L5091" s="9"/>
      <c r="M5091" s="9"/>
      <c r="N5091" s="9"/>
      <c r="O5091" s="9"/>
      <c r="P5091" s="9"/>
      <c r="Q5091" s="9"/>
      <c r="R5091" s="9"/>
      <c r="S5091" s="9"/>
      <c r="T5091" s="9"/>
      <c r="U5091" s="9"/>
      <c r="V5091" s="9"/>
      <c r="W5091" s="9"/>
      <c r="X5091" s="9"/>
      <c r="Y5091" s="9"/>
      <c r="Z5091" s="9"/>
      <c r="AA5091" s="9"/>
    </row>
    <row r="5092" spans="1:27">
      <c r="A5092" s="8"/>
      <c r="B5092" s="8"/>
      <c r="C5092" s="9"/>
      <c r="D5092" s="9"/>
      <c r="E5092" s="9"/>
      <c r="F5092" s="9"/>
      <c r="G5092" s="9"/>
      <c r="H5092" s="9"/>
      <c r="I5092" s="9"/>
      <c r="J5092" s="9"/>
      <c r="K5092" s="9"/>
      <c r="L5092" s="9"/>
      <c r="M5092" s="9"/>
      <c r="N5092" s="9"/>
      <c r="O5092" s="9"/>
      <c r="P5092" s="9"/>
      <c r="Q5092" s="9"/>
      <c r="R5092" s="9"/>
      <c r="S5092" s="9"/>
      <c r="T5092" s="9"/>
      <c r="U5092" s="9"/>
      <c r="V5092" s="9"/>
      <c r="W5092" s="9"/>
      <c r="X5092" s="9"/>
      <c r="Y5092" s="9"/>
      <c r="Z5092" s="9"/>
      <c r="AA5092" s="9"/>
    </row>
    <row r="5093" spans="1:27">
      <c r="A5093" s="8"/>
      <c r="B5093" s="8"/>
      <c r="C5093" s="9"/>
      <c r="D5093" s="9"/>
      <c r="E5093" s="9"/>
      <c r="F5093" s="9"/>
      <c r="G5093" s="9"/>
      <c r="H5093" s="9"/>
      <c r="I5093" s="9"/>
      <c r="J5093" s="9"/>
      <c r="K5093" s="9"/>
      <c r="L5093" s="9"/>
      <c r="M5093" s="9"/>
      <c r="N5093" s="9"/>
      <c r="O5093" s="9"/>
      <c r="P5093" s="9"/>
      <c r="Q5093" s="9"/>
      <c r="R5093" s="9"/>
      <c r="S5093" s="9"/>
      <c r="T5093" s="9"/>
      <c r="U5093" s="9"/>
      <c r="V5093" s="9"/>
      <c r="W5093" s="9"/>
      <c r="X5093" s="9"/>
      <c r="Y5093" s="9"/>
      <c r="Z5093" s="9"/>
      <c r="AA5093" s="9"/>
    </row>
    <row r="5094" spans="1:27">
      <c r="A5094" s="8"/>
      <c r="B5094" s="8"/>
      <c r="C5094" s="9"/>
      <c r="D5094" s="9"/>
      <c r="E5094" s="9"/>
      <c r="F5094" s="9"/>
      <c r="G5094" s="9"/>
      <c r="H5094" s="9"/>
      <c r="I5094" s="9"/>
      <c r="J5094" s="9"/>
      <c r="K5094" s="9"/>
      <c r="L5094" s="9"/>
      <c r="M5094" s="9"/>
      <c r="N5094" s="9"/>
      <c r="O5094" s="9"/>
      <c r="P5094" s="9"/>
      <c r="Q5094" s="9"/>
      <c r="R5094" s="9"/>
      <c r="S5094" s="9"/>
      <c r="T5094" s="9"/>
      <c r="U5094" s="9"/>
      <c r="V5094" s="9"/>
      <c r="W5094" s="9"/>
      <c r="X5094" s="9"/>
      <c r="Y5094" s="9"/>
      <c r="Z5094" s="9"/>
      <c r="AA5094" s="9"/>
    </row>
    <row r="5095" spans="1:27">
      <c r="A5095" s="8"/>
      <c r="B5095" s="8"/>
      <c r="C5095" s="9"/>
      <c r="D5095" s="9"/>
      <c r="E5095" s="9"/>
      <c r="F5095" s="9"/>
      <c r="G5095" s="9"/>
      <c r="H5095" s="9"/>
      <c r="I5095" s="9"/>
      <c r="J5095" s="9"/>
      <c r="K5095" s="9"/>
      <c r="L5095" s="9"/>
      <c r="M5095" s="9"/>
      <c r="N5095" s="9"/>
      <c r="O5095" s="9"/>
      <c r="P5095" s="9"/>
      <c r="Q5095" s="9"/>
      <c r="R5095" s="9"/>
      <c r="S5095" s="9"/>
      <c r="T5095" s="9"/>
      <c r="U5095" s="9"/>
      <c r="V5095" s="9"/>
      <c r="W5095" s="9"/>
      <c r="X5095" s="9"/>
      <c r="Y5095" s="9"/>
      <c r="Z5095" s="9"/>
      <c r="AA5095" s="9"/>
    </row>
    <row r="5096" spans="1:27">
      <c r="A5096" s="8"/>
      <c r="B5096" s="8"/>
      <c r="C5096" s="9"/>
      <c r="D5096" s="9"/>
      <c r="E5096" s="9"/>
      <c r="F5096" s="9"/>
      <c r="G5096" s="9"/>
      <c r="H5096" s="9"/>
      <c r="I5096" s="9"/>
      <c r="J5096" s="9"/>
      <c r="K5096" s="9"/>
      <c r="L5096" s="9"/>
      <c r="M5096" s="9"/>
      <c r="N5096" s="9"/>
      <c r="O5096" s="9"/>
      <c r="P5096" s="9"/>
      <c r="Q5096" s="9"/>
      <c r="R5096" s="9"/>
      <c r="S5096" s="9"/>
      <c r="T5096" s="9"/>
      <c r="U5096" s="9"/>
      <c r="V5096" s="9"/>
      <c r="W5096" s="9"/>
      <c r="X5096" s="9"/>
      <c r="Y5096" s="9"/>
      <c r="Z5096" s="9"/>
      <c r="AA5096" s="9"/>
    </row>
    <row r="5097" spans="1:27">
      <c r="A5097" s="8"/>
      <c r="B5097" s="8"/>
      <c r="C5097" s="9"/>
      <c r="D5097" s="9"/>
      <c r="E5097" s="9"/>
      <c r="F5097" s="9"/>
      <c r="G5097" s="9"/>
      <c r="H5097" s="9"/>
      <c r="I5097" s="9"/>
      <c r="J5097" s="9"/>
      <c r="K5097" s="9"/>
      <c r="L5097" s="9"/>
      <c r="M5097" s="9"/>
      <c r="N5097" s="9"/>
      <c r="O5097" s="9"/>
      <c r="P5097" s="9"/>
      <c r="Q5097" s="9"/>
      <c r="R5097" s="9"/>
      <c r="S5097" s="9"/>
      <c r="T5097" s="9"/>
      <c r="U5097" s="9"/>
      <c r="V5097" s="9"/>
      <c r="W5097" s="9"/>
      <c r="X5097" s="9"/>
      <c r="Y5097" s="9"/>
      <c r="Z5097" s="9"/>
      <c r="AA5097" s="9"/>
    </row>
    <row r="5098" spans="1:27">
      <c r="A5098" s="8"/>
      <c r="B5098" s="8"/>
      <c r="C5098" s="9"/>
      <c r="D5098" s="9"/>
      <c r="E5098" s="9"/>
      <c r="F5098" s="9"/>
      <c r="G5098" s="9"/>
      <c r="H5098" s="9"/>
      <c r="I5098" s="9"/>
      <c r="J5098" s="9"/>
      <c r="K5098" s="9"/>
      <c r="L5098" s="9"/>
      <c r="M5098" s="9"/>
      <c r="N5098" s="9"/>
      <c r="O5098" s="9"/>
      <c r="P5098" s="9"/>
      <c r="Q5098" s="9"/>
      <c r="R5098" s="9"/>
      <c r="S5098" s="9"/>
      <c r="T5098" s="9"/>
      <c r="U5098" s="9"/>
      <c r="V5098" s="9"/>
      <c r="W5098" s="9"/>
      <c r="X5098" s="9"/>
      <c r="Y5098" s="9"/>
      <c r="Z5098" s="9"/>
      <c r="AA5098" s="9"/>
    </row>
    <row r="5099" spans="1:27">
      <c r="A5099" s="8"/>
      <c r="B5099" s="8"/>
      <c r="C5099" s="9"/>
      <c r="D5099" s="9"/>
      <c r="E5099" s="9"/>
      <c r="F5099" s="9"/>
      <c r="G5099" s="9"/>
      <c r="H5099" s="9"/>
      <c r="I5099" s="9"/>
      <c r="J5099" s="9"/>
      <c r="K5099" s="9"/>
      <c r="L5099" s="9"/>
      <c r="M5099" s="9"/>
      <c r="N5099" s="9"/>
      <c r="O5099" s="9"/>
      <c r="P5099" s="9"/>
      <c r="Q5099" s="9"/>
      <c r="R5099" s="9"/>
      <c r="S5099" s="9"/>
      <c r="T5099" s="9"/>
      <c r="U5099" s="9"/>
      <c r="V5099" s="9"/>
      <c r="W5099" s="9"/>
      <c r="X5099" s="9"/>
      <c r="Y5099" s="9"/>
      <c r="Z5099" s="9"/>
      <c r="AA5099" s="9"/>
    </row>
    <row r="5100" spans="1:27">
      <c r="A5100" s="8"/>
      <c r="B5100" s="8"/>
      <c r="C5100" s="9"/>
      <c r="D5100" s="9"/>
      <c r="E5100" s="9"/>
      <c r="F5100" s="9"/>
      <c r="G5100" s="9"/>
      <c r="H5100" s="9"/>
      <c r="I5100" s="9"/>
      <c r="J5100" s="9"/>
      <c r="K5100" s="9"/>
      <c r="L5100" s="9"/>
      <c r="M5100" s="9"/>
      <c r="N5100" s="9"/>
      <c r="O5100" s="9"/>
      <c r="P5100" s="9"/>
      <c r="Q5100" s="9"/>
      <c r="R5100" s="9"/>
      <c r="S5100" s="9"/>
      <c r="T5100" s="9"/>
      <c r="U5100" s="9"/>
      <c r="V5100" s="9"/>
      <c r="W5100" s="9"/>
      <c r="X5100" s="9"/>
      <c r="Y5100" s="9"/>
      <c r="Z5100" s="9"/>
      <c r="AA5100" s="9"/>
    </row>
    <row r="5101" spans="1:27">
      <c r="A5101" s="8"/>
      <c r="B5101" s="8"/>
      <c r="C5101" s="9"/>
      <c r="D5101" s="9"/>
      <c r="E5101" s="9"/>
      <c r="F5101" s="9"/>
      <c r="G5101" s="9"/>
      <c r="H5101" s="9"/>
      <c r="I5101" s="9"/>
      <c r="J5101" s="9"/>
      <c r="K5101" s="9"/>
      <c r="L5101" s="9"/>
      <c r="M5101" s="9"/>
      <c r="N5101" s="9"/>
      <c r="O5101" s="9"/>
      <c r="P5101" s="9"/>
      <c r="Q5101" s="9"/>
      <c r="R5101" s="9"/>
      <c r="S5101" s="9"/>
      <c r="T5101" s="9"/>
      <c r="U5101" s="9"/>
      <c r="V5101" s="9"/>
      <c r="W5101" s="9"/>
      <c r="X5101" s="9"/>
      <c r="Y5101" s="9"/>
      <c r="Z5101" s="9"/>
      <c r="AA5101" s="9"/>
    </row>
    <row r="5102" spans="1:27">
      <c r="A5102" s="8"/>
      <c r="B5102" s="8"/>
      <c r="C5102" s="9"/>
      <c r="D5102" s="9"/>
      <c r="E5102" s="9"/>
      <c r="F5102" s="9"/>
      <c r="G5102" s="9"/>
      <c r="H5102" s="9"/>
      <c r="I5102" s="9"/>
      <c r="J5102" s="9"/>
      <c r="K5102" s="9"/>
      <c r="L5102" s="9"/>
      <c r="M5102" s="9"/>
      <c r="N5102" s="9"/>
      <c r="O5102" s="9"/>
      <c r="P5102" s="9"/>
      <c r="Q5102" s="9"/>
      <c r="R5102" s="9"/>
      <c r="S5102" s="9"/>
      <c r="T5102" s="9"/>
      <c r="U5102" s="9"/>
      <c r="V5102" s="9"/>
      <c r="W5102" s="9"/>
      <c r="X5102" s="9"/>
      <c r="Y5102" s="9"/>
      <c r="Z5102" s="9"/>
      <c r="AA5102" s="9"/>
    </row>
    <row r="5103" spans="1:27">
      <c r="A5103" s="8"/>
      <c r="B5103" s="8"/>
      <c r="C5103" s="9"/>
      <c r="D5103" s="9"/>
      <c r="E5103" s="9"/>
      <c r="F5103" s="9"/>
      <c r="G5103" s="9"/>
      <c r="H5103" s="9"/>
      <c r="I5103" s="9"/>
      <c r="J5103" s="9"/>
      <c r="K5103" s="9"/>
      <c r="L5103" s="9"/>
      <c r="M5103" s="9"/>
      <c r="N5103" s="9"/>
      <c r="O5103" s="9"/>
      <c r="P5103" s="9"/>
      <c r="Q5103" s="9"/>
      <c r="R5103" s="9"/>
      <c r="S5103" s="9"/>
      <c r="T5103" s="9"/>
      <c r="U5103" s="9"/>
      <c r="V5103" s="9"/>
      <c r="W5103" s="9"/>
      <c r="X5103" s="9"/>
      <c r="Y5103" s="9"/>
      <c r="Z5103" s="9"/>
      <c r="AA5103" s="9"/>
    </row>
    <row r="5104" spans="1:27">
      <c r="A5104" s="8"/>
      <c r="B5104" s="8"/>
      <c r="C5104" s="9"/>
      <c r="D5104" s="9"/>
      <c r="E5104" s="9"/>
      <c r="F5104" s="9"/>
      <c r="G5104" s="9"/>
      <c r="H5104" s="9"/>
      <c r="I5104" s="9"/>
      <c r="J5104" s="9"/>
      <c r="K5104" s="9"/>
      <c r="L5104" s="9"/>
      <c r="M5104" s="9"/>
      <c r="N5104" s="9"/>
      <c r="O5104" s="9"/>
      <c r="P5104" s="9"/>
      <c r="Q5104" s="9"/>
      <c r="R5104" s="9"/>
      <c r="S5104" s="9"/>
      <c r="T5104" s="9"/>
      <c r="U5104" s="9"/>
      <c r="V5104" s="9"/>
      <c r="W5104" s="9"/>
      <c r="X5104" s="9"/>
      <c r="Y5104" s="9"/>
      <c r="Z5104" s="9"/>
      <c r="AA5104" s="9"/>
    </row>
    <row r="5105" spans="1:27">
      <c r="A5105" s="8"/>
      <c r="B5105" s="8"/>
      <c r="C5105" s="9"/>
      <c r="D5105" s="9"/>
      <c r="E5105" s="9"/>
      <c r="F5105" s="9"/>
      <c r="G5105" s="9"/>
      <c r="H5105" s="9"/>
      <c r="I5105" s="9"/>
      <c r="J5105" s="9"/>
      <c r="K5105" s="9"/>
      <c r="L5105" s="9"/>
      <c r="M5105" s="9"/>
      <c r="N5105" s="9"/>
      <c r="O5105" s="9"/>
      <c r="P5105" s="9"/>
      <c r="Q5105" s="9"/>
      <c r="R5105" s="9"/>
      <c r="S5105" s="9"/>
      <c r="T5105" s="9"/>
      <c r="U5105" s="9"/>
      <c r="V5105" s="9"/>
      <c r="W5105" s="9"/>
      <c r="X5105" s="9"/>
      <c r="Y5105" s="9"/>
      <c r="Z5105" s="9"/>
      <c r="AA5105" s="9"/>
    </row>
    <row r="5106" spans="1:27">
      <c r="A5106" s="8"/>
      <c r="B5106" s="8"/>
      <c r="C5106" s="9"/>
      <c r="D5106" s="9"/>
      <c r="E5106" s="9"/>
      <c r="F5106" s="9"/>
      <c r="G5106" s="9"/>
      <c r="H5106" s="9"/>
      <c r="I5106" s="9"/>
      <c r="J5106" s="9"/>
      <c r="K5106" s="9"/>
      <c r="L5106" s="9"/>
      <c r="M5106" s="9"/>
      <c r="N5106" s="9"/>
      <c r="O5106" s="9"/>
      <c r="P5106" s="9"/>
      <c r="Q5106" s="9"/>
      <c r="R5106" s="9"/>
      <c r="S5106" s="9"/>
      <c r="T5106" s="9"/>
      <c r="U5106" s="9"/>
      <c r="V5106" s="9"/>
      <c r="W5106" s="9"/>
      <c r="X5106" s="9"/>
      <c r="Y5106" s="9"/>
      <c r="Z5106" s="9"/>
      <c r="AA5106" s="9"/>
    </row>
    <row r="5107" spans="1:27">
      <c r="A5107" s="8"/>
      <c r="B5107" s="8"/>
      <c r="C5107" s="9"/>
      <c r="D5107" s="9"/>
      <c r="E5107" s="9"/>
      <c r="F5107" s="9"/>
      <c r="G5107" s="9"/>
      <c r="H5107" s="9"/>
      <c r="I5107" s="9"/>
      <c r="J5107" s="9"/>
      <c r="K5107" s="9"/>
      <c r="L5107" s="9"/>
      <c r="M5107" s="9"/>
      <c r="N5107" s="9"/>
      <c r="O5107" s="9"/>
      <c r="P5107" s="9"/>
      <c r="Q5107" s="9"/>
      <c r="R5107" s="9"/>
      <c r="S5107" s="9"/>
      <c r="T5107" s="9"/>
      <c r="U5107" s="9"/>
      <c r="V5107" s="9"/>
      <c r="W5107" s="9"/>
      <c r="X5107" s="9"/>
      <c r="Y5107" s="9"/>
      <c r="Z5107" s="9"/>
      <c r="AA5107" s="9"/>
    </row>
    <row r="5108" spans="1:27">
      <c r="A5108" s="8"/>
      <c r="B5108" s="8"/>
      <c r="C5108" s="9"/>
      <c r="D5108" s="9"/>
      <c r="E5108" s="9"/>
      <c r="F5108" s="9"/>
      <c r="G5108" s="9"/>
      <c r="H5108" s="9"/>
      <c r="I5108" s="9"/>
      <c r="J5108" s="9"/>
      <c r="K5108" s="9"/>
      <c r="L5108" s="9"/>
      <c r="M5108" s="9"/>
      <c r="N5108" s="9"/>
      <c r="O5108" s="9"/>
      <c r="P5108" s="9"/>
      <c r="Q5108" s="9"/>
      <c r="R5108" s="9"/>
      <c r="S5108" s="9"/>
      <c r="T5108" s="9"/>
      <c r="U5108" s="9"/>
      <c r="V5108" s="9"/>
      <c r="W5108" s="9"/>
      <c r="X5108" s="9"/>
      <c r="Y5108" s="9"/>
      <c r="Z5108" s="9"/>
      <c r="AA5108" s="9"/>
    </row>
    <row r="5109" spans="1:27">
      <c r="A5109" s="8"/>
      <c r="B5109" s="8"/>
      <c r="C5109" s="9"/>
      <c r="D5109" s="9"/>
      <c r="E5109" s="9"/>
      <c r="F5109" s="9"/>
      <c r="G5109" s="9"/>
      <c r="H5109" s="9"/>
      <c r="I5109" s="9"/>
      <c r="J5109" s="9"/>
      <c r="K5109" s="9"/>
      <c r="L5109" s="9"/>
      <c r="M5109" s="9"/>
      <c r="N5109" s="9"/>
      <c r="O5109" s="9"/>
      <c r="P5109" s="9"/>
      <c r="Q5109" s="9"/>
      <c r="R5109" s="9"/>
      <c r="S5109" s="9"/>
      <c r="T5109" s="9"/>
      <c r="U5109" s="9"/>
      <c r="V5109" s="9"/>
      <c r="W5109" s="9"/>
      <c r="X5109" s="9"/>
      <c r="Y5109" s="9"/>
      <c r="Z5109" s="9"/>
      <c r="AA5109" s="9"/>
    </row>
    <row r="5110" spans="1:27">
      <c r="A5110" s="8"/>
      <c r="B5110" s="8"/>
      <c r="C5110" s="9"/>
      <c r="D5110" s="9"/>
      <c r="E5110" s="9"/>
      <c r="F5110" s="9"/>
      <c r="G5110" s="9"/>
      <c r="H5110" s="9"/>
      <c r="I5110" s="9"/>
      <c r="J5110" s="9"/>
      <c r="K5110" s="9"/>
      <c r="L5110" s="9"/>
      <c r="M5110" s="9"/>
      <c r="N5110" s="9"/>
      <c r="O5110" s="9"/>
      <c r="P5110" s="9"/>
      <c r="Q5110" s="9"/>
      <c r="R5110" s="9"/>
      <c r="S5110" s="9"/>
      <c r="T5110" s="9"/>
      <c r="U5110" s="9"/>
      <c r="V5110" s="9"/>
      <c r="W5110" s="9"/>
      <c r="X5110" s="9"/>
      <c r="Y5110" s="9"/>
      <c r="Z5110" s="9"/>
      <c r="AA5110" s="9"/>
    </row>
    <row r="5111" spans="1:27">
      <c r="A5111" s="8"/>
      <c r="B5111" s="8"/>
      <c r="C5111" s="9"/>
      <c r="D5111" s="9"/>
      <c r="E5111" s="9"/>
      <c r="F5111" s="9"/>
      <c r="G5111" s="9"/>
      <c r="H5111" s="9"/>
      <c r="I5111" s="9"/>
      <c r="J5111" s="9"/>
      <c r="K5111" s="9"/>
      <c r="L5111" s="9"/>
      <c r="M5111" s="9"/>
      <c r="N5111" s="9"/>
      <c r="O5111" s="9"/>
      <c r="P5111" s="9"/>
      <c r="Q5111" s="9"/>
      <c r="R5111" s="9"/>
      <c r="S5111" s="9"/>
      <c r="T5111" s="9"/>
      <c r="U5111" s="9"/>
      <c r="V5111" s="9"/>
      <c r="W5111" s="9"/>
      <c r="X5111" s="9"/>
      <c r="Y5111" s="9"/>
      <c r="Z5111" s="9"/>
      <c r="AA5111" s="9"/>
    </row>
    <row r="5112" spans="1:27">
      <c r="A5112" s="8"/>
      <c r="B5112" s="8"/>
      <c r="C5112" s="9"/>
      <c r="D5112" s="9"/>
      <c r="E5112" s="9"/>
      <c r="F5112" s="9"/>
      <c r="G5112" s="9"/>
      <c r="H5112" s="9"/>
      <c r="I5112" s="9"/>
      <c r="J5112" s="9"/>
      <c r="K5112" s="9"/>
      <c r="L5112" s="9"/>
      <c r="M5112" s="9"/>
      <c r="N5112" s="9"/>
      <c r="O5112" s="9"/>
      <c r="P5112" s="9"/>
      <c r="Q5112" s="9"/>
      <c r="R5112" s="9"/>
      <c r="S5112" s="9"/>
      <c r="T5112" s="9"/>
      <c r="U5112" s="9"/>
      <c r="V5112" s="9"/>
      <c r="W5112" s="9"/>
      <c r="X5112" s="9"/>
      <c r="Y5112" s="9"/>
      <c r="Z5112" s="9"/>
      <c r="AA5112" s="9"/>
    </row>
    <row r="5113" spans="1:27">
      <c r="A5113" s="8"/>
      <c r="B5113" s="8"/>
      <c r="C5113" s="9"/>
      <c r="D5113" s="9"/>
      <c r="E5113" s="9"/>
      <c r="F5113" s="9"/>
      <c r="G5113" s="9"/>
      <c r="H5113" s="9"/>
      <c r="I5113" s="9"/>
      <c r="J5113" s="9"/>
      <c r="K5113" s="9"/>
      <c r="L5113" s="9"/>
      <c r="M5113" s="9"/>
      <c r="N5113" s="9"/>
      <c r="O5113" s="9"/>
      <c r="P5113" s="9"/>
      <c r="Q5113" s="9"/>
      <c r="R5113" s="9"/>
      <c r="S5113" s="9"/>
      <c r="T5113" s="9"/>
      <c r="U5113" s="9"/>
      <c r="V5113" s="9"/>
      <c r="W5113" s="9"/>
      <c r="X5113" s="9"/>
      <c r="Y5113" s="9"/>
      <c r="Z5113" s="9"/>
      <c r="AA5113" s="9"/>
    </row>
    <row r="5114" spans="1:27">
      <c r="A5114" s="8"/>
      <c r="B5114" s="8"/>
      <c r="C5114" s="9"/>
      <c r="D5114" s="9"/>
      <c r="E5114" s="9"/>
      <c r="F5114" s="9"/>
      <c r="G5114" s="9"/>
      <c r="H5114" s="9"/>
      <c r="I5114" s="9"/>
      <c r="J5114" s="9"/>
      <c r="K5114" s="9"/>
      <c r="L5114" s="9"/>
      <c r="M5114" s="9"/>
      <c r="N5114" s="9"/>
      <c r="O5114" s="9"/>
      <c r="P5114" s="9"/>
      <c r="Q5114" s="9"/>
      <c r="R5114" s="9"/>
      <c r="S5114" s="9"/>
      <c r="T5114" s="9"/>
      <c r="U5114" s="9"/>
      <c r="V5114" s="9"/>
      <c r="W5114" s="9"/>
      <c r="X5114" s="9"/>
      <c r="Y5114" s="9"/>
      <c r="Z5114" s="9"/>
      <c r="AA5114" s="9"/>
    </row>
    <row r="5115" spans="1:27">
      <c r="A5115" s="8"/>
      <c r="B5115" s="8"/>
      <c r="C5115" s="9"/>
      <c r="D5115" s="9"/>
      <c r="E5115" s="9"/>
      <c r="F5115" s="9"/>
      <c r="G5115" s="9"/>
      <c r="H5115" s="9"/>
      <c r="I5115" s="9"/>
      <c r="J5115" s="9"/>
      <c r="K5115" s="9"/>
      <c r="L5115" s="9"/>
      <c r="M5115" s="9"/>
      <c r="N5115" s="9"/>
      <c r="O5115" s="9"/>
      <c r="P5115" s="9"/>
      <c r="Q5115" s="9"/>
      <c r="R5115" s="9"/>
      <c r="S5115" s="9"/>
      <c r="T5115" s="9"/>
      <c r="U5115" s="9"/>
      <c r="V5115" s="9"/>
      <c r="W5115" s="9"/>
      <c r="X5115" s="9"/>
      <c r="Y5115" s="9"/>
      <c r="Z5115" s="9"/>
      <c r="AA5115" s="9"/>
    </row>
    <row r="5116" spans="1:27">
      <c r="A5116" s="8"/>
      <c r="B5116" s="8"/>
      <c r="C5116" s="9"/>
      <c r="D5116" s="9"/>
      <c r="E5116" s="9"/>
      <c r="F5116" s="9"/>
      <c r="G5116" s="9"/>
      <c r="H5116" s="9"/>
      <c r="I5116" s="9"/>
      <c r="J5116" s="9"/>
      <c r="K5116" s="9"/>
      <c r="L5116" s="9"/>
      <c r="M5116" s="9"/>
      <c r="N5116" s="9"/>
      <c r="O5116" s="9"/>
      <c r="P5116" s="9"/>
      <c r="Q5116" s="9"/>
      <c r="R5116" s="9"/>
      <c r="S5116" s="9"/>
      <c r="T5116" s="9"/>
      <c r="U5116" s="9"/>
      <c r="V5116" s="9"/>
      <c r="W5116" s="9"/>
      <c r="X5116" s="9"/>
      <c r="Y5116" s="9"/>
      <c r="Z5116" s="9"/>
      <c r="AA5116" s="9"/>
    </row>
    <row r="5117" spans="1:27">
      <c r="A5117" s="8"/>
      <c r="B5117" s="8"/>
      <c r="C5117" s="9"/>
      <c r="D5117" s="9"/>
      <c r="E5117" s="9"/>
      <c r="F5117" s="9"/>
      <c r="G5117" s="9"/>
      <c r="H5117" s="9"/>
      <c r="I5117" s="9"/>
      <c r="J5117" s="9"/>
      <c r="K5117" s="9"/>
      <c r="L5117" s="9"/>
      <c r="M5117" s="9"/>
      <c r="N5117" s="9"/>
      <c r="O5117" s="9"/>
      <c r="P5117" s="9"/>
      <c r="Q5117" s="9"/>
      <c r="R5117" s="9"/>
      <c r="S5117" s="9"/>
      <c r="T5117" s="9"/>
      <c r="U5117" s="9"/>
      <c r="V5117" s="9"/>
      <c r="W5117" s="9"/>
      <c r="X5117" s="9"/>
      <c r="Y5117" s="9"/>
      <c r="Z5117" s="9"/>
      <c r="AA5117" s="9"/>
    </row>
    <row r="5118" spans="1:27">
      <c r="A5118" s="8"/>
      <c r="B5118" s="8"/>
      <c r="C5118" s="9"/>
      <c r="D5118" s="9"/>
      <c r="E5118" s="9"/>
      <c r="F5118" s="9"/>
      <c r="G5118" s="9"/>
      <c r="H5118" s="9"/>
      <c r="I5118" s="9"/>
      <c r="J5118" s="9"/>
      <c r="K5118" s="9"/>
      <c r="L5118" s="9"/>
      <c r="M5118" s="9"/>
      <c r="N5118" s="9"/>
      <c r="O5118" s="9"/>
      <c r="P5118" s="9"/>
      <c r="Q5118" s="9"/>
      <c r="R5118" s="9"/>
      <c r="S5118" s="9"/>
      <c r="T5118" s="9"/>
      <c r="U5118" s="9"/>
      <c r="V5118" s="9"/>
      <c r="W5118" s="9"/>
      <c r="X5118" s="9"/>
      <c r="Y5118" s="9"/>
      <c r="Z5118" s="9"/>
      <c r="AA5118" s="9"/>
    </row>
    <row r="5119" spans="1:27">
      <c r="A5119" s="8"/>
      <c r="B5119" s="8"/>
      <c r="C5119" s="9"/>
      <c r="D5119" s="9"/>
      <c r="E5119" s="9"/>
      <c r="F5119" s="9"/>
      <c r="G5119" s="9"/>
      <c r="H5119" s="9"/>
      <c r="I5119" s="9"/>
      <c r="J5119" s="9"/>
      <c r="K5119" s="9"/>
      <c r="L5119" s="9"/>
      <c r="M5119" s="9"/>
      <c r="N5119" s="9"/>
      <c r="O5119" s="9"/>
      <c r="P5119" s="9"/>
      <c r="Q5119" s="9"/>
      <c r="R5119" s="9"/>
      <c r="S5119" s="9"/>
      <c r="T5119" s="9"/>
      <c r="U5119" s="9"/>
      <c r="V5119" s="9"/>
      <c r="W5119" s="9"/>
      <c r="X5119" s="9"/>
      <c r="Y5119" s="9"/>
      <c r="Z5119" s="9"/>
      <c r="AA5119" s="9"/>
    </row>
    <row r="5120" spans="1:27">
      <c r="A5120" s="8"/>
      <c r="B5120" s="8"/>
      <c r="C5120" s="9"/>
      <c r="D5120" s="9"/>
      <c r="E5120" s="9"/>
      <c r="F5120" s="9"/>
      <c r="G5120" s="9"/>
      <c r="H5120" s="9"/>
      <c r="I5120" s="9"/>
      <c r="J5120" s="9"/>
      <c r="K5120" s="9"/>
      <c r="L5120" s="9"/>
      <c r="M5120" s="9"/>
      <c r="N5120" s="9"/>
      <c r="O5120" s="9"/>
      <c r="P5120" s="9"/>
      <c r="Q5120" s="9"/>
      <c r="R5120" s="9"/>
      <c r="S5120" s="9"/>
      <c r="T5120" s="9"/>
      <c r="U5120" s="9"/>
      <c r="V5120" s="9"/>
      <c r="W5120" s="9"/>
      <c r="X5120" s="9"/>
      <c r="Y5120" s="9"/>
      <c r="Z5120" s="9"/>
      <c r="AA5120" s="9"/>
    </row>
    <row r="5121" spans="1:27">
      <c r="A5121" s="8"/>
      <c r="B5121" s="8"/>
      <c r="C5121" s="9"/>
      <c r="D5121" s="9"/>
      <c r="E5121" s="9"/>
      <c r="F5121" s="9"/>
      <c r="G5121" s="9"/>
      <c r="H5121" s="9"/>
      <c r="I5121" s="9"/>
      <c r="J5121" s="9"/>
      <c r="K5121" s="9"/>
      <c r="L5121" s="9"/>
      <c r="M5121" s="9"/>
      <c r="N5121" s="9"/>
      <c r="O5121" s="9"/>
      <c r="P5121" s="9"/>
      <c r="Q5121" s="9"/>
      <c r="R5121" s="9"/>
      <c r="S5121" s="9"/>
      <c r="T5121" s="9"/>
      <c r="U5121" s="9"/>
      <c r="V5121" s="9"/>
      <c r="W5121" s="9"/>
      <c r="X5121" s="9"/>
      <c r="Y5121" s="9"/>
      <c r="Z5121" s="9"/>
      <c r="AA5121" s="9"/>
    </row>
    <row r="5122" spans="1:27">
      <c r="A5122" s="8"/>
      <c r="B5122" s="8"/>
      <c r="C5122" s="9"/>
      <c r="D5122" s="9"/>
      <c r="E5122" s="9"/>
      <c r="F5122" s="9"/>
      <c r="G5122" s="9"/>
      <c r="H5122" s="9"/>
      <c r="I5122" s="9"/>
      <c r="J5122" s="9"/>
      <c r="K5122" s="9"/>
      <c r="L5122" s="9"/>
      <c r="M5122" s="9"/>
      <c r="N5122" s="9"/>
      <c r="O5122" s="9"/>
      <c r="P5122" s="9"/>
      <c r="Q5122" s="9"/>
      <c r="R5122" s="9"/>
      <c r="S5122" s="9"/>
      <c r="T5122" s="9"/>
      <c r="U5122" s="9"/>
      <c r="V5122" s="9"/>
      <c r="W5122" s="9"/>
      <c r="X5122" s="9"/>
      <c r="Y5122" s="9"/>
      <c r="Z5122" s="9"/>
      <c r="AA5122" s="9"/>
    </row>
    <row r="5123" spans="1:27">
      <c r="A5123" s="8"/>
      <c r="B5123" s="8"/>
      <c r="C5123" s="9"/>
      <c r="D5123" s="9"/>
      <c r="E5123" s="9"/>
      <c r="F5123" s="9"/>
      <c r="G5123" s="9"/>
      <c r="H5123" s="9"/>
      <c r="I5123" s="9"/>
      <c r="J5123" s="9"/>
      <c r="K5123" s="9"/>
      <c r="L5123" s="9"/>
      <c r="M5123" s="9"/>
      <c r="N5123" s="9"/>
      <c r="O5123" s="9"/>
      <c r="P5123" s="9"/>
      <c r="Q5123" s="9"/>
      <c r="R5123" s="9"/>
      <c r="S5123" s="9"/>
      <c r="T5123" s="9"/>
      <c r="U5123" s="9"/>
      <c r="V5123" s="9"/>
      <c r="W5123" s="9"/>
      <c r="X5123" s="9"/>
      <c r="Y5123" s="9"/>
      <c r="Z5123" s="9"/>
      <c r="AA5123" s="9"/>
    </row>
    <row r="5124" spans="1:27">
      <c r="A5124" s="8"/>
      <c r="B5124" s="8"/>
      <c r="C5124" s="9"/>
      <c r="D5124" s="9"/>
      <c r="E5124" s="9"/>
      <c r="F5124" s="9"/>
      <c r="G5124" s="9"/>
      <c r="H5124" s="9"/>
      <c r="I5124" s="9"/>
      <c r="J5124" s="9"/>
      <c r="K5124" s="9"/>
      <c r="L5124" s="9"/>
      <c r="M5124" s="9"/>
      <c r="N5124" s="9"/>
      <c r="O5124" s="9"/>
      <c r="P5124" s="9"/>
      <c r="Q5124" s="9"/>
      <c r="R5124" s="9"/>
      <c r="S5124" s="9"/>
      <c r="T5124" s="9"/>
      <c r="U5124" s="9"/>
      <c r="V5124" s="9"/>
      <c r="W5124" s="9"/>
      <c r="X5124" s="9"/>
      <c r="Y5124" s="9"/>
      <c r="Z5124" s="9"/>
      <c r="AA5124" s="9"/>
    </row>
    <row r="5125" spans="1:27">
      <c r="A5125" s="8"/>
      <c r="B5125" s="8"/>
      <c r="C5125" s="9"/>
      <c r="D5125" s="9"/>
      <c r="E5125" s="9"/>
      <c r="F5125" s="9"/>
      <c r="G5125" s="9"/>
      <c r="H5125" s="9"/>
      <c r="I5125" s="9"/>
      <c r="J5125" s="9"/>
      <c r="K5125" s="9"/>
      <c r="L5125" s="9"/>
      <c r="M5125" s="9"/>
      <c r="N5125" s="9"/>
      <c r="O5125" s="9"/>
      <c r="P5125" s="9"/>
      <c r="Q5125" s="9"/>
      <c r="R5125" s="9"/>
      <c r="S5125" s="9"/>
      <c r="T5125" s="9"/>
      <c r="U5125" s="9"/>
      <c r="V5125" s="9"/>
      <c r="W5125" s="9"/>
      <c r="X5125" s="9"/>
      <c r="Y5125" s="9"/>
      <c r="Z5125" s="9"/>
      <c r="AA5125" s="9"/>
    </row>
    <row r="5126" spans="1:27">
      <c r="A5126" s="8"/>
      <c r="B5126" s="8"/>
      <c r="C5126" s="9"/>
      <c r="D5126" s="9"/>
      <c r="E5126" s="9"/>
      <c r="F5126" s="9"/>
      <c r="G5126" s="9"/>
      <c r="H5126" s="9"/>
      <c r="I5126" s="9"/>
      <c r="J5126" s="9"/>
      <c r="K5126" s="9"/>
      <c r="L5126" s="9"/>
      <c r="M5126" s="9"/>
      <c r="N5126" s="9"/>
      <c r="O5126" s="9"/>
      <c r="P5126" s="9"/>
      <c r="Q5126" s="9"/>
      <c r="R5126" s="9"/>
      <c r="S5126" s="9"/>
      <c r="T5126" s="9"/>
      <c r="U5126" s="9"/>
      <c r="V5126" s="9"/>
      <c r="W5126" s="9"/>
      <c r="X5126" s="9"/>
      <c r="Y5126" s="9"/>
      <c r="Z5126" s="9"/>
      <c r="AA5126" s="9"/>
    </row>
    <row r="5127" spans="1:27">
      <c r="A5127" s="8"/>
      <c r="B5127" s="8"/>
      <c r="C5127" s="9"/>
      <c r="D5127" s="9"/>
      <c r="E5127" s="9"/>
      <c r="F5127" s="9"/>
      <c r="G5127" s="9"/>
      <c r="H5127" s="9"/>
      <c r="I5127" s="9"/>
      <c r="J5127" s="9"/>
      <c r="K5127" s="9"/>
      <c r="L5127" s="9"/>
      <c r="M5127" s="9"/>
      <c r="N5127" s="9"/>
      <c r="O5127" s="9"/>
      <c r="P5127" s="9"/>
      <c r="Q5127" s="9"/>
      <c r="R5127" s="9"/>
      <c r="S5127" s="9"/>
      <c r="T5127" s="9"/>
      <c r="U5127" s="9"/>
      <c r="V5127" s="9"/>
      <c r="W5127" s="9"/>
      <c r="X5127" s="9"/>
      <c r="Y5127" s="9"/>
      <c r="Z5127" s="9"/>
      <c r="AA5127" s="9"/>
    </row>
    <row r="5128" spans="1:27">
      <c r="A5128" s="8"/>
      <c r="B5128" s="8"/>
      <c r="C5128" s="9"/>
      <c r="D5128" s="9"/>
      <c r="E5128" s="9"/>
      <c r="F5128" s="9"/>
      <c r="G5128" s="9"/>
      <c r="H5128" s="9"/>
      <c r="I5128" s="9"/>
      <c r="J5128" s="9"/>
      <c r="K5128" s="9"/>
      <c r="L5128" s="9"/>
      <c r="M5128" s="9"/>
      <c r="N5128" s="9"/>
      <c r="O5128" s="9"/>
      <c r="P5128" s="9"/>
      <c r="Q5128" s="9"/>
      <c r="R5128" s="9"/>
      <c r="S5128" s="9"/>
      <c r="T5128" s="9"/>
      <c r="U5128" s="9"/>
      <c r="V5128" s="9"/>
      <c r="W5128" s="9"/>
      <c r="X5128" s="9"/>
      <c r="Y5128" s="9"/>
      <c r="Z5128" s="9"/>
      <c r="AA5128" s="9"/>
    </row>
    <row r="5129" spans="1:27">
      <c r="A5129" s="8"/>
      <c r="B5129" s="8"/>
      <c r="C5129" s="9"/>
      <c r="D5129" s="9"/>
      <c r="E5129" s="9"/>
      <c r="F5129" s="9"/>
      <c r="G5129" s="9"/>
      <c r="H5129" s="9"/>
      <c r="I5129" s="9"/>
      <c r="J5129" s="9"/>
      <c r="K5129" s="9"/>
      <c r="L5129" s="9"/>
      <c r="M5129" s="9"/>
      <c r="N5129" s="9"/>
      <c r="O5129" s="9"/>
      <c r="P5129" s="9"/>
      <c r="Q5129" s="9"/>
      <c r="R5129" s="9"/>
      <c r="S5129" s="9"/>
      <c r="T5129" s="9"/>
      <c r="U5129" s="9"/>
      <c r="V5129" s="9"/>
      <c r="W5129" s="9"/>
      <c r="X5129" s="9"/>
      <c r="Y5129" s="9"/>
      <c r="Z5129" s="9"/>
      <c r="AA5129" s="9"/>
    </row>
    <row r="5130" spans="1:27">
      <c r="A5130" s="8"/>
      <c r="B5130" s="8"/>
      <c r="C5130" s="9"/>
      <c r="D5130" s="9"/>
      <c r="E5130" s="9"/>
      <c r="F5130" s="9"/>
      <c r="G5130" s="9"/>
      <c r="H5130" s="9"/>
      <c r="I5130" s="9"/>
      <c r="J5130" s="9"/>
      <c r="K5130" s="9"/>
      <c r="L5130" s="9"/>
      <c r="M5130" s="9"/>
      <c r="N5130" s="9"/>
      <c r="O5130" s="9"/>
      <c r="P5130" s="9"/>
      <c r="Q5130" s="9"/>
      <c r="R5130" s="9"/>
      <c r="S5130" s="9"/>
      <c r="T5130" s="9"/>
      <c r="U5130" s="9"/>
      <c r="V5130" s="9"/>
      <c r="W5130" s="9"/>
      <c r="X5130" s="9"/>
      <c r="Y5130" s="9"/>
      <c r="Z5130" s="9"/>
      <c r="AA5130" s="9"/>
    </row>
    <row r="5131" spans="1:27">
      <c r="A5131" s="8"/>
      <c r="B5131" s="8"/>
      <c r="C5131" s="9"/>
      <c r="D5131" s="9"/>
      <c r="E5131" s="9"/>
      <c r="F5131" s="9"/>
      <c r="G5131" s="9"/>
      <c r="H5131" s="9"/>
      <c r="I5131" s="9"/>
      <c r="J5131" s="9"/>
      <c r="K5131" s="9"/>
      <c r="L5131" s="9"/>
      <c r="M5131" s="9"/>
      <c r="N5131" s="9"/>
      <c r="O5131" s="9"/>
      <c r="P5131" s="9"/>
      <c r="Q5131" s="9"/>
      <c r="R5131" s="9"/>
      <c r="S5131" s="9"/>
      <c r="T5131" s="9"/>
      <c r="U5131" s="9"/>
      <c r="V5131" s="9"/>
      <c r="W5131" s="9"/>
      <c r="X5131" s="9"/>
      <c r="Y5131" s="9"/>
      <c r="Z5131" s="9"/>
      <c r="AA5131" s="9"/>
    </row>
    <row r="5132" spans="1:27">
      <c r="A5132" s="8"/>
      <c r="B5132" s="8"/>
      <c r="C5132" s="9"/>
      <c r="D5132" s="9"/>
      <c r="E5132" s="9"/>
      <c r="F5132" s="9"/>
      <c r="G5132" s="9"/>
      <c r="H5132" s="9"/>
      <c r="I5132" s="9"/>
      <c r="J5132" s="9"/>
      <c r="K5132" s="9"/>
      <c r="L5132" s="9"/>
      <c r="M5132" s="9"/>
      <c r="N5132" s="9"/>
      <c r="O5132" s="9"/>
      <c r="P5132" s="9"/>
      <c r="Q5132" s="9"/>
      <c r="R5132" s="9"/>
      <c r="S5132" s="9"/>
      <c r="T5132" s="9"/>
      <c r="U5132" s="9"/>
      <c r="V5132" s="9"/>
      <c r="W5132" s="9"/>
      <c r="X5132" s="9"/>
      <c r="Y5132" s="9"/>
      <c r="Z5132" s="9"/>
      <c r="AA5132" s="9"/>
    </row>
    <row r="5133" spans="1:27">
      <c r="A5133" s="8"/>
      <c r="B5133" s="8"/>
      <c r="C5133" s="9"/>
      <c r="D5133" s="9"/>
      <c r="E5133" s="9"/>
      <c r="F5133" s="9"/>
      <c r="G5133" s="9"/>
      <c r="H5133" s="9"/>
      <c r="I5133" s="9"/>
      <c r="J5133" s="9"/>
      <c r="K5133" s="9"/>
      <c r="L5133" s="9"/>
      <c r="M5133" s="9"/>
      <c r="N5133" s="9"/>
      <c r="O5133" s="9"/>
      <c r="P5133" s="9"/>
      <c r="Q5133" s="9"/>
      <c r="R5133" s="9"/>
      <c r="S5133" s="9"/>
      <c r="T5133" s="9"/>
      <c r="U5133" s="9"/>
      <c r="V5133" s="9"/>
      <c r="W5133" s="9"/>
      <c r="X5133" s="9"/>
      <c r="Y5133" s="9"/>
      <c r="Z5133" s="9"/>
      <c r="AA5133" s="9"/>
    </row>
    <row r="5134" spans="1:27">
      <c r="A5134" s="8"/>
      <c r="B5134" s="8"/>
      <c r="C5134" s="9"/>
      <c r="D5134" s="9"/>
      <c r="E5134" s="9"/>
      <c r="F5134" s="9"/>
      <c r="G5134" s="9"/>
      <c r="H5134" s="9"/>
      <c r="I5134" s="9"/>
      <c r="J5134" s="9"/>
      <c r="K5134" s="9"/>
      <c r="L5134" s="9"/>
      <c r="M5134" s="9"/>
      <c r="N5134" s="9"/>
      <c r="O5134" s="9"/>
      <c r="P5134" s="9"/>
      <c r="Q5134" s="9"/>
      <c r="R5134" s="9"/>
      <c r="S5134" s="9"/>
      <c r="T5134" s="9"/>
      <c r="U5134" s="9"/>
      <c r="V5134" s="9"/>
      <c r="W5134" s="9"/>
      <c r="X5134" s="9"/>
      <c r="Y5134" s="9"/>
      <c r="Z5134" s="9"/>
      <c r="AA5134" s="9"/>
    </row>
    <row r="5135" spans="1:27">
      <c r="A5135" s="8"/>
      <c r="B5135" s="8"/>
      <c r="C5135" s="9"/>
      <c r="D5135" s="9"/>
      <c r="E5135" s="9"/>
      <c r="F5135" s="9"/>
      <c r="G5135" s="9"/>
      <c r="H5135" s="9"/>
      <c r="I5135" s="9"/>
      <c r="J5135" s="9"/>
      <c r="K5135" s="9"/>
      <c r="L5135" s="9"/>
      <c r="M5135" s="9"/>
      <c r="N5135" s="9"/>
      <c r="O5135" s="9"/>
      <c r="P5135" s="9"/>
      <c r="Q5135" s="9"/>
      <c r="R5135" s="9"/>
      <c r="S5135" s="9"/>
      <c r="T5135" s="9"/>
      <c r="U5135" s="9"/>
      <c r="V5135" s="9"/>
      <c r="W5135" s="9"/>
      <c r="X5135" s="9"/>
      <c r="Y5135" s="9"/>
      <c r="Z5135" s="9"/>
      <c r="AA5135" s="9"/>
    </row>
    <row r="5136" spans="1:27">
      <c r="A5136" s="8"/>
      <c r="B5136" s="8"/>
      <c r="C5136" s="9"/>
      <c r="D5136" s="9"/>
      <c r="E5136" s="9"/>
      <c r="F5136" s="9"/>
      <c r="G5136" s="9"/>
      <c r="H5136" s="9"/>
      <c r="I5136" s="9"/>
      <c r="J5136" s="9"/>
      <c r="K5136" s="9"/>
      <c r="L5136" s="9"/>
      <c r="M5136" s="9"/>
      <c r="N5136" s="9"/>
      <c r="O5136" s="9"/>
      <c r="P5136" s="9"/>
      <c r="Q5136" s="9"/>
      <c r="R5136" s="9"/>
      <c r="S5136" s="9"/>
      <c r="T5136" s="9"/>
      <c r="U5136" s="9"/>
      <c r="V5136" s="9"/>
      <c r="W5136" s="9"/>
      <c r="X5136" s="9"/>
      <c r="Y5136" s="9"/>
      <c r="Z5136" s="9"/>
      <c r="AA5136" s="9"/>
    </row>
    <row r="5137" spans="1:27">
      <c r="A5137" s="8"/>
      <c r="B5137" s="8"/>
      <c r="C5137" s="9"/>
      <c r="D5137" s="9"/>
      <c r="E5137" s="9"/>
      <c r="F5137" s="9"/>
      <c r="G5137" s="9"/>
      <c r="H5137" s="9"/>
      <c r="I5137" s="9"/>
      <c r="J5137" s="9"/>
      <c r="K5137" s="9"/>
      <c r="L5137" s="9"/>
      <c r="M5137" s="9"/>
      <c r="N5137" s="9"/>
      <c r="O5137" s="9"/>
      <c r="P5137" s="9"/>
      <c r="Q5137" s="9"/>
      <c r="R5137" s="9"/>
      <c r="S5137" s="9"/>
      <c r="T5137" s="9"/>
      <c r="U5137" s="9"/>
      <c r="V5137" s="9"/>
      <c r="W5137" s="9"/>
      <c r="X5137" s="9"/>
      <c r="Y5137" s="9"/>
      <c r="Z5137" s="9"/>
      <c r="AA5137" s="9"/>
    </row>
    <row r="5138" spans="1:27">
      <c r="A5138" s="8"/>
      <c r="B5138" s="8"/>
      <c r="C5138" s="9"/>
      <c r="D5138" s="9"/>
      <c r="E5138" s="9"/>
      <c r="F5138" s="9"/>
      <c r="G5138" s="9"/>
      <c r="H5138" s="9"/>
      <c r="I5138" s="9"/>
      <c r="J5138" s="9"/>
      <c r="K5138" s="9"/>
      <c r="L5138" s="9"/>
      <c r="M5138" s="9"/>
      <c r="N5138" s="9"/>
      <c r="O5138" s="9"/>
      <c r="P5138" s="9"/>
      <c r="Q5138" s="9"/>
      <c r="R5138" s="9"/>
      <c r="S5138" s="9"/>
      <c r="T5138" s="9"/>
      <c r="U5138" s="9"/>
      <c r="V5138" s="9"/>
      <c r="W5138" s="9"/>
      <c r="X5138" s="9"/>
      <c r="Y5138" s="9"/>
      <c r="Z5138" s="9"/>
      <c r="AA5138" s="9"/>
    </row>
    <row r="5139" spans="1:27">
      <c r="A5139" s="8"/>
      <c r="B5139" s="8"/>
      <c r="C5139" s="9"/>
      <c r="D5139" s="9"/>
      <c r="E5139" s="9"/>
      <c r="F5139" s="9"/>
      <c r="G5139" s="9"/>
      <c r="H5139" s="9"/>
      <c r="I5139" s="9"/>
      <c r="J5139" s="9"/>
      <c r="K5139" s="9"/>
      <c r="L5139" s="9"/>
      <c r="M5139" s="9"/>
      <c r="N5139" s="9"/>
      <c r="O5139" s="9"/>
      <c r="P5139" s="9"/>
      <c r="Q5139" s="9"/>
      <c r="R5139" s="9"/>
      <c r="S5139" s="9"/>
      <c r="T5139" s="9"/>
      <c r="U5139" s="9"/>
      <c r="V5139" s="9"/>
      <c r="W5139" s="9"/>
      <c r="X5139" s="9"/>
      <c r="Y5139" s="9"/>
      <c r="Z5139" s="9"/>
      <c r="AA5139" s="9"/>
    </row>
    <row r="5140" spans="1:27">
      <c r="A5140" s="8"/>
      <c r="B5140" s="8"/>
      <c r="C5140" s="9"/>
      <c r="D5140" s="9"/>
      <c r="E5140" s="9"/>
      <c r="F5140" s="9"/>
      <c r="G5140" s="9"/>
      <c r="H5140" s="9"/>
      <c r="I5140" s="9"/>
      <c r="J5140" s="9"/>
      <c r="K5140" s="9"/>
      <c r="L5140" s="9"/>
      <c r="M5140" s="9"/>
      <c r="N5140" s="9"/>
      <c r="O5140" s="9"/>
      <c r="P5140" s="9"/>
      <c r="Q5140" s="9"/>
      <c r="R5140" s="9"/>
      <c r="S5140" s="9"/>
      <c r="T5140" s="9"/>
      <c r="U5140" s="9"/>
      <c r="V5140" s="9"/>
      <c r="W5140" s="9"/>
      <c r="X5140" s="9"/>
      <c r="Y5140" s="9"/>
      <c r="Z5140" s="9"/>
      <c r="AA5140" s="9"/>
    </row>
    <row r="5141" spans="1:27">
      <c r="A5141" s="8"/>
      <c r="B5141" s="8"/>
      <c r="C5141" s="9"/>
      <c r="D5141" s="9"/>
      <c r="E5141" s="9"/>
      <c r="F5141" s="9"/>
      <c r="G5141" s="9"/>
      <c r="H5141" s="9"/>
      <c r="I5141" s="9"/>
      <c r="J5141" s="9"/>
      <c r="K5141" s="9"/>
      <c r="L5141" s="9"/>
      <c r="M5141" s="9"/>
      <c r="N5141" s="9"/>
      <c r="O5141" s="9"/>
      <c r="P5141" s="9"/>
      <c r="Q5141" s="9"/>
      <c r="R5141" s="9"/>
      <c r="S5141" s="9"/>
      <c r="T5141" s="9"/>
      <c r="U5141" s="9"/>
      <c r="V5141" s="9"/>
      <c r="W5141" s="9"/>
      <c r="X5141" s="9"/>
      <c r="Y5141" s="9"/>
      <c r="Z5141" s="9"/>
      <c r="AA5141" s="9"/>
    </row>
    <row r="5142" spans="1:27">
      <c r="A5142" s="8"/>
      <c r="B5142" s="8"/>
      <c r="C5142" s="9"/>
      <c r="D5142" s="9"/>
      <c r="E5142" s="9"/>
      <c r="F5142" s="9"/>
      <c r="G5142" s="9"/>
      <c r="H5142" s="9"/>
      <c r="I5142" s="9"/>
      <c r="J5142" s="9"/>
      <c r="K5142" s="9"/>
      <c r="L5142" s="9"/>
      <c r="M5142" s="9"/>
      <c r="N5142" s="9"/>
      <c r="O5142" s="9"/>
      <c r="P5142" s="9"/>
      <c r="Q5142" s="9"/>
      <c r="R5142" s="9"/>
      <c r="S5142" s="9"/>
      <c r="T5142" s="9"/>
      <c r="U5142" s="9"/>
      <c r="V5142" s="9"/>
      <c r="W5142" s="9"/>
      <c r="X5142" s="9"/>
      <c r="Y5142" s="9"/>
      <c r="Z5142" s="9"/>
      <c r="AA5142" s="9"/>
    </row>
    <row r="5143" spans="1:27">
      <c r="A5143" s="8"/>
      <c r="B5143" s="8"/>
      <c r="C5143" s="9"/>
      <c r="D5143" s="9"/>
      <c r="E5143" s="9"/>
      <c r="F5143" s="9"/>
      <c r="G5143" s="9"/>
      <c r="H5143" s="9"/>
      <c r="I5143" s="9"/>
      <c r="J5143" s="9"/>
      <c r="K5143" s="9"/>
      <c r="L5143" s="9"/>
      <c r="M5143" s="9"/>
      <c r="N5143" s="9"/>
      <c r="O5143" s="9"/>
      <c r="P5143" s="9"/>
      <c r="Q5143" s="9"/>
      <c r="R5143" s="9"/>
      <c r="S5143" s="9"/>
      <c r="T5143" s="9"/>
      <c r="U5143" s="9"/>
      <c r="V5143" s="9"/>
      <c r="W5143" s="9"/>
      <c r="X5143" s="9"/>
      <c r="Y5143" s="9"/>
      <c r="Z5143" s="9"/>
      <c r="AA5143" s="9"/>
    </row>
    <row r="5144" spans="1:27">
      <c r="A5144" s="8"/>
      <c r="B5144" s="8"/>
      <c r="C5144" s="9"/>
      <c r="D5144" s="9"/>
      <c r="E5144" s="9"/>
      <c r="F5144" s="9"/>
      <c r="G5144" s="9"/>
      <c r="H5144" s="9"/>
      <c r="I5144" s="9"/>
      <c r="J5144" s="9"/>
      <c r="K5144" s="9"/>
      <c r="L5144" s="9"/>
      <c r="M5144" s="9"/>
      <c r="N5144" s="9"/>
      <c r="O5144" s="9"/>
      <c r="P5144" s="9"/>
      <c r="Q5144" s="9"/>
      <c r="R5144" s="9"/>
      <c r="S5144" s="9"/>
      <c r="T5144" s="9"/>
      <c r="U5144" s="9"/>
      <c r="V5144" s="9"/>
      <c r="W5144" s="9"/>
      <c r="X5144" s="9"/>
      <c r="Y5144" s="9"/>
      <c r="Z5144" s="9"/>
      <c r="AA5144" s="9"/>
    </row>
    <row r="5145" spans="1:27">
      <c r="A5145" s="8"/>
      <c r="B5145" s="8"/>
      <c r="C5145" s="9"/>
      <c r="D5145" s="9"/>
      <c r="E5145" s="9"/>
      <c r="F5145" s="9"/>
      <c r="G5145" s="9"/>
      <c r="H5145" s="9"/>
      <c r="I5145" s="9"/>
      <c r="J5145" s="9"/>
      <c r="K5145" s="9"/>
      <c r="L5145" s="9"/>
      <c r="M5145" s="9"/>
      <c r="N5145" s="9"/>
      <c r="O5145" s="9"/>
      <c r="P5145" s="9"/>
      <c r="Q5145" s="9"/>
      <c r="R5145" s="9"/>
      <c r="S5145" s="9"/>
      <c r="T5145" s="9"/>
      <c r="U5145" s="9"/>
      <c r="V5145" s="9"/>
      <c r="W5145" s="9"/>
      <c r="X5145" s="9"/>
      <c r="Y5145" s="9"/>
      <c r="Z5145" s="9"/>
      <c r="AA5145" s="9"/>
    </row>
    <row r="5146" spans="1:27">
      <c r="A5146" s="8"/>
      <c r="B5146" s="8"/>
      <c r="C5146" s="9"/>
      <c r="D5146" s="9"/>
      <c r="E5146" s="9"/>
      <c r="F5146" s="9"/>
      <c r="G5146" s="9"/>
      <c r="H5146" s="9"/>
      <c r="I5146" s="9"/>
      <c r="J5146" s="9"/>
      <c r="K5146" s="9"/>
      <c r="L5146" s="9"/>
      <c r="M5146" s="9"/>
      <c r="N5146" s="9"/>
      <c r="O5146" s="9"/>
      <c r="P5146" s="9"/>
      <c r="Q5146" s="9"/>
      <c r="R5146" s="9"/>
      <c r="S5146" s="9"/>
      <c r="T5146" s="9"/>
      <c r="U5146" s="9"/>
      <c r="V5146" s="9"/>
      <c r="W5146" s="9"/>
      <c r="X5146" s="9"/>
      <c r="Y5146" s="9"/>
      <c r="Z5146" s="9"/>
      <c r="AA5146" s="9"/>
    </row>
    <row r="5147" spans="1:27">
      <c r="A5147" s="8"/>
      <c r="B5147" s="8"/>
      <c r="C5147" s="9"/>
      <c r="D5147" s="9"/>
      <c r="E5147" s="9"/>
      <c r="F5147" s="9"/>
      <c r="G5147" s="9"/>
      <c r="H5147" s="9"/>
      <c r="I5147" s="9"/>
      <c r="J5147" s="9"/>
      <c r="K5147" s="9"/>
      <c r="L5147" s="9"/>
      <c r="M5147" s="9"/>
      <c r="N5147" s="9"/>
      <c r="O5147" s="9"/>
      <c r="P5147" s="9"/>
      <c r="Q5147" s="9"/>
      <c r="R5147" s="9"/>
      <c r="S5147" s="9"/>
      <c r="T5147" s="9"/>
      <c r="U5147" s="9"/>
      <c r="V5147" s="9"/>
      <c r="W5147" s="9"/>
      <c r="X5147" s="9"/>
      <c r="Y5147" s="9"/>
      <c r="Z5147" s="9"/>
      <c r="AA5147" s="9"/>
    </row>
    <row r="5148" spans="1:27">
      <c r="A5148" s="8"/>
      <c r="B5148" s="8"/>
      <c r="C5148" s="9"/>
      <c r="D5148" s="9"/>
      <c r="E5148" s="9"/>
      <c r="F5148" s="9"/>
      <c r="G5148" s="9"/>
      <c r="H5148" s="9"/>
      <c r="I5148" s="9"/>
      <c r="J5148" s="9"/>
      <c r="K5148" s="9"/>
      <c r="L5148" s="9"/>
      <c r="M5148" s="9"/>
      <c r="N5148" s="9"/>
      <c r="O5148" s="9"/>
      <c r="P5148" s="9"/>
      <c r="Q5148" s="9"/>
      <c r="R5148" s="9"/>
      <c r="S5148" s="9"/>
      <c r="T5148" s="9"/>
      <c r="U5148" s="9"/>
      <c r="V5148" s="9"/>
      <c r="W5148" s="9"/>
      <c r="X5148" s="9"/>
      <c r="Y5148" s="9"/>
      <c r="Z5148" s="9"/>
      <c r="AA5148" s="9"/>
    </row>
    <row r="5149" spans="1:27">
      <c r="A5149" s="8"/>
      <c r="B5149" s="8"/>
      <c r="C5149" s="9"/>
      <c r="D5149" s="9"/>
      <c r="E5149" s="9"/>
      <c r="F5149" s="9"/>
      <c r="G5149" s="9"/>
      <c r="H5149" s="9"/>
      <c r="I5149" s="9"/>
      <c r="J5149" s="9"/>
      <c r="K5149" s="9"/>
      <c r="L5149" s="9"/>
      <c r="M5149" s="9"/>
      <c r="N5149" s="9"/>
      <c r="O5149" s="9"/>
      <c r="P5149" s="9"/>
      <c r="Q5149" s="9"/>
      <c r="R5149" s="9"/>
      <c r="S5149" s="9"/>
      <c r="T5149" s="9"/>
      <c r="U5149" s="9"/>
      <c r="V5149" s="9"/>
      <c r="W5149" s="9"/>
      <c r="X5149" s="9"/>
      <c r="Y5149" s="9"/>
      <c r="Z5149" s="9"/>
      <c r="AA5149" s="9"/>
    </row>
    <row r="5150" spans="1:27">
      <c r="A5150" s="8"/>
      <c r="B5150" s="8"/>
      <c r="C5150" s="9"/>
      <c r="D5150" s="9"/>
      <c r="E5150" s="9"/>
      <c r="F5150" s="9"/>
      <c r="G5150" s="9"/>
      <c r="H5150" s="9"/>
      <c r="I5150" s="9"/>
      <c r="J5150" s="9"/>
      <c r="K5150" s="9"/>
      <c r="L5150" s="9"/>
      <c r="M5150" s="9"/>
      <c r="N5150" s="9"/>
      <c r="O5150" s="9"/>
      <c r="P5150" s="9"/>
      <c r="Q5150" s="9"/>
      <c r="R5150" s="9"/>
      <c r="S5150" s="9"/>
      <c r="T5150" s="9"/>
      <c r="U5150" s="9"/>
      <c r="V5150" s="9"/>
      <c r="W5150" s="9"/>
      <c r="X5150" s="9"/>
      <c r="Y5150" s="9"/>
      <c r="Z5150" s="9"/>
      <c r="AA5150" s="9"/>
    </row>
    <row r="5151" spans="1:27">
      <c r="A5151" s="8"/>
      <c r="B5151" s="8"/>
      <c r="C5151" s="9"/>
      <c r="D5151" s="9"/>
      <c r="E5151" s="9"/>
      <c r="F5151" s="9"/>
      <c r="G5151" s="9"/>
      <c r="H5151" s="9"/>
      <c r="I5151" s="9"/>
      <c r="J5151" s="9"/>
      <c r="K5151" s="9"/>
      <c r="L5151" s="9"/>
      <c r="M5151" s="9"/>
      <c r="N5151" s="9"/>
      <c r="O5151" s="9"/>
      <c r="P5151" s="9"/>
      <c r="Q5151" s="9"/>
      <c r="R5151" s="9"/>
      <c r="S5151" s="9"/>
      <c r="T5151" s="9"/>
      <c r="U5151" s="9"/>
      <c r="V5151" s="9"/>
      <c r="W5151" s="9"/>
      <c r="X5151" s="9"/>
      <c r="Y5151" s="9"/>
      <c r="Z5151" s="9"/>
      <c r="AA5151" s="9"/>
    </row>
    <row r="5152" spans="1:27">
      <c r="A5152" s="8"/>
      <c r="B5152" s="8"/>
      <c r="C5152" s="9"/>
      <c r="D5152" s="9"/>
      <c r="E5152" s="9"/>
      <c r="F5152" s="9"/>
      <c r="G5152" s="9"/>
      <c r="H5152" s="9"/>
      <c r="I5152" s="9"/>
      <c r="J5152" s="9"/>
      <c r="K5152" s="9"/>
      <c r="L5152" s="9"/>
      <c r="M5152" s="9"/>
      <c r="N5152" s="9"/>
      <c r="O5152" s="9"/>
      <c r="P5152" s="9"/>
      <c r="Q5152" s="9"/>
      <c r="R5152" s="9"/>
      <c r="S5152" s="9"/>
      <c r="T5152" s="9"/>
      <c r="U5152" s="9"/>
      <c r="V5152" s="9"/>
      <c r="W5152" s="9"/>
      <c r="X5152" s="9"/>
      <c r="Y5152" s="9"/>
      <c r="Z5152" s="9"/>
      <c r="AA5152" s="9"/>
    </row>
    <row r="5153" spans="1:27">
      <c r="A5153" s="8"/>
      <c r="B5153" s="8"/>
      <c r="C5153" s="9"/>
      <c r="D5153" s="9"/>
      <c r="E5153" s="9"/>
      <c r="F5153" s="9"/>
      <c r="G5153" s="9"/>
      <c r="H5153" s="9"/>
      <c r="I5153" s="9"/>
      <c r="J5153" s="9"/>
      <c r="K5153" s="9"/>
      <c r="L5153" s="9"/>
      <c r="M5153" s="9"/>
      <c r="N5153" s="9"/>
      <c r="O5153" s="9"/>
      <c r="P5153" s="9"/>
      <c r="Q5153" s="9"/>
      <c r="R5153" s="9"/>
      <c r="S5153" s="9"/>
      <c r="T5153" s="9"/>
      <c r="U5153" s="9"/>
      <c r="V5153" s="9"/>
      <c r="W5153" s="9"/>
      <c r="X5153" s="9"/>
      <c r="Y5153" s="9"/>
      <c r="Z5153" s="9"/>
      <c r="AA5153" s="9"/>
    </row>
    <row r="5154" spans="1:27">
      <c r="A5154" s="8"/>
      <c r="B5154" s="8"/>
      <c r="C5154" s="9"/>
      <c r="D5154" s="9"/>
      <c r="E5154" s="9"/>
      <c r="F5154" s="9"/>
      <c r="G5154" s="9"/>
      <c r="H5154" s="9"/>
      <c r="I5154" s="9"/>
      <c r="J5154" s="9"/>
      <c r="K5154" s="9"/>
      <c r="L5154" s="9"/>
      <c r="M5154" s="9"/>
      <c r="N5154" s="9"/>
      <c r="O5154" s="9"/>
      <c r="P5154" s="9"/>
      <c r="Q5154" s="9"/>
      <c r="R5154" s="9"/>
      <c r="S5154" s="9"/>
      <c r="T5154" s="9"/>
      <c r="U5154" s="9"/>
      <c r="V5154" s="9"/>
      <c r="W5154" s="9"/>
      <c r="X5154" s="9"/>
      <c r="Y5154" s="9"/>
      <c r="Z5154" s="9"/>
      <c r="AA5154" s="9"/>
    </row>
    <row r="5155" spans="1:27">
      <c r="A5155" s="8"/>
      <c r="B5155" s="8"/>
      <c r="C5155" s="9"/>
      <c r="D5155" s="9"/>
      <c r="E5155" s="9"/>
      <c r="F5155" s="9"/>
      <c r="G5155" s="9"/>
      <c r="H5155" s="9"/>
      <c r="I5155" s="9"/>
      <c r="J5155" s="9"/>
      <c r="K5155" s="9"/>
      <c r="L5155" s="9"/>
      <c r="M5155" s="9"/>
      <c r="N5155" s="9"/>
      <c r="O5155" s="9"/>
      <c r="P5155" s="9"/>
      <c r="Q5155" s="9"/>
      <c r="R5155" s="9"/>
      <c r="S5155" s="9"/>
      <c r="T5155" s="9"/>
      <c r="U5155" s="9"/>
      <c r="V5155" s="9"/>
      <c r="W5155" s="9"/>
      <c r="X5155" s="9"/>
      <c r="Y5155" s="9"/>
      <c r="Z5155" s="9"/>
      <c r="AA5155" s="9"/>
    </row>
    <row r="5156" spans="1:27">
      <c r="A5156" s="8"/>
      <c r="B5156" s="8"/>
      <c r="C5156" s="9"/>
      <c r="D5156" s="9"/>
      <c r="E5156" s="9"/>
      <c r="F5156" s="9"/>
      <c r="G5156" s="9"/>
      <c r="H5156" s="9"/>
      <c r="I5156" s="9"/>
      <c r="J5156" s="9"/>
      <c r="K5156" s="9"/>
      <c r="L5156" s="9"/>
      <c r="M5156" s="9"/>
      <c r="N5156" s="9"/>
      <c r="O5156" s="9"/>
      <c r="P5156" s="9"/>
      <c r="Q5156" s="9"/>
      <c r="R5156" s="9"/>
      <c r="S5156" s="9"/>
      <c r="T5156" s="9"/>
      <c r="U5156" s="9"/>
      <c r="V5156" s="9"/>
      <c r="W5156" s="9"/>
      <c r="X5156" s="9"/>
      <c r="Y5156" s="9"/>
      <c r="Z5156" s="9"/>
      <c r="AA5156" s="9"/>
    </row>
    <row r="5157" spans="1:27">
      <c r="A5157" s="8"/>
      <c r="B5157" s="8"/>
      <c r="C5157" s="9"/>
      <c r="D5157" s="9"/>
      <c r="E5157" s="9"/>
      <c r="F5157" s="9"/>
      <c r="G5157" s="9"/>
      <c r="H5157" s="9"/>
      <c r="I5157" s="9"/>
      <c r="J5157" s="9"/>
      <c r="K5157" s="9"/>
      <c r="L5157" s="9"/>
      <c r="M5157" s="9"/>
      <c r="N5157" s="9"/>
      <c r="O5157" s="9"/>
      <c r="P5157" s="9"/>
      <c r="Q5157" s="9"/>
      <c r="R5157" s="9"/>
      <c r="S5157" s="9"/>
      <c r="T5157" s="9"/>
      <c r="U5157" s="9"/>
      <c r="V5157" s="9"/>
      <c r="W5157" s="9"/>
      <c r="X5157" s="9"/>
      <c r="Y5157" s="9"/>
      <c r="Z5157" s="9"/>
      <c r="AA5157" s="9"/>
    </row>
    <row r="5158" spans="1:27">
      <c r="A5158" s="8"/>
      <c r="B5158" s="8"/>
      <c r="C5158" s="9"/>
      <c r="D5158" s="9"/>
      <c r="E5158" s="9"/>
      <c r="F5158" s="9"/>
      <c r="G5158" s="9"/>
      <c r="H5158" s="9"/>
      <c r="I5158" s="9"/>
      <c r="J5158" s="9"/>
      <c r="K5158" s="9"/>
      <c r="L5158" s="9"/>
      <c r="M5158" s="9"/>
      <c r="N5158" s="9"/>
      <c r="O5158" s="9"/>
      <c r="P5158" s="9"/>
      <c r="Q5158" s="9"/>
      <c r="R5158" s="9"/>
      <c r="S5158" s="9"/>
      <c r="T5158" s="9"/>
      <c r="U5158" s="9"/>
      <c r="V5158" s="9"/>
      <c r="W5158" s="9"/>
      <c r="X5158" s="9"/>
      <c r="Y5158" s="9"/>
      <c r="Z5158" s="9"/>
      <c r="AA5158" s="9"/>
    </row>
    <row r="5159" spans="1:27">
      <c r="A5159" s="8"/>
      <c r="B5159" s="8"/>
      <c r="C5159" s="9"/>
      <c r="D5159" s="9"/>
      <c r="E5159" s="9"/>
      <c r="F5159" s="9"/>
      <c r="G5159" s="9"/>
      <c r="H5159" s="9"/>
      <c r="I5159" s="9"/>
      <c r="J5159" s="9"/>
      <c r="K5159" s="9"/>
      <c r="L5159" s="9"/>
      <c r="M5159" s="9"/>
      <c r="N5159" s="9"/>
      <c r="O5159" s="9"/>
      <c r="P5159" s="9"/>
      <c r="Q5159" s="9"/>
      <c r="R5159" s="9"/>
      <c r="S5159" s="9"/>
      <c r="T5159" s="9"/>
      <c r="U5159" s="9"/>
      <c r="V5159" s="9"/>
      <c r="W5159" s="9"/>
      <c r="X5159" s="9"/>
      <c r="Y5159" s="9"/>
      <c r="Z5159" s="9"/>
      <c r="AA5159" s="9"/>
    </row>
    <row r="5160" spans="1:27">
      <c r="A5160" s="8"/>
      <c r="B5160" s="8"/>
      <c r="C5160" s="9"/>
      <c r="D5160" s="9"/>
      <c r="E5160" s="9"/>
      <c r="F5160" s="9"/>
      <c r="G5160" s="9"/>
      <c r="H5160" s="9"/>
      <c r="I5160" s="9"/>
      <c r="J5160" s="9"/>
      <c r="K5160" s="9"/>
      <c r="L5160" s="9"/>
      <c r="M5160" s="9"/>
      <c r="N5160" s="9"/>
      <c r="O5160" s="9"/>
      <c r="P5160" s="9"/>
      <c r="Q5160" s="9"/>
      <c r="R5160" s="9"/>
      <c r="S5160" s="9"/>
      <c r="T5160" s="9"/>
      <c r="U5160" s="9"/>
      <c r="V5160" s="9"/>
      <c r="W5160" s="9"/>
      <c r="X5160" s="9"/>
      <c r="Y5160" s="9"/>
      <c r="Z5160" s="9"/>
      <c r="AA5160" s="9"/>
    </row>
    <row r="5161" spans="1:27">
      <c r="A5161" s="8"/>
      <c r="B5161" s="8"/>
      <c r="C5161" s="9"/>
      <c r="D5161" s="9"/>
      <c r="E5161" s="9"/>
      <c r="F5161" s="9"/>
      <c r="G5161" s="9"/>
      <c r="H5161" s="9"/>
      <c r="I5161" s="9"/>
      <c r="J5161" s="9"/>
      <c r="K5161" s="9"/>
      <c r="L5161" s="9"/>
      <c r="M5161" s="9"/>
      <c r="N5161" s="9"/>
      <c r="O5161" s="9"/>
      <c r="P5161" s="9"/>
      <c r="Q5161" s="9"/>
      <c r="R5161" s="9"/>
      <c r="S5161" s="9"/>
      <c r="T5161" s="9"/>
      <c r="U5161" s="9"/>
      <c r="V5161" s="9"/>
      <c r="W5161" s="9"/>
      <c r="X5161" s="9"/>
      <c r="Y5161" s="9"/>
      <c r="Z5161" s="9"/>
      <c r="AA5161" s="9"/>
    </row>
    <row r="5162" spans="1:27">
      <c r="A5162" s="8"/>
      <c r="B5162" s="8"/>
      <c r="C5162" s="9"/>
      <c r="D5162" s="9"/>
      <c r="E5162" s="9"/>
      <c r="F5162" s="9"/>
      <c r="G5162" s="9"/>
      <c r="H5162" s="9"/>
      <c r="I5162" s="9"/>
      <c r="J5162" s="9"/>
      <c r="K5162" s="9"/>
      <c r="L5162" s="9"/>
      <c r="M5162" s="9"/>
      <c r="N5162" s="9"/>
      <c r="O5162" s="9"/>
      <c r="P5162" s="9"/>
      <c r="Q5162" s="9"/>
      <c r="R5162" s="9"/>
      <c r="S5162" s="9"/>
      <c r="T5162" s="9"/>
      <c r="U5162" s="9"/>
      <c r="V5162" s="9"/>
      <c r="W5162" s="9"/>
      <c r="X5162" s="9"/>
      <c r="Y5162" s="9"/>
      <c r="Z5162" s="9"/>
      <c r="AA5162" s="9"/>
    </row>
    <row r="5163" spans="1:27">
      <c r="A5163" s="8"/>
      <c r="B5163" s="8"/>
      <c r="C5163" s="9"/>
      <c r="D5163" s="9"/>
      <c r="E5163" s="9"/>
      <c r="F5163" s="9"/>
      <c r="G5163" s="9"/>
      <c r="H5163" s="9"/>
      <c r="I5163" s="9"/>
      <c r="J5163" s="9"/>
      <c r="K5163" s="9"/>
      <c r="L5163" s="9"/>
      <c r="M5163" s="9"/>
      <c r="N5163" s="9"/>
      <c r="O5163" s="9"/>
      <c r="P5163" s="9"/>
      <c r="Q5163" s="9"/>
      <c r="R5163" s="9"/>
      <c r="S5163" s="9"/>
      <c r="T5163" s="9"/>
      <c r="U5163" s="9"/>
      <c r="V5163" s="9"/>
      <c r="W5163" s="9"/>
      <c r="X5163" s="9"/>
      <c r="Y5163" s="9"/>
      <c r="Z5163" s="9"/>
      <c r="AA5163" s="9"/>
    </row>
    <row r="5164" spans="1:27">
      <c r="A5164" s="8"/>
      <c r="B5164" s="8"/>
      <c r="C5164" s="9"/>
      <c r="D5164" s="9"/>
      <c r="E5164" s="9"/>
      <c r="F5164" s="9"/>
      <c r="G5164" s="9"/>
      <c r="H5164" s="9"/>
      <c r="I5164" s="9"/>
      <c r="J5164" s="9"/>
      <c r="K5164" s="9"/>
      <c r="L5164" s="9"/>
      <c r="M5164" s="9"/>
      <c r="N5164" s="9"/>
      <c r="O5164" s="9"/>
      <c r="P5164" s="9"/>
      <c r="Q5164" s="9"/>
      <c r="R5164" s="9"/>
      <c r="S5164" s="9"/>
      <c r="T5164" s="9"/>
      <c r="U5164" s="9"/>
      <c r="V5164" s="9"/>
      <c r="W5164" s="9"/>
      <c r="X5164" s="9"/>
      <c r="Y5164" s="9"/>
      <c r="Z5164" s="9"/>
      <c r="AA5164" s="9"/>
    </row>
    <row r="5165" spans="1:27">
      <c r="A5165" s="8"/>
      <c r="B5165" s="8"/>
      <c r="C5165" s="9"/>
      <c r="D5165" s="9"/>
      <c r="E5165" s="9"/>
      <c r="F5165" s="9"/>
      <c r="G5165" s="9"/>
      <c r="H5165" s="9"/>
      <c r="I5165" s="9"/>
      <c r="J5165" s="9"/>
      <c r="K5165" s="9"/>
      <c r="L5165" s="9"/>
      <c r="M5165" s="9"/>
      <c r="N5165" s="9"/>
      <c r="O5165" s="9"/>
      <c r="P5165" s="9"/>
      <c r="Q5165" s="9"/>
      <c r="R5165" s="9"/>
      <c r="S5165" s="9"/>
      <c r="T5165" s="9"/>
      <c r="U5165" s="9"/>
      <c r="V5165" s="9"/>
      <c r="W5165" s="9"/>
      <c r="X5165" s="9"/>
      <c r="Y5165" s="9"/>
      <c r="Z5165" s="9"/>
      <c r="AA5165" s="9"/>
    </row>
    <row r="5166" spans="1:27">
      <c r="A5166" s="8"/>
      <c r="B5166" s="8"/>
      <c r="C5166" s="9"/>
      <c r="D5166" s="9"/>
      <c r="E5166" s="9"/>
      <c r="F5166" s="9"/>
      <c r="G5166" s="9"/>
      <c r="H5166" s="9"/>
      <c r="I5166" s="9"/>
      <c r="J5166" s="9"/>
      <c r="K5166" s="9"/>
      <c r="L5166" s="9"/>
      <c r="M5166" s="9"/>
      <c r="N5166" s="9"/>
      <c r="O5166" s="9"/>
      <c r="P5166" s="9"/>
      <c r="Q5166" s="9"/>
      <c r="R5166" s="9"/>
      <c r="S5166" s="9"/>
      <c r="T5166" s="9"/>
      <c r="U5166" s="9"/>
      <c r="V5166" s="9"/>
      <c r="W5166" s="9"/>
      <c r="X5166" s="9"/>
      <c r="Y5166" s="9"/>
      <c r="Z5166" s="9"/>
      <c r="AA5166" s="9"/>
    </row>
    <row r="5167" spans="1:27">
      <c r="A5167" s="8"/>
      <c r="B5167" s="8"/>
      <c r="C5167" s="9"/>
      <c r="D5167" s="9"/>
      <c r="E5167" s="9"/>
      <c r="F5167" s="9"/>
      <c r="G5167" s="9"/>
      <c r="H5167" s="9"/>
      <c r="I5167" s="9"/>
      <c r="J5167" s="9"/>
      <c r="K5167" s="9"/>
      <c r="L5167" s="9"/>
      <c r="M5167" s="9"/>
      <c r="N5167" s="9"/>
      <c r="O5167" s="9"/>
      <c r="P5167" s="9"/>
      <c r="Q5167" s="9"/>
      <c r="R5167" s="9"/>
      <c r="S5167" s="9"/>
      <c r="T5167" s="9"/>
      <c r="U5167" s="9"/>
      <c r="V5167" s="9"/>
      <c r="W5167" s="9"/>
      <c r="X5167" s="9"/>
      <c r="Y5167" s="9"/>
      <c r="Z5167" s="9"/>
      <c r="AA5167" s="9"/>
    </row>
    <row r="5168" spans="1:27">
      <c r="A5168" s="8"/>
      <c r="B5168" s="8"/>
      <c r="C5168" s="9"/>
      <c r="D5168" s="9"/>
      <c r="E5168" s="9"/>
      <c r="F5168" s="9"/>
      <c r="G5168" s="9"/>
      <c r="H5168" s="9"/>
      <c r="I5168" s="9"/>
      <c r="J5168" s="9"/>
      <c r="K5168" s="9"/>
      <c r="L5168" s="9"/>
      <c r="M5168" s="9"/>
      <c r="N5168" s="9"/>
      <c r="O5168" s="9"/>
      <c r="P5168" s="9"/>
      <c r="Q5168" s="9"/>
      <c r="R5168" s="9"/>
      <c r="S5168" s="9"/>
      <c r="T5168" s="9"/>
      <c r="U5168" s="9"/>
      <c r="V5168" s="9"/>
      <c r="W5168" s="9"/>
      <c r="X5168" s="9"/>
      <c r="Y5168" s="9"/>
      <c r="Z5168" s="9"/>
      <c r="AA5168" s="9"/>
    </row>
    <row r="5169" spans="1:27">
      <c r="A5169" s="8"/>
      <c r="B5169" s="8"/>
      <c r="C5169" s="9"/>
      <c r="D5169" s="9"/>
      <c r="E5169" s="9"/>
      <c r="F5169" s="9"/>
      <c r="G5169" s="9"/>
      <c r="H5169" s="9"/>
      <c r="I5169" s="9"/>
      <c r="J5169" s="9"/>
      <c r="K5169" s="9"/>
      <c r="L5169" s="9"/>
      <c r="M5169" s="9"/>
      <c r="N5169" s="9"/>
      <c r="O5169" s="9"/>
      <c r="P5169" s="9"/>
      <c r="Q5169" s="9"/>
      <c r="R5169" s="9"/>
      <c r="S5169" s="9"/>
      <c r="T5169" s="9"/>
      <c r="U5169" s="9"/>
      <c r="V5169" s="9"/>
      <c r="W5169" s="9"/>
      <c r="X5169" s="9"/>
      <c r="Y5169" s="9"/>
      <c r="Z5169" s="9"/>
      <c r="AA5169" s="9"/>
    </row>
    <row r="5170" spans="1:27">
      <c r="A5170" s="8"/>
      <c r="B5170" s="8"/>
      <c r="C5170" s="9"/>
      <c r="D5170" s="9"/>
      <c r="E5170" s="9"/>
      <c r="F5170" s="9"/>
      <c r="G5170" s="9"/>
      <c r="H5170" s="9"/>
      <c r="I5170" s="9"/>
      <c r="J5170" s="9"/>
      <c r="K5170" s="9"/>
      <c r="L5170" s="9"/>
      <c r="M5170" s="9"/>
      <c r="N5170" s="9"/>
      <c r="O5170" s="9"/>
      <c r="P5170" s="9"/>
      <c r="Q5170" s="9"/>
      <c r="R5170" s="9"/>
      <c r="S5170" s="9"/>
      <c r="T5170" s="9"/>
      <c r="U5170" s="9"/>
      <c r="V5170" s="9"/>
      <c r="W5170" s="9"/>
      <c r="X5170" s="9"/>
      <c r="Y5170" s="9"/>
      <c r="Z5170" s="9"/>
      <c r="AA5170" s="9"/>
    </row>
    <row r="5171" spans="1:27">
      <c r="A5171" s="8"/>
      <c r="B5171" s="8"/>
      <c r="C5171" s="9"/>
      <c r="D5171" s="9"/>
      <c r="E5171" s="9"/>
      <c r="F5171" s="9"/>
      <c r="G5171" s="9"/>
      <c r="H5171" s="9"/>
      <c r="I5171" s="9"/>
      <c r="J5171" s="9"/>
      <c r="K5171" s="9"/>
      <c r="L5171" s="9"/>
      <c r="M5171" s="9"/>
      <c r="N5171" s="9"/>
      <c r="O5171" s="9"/>
      <c r="P5171" s="9"/>
      <c r="Q5171" s="9"/>
      <c r="R5171" s="9"/>
      <c r="S5171" s="9"/>
      <c r="T5171" s="9"/>
      <c r="U5171" s="9"/>
      <c r="V5171" s="9"/>
      <c r="W5171" s="9"/>
      <c r="X5171" s="9"/>
      <c r="Y5171" s="9"/>
      <c r="Z5171" s="9"/>
      <c r="AA5171" s="9"/>
    </row>
    <row r="5172" spans="1:27">
      <c r="A5172" s="8"/>
      <c r="B5172" s="8"/>
      <c r="C5172" s="9"/>
      <c r="D5172" s="9"/>
      <c r="E5172" s="9"/>
      <c r="F5172" s="9"/>
      <c r="G5172" s="9"/>
      <c r="H5172" s="9"/>
      <c r="I5172" s="9"/>
      <c r="J5172" s="9"/>
      <c r="K5172" s="9"/>
      <c r="L5172" s="9"/>
      <c r="M5172" s="9"/>
      <c r="N5172" s="9"/>
      <c r="O5172" s="9"/>
      <c r="P5172" s="9"/>
      <c r="Q5172" s="9"/>
      <c r="R5172" s="9"/>
      <c r="S5172" s="9"/>
      <c r="T5172" s="9"/>
      <c r="U5172" s="9"/>
      <c r="V5172" s="9"/>
      <c r="W5172" s="9"/>
      <c r="X5172" s="9"/>
      <c r="Y5172" s="9"/>
      <c r="Z5172" s="9"/>
      <c r="AA5172" s="9"/>
    </row>
    <row r="5173" spans="1:27">
      <c r="A5173" s="8"/>
      <c r="B5173" s="8"/>
      <c r="C5173" s="9"/>
      <c r="D5173" s="9"/>
      <c r="E5173" s="9"/>
      <c r="F5173" s="9"/>
      <c r="G5173" s="9"/>
      <c r="H5173" s="9"/>
      <c r="I5173" s="9"/>
      <c r="J5173" s="9"/>
      <c r="K5173" s="9"/>
      <c r="L5173" s="9"/>
      <c r="M5173" s="9"/>
      <c r="N5173" s="9"/>
      <c r="O5173" s="9"/>
      <c r="P5173" s="9"/>
      <c r="Q5173" s="9"/>
      <c r="R5173" s="9"/>
      <c r="S5173" s="9"/>
      <c r="T5173" s="9"/>
      <c r="U5173" s="9"/>
      <c r="V5173" s="9"/>
      <c r="W5173" s="9"/>
      <c r="X5173" s="9"/>
      <c r="Y5173" s="9"/>
      <c r="Z5173" s="9"/>
      <c r="AA5173" s="9"/>
    </row>
    <row r="5174" spans="1:27">
      <c r="A5174" s="8"/>
      <c r="B5174" s="8"/>
      <c r="C5174" s="9"/>
      <c r="D5174" s="9"/>
      <c r="E5174" s="9"/>
      <c r="F5174" s="9"/>
      <c r="G5174" s="9"/>
      <c r="H5174" s="9"/>
      <c r="I5174" s="9"/>
      <c r="J5174" s="9"/>
      <c r="K5174" s="9"/>
      <c r="L5174" s="9"/>
      <c r="M5174" s="9"/>
      <c r="N5174" s="9"/>
      <c r="O5174" s="9"/>
      <c r="P5174" s="9"/>
      <c r="Q5174" s="9"/>
      <c r="R5174" s="9"/>
      <c r="S5174" s="9"/>
      <c r="T5174" s="9"/>
      <c r="U5174" s="9"/>
      <c r="V5174" s="9"/>
      <c r="W5174" s="9"/>
      <c r="X5174" s="9"/>
      <c r="Y5174" s="9"/>
      <c r="Z5174" s="9"/>
      <c r="AA5174" s="9"/>
    </row>
    <row r="5175" spans="1:27">
      <c r="A5175" s="8"/>
      <c r="B5175" s="8"/>
      <c r="C5175" s="9"/>
      <c r="D5175" s="9"/>
      <c r="E5175" s="9"/>
      <c r="F5175" s="9"/>
      <c r="G5175" s="9"/>
      <c r="H5175" s="9"/>
      <c r="I5175" s="9"/>
      <c r="J5175" s="9"/>
      <c r="K5175" s="9"/>
      <c r="L5175" s="9"/>
      <c r="M5175" s="9"/>
      <c r="N5175" s="9"/>
      <c r="O5175" s="9"/>
      <c r="P5175" s="9"/>
      <c r="Q5175" s="9"/>
      <c r="R5175" s="9"/>
      <c r="S5175" s="9"/>
      <c r="T5175" s="9"/>
      <c r="U5175" s="9"/>
      <c r="V5175" s="9"/>
      <c r="W5175" s="9"/>
      <c r="X5175" s="9"/>
      <c r="Y5175" s="9"/>
      <c r="Z5175" s="9"/>
      <c r="AA5175" s="9"/>
    </row>
    <row r="5176" spans="1:27">
      <c r="A5176" s="8"/>
      <c r="B5176" s="8"/>
      <c r="C5176" s="9"/>
      <c r="D5176" s="9"/>
      <c r="E5176" s="9"/>
      <c r="F5176" s="9"/>
      <c r="G5176" s="9"/>
      <c r="H5176" s="9"/>
      <c r="I5176" s="9"/>
      <c r="J5176" s="9"/>
      <c r="K5176" s="9"/>
      <c r="L5176" s="9"/>
      <c r="M5176" s="9"/>
      <c r="N5176" s="9"/>
      <c r="O5176" s="9"/>
      <c r="P5176" s="9"/>
      <c r="Q5176" s="9"/>
      <c r="R5176" s="9"/>
      <c r="S5176" s="9"/>
      <c r="T5176" s="9"/>
      <c r="U5176" s="9"/>
      <c r="V5176" s="9"/>
      <c r="W5176" s="9"/>
      <c r="X5176" s="9"/>
      <c r="Y5176" s="9"/>
      <c r="Z5176" s="9"/>
      <c r="AA5176" s="9"/>
    </row>
    <row r="5177" spans="1:27">
      <c r="A5177" s="8"/>
      <c r="B5177" s="8"/>
      <c r="C5177" s="9"/>
      <c r="D5177" s="9"/>
      <c r="E5177" s="9"/>
      <c r="F5177" s="9"/>
      <c r="G5177" s="9"/>
      <c r="H5177" s="9"/>
      <c r="I5177" s="9"/>
      <c r="J5177" s="9"/>
      <c r="K5177" s="9"/>
      <c r="L5177" s="9"/>
      <c r="M5177" s="9"/>
      <c r="N5177" s="9"/>
      <c r="O5177" s="9"/>
      <c r="P5177" s="9"/>
      <c r="Q5177" s="9"/>
      <c r="R5177" s="9"/>
      <c r="S5177" s="9"/>
      <c r="T5177" s="9"/>
      <c r="U5177" s="9"/>
      <c r="V5177" s="9"/>
      <c r="W5177" s="9"/>
      <c r="X5177" s="9"/>
      <c r="Y5177" s="9"/>
      <c r="Z5177" s="9"/>
      <c r="AA5177" s="9"/>
    </row>
    <row r="5178" spans="1:27">
      <c r="A5178" s="8"/>
      <c r="B5178" s="8"/>
      <c r="C5178" s="9"/>
      <c r="D5178" s="9"/>
      <c r="E5178" s="9"/>
      <c r="F5178" s="9"/>
      <c r="G5178" s="9"/>
      <c r="H5178" s="9"/>
      <c r="I5178" s="9"/>
      <c r="J5178" s="9"/>
      <c r="K5178" s="9"/>
      <c r="L5178" s="9"/>
      <c r="M5178" s="9"/>
      <c r="N5178" s="9"/>
      <c r="O5178" s="9"/>
      <c r="P5178" s="9"/>
      <c r="Q5178" s="9"/>
      <c r="R5178" s="9"/>
      <c r="S5178" s="9"/>
      <c r="T5178" s="9"/>
      <c r="U5178" s="9"/>
      <c r="V5178" s="9"/>
      <c r="W5178" s="9"/>
      <c r="X5178" s="9"/>
      <c r="Y5178" s="9"/>
      <c r="Z5178" s="9"/>
      <c r="AA5178" s="9"/>
    </row>
    <row r="5179" spans="1:27">
      <c r="A5179" s="8"/>
      <c r="B5179" s="8"/>
      <c r="C5179" s="9"/>
      <c r="D5179" s="9"/>
      <c r="E5179" s="9"/>
      <c r="F5179" s="9"/>
      <c r="G5179" s="9"/>
      <c r="H5179" s="9"/>
      <c r="I5179" s="9"/>
      <c r="J5179" s="9"/>
      <c r="K5179" s="9"/>
      <c r="L5179" s="9"/>
      <c r="M5179" s="9"/>
      <c r="N5179" s="9"/>
      <c r="O5179" s="9"/>
      <c r="P5179" s="9"/>
      <c r="Q5179" s="9"/>
      <c r="R5179" s="9"/>
      <c r="S5179" s="9"/>
      <c r="T5179" s="9"/>
      <c r="U5179" s="9"/>
      <c r="V5179" s="9"/>
      <c r="W5179" s="9"/>
      <c r="X5179" s="9"/>
      <c r="Y5179" s="9"/>
      <c r="Z5179" s="9"/>
      <c r="AA5179" s="9"/>
    </row>
    <row r="5180" spans="1:27">
      <c r="A5180" s="8"/>
      <c r="B5180" s="8"/>
      <c r="C5180" s="9"/>
      <c r="D5180" s="9"/>
      <c r="E5180" s="9"/>
      <c r="F5180" s="9"/>
      <c r="G5180" s="9"/>
      <c r="H5180" s="9"/>
      <c r="I5180" s="9"/>
      <c r="J5180" s="9"/>
      <c r="K5180" s="9"/>
      <c r="L5180" s="9"/>
      <c r="M5180" s="9"/>
      <c r="N5180" s="9"/>
      <c r="O5180" s="9"/>
      <c r="P5180" s="9"/>
      <c r="Q5180" s="9"/>
      <c r="R5180" s="9"/>
      <c r="S5180" s="9"/>
      <c r="T5180" s="9"/>
      <c r="U5180" s="9"/>
      <c r="V5180" s="9"/>
      <c r="W5180" s="9"/>
      <c r="X5180" s="9"/>
      <c r="Y5180" s="9"/>
      <c r="Z5180" s="9"/>
      <c r="AA5180" s="9"/>
    </row>
    <row r="5181" spans="1:27">
      <c r="A5181" s="8"/>
      <c r="B5181" s="8"/>
      <c r="C5181" s="9"/>
      <c r="D5181" s="9"/>
      <c r="E5181" s="9"/>
      <c r="F5181" s="9"/>
      <c r="G5181" s="9"/>
      <c r="H5181" s="9"/>
      <c r="I5181" s="9"/>
      <c r="J5181" s="9"/>
      <c r="K5181" s="9"/>
      <c r="L5181" s="9"/>
      <c r="M5181" s="9"/>
      <c r="N5181" s="9"/>
      <c r="O5181" s="9"/>
      <c r="P5181" s="9"/>
      <c r="Q5181" s="9"/>
      <c r="R5181" s="9"/>
      <c r="S5181" s="9"/>
      <c r="T5181" s="9"/>
      <c r="U5181" s="9"/>
      <c r="V5181" s="9"/>
      <c r="W5181" s="9"/>
      <c r="X5181" s="9"/>
      <c r="Y5181" s="9"/>
      <c r="Z5181" s="9"/>
      <c r="AA5181" s="9"/>
    </row>
    <row r="5182" spans="1:27">
      <c r="A5182" s="8"/>
      <c r="B5182" s="8"/>
      <c r="C5182" s="9"/>
      <c r="D5182" s="9"/>
      <c r="E5182" s="9"/>
      <c r="F5182" s="9"/>
      <c r="G5182" s="9"/>
      <c r="H5182" s="9"/>
      <c r="I5182" s="9"/>
      <c r="J5182" s="9"/>
      <c r="K5182" s="9"/>
      <c r="L5182" s="9"/>
      <c r="M5182" s="9"/>
      <c r="N5182" s="9"/>
      <c r="O5182" s="9"/>
      <c r="P5182" s="9"/>
      <c r="Q5182" s="9"/>
      <c r="R5182" s="9"/>
      <c r="S5182" s="9"/>
      <c r="T5182" s="9"/>
      <c r="U5182" s="9"/>
      <c r="V5182" s="9"/>
      <c r="W5182" s="9"/>
      <c r="X5182" s="9"/>
      <c r="Y5182" s="9"/>
      <c r="Z5182" s="9"/>
      <c r="AA5182" s="9"/>
    </row>
    <row r="5183" spans="1:27">
      <c r="A5183" s="8"/>
      <c r="B5183" s="8"/>
      <c r="C5183" s="9"/>
      <c r="D5183" s="9"/>
      <c r="E5183" s="9"/>
      <c r="F5183" s="9"/>
      <c r="G5183" s="9"/>
      <c r="H5183" s="9"/>
      <c r="I5183" s="9"/>
      <c r="J5183" s="9"/>
      <c r="K5183" s="9"/>
      <c r="L5183" s="9"/>
      <c r="M5183" s="9"/>
      <c r="N5183" s="9"/>
      <c r="O5183" s="9"/>
      <c r="P5183" s="9"/>
      <c r="Q5183" s="9"/>
      <c r="R5183" s="9"/>
      <c r="S5183" s="9"/>
      <c r="T5183" s="9"/>
      <c r="U5183" s="9"/>
      <c r="V5183" s="9"/>
      <c r="W5183" s="9"/>
      <c r="X5183" s="9"/>
      <c r="Y5183" s="9"/>
      <c r="Z5183" s="9"/>
      <c r="AA5183" s="9"/>
    </row>
    <row r="5184" spans="1:27">
      <c r="A5184" s="8"/>
      <c r="B5184" s="8"/>
      <c r="C5184" s="9"/>
      <c r="D5184" s="9"/>
      <c r="E5184" s="9"/>
      <c r="F5184" s="9"/>
      <c r="G5184" s="9"/>
      <c r="H5184" s="9"/>
      <c r="I5184" s="9"/>
      <c r="J5184" s="9"/>
      <c r="K5184" s="9"/>
      <c r="L5184" s="9"/>
      <c r="M5184" s="9"/>
      <c r="N5184" s="9"/>
      <c r="O5184" s="9"/>
      <c r="P5184" s="9"/>
      <c r="Q5184" s="9"/>
      <c r="R5184" s="9"/>
      <c r="S5184" s="9"/>
      <c r="T5184" s="9"/>
      <c r="U5184" s="9"/>
      <c r="V5184" s="9"/>
      <c r="W5184" s="9"/>
      <c r="X5184" s="9"/>
      <c r="Y5184" s="9"/>
      <c r="Z5184" s="9"/>
      <c r="AA5184" s="9"/>
    </row>
    <row r="5185" spans="1:27">
      <c r="A5185" s="8"/>
      <c r="B5185" s="8"/>
      <c r="C5185" s="9"/>
      <c r="D5185" s="9"/>
      <c r="E5185" s="9"/>
      <c r="F5185" s="9"/>
      <c r="G5185" s="9"/>
      <c r="H5185" s="9"/>
      <c r="I5185" s="9"/>
      <c r="J5185" s="9"/>
      <c r="K5185" s="9"/>
      <c r="L5185" s="9"/>
      <c r="M5185" s="9"/>
      <c r="N5185" s="9"/>
      <c r="O5185" s="9"/>
      <c r="P5185" s="9"/>
      <c r="Q5185" s="9"/>
      <c r="R5185" s="9"/>
      <c r="S5185" s="9"/>
      <c r="T5185" s="9"/>
      <c r="U5185" s="9"/>
      <c r="V5185" s="9"/>
      <c r="W5185" s="9"/>
      <c r="X5185" s="9"/>
      <c r="Y5185" s="9"/>
      <c r="Z5185" s="9"/>
      <c r="AA5185" s="9"/>
    </row>
    <row r="5186" spans="1:27">
      <c r="A5186" s="8"/>
      <c r="B5186" s="8"/>
      <c r="C5186" s="9"/>
      <c r="D5186" s="9"/>
      <c r="E5186" s="9"/>
      <c r="F5186" s="9"/>
      <c r="G5186" s="9"/>
      <c r="H5186" s="9"/>
      <c r="I5186" s="9"/>
      <c r="J5186" s="9"/>
      <c r="K5186" s="9"/>
      <c r="L5186" s="9"/>
      <c r="M5186" s="9"/>
      <c r="N5186" s="9"/>
      <c r="O5186" s="9"/>
      <c r="P5186" s="9"/>
      <c r="Q5186" s="9"/>
      <c r="R5186" s="9"/>
      <c r="S5186" s="9"/>
      <c r="T5186" s="9"/>
      <c r="U5186" s="9"/>
      <c r="V5186" s="9"/>
      <c r="W5186" s="9"/>
      <c r="X5186" s="9"/>
      <c r="Y5186" s="9"/>
      <c r="Z5186" s="9"/>
      <c r="AA5186" s="9"/>
    </row>
    <row r="5187" spans="1:27">
      <c r="A5187" s="8"/>
      <c r="B5187" s="8"/>
      <c r="C5187" s="9"/>
      <c r="D5187" s="9"/>
      <c r="E5187" s="9"/>
      <c r="F5187" s="9"/>
      <c r="G5187" s="9"/>
      <c r="H5187" s="9"/>
      <c r="I5187" s="9"/>
      <c r="J5187" s="9"/>
      <c r="K5187" s="9"/>
      <c r="L5187" s="9"/>
      <c r="M5187" s="9"/>
      <c r="N5187" s="9"/>
      <c r="O5187" s="9"/>
      <c r="P5187" s="9"/>
      <c r="Q5187" s="9"/>
      <c r="R5187" s="9"/>
      <c r="S5187" s="9"/>
      <c r="T5187" s="9"/>
      <c r="U5187" s="9"/>
      <c r="V5187" s="9"/>
      <c r="W5187" s="9"/>
      <c r="X5187" s="9"/>
      <c r="Y5187" s="9"/>
      <c r="Z5187" s="9"/>
      <c r="AA5187" s="9"/>
    </row>
    <row r="5188" spans="1:27">
      <c r="A5188" s="8"/>
      <c r="B5188" s="8"/>
      <c r="C5188" s="9"/>
      <c r="D5188" s="9"/>
      <c r="E5188" s="9"/>
      <c r="F5188" s="9"/>
      <c r="G5188" s="9"/>
      <c r="H5188" s="9"/>
      <c r="I5188" s="9"/>
      <c r="J5188" s="9"/>
      <c r="K5188" s="9"/>
      <c r="L5188" s="9"/>
      <c r="M5188" s="9"/>
      <c r="N5188" s="9"/>
      <c r="O5188" s="9"/>
      <c r="P5188" s="9"/>
      <c r="Q5188" s="9"/>
      <c r="R5188" s="9"/>
      <c r="S5188" s="9"/>
      <c r="T5188" s="9"/>
      <c r="U5188" s="9"/>
      <c r="V5188" s="9"/>
      <c r="W5188" s="9"/>
      <c r="X5188" s="9"/>
      <c r="Y5188" s="9"/>
      <c r="Z5188" s="9"/>
      <c r="AA5188" s="9"/>
    </row>
    <row r="5189" spans="1:27">
      <c r="A5189" s="8"/>
      <c r="B5189" s="8"/>
      <c r="C5189" s="9"/>
      <c r="D5189" s="9"/>
      <c r="E5189" s="9"/>
      <c r="F5189" s="9"/>
      <c r="G5189" s="9"/>
      <c r="H5189" s="9"/>
      <c r="I5189" s="9"/>
      <c r="J5189" s="9"/>
      <c r="K5189" s="9"/>
      <c r="L5189" s="9"/>
      <c r="M5189" s="9"/>
      <c r="N5189" s="9"/>
      <c r="O5189" s="9"/>
      <c r="P5189" s="9"/>
      <c r="Q5189" s="9"/>
      <c r="R5189" s="9"/>
      <c r="S5189" s="9"/>
      <c r="T5189" s="9"/>
      <c r="U5189" s="9"/>
      <c r="V5189" s="9"/>
      <c r="W5189" s="9"/>
      <c r="X5189" s="9"/>
      <c r="Y5189" s="9"/>
      <c r="Z5189" s="9"/>
      <c r="AA5189" s="9"/>
    </row>
    <row r="5190" spans="1:27">
      <c r="A5190" s="8"/>
      <c r="B5190" s="8"/>
      <c r="C5190" s="9"/>
      <c r="D5190" s="9"/>
      <c r="E5190" s="9"/>
      <c r="F5190" s="9"/>
      <c r="G5190" s="9"/>
      <c r="H5190" s="9"/>
      <c r="I5190" s="9"/>
      <c r="J5190" s="9"/>
      <c r="K5190" s="9"/>
      <c r="L5190" s="9"/>
      <c r="M5190" s="9"/>
      <c r="N5190" s="9"/>
      <c r="O5190" s="9"/>
      <c r="P5190" s="9"/>
      <c r="Q5190" s="9"/>
      <c r="R5190" s="9"/>
      <c r="S5190" s="9"/>
      <c r="T5190" s="9"/>
      <c r="U5190" s="9"/>
      <c r="V5190" s="9"/>
      <c r="W5190" s="9"/>
      <c r="X5190" s="9"/>
      <c r="Y5190" s="9"/>
      <c r="Z5190" s="9"/>
      <c r="AA5190" s="9"/>
    </row>
    <row r="5191" spans="1:27">
      <c r="A5191" s="8"/>
      <c r="B5191" s="8"/>
      <c r="C5191" s="9"/>
      <c r="D5191" s="9"/>
      <c r="E5191" s="9"/>
      <c r="F5191" s="9"/>
      <c r="G5191" s="9"/>
      <c r="H5191" s="9"/>
      <c r="I5191" s="9"/>
      <c r="J5191" s="9"/>
      <c r="K5191" s="9"/>
      <c r="L5191" s="9"/>
      <c r="M5191" s="9"/>
      <c r="N5191" s="9"/>
      <c r="O5191" s="9"/>
      <c r="P5191" s="9"/>
      <c r="Q5191" s="9"/>
      <c r="R5191" s="9"/>
      <c r="S5191" s="9"/>
      <c r="T5191" s="9"/>
      <c r="U5191" s="9"/>
      <c r="V5191" s="9"/>
      <c r="W5191" s="9"/>
      <c r="X5191" s="9"/>
      <c r="Y5191" s="9"/>
      <c r="Z5191" s="9"/>
      <c r="AA5191" s="9"/>
    </row>
    <row r="5192" spans="1:27">
      <c r="A5192" s="8"/>
      <c r="B5192" s="8"/>
      <c r="C5192" s="9"/>
      <c r="D5192" s="9"/>
      <c r="E5192" s="9"/>
      <c r="F5192" s="9"/>
      <c r="G5192" s="9"/>
      <c r="H5192" s="9"/>
      <c r="I5192" s="9"/>
      <c r="J5192" s="9"/>
      <c r="K5192" s="9"/>
      <c r="L5192" s="9"/>
      <c r="M5192" s="9"/>
      <c r="N5192" s="9"/>
      <c r="O5192" s="9"/>
      <c r="P5192" s="9"/>
      <c r="Q5192" s="9"/>
      <c r="R5192" s="9"/>
      <c r="S5192" s="9"/>
      <c r="T5192" s="9"/>
      <c r="U5192" s="9"/>
      <c r="V5192" s="9"/>
      <c r="W5192" s="9"/>
      <c r="X5192" s="9"/>
      <c r="Y5192" s="9"/>
      <c r="Z5192" s="9"/>
      <c r="AA5192" s="9"/>
    </row>
    <row r="5193" spans="1:27">
      <c r="A5193" s="8"/>
      <c r="B5193" s="8"/>
      <c r="C5193" s="9"/>
      <c r="D5193" s="9"/>
      <c r="E5193" s="9"/>
      <c r="F5193" s="9"/>
      <c r="G5193" s="9"/>
      <c r="H5193" s="9"/>
      <c r="I5193" s="9"/>
      <c r="J5193" s="9"/>
      <c r="K5193" s="9"/>
      <c r="L5193" s="9"/>
      <c r="M5193" s="9"/>
      <c r="N5193" s="9"/>
      <c r="O5193" s="9"/>
      <c r="P5193" s="9"/>
      <c r="Q5193" s="9"/>
      <c r="R5193" s="9"/>
      <c r="S5193" s="9"/>
      <c r="T5193" s="9"/>
      <c r="U5193" s="9"/>
      <c r="V5193" s="9"/>
      <c r="W5193" s="9"/>
      <c r="X5193" s="9"/>
      <c r="Y5193" s="9"/>
      <c r="Z5193" s="9"/>
      <c r="AA5193" s="9"/>
    </row>
    <row r="5194" spans="1:27">
      <c r="A5194" s="8"/>
      <c r="B5194" s="8"/>
      <c r="C5194" s="9"/>
      <c r="D5194" s="9"/>
      <c r="E5194" s="9"/>
      <c r="F5194" s="9"/>
      <c r="G5194" s="9"/>
      <c r="H5194" s="9"/>
      <c r="I5194" s="9"/>
      <c r="J5194" s="9"/>
      <c r="K5194" s="9"/>
      <c r="L5194" s="9"/>
      <c r="M5194" s="9"/>
      <c r="N5194" s="9"/>
      <c r="O5194" s="9"/>
      <c r="P5194" s="9"/>
      <c r="Q5194" s="9"/>
      <c r="R5194" s="9"/>
      <c r="S5194" s="9"/>
      <c r="T5194" s="9"/>
      <c r="U5194" s="9"/>
      <c r="V5194" s="9"/>
      <c r="W5194" s="9"/>
      <c r="X5194" s="9"/>
      <c r="Y5194" s="9"/>
      <c r="Z5194" s="9"/>
      <c r="AA5194" s="9"/>
    </row>
    <row r="5195" spans="1:27">
      <c r="A5195" s="8"/>
      <c r="B5195" s="8"/>
      <c r="C5195" s="9"/>
      <c r="D5195" s="9"/>
      <c r="E5195" s="9"/>
      <c r="F5195" s="9"/>
      <c r="G5195" s="9"/>
      <c r="H5195" s="9"/>
      <c r="I5195" s="9"/>
      <c r="J5195" s="9"/>
      <c r="K5195" s="9"/>
      <c r="L5195" s="9"/>
      <c r="M5195" s="9"/>
      <c r="N5195" s="9"/>
      <c r="O5195" s="9"/>
      <c r="P5195" s="9"/>
      <c r="Q5195" s="9"/>
      <c r="R5195" s="9"/>
      <c r="S5195" s="9"/>
      <c r="T5195" s="9"/>
      <c r="U5195" s="9"/>
      <c r="V5195" s="9"/>
      <c r="W5195" s="9"/>
      <c r="X5195" s="9"/>
      <c r="Y5195" s="9"/>
      <c r="Z5195" s="9"/>
      <c r="AA5195" s="9"/>
    </row>
    <row r="5196" spans="1:27">
      <c r="A5196" s="8"/>
      <c r="B5196" s="8"/>
      <c r="C5196" s="9"/>
      <c r="D5196" s="9"/>
      <c r="E5196" s="9"/>
      <c r="F5196" s="9"/>
      <c r="G5196" s="9"/>
      <c r="H5196" s="9"/>
      <c r="I5196" s="9"/>
      <c r="J5196" s="9"/>
      <c r="K5196" s="9"/>
      <c r="L5196" s="9"/>
      <c r="M5196" s="9"/>
      <c r="N5196" s="9"/>
      <c r="O5196" s="9"/>
      <c r="P5196" s="9"/>
      <c r="Q5196" s="9"/>
      <c r="R5196" s="9"/>
      <c r="S5196" s="9"/>
      <c r="T5196" s="9"/>
      <c r="U5196" s="9"/>
      <c r="V5196" s="9"/>
      <c r="W5196" s="9"/>
      <c r="X5196" s="9"/>
      <c r="Y5196" s="9"/>
      <c r="Z5196" s="9"/>
      <c r="AA5196" s="9"/>
    </row>
    <row r="5197" spans="1:27">
      <c r="A5197" s="8"/>
      <c r="B5197" s="8"/>
      <c r="C5197" s="9"/>
      <c r="D5197" s="9"/>
      <c r="E5197" s="9"/>
      <c r="F5197" s="9"/>
      <c r="G5197" s="9"/>
      <c r="H5197" s="9"/>
      <c r="I5197" s="9"/>
      <c r="J5197" s="9"/>
      <c r="K5197" s="9"/>
      <c r="L5197" s="9"/>
      <c r="M5197" s="9"/>
      <c r="N5197" s="9"/>
      <c r="O5197" s="9"/>
      <c r="P5197" s="9"/>
      <c r="Q5197" s="9"/>
      <c r="R5197" s="9"/>
      <c r="S5197" s="9"/>
      <c r="T5197" s="9"/>
      <c r="U5197" s="9"/>
      <c r="V5197" s="9"/>
      <c r="W5197" s="9"/>
      <c r="X5197" s="9"/>
      <c r="Y5197" s="9"/>
      <c r="Z5197" s="9"/>
      <c r="AA5197" s="9"/>
    </row>
    <row r="5198" spans="1:27">
      <c r="A5198" s="8"/>
      <c r="B5198" s="8"/>
      <c r="C5198" s="9"/>
      <c r="D5198" s="9"/>
      <c r="E5198" s="9"/>
      <c r="F5198" s="9"/>
      <c r="G5198" s="9"/>
      <c r="H5198" s="9"/>
      <c r="I5198" s="9"/>
      <c r="J5198" s="9"/>
      <c r="K5198" s="9"/>
      <c r="L5198" s="9"/>
      <c r="M5198" s="9"/>
      <c r="N5198" s="9"/>
      <c r="O5198" s="9"/>
      <c r="P5198" s="9"/>
      <c r="Q5198" s="9"/>
      <c r="R5198" s="9"/>
      <c r="S5198" s="9"/>
      <c r="T5198" s="9"/>
      <c r="U5198" s="9"/>
      <c r="V5198" s="9"/>
      <c r="W5198" s="9"/>
      <c r="X5198" s="9"/>
      <c r="Y5198" s="9"/>
      <c r="Z5198" s="9"/>
      <c r="AA5198" s="9"/>
    </row>
    <row r="5199" spans="1:27">
      <c r="A5199" s="8"/>
      <c r="B5199" s="8"/>
      <c r="C5199" s="9"/>
      <c r="D5199" s="9"/>
      <c r="E5199" s="9"/>
      <c r="F5199" s="9"/>
      <c r="G5199" s="9"/>
      <c r="H5199" s="9"/>
      <c r="I5199" s="9"/>
      <c r="J5199" s="9"/>
      <c r="K5199" s="9"/>
      <c r="L5199" s="9"/>
      <c r="M5199" s="9"/>
      <c r="N5199" s="9"/>
      <c r="O5199" s="9"/>
      <c r="P5199" s="9"/>
      <c r="Q5199" s="9"/>
      <c r="R5199" s="9"/>
      <c r="S5199" s="9"/>
      <c r="T5199" s="9"/>
      <c r="U5199" s="9"/>
      <c r="V5199" s="9"/>
      <c r="W5199" s="9"/>
      <c r="X5199" s="9"/>
      <c r="Y5199" s="9"/>
      <c r="Z5199" s="9"/>
      <c r="AA5199" s="9"/>
    </row>
    <row r="5200" spans="1:27">
      <c r="A5200" s="8"/>
      <c r="B5200" s="8"/>
      <c r="C5200" s="9"/>
      <c r="D5200" s="9"/>
      <c r="E5200" s="9"/>
      <c r="F5200" s="9"/>
      <c r="G5200" s="9"/>
      <c r="H5200" s="9"/>
      <c r="I5200" s="9"/>
      <c r="J5200" s="9"/>
      <c r="K5200" s="9"/>
      <c r="L5200" s="9"/>
      <c r="M5200" s="9"/>
      <c r="N5200" s="9"/>
      <c r="O5200" s="9"/>
      <c r="P5200" s="9"/>
      <c r="Q5200" s="9"/>
      <c r="R5200" s="9"/>
      <c r="S5200" s="9"/>
      <c r="T5200" s="9"/>
      <c r="U5200" s="9"/>
      <c r="V5200" s="9"/>
      <c r="W5200" s="9"/>
      <c r="X5200" s="9"/>
      <c r="Y5200" s="9"/>
      <c r="Z5200" s="9"/>
      <c r="AA5200" s="9"/>
    </row>
    <row r="5201" spans="1:27">
      <c r="A5201" s="8"/>
      <c r="B5201" s="8"/>
      <c r="C5201" s="9"/>
      <c r="D5201" s="9"/>
      <c r="E5201" s="9"/>
      <c r="F5201" s="9"/>
      <c r="G5201" s="9"/>
      <c r="H5201" s="9"/>
      <c r="I5201" s="9"/>
      <c r="J5201" s="9"/>
      <c r="K5201" s="9"/>
      <c r="L5201" s="9"/>
      <c r="M5201" s="9"/>
      <c r="N5201" s="9"/>
      <c r="O5201" s="9"/>
      <c r="P5201" s="9"/>
      <c r="Q5201" s="9"/>
      <c r="R5201" s="9"/>
      <c r="S5201" s="9"/>
      <c r="T5201" s="9"/>
      <c r="U5201" s="9"/>
      <c r="V5201" s="9"/>
      <c r="W5201" s="9"/>
      <c r="X5201" s="9"/>
      <c r="Y5201" s="9"/>
      <c r="Z5201" s="9"/>
      <c r="AA5201" s="9"/>
    </row>
    <row r="5202" spans="1:27">
      <c r="A5202" s="8"/>
      <c r="B5202" s="8"/>
      <c r="C5202" s="9"/>
      <c r="D5202" s="9"/>
      <c r="E5202" s="9"/>
      <c r="F5202" s="9"/>
      <c r="G5202" s="9"/>
      <c r="H5202" s="9"/>
      <c r="I5202" s="9"/>
      <c r="J5202" s="9"/>
      <c r="K5202" s="9"/>
      <c r="L5202" s="9"/>
      <c r="M5202" s="9"/>
      <c r="N5202" s="9"/>
      <c r="O5202" s="9"/>
      <c r="P5202" s="9"/>
      <c r="Q5202" s="9"/>
      <c r="R5202" s="9"/>
      <c r="S5202" s="9"/>
      <c r="T5202" s="9"/>
      <c r="U5202" s="9"/>
      <c r="V5202" s="9"/>
      <c r="W5202" s="9"/>
      <c r="X5202" s="9"/>
      <c r="Y5202" s="9"/>
      <c r="Z5202" s="9"/>
      <c r="AA5202" s="9"/>
    </row>
    <row r="5203" spans="1:27">
      <c r="A5203" s="8"/>
      <c r="B5203" s="8"/>
      <c r="C5203" s="9"/>
      <c r="D5203" s="9"/>
      <c r="E5203" s="9"/>
      <c r="F5203" s="9"/>
      <c r="G5203" s="9"/>
      <c r="H5203" s="9"/>
      <c r="I5203" s="9"/>
      <c r="J5203" s="9"/>
      <c r="K5203" s="9"/>
      <c r="L5203" s="9"/>
      <c r="M5203" s="9"/>
      <c r="N5203" s="9"/>
      <c r="O5203" s="9"/>
      <c r="P5203" s="9"/>
      <c r="Q5203" s="9"/>
      <c r="R5203" s="9"/>
      <c r="S5203" s="9"/>
      <c r="T5203" s="9"/>
      <c r="U5203" s="9"/>
      <c r="V5203" s="9"/>
      <c r="W5203" s="9"/>
      <c r="X5203" s="9"/>
      <c r="Y5203" s="9"/>
      <c r="Z5203" s="9"/>
      <c r="AA5203" s="9"/>
    </row>
    <row r="5204" spans="1:27">
      <c r="A5204" s="8"/>
      <c r="B5204" s="8"/>
      <c r="C5204" s="9"/>
      <c r="D5204" s="9"/>
      <c r="E5204" s="9"/>
      <c r="F5204" s="9"/>
      <c r="G5204" s="9"/>
      <c r="H5204" s="9"/>
      <c r="I5204" s="9"/>
      <c r="J5204" s="9"/>
      <c r="K5204" s="9"/>
      <c r="L5204" s="9"/>
      <c r="M5204" s="9"/>
      <c r="N5204" s="9"/>
      <c r="O5204" s="9"/>
      <c r="P5204" s="9"/>
      <c r="Q5204" s="9"/>
      <c r="R5204" s="9"/>
      <c r="S5204" s="9"/>
      <c r="T5204" s="9"/>
      <c r="U5204" s="9"/>
      <c r="V5204" s="9"/>
      <c r="W5204" s="9"/>
      <c r="X5204" s="9"/>
      <c r="Y5204" s="9"/>
      <c r="Z5204" s="9"/>
      <c r="AA5204" s="9"/>
    </row>
    <row r="5205" spans="1:27">
      <c r="A5205" s="8"/>
      <c r="B5205" s="8"/>
      <c r="C5205" s="9"/>
      <c r="D5205" s="9"/>
      <c r="E5205" s="9"/>
      <c r="F5205" s="9"/>
      <c r="G5205" s="9"/>
      <c r="H5205" s="9"/>
      <c r="I5205" s="9"/>
      <c r="J5205" s="9"/>
      <c r="K5205" s="9"/>
      <c r="L5205" s="9"/>
      <c r="M5205" s="9"/>
      <c r="N5205" s="9"/>
      <c r="O5205" s="9"/>
      <c r="P5205" s="9"/>
      <c r="Q5205" s="9"/>
      <c r="R5205" s="9"/>
      <c r="S5205" s="9"/>
      <c r="T5205" s="9"/>
      <c r="U5205" s="9"/>
      <c r="V5205" s="9"/>
      <c r="W5205" s="9"/>
      <c r="X5205" s="9"/>
      <c r="Y5205" s="9"/>
      <c r="Z5205" s="9"/>
      <c r="AA5205" s="9"/>
    </row>
    <row r="5206" spans="1:27">
      <c r="A5206" s="8"/>
      <c r="B5206" s="8"/>
      <c r="C5206" s="9"/>
      <c r="D5206" s="9"/>
      <c r="E5206" s="9"/>
      <c r="F5206" s="9"/>
      <c r="G5206" s="9"/>
      <c r="H5206" s="9"/>
      <c r="I5206" s="9"/>
      <c r="J5206" s="9"/>
      <c r="K5206" s="9"/>
      <c r="L5206" s="9"/>
      <c r="M5206" s="9"/>
      <c r="N5206" s="9"/>
      <c r="O5206" s="9"/>
      <c r="P5206" s="9"/>
      <c r="Q5206" s="9"/>
      <c r="R5206" s="9"/>
      <c r="S5206" s="9"/>
      <c r="T5206" s="9"/>
      <c r="U5206" s="9"/>
      <c r="V5206" s="9"/>
      <c r="W5206" s="9"/>
      <c r="X5206" s="9"/>
      <c r="Y5206" s="9"/>
      <c r="Z5206" s="9"/>
      <c r="AA5206" s="9"/>
    </row>
    <row r="5207" spans="1:27">
      <c r="A5207" s="8"/>
      <c r="B5207" s="8"/>
      <c r="C5207" s="9"/>
      <c r="D5207" s="9"/>
      <c r="E5207" s="9"/>
      <c r="F5207" s="9"/>
      <c r="G5207" s="9"/>
      <c r="H5207" s="9"/>
      <c r="I5207" s="9"/>
      <c r="J5207" s="9"/>
      <c r="K5207" s="9"/>
      <c r="L5207" s="9"/>
      <c r="M5207" s="9"/>
      <c r="N5207" s="9"/>
      <c r="O5207" s="9"/>
      <c r="P5207" s="9"/>
      <c r="Q5207" s="9"/>
      <c r="R5207" s="9"/>
      <c r="S5207" s="9"/>
      <c r="T5207" s="9"/>
      <c r="U5207" s="9"/>
      <c r="V5207" s="9"/>
      <c r="W5207" s="9"/>
      <c r="X5207" s="9"/>
      <c r="Y5207" s="9"/>
      <c r="Z5207" s="9"/>
      <c r="AA5207" s="9"/>
    </row>
  </sheetData>
  <autoFilter ref="A4:X4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59999389629810485"/>
  </sheetPr>
  <dimension ref="A1:H68"/>
  <sheetViews>
    <sheetView workbookViewId="0">
      <pane ySplit="3" topLeftCell="A33" activePane="bottomLeft" state="frozen"/>
      <selection pane="bottomLeft" activeCell="G4" sqref="G4:H68"/>
    </sheetView>
  </sheetViews>
  <sheetFormatPr defaultColWidth="9.125" defaultRowHeight="12.9"/>
  <cols>
    <col min="1" max="1" width="9.125" style="30"/>
    <col min="2" max="2" width="27.75" style="30" customWidth="1"/>
    <col min="3" max="3" width="9.125" style="30"/>
    <col min="4" max="4" width="13.875" style="30" customWidth="1"/>
    <col min="5" max="5" width="34" style="30" customWidth="1"/>
    <col min="6" max="6" width="17.125" style="30" customWidth="1"/>
    <col min="7" max="7" width="9.25" style="30" customWidth="1"/>
    <col min="8" max="8" width="16.375" style="30" customWidth="1"/>
    <col min="9" max="16384" width="9.125" style="30"/>
  </cols>
  <sheetData>
    <row r="1" spans="1:8">
      <c r="A1" s="157" t="s">
        <v>2490</v>
      </c>
      <c r="B1" s="163"/>
      <c r="C1" s="163"/>
      <c r="D1" s="163"/>
      <c r="E1" s="163"/>
      <c r="F1" s="163"/>
      <c r="G1" s="163"/>
      <c r="H1" s="163"/>
    </row>
    <row r="2" spans="1:8" ht="14.3">
      <c r="A2" s="161" t="s">
        <v>2472</v>
      </c>
      <c r="B2" s="161"/>
      <c r="C2" s="160"/>
      <c r="D2" s="161" t="s">
        <v>2472</v>
      </c>
      <c r="E2" s="161"/>
      <c r="F2" s="160"/>
      <c r="G2" s="161" t="s">
        <v>2472</v>
      </c>
      <c r="H2" s="153"/>
    </row>
    <row r="3" spans="1:8">
      <c r="A3" s="161" t="s">
        <v>2492</v>
      </c>
      <c r="B3" s="164">
        <v>65</v>
      </c>
      <c r="C3" s="158"/>
      <c r="D3" s="161" t="s">
        <v>2493</v>
      </c>
      <c r="E3" s="164">
        <v>8</v>
      </c>
      <c r="F3" s="158"/>
      <c r="G3" s="161" t="s">
        <v>2494</v>
      </c>
      <c r="H3" s="161" t="s">
        <v>2718</v>
      </c>
    </row>
    <row r="4" spans="1:8" ht="14.3">
      <c r="A4" s="162" t="s">
        <v>939</v>
      </c>
      <c r="B4" s="162" t="s">
        <v>2418</v>
      </c>
      <c r="C4" s="144"/>
      <c r="D4" s="162" t="s">
        <v>27</v>
      </c>
      <c r="E4" s="159" t="s">
        <v>27</v>
      </c>
      <c r="F4" s="165"/>
      <c r="G4" s="156" t="s">
        <v>80</v>
      </c>
      <c r="H4" s="156" t="s">
        <v>181</v>
      </c>
    </row>
    <row r="5" spans="1:8" ht="14.3">
      <c r="A5" s="162" t="s">
        <v>940</v>
      </c>
      <c r="B5" s="162" t="s">
        <v>2419</v>
      </c>
      <c r="C5" s="144"/>
      <c r="D5" s="162" t="s">
        <v>1003</v>
      </c>
      <c r="E5" s="159" t="s">
        <v>2326</v>
      </c>
      <c r="F5" s="165"/>
      <c r="G5" s="156" t="s">
        <v>81</v>
      </c>
      <c r="H5" s="156" t="s">
        <v>182</v>
      </c>
    </row>
    <row r="6" spans="1:8" ht="14.3">
      <c r="A6" s="162" t="s">
        <v>941</v>
      </c>
      <c r="B6" s="162" t="s">
        <v>2420</v>
      </c>
      <c r="C6" s="144"/>
      <c r="D6" s="162" t="s">
        <v>1004</v>
      </c>
      <c r="E6" s="159" t="s">
        <v>2327</v>
      </c>
      <c r="F6" s="165"/>
      <c r="G6" s="156" t="s">
        <v>82</v>
      </c>
      <c r="H6" s="156" t="s">
        <v>183</v>
      </c>
    </row>
    <row r="7" spans="1:8" ht="14.3">
      <c r="A7" s="162" t="s">
        <v>942</v>
      </c>
      <c r="B7" s="162" t="s">
        <v>2554</v>
      </c>
      <c r="C7" s="144"/>
      <c r="D7" s="162" t="s">
        <v>1005</v>
      </c>
      <c r="E7" s="159" t="s">
        <v>2328</v>
      </c>
      <c r="F7" s="165"/>
      <c r="G7" s="156" t="s">
        <v>83</v>
      </c>
      <c r="H7" s="156" t="s">
        <v>184</v>
      </c>
    </row>
    <row r="8" spans="1:8" ht="14.3">
      <c r="A8" s="162" t="s">
        <v>943</v>
      </c>
      <c r="B8" s="162" t="s">
        <v>2421</v>
      </c>
      <c r="C8" s="144"/>
      <c r="D8" s="162" t="s">
        <v>1006</v>
      </c>
      <c r="E8" s="159" t="s">
        <v>2329</v>
      </c>
      <c r="F8" s="165"/>
      <c r="G8" s="156" t="s">
        <v>84</v>
      </c>
      <c r="H8" s="156" t="s">
        <v>185</v>
      </c>
    </row>
    <row r="9" spans="1:8" ht="14.3">
      <c r="A9" s="162" t="s">
        <v>944</v>
      </c>
      <c r="B9" s="162" t="s">
        <v>2555</v>
      </c>
      <c r="C9" s="144"/>
      <c r="D9" s="162" t="s">
        <v>1007</v>
      </c>
      <c r="E9" s="159" t="s">
        <v>2330</v>
      </c>
      <c r="F9" s="165"/>
      <c r="G9" s="156" t="s">
        <v>85</v>
      </c>
      <c r="H9" s="156" t="s">
        <v>186</v>
      </c>
    </row>
    <row r="10" spans="1:8" ht="14.3">
      <c r="A10" s="162" t="s">
        <v>945</v>
      </c>
      <c r="B10" s="162" t="s">
        <v>2422</v>
      </c>
      <c r="C10" s="144"/>
      <c r="D10" s="162" t="s">
        <v>1008</v>
      </c>
      <c r="E10" s="159" t="s">
        <v>2331</v>
      </c>
      <c r="F10" s="165"/>
      <c r="G10" s="156" t="s">
        <v>86</v>
      </c>
      <c r="H10" s="156" t="s">
        <v>187</v>
      </c>
    </row>
    <row r="11" spans="1:8" ht="14.3">
      <c r="A11" s="162" t="s">
        <v>946</v>
      </c>
      <c r="B11" s="162" t="s">
        <v>2423</v>
      </c>
      <c r="C11" s="144"/>
      <c r="D11" s="162" t="s">
        <v>1009</v>
      </c>
      <c r="E11" s="159" t="s">
        <v>2332</v>
      </c>
      <c r="F11" s="165"/>
      <c r="G11" s="156" t="s">
        <v>2230</v>
      </c>
      <c r="H11" s="156" t="s">
        <v>2233</v>
      </c>
    </row>
    <row r="12" spans="1:8" ht="14.3">
      <c r="A12" s="162" t="s">
        <v>947</v>
      </c>
      <c r="B12" s="162" t="s">
        <v>2556</v>
      </c>
      <c r="C12" s="165"/>
      <c r="D12" s="153"/>
      <c r="E12" s="153"/>
      <c r="F12" s="165"/>
      <c r="G12" s="156" t="s">
        <v>233</v>
      </c>
      <c r="H12" s="156" t="s">
        <v>188</v>
      </c>
    </row>
    <row r="13" spans="1:8" ht="14.3">
      <c r="A13" s="162" t="s">
        <v>948</v>
      </c>
      <c r="B13" s="162" t="s">
        <v>2424</v>
      </c>
      <c r="C13" s="165"/>
      <c r="D13" s="153"/>
      <c r="E13" s="153"/>
      <c r="F13" s="165"/>
      <c r="G13" s="156" t="s">
        <v>87</v>
      </c>
      <c r="H13" s="156" t="s">
        <v>189</v>
      </c>
    </row>
    <row r="14" spans="1:8" ht="14.3">
      <c r="A14" s="162" t="s">
        <v>949</v>
      </c>
      <c r="B14" s="162" t="s">
        <v>2425</v>
      </c>
      <c r="C14" s="165"/>
      <c r="D14" s="153"/>
      <c r="E14" s="153"/>
      <c r="F14" s="165"/>
      <c r="G14" s="156" t="s">
        <v>88</v>
      </c>
      <c r="H14" s="156" t="s">
        <v>190</v>
      </c>
    </row>
    <row r="15" spans="1:8" ht="14.3">
      <c r="A15" s="162" t="s">
        <v>950</v>
      </c>
      <c r="B15" s="162" t="s">
        <v>2557</v>
      </c>
      <c r="C15" s="165"/>
      <c r="D15" s="153"/>
      <c r="E15" s="153"/>
      <c r="F15" s="165"/>
      <c r="G15" s="156" t="s">
        <v>89</v>
      </c>
      <c r="H15" s="156" t="s">
        <v>191</v>
      </c>
    </row>
    <row r="16" spans="1:8" ht="14.3">
      <c r="A16" s="162" t="s">
        <v>951</v>
      </c>
      <c r="B16" s="162" t="s">
        <v>2426</v>
      </c>
      <c r="C16" s="165"/>
      <c r="D16" s="153"/>
      <c r="E16" s="153"/>
      <c r="F16" s="165"/>
      <c r="G16" s="156" t="s">
        <v>90</v>
      </c>
      <c r="H16" s="156" t="s">
        <v>192</v>
      </c>
    </row>
    <row r="17" spans="1:8" ht="14.3">
      <c r="A17" s="162" t="s">
        <v>952</v>
      </c>
      <c r="B17" s="162" t="s">
        <v>2427</v>
      </c>
      <c r="C17" s="165"/>
      <c r="D17" s="153"/>
      <c r="E17" s="153"/>
      <c r="F17" s="165"/>
      <c r="G17" s="156" t="s">
        <v>91</v>
      </c>
      <c r="H17" s="156" t="s">
        <v>193</v>
      </c>
    </row>
    <row r="18" spans="1:8" ht="14.3">
      <c r="A18" s="162" t="s">
        <v>953</v>
      </c>
      <c r="B18" s="162" t="s">
        <v>2428</v>
      </c>
      <c r="C18" s="165"/>
      <c r="D18" s="153"/>
      <c r="E18" s="153"/>
      <c r="F18" s="165"/>
      <c r="G18" s="156" t="s">
        <v>92</v>
      </c>
      <c r="H18" s="156" t="s">
        <v>242</v>
      </c>
    </row>
    <row r="19" spans="1:8" ht="14.3">
      <c r="A19" s="162" t="s">
        <v>954</v>
      </c>
      <c r="B19" s="162" t="s">
        <v>2429</v>
      </c>
      <c r="C19" s="165"/>
      <c r="D19" s="153"/>
      <c r="E19" s="153"/>
      <c r="F19" s="165"/>
      <c r="G19" s="156" t="s">
        <v>93</v>
      </c>
      <c r="H19" s="156" t="s">
        <v>194</v>
      </c>
    </row>
    <row r="20" spans="1:8" ht="14.3">
      <c r="A20" s="162" t="s">
        <v>955</v>
      </c>
      <c r="B20" s="162" t="s">
        <v>2430</v>
      </c>
      <c r="C20" s="165"/>
      <c r="D20" s="153"/>
      <c r="E20" s="153"/>
      <c r="F20" s="165"/>
      <c r="G20" s="156" t="s">
        <v>94</v>
      </c>
      <c r="H20" s="156" t="s">
        <v>195</v>
      </c>
    </row>
    <row r="21" spans="1:8" ht="14.3">
      <c r="A21" s="162" t="s">
        <v>2563</v>
      </c>
      <c r="B21" s="162" t="s">
        <v>2559</v>
      </c>
      <c r="C21" s="165"/>
      <c r="D21" s="153"/>
      <c r="E21" s="153"/>
      <c r="F21" s="165"/>
      <c r="G21" s="156" t="s">
        <v>25</v>
      </c>
      <c r="H21" s="156" t="s">
        <v>196</v>
      </c>
    </row>
    <row r="22" spans="1:8" ht="14.3">
      <c r="A22" s="162" t="s">
        <v>956</v>
      </c>
      <c r="B22" s="162" t="s">
        <v>2564</v>
      </c>
      <c r="C22" s="165"/>
      <c r="D22" s="153"/>
      <c r="E22" s="153"/>
      <c r="F22" s="165"/>
      <c r="G22" s="156" t="s">
        <v>95</v>
      </c>
      <c r="H22" s="156" t="s">
        <v>197</v>
      </c>
    </row>
    <row r="23" spans="1:8" ht="14.3">
      <c r="A23" s="162" t="s">
        <v>957</v>
      </c>
      <c r="B23" s="162" t="s">
        <v>2565</v>
      </c>
      <c r="C23" s="165"/>
      <c r="D23" s="153"/>
      <c r="E23" s="153"/>
      <c r="F23" s="165"/>
      <c r="G23" s="156" t="s">
        <v>96</v>
      </c>
      <c r="H23" s="156" t="s">
        <v>198</v>
      </c>
    </row>
    <row r="24" spans="1:8" ht="14.3">
      <c r="A24" s="162" t="s">
        <v>958</v>
      </c>
      <c r="B24" s="162" t="s">
        <v>2431</v>
      </c>
      <c r="C24" s="165"/>
      <c r="D24" s="153"/>
      <c r="E24" s="153"/>
      <c r="F24" s="165"/>
      <c r="G24" s="156" t="s">
        <v>97</v>
      </c>
      <c r="H24" s="156" t="s">
        <v>199</v>
      </c>
    </row>
    <row r="25" spans="1:8" ht="14.3">
      <c r="A25" s="162" t="s">
        <v>959</v>
      </c>
      <c r="B25" s="162" t="s">
        <v>2432</v>
      </c>
      <c r="C25" s="165"/>
      <c r="D25" s="153"/>
      <c r="E25" s="153"/>
      <c r="F25" s="165"/>
      <c r="G25" s="156" t="s">
        <v>98</v>
      </c>
      <c r="H25" s="156" t="s">
        <v>200</v>
      </c>
    </row>
    <row r="26" spans="1:8" ht="14.3">
      <c r="A26" s="162" t="s">
        <v>960</v>
      </c>
      <c r="B26" s="162" t="s">
        <v>2433</v>
      </c>
      <c r="C26" s="165"/>
      <c r="D26" s="153"/>
      <c r="E26" s="153"/>
      <c r="F26" s="165"/>
      <c r="G26" s="156" t="s">
        <v>1825</v>
      </c>
      <c r="H26" s="156" t="s">
        <v>2166</v>
      </c>
    </row>
    <row r="27" spans="1:8" ht="14.3">
      <c r="A27" s="162" t="s">
        <v>961</v>
      </c>
      <c r="B27" s="162" t="s">
        <v>2434</v>
      </c>
      <c r="C27" s="165"/>
      <c r="D27" s="153"/>
      <c r="E27" s="153"/>
      <c r="F27" s="165"/>
      <c r="G27" s="156" t="s">
        <v>2566</v>
      </c>
      <c r="H27" s="156" t="s">
        <v>2553</v>
      </c>
    </row>
    <row r="28" spans="1:8" ht="14.3">
      <c r="A28" s="162" t="s">
        <v>962</v>
      </c>
      <c r="B28" s="162" t="s">
        <v>2435</v>
      </c>
      <c r="C28" s="165"/>
      <c r="D28" s="153"/>
      <c r="E28" s="153"/>
      <c r="F28" s="165"/>
      <c r="G28" s="156" t="s">
        <v>1826</v>
      </c>
      <c r="H28" s="156" t="s">
        <v>2167</v>
      </c>
    </row>
    <row r="29" spans="1:8" ht="14.3">
      <c r="A29" s="162" t="s">
        <v>963</v>
      </c>
      <c r="B29" s="162" t="s">
        <v>2436</v>
      </c>
      <c r="C29" s="165"/>
      <c r="D29" s="153"/>
      <c r="E29" s="153"/>
      <c r="F29" s="165"/>
      <c r="G29" s="156" t="s">
        <v>99</v>
      </c>
      <c r="H29" s="156" t="s">
        <v>201</v>
      </c>
    </row>
    <row r="30" spans="1:8" ht="14.3">
      <c r="A30" s="162" t="s">
        <v>964</v>
      </c>
      <c r="B30" s="162" t="s">
        <v>2437</v>
      </c>
      <c r="C30" s="165"/>
      <c r="D30" s="153"/>
      <c r="E30" s="153"/>
      <c r="F30" s="165"/>
      <c r="G30" s="156" t="s">
        <v>112</v>
      </c>
      <c r="H30" s="156" t="s">
        <v>202</v>
      </c>
    </row>
    <row r="31" spans="1:8" ht="14.3">
      <c r="A31" s="162" t="s">
        <v>965</v>
      </c>
      <c r="B31" s="162" t="s">
        <v>2438</v>
      </c>
      <c r="C31" s="165"/>
      <c r="D31" s="153"/>
      <c r="E31" s="153"/>
      <c r="F31" s="165"/>
      <c r="G31" s="156" t="s">
        <v>115</v>
      </c>
      <c r="H31" s="156" t="s">
        <v>203</v>
      </c>
    </row>
    <row r="32" spans="1:8" ht="14.3">
      <c r="A32" s="162" t="s">
        <v>966</v>
      </c>
      <c r="B32" s="162" t="s">
        <v>2439</v>
      </c>
      <c r="C32" s="165"/>
      <c r="D32" s="153"/>
      <c r="E32" s="153"/>
      <c r="F32" s="165"/>
      <c r="G32" s="156" t="s">
        <v>120</v>
      </c>
      <c r="H32" s="156" t="s">
        <v>204</v>
      </c>
    </row>
    <row r="33" spans="1:8" ht="14.3">
      <c r="A33" s="162" t="s">
        <v>967</v>
      </c>
      <c r="B33" s="162" t="s">
        <v>2440</v>
      </c>
      <c r="C33" s="165"/>
      <c r="D33" s="153"/>
      <c r="E33" s="153"/>
      <c r="F33" s="165"/>
      <c r="G33" s="156" t="s">
        <v>100</v>
      </c>
      <c r="H33" s="156" t="s">
        <v>205</v>
      </c>
    </row>
    <row r="34" spans="1:8" ht="14.3">
      <c r="A34" s="162" t="s">
        <v>968</v>
      </c>
      <c r="B34" s="162" t="s">
        <v>2568</v>
      </c>
      <c r="C34" s="165"/>
      <c r="D34" s="153"/>
      <c r="E34" s="153"/>
      <c r="F34" s="165"/>
      <c r="G34" s="156" t="s">
        <v>123</v>
      </c>
      <c r="H34" s="156" t="s">
        <v>206</v>
      </c>
    </row>
    <row r="35" spans="1:8" ht="14.3">
      <c r="A35" s="162" t="s">
        <v>2231</v>
      </c>
      <c r="B35" s="162" t="s">
        <v>2441</v>
      </c>
      <c r="C35" s="165"/>
      <c r="D35" s="153"/>
      <c r="E35" s="153"/>
      <c r="F35" s="165"/>
      <c r="G35" s="156" t="s">
        <v>101</v>
      </c>
      <c r="H35" s="156" t="s">
        <v>207</v>
      </c>
    </row>
    <row r="36" spans="1:8" ht="14.3">
      <c r="A36" s="162" t="s">
        <v>2574</v>
      </c>
      <c r="B36" s="162" t="s">
        <v>2570</v>
      </c>
      <c r="C36" s="165"/>
      <c r="D36" s="153"/>
      <c r="E36" s="153"/>
      <c r="F36" s="165"/>
      <c r="G36" s="156" t="s">
        <v>102</v>
      </c>
      <c r="H36" s="156" t="s">
        <v>208</v>
      </c>
    </row>
    <row r="37" spans="1:8" ht="14.3">
      <c r="A37" s="162" t="s">
        <v>2580</v>
      </c>
      <c r="B37" s="162" t="s">
        <v>2576</v>
      </c>
      <c r="C37" s="165"/>
      <c r="D37" s="153"/>
      <c r="E37" s="153"/>
      <c r="F37" s="165"/>
      <c r="G37" s="156" t="s">
        <v>103</v>
      </c>
      <c r="H37" s="156" t="s">
        <v>209</v>
      </c>
    </row>
    <row r="38" spans="1:8" ht="14.3">
      <c r="A38" s="162" t="s">
        <v>2586</v>
      </c>
      <c r="B38" s="162" t="s">
        <v>2582</v>
      </c>
      <c r="C38" s="165"/>
      <c r="D38" s="153"/>
      <c r="E38" s="153"/>
      <c r="F38" s="165"/>
      <c r="G38" s="156" t="s">
        <v>105</v>
      </c>
      <c r="H38" s="156" t="s">
        <v>210</v>
      </c>
    </row>
    <row r="39" spans="1:8" ht="14.3">
      <c r="A39" s="162" t="s">
        <v>969</v>
      </c>
      <c r="B39" s="162" t="s">
        <v>2442</v>
      </c>
      <c r="C39" s="165"/>
      <c r="D39" s="153"/>
      <c r="E39" s="153"/>
      <c r="F39" s="165"/>
      <c r="G39" s="156" t="s">
        <v>117</v>
      </c>
      <c r="H39" s="156" t="s">
        <v>211</v>
      </c>
    </row>
    <row r="40" spans="1:8" ht="14.3">
      <c r="A40" s="162" t="s">
        <v>970</v>
      </c>
      <c r="B40" s="162" t="s">
        <v>2443</v>
      </c>
      <c r="C40" s="165"/>
      <c r="D40" s="153"/>
      <c r="E40" s="153"/>
      <c r="F40" s="165"/>
      <c r="G40" s="156" t="s">
        <v>106</v>
      </c>
      <c r="H40" s="156" t="s">
        <v>212</v>
      </c>
    </row>
    <row r="41" spans="1:8" ht="14.3">
      <c r="A41" s="162" t="s">
        <v>971</v>
      </c>
      <c r="B41" s="162" t="s">
        <v>2444</v>
      </c>
      <c r="C41" s="165"/>
      <c r="D41" s="153"/>
      <c r="E41" s="153"/>
      <c r="F41" s="165"/>
      <c r="G41" s="156" t="s">
        <v>107</v>
      </c>
      <c r="H41" s="156" t="s">
        <v>213</v>
      </c>
    </row>
    <row r="42" spans="1:8" ht="14.3">
      <c r="A42" s="162" t="s">
        <v>972</v>
      </c>
      <c r="B42" s="162" t="s">
        <v>2445</v>
      </c>
      <c r="C42" s="165"/>
      <c r="D42" s="153"/>
      <c r="E42" s="153"/>
      <c r="F42" s="165"/>
      <c r="G42" s="156" t="s">
        <v>124</v>
      </c>
      <c r="H42" s="156" t="s">
        <v>214</v>
      </c>
    </row>
    <row r="43" spans="1:8" ht="14.3">
      <c r="A43" s="162" t="s">
        <v>975</v>
      </c>
      <c r="B43" s="162" t="s">
        <v>2587</v>
      </c>
      <c r="C43" s="165"/>
      <c r="D43" s="153"/>
      <c r="E43" s="153"/>
      <c r="F43" s="165"/>
      <c r="G43" s="156" t="s">
        <v>125</v>
      </c>
      <c r="H43" s="156" t="s">
        <v>215</v>
      </c>
    </row>
    <row r="44" spans="1:8" ht="14.3">
      <c r="A44" s="162" t="s">
        <v>2593</v>
      </c>
      <c r="B44" s="162" t="s">
        <v>2589</v>
      </c>
      <c r="C44" s="165"/>
      <c r="D44" s="153"/>
      <c r="E44" s="153"/>
      <c r="F44" s="165"/>
      <c r="G44" s="156" t="s">
        <v>113</v>
      </c>
      <c r="H44" s="156" t="s">
        <v>216</v>
      </c>
    </row>
    <row r="45" spans="1:8" ht="14.3">
      <c r="A45" s="162" t="s">
        <v>976</v>
      </c>
      <c r="B45" s="162" t="s">
        <v>2594</v>
      </c>
      <c r="C45" s="165"/>
      <c r="D45" s="153"/>
      <c r="E45" s="153"/>
      <c r="F45" s="165"/>
      <c r="G45" s="156" t="s">
        <v>116</v>
      </c>
      <c r="H45" s="156" t="s">
        <v>217</v>
      </c>
    </row>
    <row r="46" spans="1:8" ht="14.3">
      <c r="A46" s="162" t="s">
        <v>973</v>
      </c>
      <c r="B46" s="162" t="s">
        <v>2446</v>
      </c>
      <c r="C46" s="165"/>
      <c r="D46" s="153"/>
      <c r="E46" s="153"/>
      <c r="F46" s="165"/>
      <c r="G46" s="156" t="s">
        <v>108</v>
      </c>
      <c r="H46" s="156" t="s">
        <v>218</v>
      </c>
    </row>
    <row r="47" spans="1:8" ht="14.3">
      <c r="A47" s="162" t="s">
        <v>974</v>
      </c>
      <c r="B47" s="162" t="s">
        <v>2447</v>
      </c>
      <c r="C47" s="165"/>
      <c r="D47" s="153"/>
      <c r="E47" s="153"/>
      <c r="F47" s="165"/>
      <c r="G47" s="156" t="s">
        <v>118</v>
      </c>
      <c r="H47" s="156" t="s">
        <v>219</v>
      </c>
    </row>
    <row r="48" spans="1:8" ht="14.3">
      <c r="A48" s="162" t="s">
        <v>977</v>
      </c>
      <c r="B48" s="162" t="s">
        <v>2448</v>
      </c>
      <c r="C48" s="165"/>
      <c r="D48" s="153"/>
      <c r="E48" s="153"/>
      <c r="F48" s="165"/>
      <c r="G48" s="156" t="s">
        <v>109</v>
      </c>
      <c r="H48" s="156" t="s">
        <v>220</v>
      </c>
    </row>
    <row r="49" spans="1:8" ht="14.3">
      <c r="A49" s="162" t="s">
        <v>978</v>
      </c>
      <c r="B49" s="162" t="s">
        <v>2449</v>
      </c>
      <c r="C49" s="165"/>
      <c r="D49" s="153"/>
      <c r="E49" s="153"/>
      <c r="F49" s="165"/>
      <c r="G49" s="156" t="s">
        <v>121</v>
      </c>
      <c r="H49" s="156" t="s">
        <v>221</v>
      </c>
    </row>
    <row r="50" spans="1:8" ht="14.3">
      <c r="A50" s="162" t="s">
        <v>979</v>
      </c>
      <c r="B50" s="162" t="s">
        <v>2595</v>
      </c>
      <c r="C50" s="165"/>
      <c r="D50" s="153"/>
      <c r="E50" s="153"/>
      <c r="F50" s="165"/>
      <c r="G50" s="156" t="s">
        <v>122</v>
      </c>
      <c r="H50" s="156" t="s">
        <v>222</v>
      </c>
    </row>
    <row r="51" spans="1:8" ht="14.3">
      <c r="A51" s="162" t="s">
        <v>980</v>
      </c>
      <c r="B51" s="162" t="s">
        <v>2450</v>
      </c>
      <c r="C51" s="165"/>
      <c r="D51" s="153"/>
      <c r="E51" s="153"/>
      <c r="F51" s="165"/>
      <c r="G51" s="156" t="s">
        <v>110</v>
      </c>
      <c r="H51" s="156" t="s">
        <v>223</v>
      </c>
    </row>
    <row r="52" spans="1:8" ht="14.3">
      <c r="A52" s="162" t="s">
        <v>981</v>
      </c>
      <c r="B52" s="162" t="s">
        <v>2451</v>
      </c>
      <c r="C52" s="165"/>
      <c r="D52" s="153"/>
      <c r="E52" s="153"/>
      <c r="F52" s="165"/>
      <c r="G52" s="156" t="s">
        <v>111</v>
      </c>
      <c r="H52" s="156" t="s">
        <v>224</v>
      </c>
    </row>
    <row r="53" spans="1:8" ht="14.3">
      <c r="A53" s="162" t="s">
        <v>982</v>
      </c>
      <c r="B53" s="162" t="s">
        <v>2596</v>
      </c>
      <c r="C53" s="165"/>
      <c r="D53" s="153"/>
      <c r="E53" s="153"/>
      <c r="F53" s="165"/>
      <c r="G53" s="156" t="s">
        <v>104</v>
      </c>
      <c r="H53" s="156" t="s">
        <v>225</v>
      </c>
    </row>
    <row r="54" spans="1:8" ht="14.3">
      <c r="A54" s="162" t="s">
        <v>2602</v>
      </c>
      <c r="B54" s="162" t="s">
        <v>2598</v>
      </c>
      <c r="C54" s="165"/>
      <c r="D54" s="153"/>
      <c r="E54" s="153"/>
      <c r="F54" s="165"/>
      <c r="G54" s="156" t="s">
        <v>114</v>
      </c>
      <c r="H54" s="156" t="s">
        <v>226</v>
      </c>
    </row>
    <row r="55" spans="1:8" ht="14.3">
      <c r="A55" s="162" t="s">
        <v>983</v>
      </c>
      <c r="B55" s="162" t="s">
        <v>2452</v>
      </c>
      <c r="C55" s="165"/>
      <c r="D55" s="153"/>
      <c r="E55" s="153"/>
      <c r="F55" s="165"/>
      <c r="G55" s="156" t="s">
        <v>234</v>
      </c>
      <c r="H55" s="156" t="s">
        <v>227</v>
      </c>
    </row>
    <row r="56" spans="1:8" ht="14.3">
      <c r="A56" s="162" t="s">
        <v>984</v>
      </c>
      <c r="B56" s="162" t="s">
        <v>2603</v>
      </c>
      <c r="C56" s="165"/>
      <c r="D56" s="153"/>
      <c r="E56" s="153"/>
      <c r="F56" s="165"/>
      <c r="G56" s="156" t="s">
        <v>119</v>
      </c>
      <c r="H56" s="156" t="s">
        <v>228</v>
      </c>
    </row>
    <row r="57" spans="1:8" ht="14.3">
      <c r="A57" s="162" t="s">
        <v>985</v>
      </c>
      <c r="B57" s="162" t="s">
        <v>2453</v>
      </c>
      <c r="C57" s="165"/>
      <c r="D57" s="153"/>
      <c r="E57" s="153"/>
      <c r="F57" s="165"/>
      <c r="G57" s="156" t="s">
        <v>1827</v>
      </c>
      <c r="H57" s="156" t="s">
        <v>2168</v>
      </c>
    </row>
    <row r="58" spans="1:8" ht="14.3">
      <c r="A58" s="162" t="s">
        <v>2609</v>
      </c>
      <c r="B58" s="162" t="s">
        <v>2605</v>
      </c>
      <c r="C58" s="165"/>
      <c r="D58" s="153"/>
      <c r="E58" s="153"/>
      <c r="F58" s="165"/>
      <c r="G58" s="156" t="s">
        <v>235</v>
      </c>
      <c r="H58" s="156" t="s">
        <v>229</v>
      </c>
    </row>
    <row r="59" spans="1:8" ht="14.3">
      <c r="A59" s="162" t="s">
        <v>2232</v>
      </c>
      <c r="B59" s="162" t="s">
        <v>2454</v>
      </c>
      <c r="C59" s="165"/>
      <c r="D59" s="153"/>
      <c r="E59" s="153"/>
      <c r="F59" s="165"/>
      <c r="G59" s="156" t="s">
        <v>126</v>
      </c>
      <c r="H59" s="156" t="s">
        <v>230</v>
      </c>
    </row>
    <row r="60" spans="1:8" ht="14.3">
      <c r="A60" s="162" t="s">
        <v>986</v>
      </c>
      <c r="B60" s="162" t="s">
        <v>2455</v>
      </c>
      <c r="C60" s="165"/>
      <c r="D60" s="153"/>
      <c r="E60" s="153"/>
      <c r="F60" s="165"/>
      <c r="G60" s="156" t="s">
        <v>2610</v>
      </c>
      <c r="H60" s="156" t="s">
        <v>2551</v>
      </c>
    </row>
    <row r="61" spans="1:8" ht="14.3">
      <c r="A61" s="153" t="s">
        <v>987</v>
      </c>
      <c r="B61" s="153" t="s">
        <v>2456</v>
      </c>
      <c r="C61" s="165"/>
      <c r="D61" s="153"/>
      <c r="E61" s="153"/>
      <c r="F61" s="165"/>
      <c r="G61" s="156" t="s">
        <v>240</v>
      </c>
      <c r="H61" s="156" t="s">
        <v>237</v>
      </c>
    </row>
    <row r="62" spans="1:8" ht="14.3">
      <c r="A62" s="153" t="s">
        <v>2617</v>
      </c>
      <c r="B62" s="153" t="s">
        <v>2613</v>
      </c>
      <c r="C62" s="165"/>
      <c r="D62" s="153"/>
      <c r="E62" s="153"/>
      <c r="F62" s="165"/>
      <c r="G62" s="156" t="s">
        <v>241</v>
      </c>
      <c r="H62" s="156" t="s">
        <v>238</v>
      </c>
    </row>
    <row r="63" spans="1:8" ht="14.3">
      <c r="A63" s="153" t="s">
        <v>2471</v>
      </c>
      <c r="B63" s="153" t="s">
        <v>2457</v>
      </c>
      <c r="C63" s="165"/>
      <c r="D63" s="153"/>
      <c r="E63" s="153"/>
      <c r="F63" s="165"/>
      <c r="G63" s="156" t="s">
        <v>127</v>
      </c>
      <c r="H63" s="156" t="s">
        <v>231</v>
      </c>
    </row>
    <row r="64" spans="1:8" ht="14.3">
      <c r="A64" s="153" t="s">
        <v>988</v>
      </c>
      <c r="B64" s="153" t="s">
        <v>2618</v>
      </c>
      <c r="C64" s="165"/>
      <c r="D64" s="153"/>
      <c r="E64" s="153"/>
      <c r="G64" s="156" t="s">
        <v>2619</v>
      </c>
      <c r="H64" s="156" t="s">
        <v>2552</v>
      </c>
    </row>
    <row r="65" spans="1:8">
      <c r="A65" s="146" t="s">
        <v>989</v>
      </c>
      <c r="B65" s="146" t="s">
        <v>2621</v>
      </c>
      <c r="D65" s="146"/>
      <c r="E65" s="146"/>
      <c r="G65" s="156" t="s">
        <v>1828</v>
      </c>
      <c r="H65" s="156" t="s">
        <v>2169</v>
      </c>
    </row>
    <row r="66" spans="1:8">
      <c r="A66" s="146" t="s">
        <v>2627</v>
      </c>
      <c r="B66" s="146" t="s">
        <v>2623</v>
      </c>
      <c r="D66" s="146"/>
      <c r="E66" s="146"/>
      <c r="G66" s="156" t="s">
        <v>128</v>
      </c>
      <c r="H66" s="156" t="s">
        <v>232</v>
      </c>
    </row>
    <row r="67" spans="1:8">
      <c r="A67" s="146" t="s">
        <v>2633</v>
      </c>
      <c r="B67" s="146" t="s">
        <v>2629</v>
      </c>
      <c r="D67" s="146"/>
      <c r="E67" s="146"/>
      <c r="F67" s="145" t="s">
        <v>2491</v>
      </c>
      <c r="G67" s="152" t="s">
        <v>180</v>
      </c>
      <c r="H67" s="152" t="s">
        <v>2271</v>
      </c>
    </row>
    <row r="68" spans="1:8">
      <c r="A68" s="146" t="s">
        <v>990</v>
      </c>
      <c r="B68" s="146" t="s">
        <v>2458</v>
      </c>
      <c r="D68" s="146"/>
      <c r="E68" s="146"/>
      <c r="F68" s="145" t="s">
        <v>2491</v>
      </c>
      <c r="G68" s="152" t="s">
        <v>2316</v>
      </c>
      <c r="H68" s="152" t="s">
        <v>243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532"/>
  <sheetViews>
    <sheetView workbookViewId="0">
      <pane ySplit="4" topLeftCell="A41" activePane="bottomLeft" state="frozen"/>
      <selection pane="bottomLeft" activeCell="S5" sqref="S5:T69"/>
    </sheetView>
  </sheetViews>
  <sheetFormatPr defaultColWidth="9.125" defaultRowHeight="10.9"/>
  <cols>
    <col min="1" max="1" width="7.875" style="180" customWidth="1"/>
    <col min="2" max="2" width="15" style="180" customWidth="1"/>
    <col min="3" max="3" width="3.625" style="188" customWidth="1"/>
    <col min="4" max="4" width="18.875" style="180" customWidth="1"/>
    <col min="5" max="5" width="12.375" style="180" customWidth="1"/>
    <col min="6" max="6" width="4" style="188" customWidth="1"/>
    <col min="7" max="7" width="13.75" style="180" customWidth="1"/>
    <col min="8" max="8" width="30.75" style="180" customWidth="1"/>
    <col min="9" max="9" width="10.25" style="180" customWidth="1"/>
    <col min="10" max="10" width="2.25" style="188" customWidth="1"/>
    <col min="11" max="11" width="14.75" style="180" customWidth="1"/>
    <col min="12" max="12" width="17.625" style="180" customWidth="1"/>
    <col min="13" max="13" width="15.125" style="180" customWidth="1"/>
    <col min="14" max="14" width="0.625" style="188" customWidth="1"/>
    <col min="15" max="15" width="9.125" style="180"/>
    <col min="16" max="16" width="16.75" style="180" customWidth="1"/>
    <col min="17" max="17" width="11.25" style="180" customWidth="1"/>
    <col min="18" max="18" width="1.875" style="188" customWidth="1"/>
    <col min="19" max="19" width="15.25" style="180" customWidth="1"/>
    <col min="20" max="20" width="16.375" style="180" customWidth="1"/>
    <col min="21" max="21" width="13.375" style="180" customWidth="1"/>
    <col min="22" max="16384" width="9.125" style="174"/>
  </cols>
  <sheetData>
    <row r="1" spans="1:21">
      <c r="A1" s="172" t="s">
        <v>11</v>
      </c>
      <c r="B1" s="173" t="s">
        <v>2515</v>
      </c>
      <c r="C1" s="185"/>
      <c r="D1" s="174"/>
      <c r="E1" s="174"/>
      <c r="F1" s="185"/>
      <c r="G1" s="174"/>
      <c r="H1" s="174"/>
      <c r="I1" s="174"/>
      <c r="J1" s="185"/>
      <c r="K1" s="174"/>
      <c r="L1" s="174"/>
      <c r="M1" s="174"/>
      <c r="N1" s="185"/>
      <c r="O1" s="174"/>
      <c r="P1" s="174"/>
      <c r="Q1" s="174"/>
      <c r="R1" s="185"/>
      <c r="S1" s="174"/>
      <c r="T1" s="174"/>
      <c r="U1" s="174"/>
    </row>
    <row r="2" spans="1:21">
      <c r="A2" s="174"/>
      <c r="B2" s="174"/>
      <c r="C2" s="185"/>
      <c r="D2" s="175"/>
      <c r="E2" s="174"/>
      <c r="F2" s="185"/>
      <c r="G2" s="174"/>
      <c r="H2" s="174"/>
      <c r="I2" s="176" t="s">
        <v>2483</v>
      </c>
      <c r="J2" s="185"/>
      <c r="K2" s="174"/>
      <c r="L2" s="174"/>
      <c r="M2" s="174"/>
      <c r="N2" s="185"/>
      <c r="O2" s="174"/>
      <c r="P2" s="174"/>
      <c r="Q2" s="176" t="s">
        <v>2483</v>
      </c>
      <c r="R2" s="185"/>
      <c r="S2" s="174"/>
      <c r="T2" s="174"/>
      <c r="U2" s="174"/>
    </row>
    <row r="3" spans="1:21" ht="32.6">
      <c r="A3" s="177" t="s">
        <v>921</v>
      </c>
      <c r="B3" s="177"/>
      <c r="C3" s="186"/>
      <c r="D3" s="176" t="s">
        <v>2337</v>
      </c>
      <c r="E3" s="174" t="s">
        <v>2487</v>
      </c>
      <c r="F3" s="186"/>
      <c r="G3" s="177" t="s">
        <v>1823</v>
      </c>
      <c r="H3" s="177"/>
      <c r="I3" s="178" t="s">
        <v>2486</v>
      </c>
      <c r="J3" s="189"/>
      <c r="K3" s="177" t="s">
        <v>2338</v>
      </c>
      <c r="L3" s="174" t="s">
        <v>2488</v>
      </c>
      <c r="M3" s="176"/>
      <c r="N3" s="186"/>
      <c r="O3" s="177" t="s">
        <v>1824</v>
      </c>
      <c r="P3" s="177"/>
      <c r="Q3" s="176" t="s">
        <v>2482</v>
      </c>
      <c r="R3" s="189"/>
      <c r="S3" s="176" t="s">
        <v>2339</v>
      </c>
      <c r="T3" s="174" t="s">
        <v>2489</v>
      </c>
      <c r="U3" s="176"/>
    </row>
    <row r="4" spans="1:21">
      <c r="A4" s="172" t="s">
        <v>922</v>
      </c>
      <c r="B4" s="172" t="s">
        <v>1795</v>
      </c>
      <c r="C4" s="187"/>
      <c r="D4" s="172" t="s">
        <v>924</v>
      </c>
      <c r="E4" s="172"/>
      <c r="F4" s="187"/>
      <c r="G4" s="172"/>
      <c r="H4" s="172" t="s">
        <v>1795</v>
      </c>
      <c r="I4" s="176"/>
      <c r="J4" s="189"/>
      <c r="K4" s="176" t="s">
        <v>1793</v>
      </c>
      <c r="L4" s="176" t="s">
        <v>1794</v>
      </c>
      <c r="M4" s="176" t="s">
        <v>2473</v>
      </c>
      <c r="N4" s="187"/>
      <c r="O4" s="172"/>
      <c r="P4" s="172" t="s">
        <v>1795</v>
      </c>
      <c r="Q4" s="176"/>
      <c r="R4" s="189"/>
      <c r="S4" s="176" t="s">
        <v>1793</v>
      </c>
      <c r="T4" s="176" t="s">
        <v>1792</v>
      </c>
      <c r="U4" s="176" t="s">
        <v>2474</v>
      </c>
    </row>
    <row r="5" spans="1:21" ht="12.9">
      <c r="A5" s="179" t="s">
        <v>2495</v>
      </c>
      <c r="B5" s="179" t="s">
        <v>2495</v>
      </c>
      <c r="D5" s="180" t="s">
        <v>2289</v>
      </c>
      <c r="E5" s="181" t="s">
        <v>80</v>
      </c>
      <c r="G5" s="180" t="s">
        <v>27</v>
      </c>
      <c r="H5" s="180" t="s">
        <v>27</v>
      </c>
      <c r="I5" s="180" t="s">
        <v>2464</v>
      </c>
      <c r="K5" s="180" t="s">
        <v>27</v>
      </c>
      <c r="L5" s="180" t="s">
        <v>27</v>
      </c>
      <c r="M5" s="180" t="s">
        <v>2464</v>
      </c>
      <c r="O5" s="180" t="s">
        <v>2499</v>
      </c>
      <c r="P5" s="182" t="s">
        <v>2501</v>
      </c>
      <c r="Q5" s="180" t="s">
        <v>2463</v>
      </c>
      <c r="S5" s="30" t="s">
        <v>2499</v>
      </c>
      <c r="T5" s="30" t="s">
        <v>939</v>
      </c>
      <c r="U5" s="30" t="s">
        <v>2463</v>
      </c>
    </row>
    <row r="6" spans="1:21" ht="12.9">
      <c r="A6" s="179" t="s">
        <v>2496</v>
      </c>
      <c r="B6" s="179" t="s">
        <v>2497</v>
      </c>
      <c r="D6" s="180" t="s">
        <v>2289</v>
      </c>
      <c r="E6" s="181" t="s">
        <v>81</v>
      </c>
      <c r="G6" s="180" t="s">
        <v>1003</v>
      </c>
      <c r="H6" s="180" t="s">
        <v>2326</v>
      </c>
      <c r="I6" s="180" t="s">
        <v>2465</v>
      </c>
      <c r="K6" s="180" t="s">
        <v>1003</v>
      </c>
      <c r="L6" s="180" t="s">
        <v>1003</v>
      </c>
      <c r="M6" s="180" t="s">
        <v>2465</v>
      </c>
      <c r="O6" s="180" t="s">
        <v>2290</v>
      </c>
      <c r="P6" s="180" t="s">
        <v>2502</v>
      </c>
      <c r="Q6" s="180" t="s">
        <v>2467</v>
      </c>
      <c r="S6" s="30" t="s">
        <v>2499</v>
      </c>
      <c r="T6" s="30" t="s">
        <v>940</v>
      </c>
      <c r="U6" s="30" t="s">
        <v>2463</v>
      </c>
    </row>
    <row r="7" spans="1:21" ht="12.9">
      <c r="A7" s="179" t="s">
        <v>2498</v>
      </c>
      <c r="B7" s="179" t="s">
        <v>2498</v>
      </c>
      <c r="D7" s="180" t="s">
        <v>2498</v>
      </c>
      <c r="E7" s="181" t="s">
        <v>82</v>
      </c>
      <c r="G7" s="180" t="s">
        <v>1004</v>
      </c>
      <c r="H7" s="180" t="s">
        <v>2327</v>
      </c>
      <c r="I7" s="180" t="s">
        <v>2466</v>
      </c>
      <c r="K7" s="180" t="s">
        <v>1004</v>
      </c>
      <c r="L7" s="180" t="s">
        <v>1004</v>
      </c>
      <c r="M7" s="180" t="s">
        <v>2466</v>
      </c>
      <c r="O7" s="180" t="s">
        <v>2500</v>
      </c>
      <c r="P7" s="180" t="s">
        <v>2503</v>
      </c>
      <c r="Q7" s="180" t="s">
        <v>93</v>
      </c>
      <c r="S7" s="30" t="s">
        <v>2499</v>
      </c>
      <c r="T7" s="30" t="s">
        <v>941</v>
      </c>
      <c r="U7" s="30" t="s">
        <v>2463</v>
      </c>
    </row>
    <row r="8" spans="1:21" ht="12.9">
      <c r="A8" s="179" t="s">
        <v>2289</v>
      </c>
      <c r="B8" s="179" t="s">
        <v>243</v>
      </c>
      <c r="D8" s="180" t="s">
        <v>2498</v>
      </c>
      <c r="E8" s="181" t="s">
        <v>83</v>
      </c>
      <c r="G8" s="180" t="s">
        <v>1005</v>
      </c>
      <c r="H8" s="180" t="s">
        <v>2328</v>
      </c>
      <c r="I8" s="180" t="s">
        <v>2466</v>
      </c>
      <c r="K8" s="180" t="s">
        <v>1005</v>
      </c>
      <c r="L8" s="180" t="s">
        <v>1005</v>
      </c>
      <c r="M8" s="180" t="s">
        <v>2466</v>
      </c>
      <c r="O8" s="180" t="s">
        <v>983</v>
      </c>
      <c r="P8" s="180" t="s">
        <v>2504</v>
      </c>
      <c r="Q8" s="180" t="s">
        <v>983</v>
      </c>
      <c r="S8" s="30" t="s">
        <v>2499</v>
      </c>
      <c r="T8" s="30" t="s">
        <v>942</v>
      </c>
      <c r="U8" s="30" t="s">
        <v>2463</v>
      </c>
    </row>
    <row r="9" spans="1:21" ht="12.9">
      <c r="A9" s="179" t="s">
        <v>180</v>
      </c>
      <c r="B9" s="179" t="s">
        <v>244</v>
      </c>
      <c r="D9" s="180" t="s">
        <v>2498</v>
      </c>
      <c r="E9" s="181" t="s">
        <v>84</v>
      </c>
      <c r="G9" s="180" t="s">
        <v>1006</v>
      </c>
      <c r="H9" s="180" t="s">
        <v>2329</v>
      </c>
      <c r="I9" s="180" t="s">
        <v>2465</v>
      </c>
      <c r="K9" s="180" t="s">
        <v>1006</v>
      </c>
      <c r="L9" s="180" t="s">
        <v>1006</v>
      </c>
      <c r="M9" s="180" t="s">
        <v>2465</v>
      </c>
      <c r="O9" s="180" t="s">
        <v>2470</v>
      </c>
      <c r="P9" s="180" t="s">
        <v>2505</v>
      </c>
      <c r="Q9" s="180" t="s">
        <v>2469</v>
      </c>
      <c r="S9" s="30" t="s">
        <v>2499</v>
      </c>
      <c r="T9" s="30" t="s">
        <v>943</v>
      </c>
      <c r="U9" s="30" t="s">
        <v>2463</v>
      </c>
    </row>
    <row r="10" spans="1:21" ht="12.9">
      <c r="A10" s="179"/>
      <c r="B10" s="179"/>
      <c r="D10" s="180" t="s">
        <v>2498</v>
      </c>
      <c r="E10" s="181" t="s">
        <v>85</v>
      </c>
      <c r="G10" s="180" t="s">
        <v>1007</v>
      </c>
      <c r="H10" s="180" t="s">
        <v>2330</v>
      </c>
      <c r="I10" s="180" t="s">
        <v>2466</v>
      </c>
      <c r="K10" s="180" t="s">
        <v>1007</v>
      </c>
      <c r="L10" s="180" t="s">
        <v>1007</v>
      </c>
      <c r="M10" s="180" t="s">
        <v>2466</v>
      </c>
      <c r="Q10" s="180" t="s">
        <v>2506</v>
      </c>
      <c r="S10" s="30" t="s">
        <v>2499</v>
      </c>
      <c r="T10" s="30" t="s">
        <v>944</v>
      </c>
      <c r="U10" s="30" t="s">
        <v>2463</v>
      </c>
    </row>
    <row r="11" spans="1:21" ht="12.9">
      <c r="A11" s="179"/>
      <c r="B11" s="179"/>
      <c r="D11" s="180" t="s">
        <v>2498</v>
      </c>
      <c r="E11" s="181" t="s">
        <v>86</v>
      </c>
      <c r="G11" s="180" t="s">
        <v>1008</v>
      </c>
      <c r="H11" s="180" t="s">
        <v>2331</v>
      </c>
      <c r="I11" s="180" t="s">
        <v>922</v>
      </c>
      <c r="K11" s="180" t="s">
        <v>1008</v>
      </c>
      <c r="L11" s="180" t="s">
        <v>1008</v>
      </c>
      <c r="M11" s="180" t="s">
        <v>922</v>
      </c>
      <c r="Q11" s="180" t="s">
        <v>2506</v>
      </c>
      <c r="S11" s="30" t="s">
        <v>2499</v>
      </c>
      <c r="T11" s="30" t="s">
        <v>945</v>
      </c>
      <c r="U11" s="30" t="s">
        <v>2463</v>
      </c>
    </row>
    <row r="12" spans="1:21" ht="12.9">
      <c r="A12" s="179"/>
      <c r="B12" s="179"/>
      <c r="D12" s="180" t="s">
        <v>2498</v>
      </c>
      <c r="E12" s="181" t="s">
        <v>2230</v>
      </c>
      <c r="G12" s="180" t="s">
        <v>1009</v>
      </c>
      <c r="H12" s="180" t="s">
        <v>2332</v>
      </c>
      <c r="I12" s="180" t="s">
        <v>2464</v>
      </c>
      <c r="K12" s="180" t="s">
        <v>1009</v>
      </c>
      <c r="L12" s="180" t="s">
        <v>1009</v>
      </c>
      <c r="M12" s="180" t="s">
        <v>2464</v>
      </c>
      <c r="Q12" s="180" t="s">
        <v>2506</v>
      </c>
      <c r="S12" s="30" t="s">
        <v>2499</v>
      </c>
      <c r="T12" s="30" t="s">
        <v>946</v>
      </c>
      <c r="U12" s="30" t="s">
        <v>2463</v>
      </c>
    </row>
    <row r="13" spans="1:21" ht="12.9">
      <c r="A13" s="179"/>
      <c r="B13" s="179"/>
      <c r="D13" s="180" t="s">
        <v>2498</v>
      </c>
      <c r="E13" s="181" t="s">
        <v>233</v>
      </c>
      <c r="Q13" s="180" t="s">
        <v>2506</v>
      </c>
      <c r="S13" s="30" t="s">
        <v>2499</v>
      </c>
      <c r="T13" s="30" t="s">
        <v>947</v>
      </c>
      <c r="U13" s="30" t="s">
        <v>2463</v>
      </c>
    </row>
    <row r="14" spans="1:21" ht="12.9">
      <c r="A14" s="179"/>
      <c r="B14" s="179"/>
      <c r="D14" s="180" t="s">
        <v>2498</v>
      </c>
      <c r="E14" s="181" t="s">
        <v>87</v>
      </c>
      <c r="Q14" s="180" t="s">
        <v>2506</v>
      </c>
      <c r="S14" s="30" t="s">
        <v>2499</v>
      </c>
      <c r="T14" s="30" t="s">
        <v>948</v>
      </c>
      <c r="U14" s="30" t="s">
        <v>2463</v>
      </c>
    </row>
    <row r="15" spans="1:21" ht="12.9">
      <c r="A15" s="179"/>
      <c r="B15" s="179"/>
      <c r="D15" s="180" t="s">
        <v>2498</v>
      </c>
      <c r="E15" s="181" t="s">
        <v>88</v>
      </c>
      <c r="Q15" s="180" t="s">
        <v>2506</v>
      </c>
      <c r="S15" s="30" t="s">
        <v>2499</v>
      </c>
      <c r="T15" s="30" t="s">
        <v>949</v>
      </c>
      <c r="U15" s="30" t="s">
        <v>2463</v>
      </c>
    </row>
    <row r="16" spans="1:21" ht="12.9">
      <c r="A16" s="179"/>
      <c r="B16" s="179"/>
      <c r="D16" s="180" t="s">
        <v>2498</v>
      </c>
      <c r="E16" s="181" t="s">
        <v>89</v>
      </c>
      <c r="Q16" s="180" t="s">
        <v>2506</v>
      </c>
      <c r="S16" s="30" t="s">
        <v>2499</v>
      </c>
      <c r="T16" s="30" t="s">
        <v>950</v>
      </c>
      <c r="U16" s="30" t="s">
        <v>2463</v>
      </c>
    </row>
    <row r="17" spans="1:21" ht="12.9">
      <c r="A17" s="179"/>
      <c r="B17" s="179"/>
      <c r="D17" s="180" t="s">
        <v>2498</v>
      </c>
      <c r="E17" s="181" t="s">
        <v>90</v>
      </c>
      <c r="Q17" s="180" t="s">
        <v>2506</v>
      </c>
      <c r="S17" s="30" t="s">
        <v>2499</v>
      </c>
      <c r="T17" s="30" t="s">
        <v>951</v>
      </c>
      <c r="U17" s="30" t="s">
        <v>2463</v>
      </c>
    </row>
    <row r="18" spans="1:21" ht="12.9">
      <c r="A18" s="179"/>
      <c r="B18" s="179"/>
      <c r="D18" s="180" t="s">
        <v>2498</v>
      </c>
      <c r="E18" s="181" t="s">
        <v>91</v>
      </c>
      <c r="Q18" s="180" t="s">
        <v>2506</v>
      </c>
      <c r="S18" s="30" t="s">
        <v>2499</v>
      </c>
      <c r="T18" s="30" t="s">
        <v>952</v>
      </c>
      <c r="U18" s="30" t="s">
        <v>2463</v>
      </c>
    </row>
    <row r="19" spans="1:21" ht="12.9">
      <c r="A19" s="179"/>
      <c r="B19" s="179"/>
      <c r="D19" s="180" t="s">
        <v>2498</v>
      </c>
      <c r="E19" s="181" t="s">
        <v>92</v>
      </c>
      <c r="Q19" s="180" t="s">
        <v>2506</v>
      </c>
      <c r="S19" s="193" t="s">
        <v>2290</v>
      </c>
      <c r="T19" s="193" t="s">
        <v>953</v>
      </c>
      <c r="U19" s="193" t="s">
        <v>2467</v>
      </c>
    </row>
    <row r="20" spans="1:21" ht="12.9">
      <c r="A20" s="179"/>
      <c r="B20" s="179"/>
      <c r="D20" s="180" t="s">
        <v>2498</v>
      </c>
      <c r="E20" s="181" t="s">
        <v>93</v>
      </c>
      <c r="Q20" s="180" t="s">
        <v>2506</v>
      </c>
      <c r="S20" s="82" t="s">
        <v>2290</v>
      </c>
      <c r="T20" s="82" t="s">
        <v>954</v>
      </c>
      <c r="U20" s="82" t="s">
        <v>2467</v>
      </c>
    </row>
    <row r="21" spans="1:21" ht="12.9">
      <c r="A21" s="179"/>
      <c r="B21" s="179"/>
      <c r="D21" s="180" t="s">
        <v>2496</v>
      </c>
      <c r="E21" s="181" t="s">
        <v>94</v>
      </c>
      <c r="Q21" s="180" t="s">
        <v>2506</v>
      </c>
      <c r="S21" s="82" t="s">
        <v>2290</v>
      </c>
      <c r="T21" s="82" t="s">
        <v>955</v>
      </c>
      <c r="U21" s="82" t="s">
        <v>2467</v>
      </c>
    </row>
    <row r="22" spans="1:21" ht="12.9">
      <c r="A22" s="179"/>
      <c r="B22" s="179"/>
      <c r="D22" s="180" t="s">
        <v>2496</v>
      </c>
      <c r="E22" s="181" t="s">
        <v>25</v>
      </c>
      <c r="Q22" s="180" t="s">
        <v>2506</v>
      </c>
      <c r="S22" s="194" t="s">
        <v>2290</v>
      </c>
      <c r="T22" s="194" t="s">
        <v>2563</v>
      </c>
      <c r="U22" s="194" t="s">
        <v>2467</v>
      </c>
    </row>
    <row r="23" spans="1:21" ht="12.9">
      <c r="A23" s="179"/>
      <c r="B23" s="179"/>
      <c r="D23" s="180" t="s">
        <v>2289</v>
      </c>
      <c r="E23" s="181" t="s">
        <v>95</v>
      </c>
      <c r="Q23" s="180" t="s">
        <v>2506</v>
      </c>
      <c r="S23" s="30" t="s">
        <v>2499</v>
      </c>
      <c r="T23" s="30" t="s">
        <v>956</v>
      </c>
      <c r="U23" s="30" t="s">
        <v>2468</v>
      </c>
    </row>
    <row r="24" spans="1:21" ht="12.9">
      <c r="A24" s="179"/>
      <c r="B24" s="179"/>
      <c r="D24" s="180" t="s">
        <v>2289</v>
      </c>
      <c r="E24" s="181" t="s">
        <v>96</v>
      </c>
      <c r="Q24" s="180" t="s">
        <v>2506</v>
      </c>
      <c r="S24" s="30" t="s">
        <v>2499</v>
      </c>
      <c r="T24" s="30" t="s">
        <v>957</v>
      </c>
      <c r="U24" s="30" t="s">
        <v>2468</v>
      </c>
    </row>
    <row r="25" spans="1:21" ht="12.9">
      <c r="A25" s="179"/>
      <c r="B25" s="179"/>
      <c r="D25" s="180" t="s">
        <v>2289</v>
      </c>
      <c r="E25" s="181" t="s">
        <v>97</v>
      </c>
      <c r="Q25" s="180" t="s">
        <v>2506</v>
      </c>
      <c r="S25" s="30" t="s">
        <v>2499</v>
      </c>
      <c r="T25" s="30" t="s">
        <v>958</v>
      </c>
      <c r="U25" s="30" t="s">
        <v>2468</v>
      </c>
    </row>
    <row r="26" spans="1:21" ht="12.9">
      <c r="A26" s="179"/>
      <c r="B26" s="179"/>
      <c r="D26" s="180" t="s">
        <v>2289</v>
      </c>
      <c r="E26" s="181" t="s">
        <v>98</v>
      </c>
      <c r="S26" s="30" t="s">
        <v>2499</v>
      </c>
      <c r="T26" s="30" t="s">
        <v>959</v>
      </c>
      <c r="U26" s="30" t="s">
        <v>2468</v>
      </c>
    </row>
    <row r="27" spans="1:21" ht="12.9">
      <c r="A27" s="179"/>
      <c r="B27" s="179"/>
      <c r="D27" s="180" t="s">
        <v>2289</v>
      </c>
      <c r="E27" s="181" t="s">
        <v>1825</v>
      </c>
      <c r="S27" s="30" t="s">
        <v>2499</v>
      </c>
      <c r="T27" s="30" t="s">
        <v>960</v>
      </c>
      <c r="U27" s="30" t="s">
        <v>2468</v>
      </c>
    </row>
    <row r="28" spans="1:21" ht="12.9">
      <c r="A28" s="179"/>
      <c r="B28" s="179"/>
      <c r="D28" s="180" t="s">
        <v>2289</v>
      </c>
      <c r="E28" s="181" t="s">
        <v>2566</v>
      </c>
      <c r="S28" s="30" t="s">
        <v>2499</v>
      </c>
      <c r="T28" s="30" t="s">
        <v>961</v>
      </c>
      <c r="U28" s="30" t="s">
        <v>2468</v>
      </c>
    </row>
    <row r="29" spans="1:21" ht="12.9">
      <c r="A29" s="179"/>
      <c r="B29" s="179"/>
      <c r="D29" s="180" t="s">
        <v>2289</v>
      </c>
      <c r="E29" s="181" t="s">
        <v>1826</v>
      </c>
      <c r="S29" s="30" t="s">
        <v>2499</v>
      </c>
      <c r="T29" s="30" t="s">
        <v>962</v>
      </c>
      <c r="U29" s="30" t="s">
        <v>2468</v>
      </c>
    </row>
    <row r="30" spans="1:21" ht="12.9">
      <c r="A30" s="179"/>
      <c r="B30" s="179"/>
      <c r="D30" s="180" t="s">
        <v>2495</v>
      </c>
      <c r="E30" s="181" t="s">
        <v>99</v>
      </c>
      <c r="S30" s="30" t="s">
        <v>2499</v>
      </c>
      <c r="T30" s="30" t="s">
        <v>963</v>
      </c>
      <c r="U30" s="30" t="s">
        <v>2468</v>
      </c>
    </row>
    <row r="31" spans="1:21" ht="12.9">
      <c r="A31" s="179"/>
      <c r="B31" s="179"/>
      <c r="D31" s="180" t="s">
        <v>2495</v>
      </c>
      <c r="E31" s="181" t="s">
        <v>112</v>
      </c>
      <c r="S31" s="30" t="s">
        <v>2500</v>
      </c>
      <c r="T31" s="30" t="s">
        <v>964</v>
      </c>
      <c r="U31" s="30" t="s">
        <v>93</v>
      </c>
    </row>
    <row r="32" spans="1:21" ht="12.9">
      <c r="A32" s="179"/>
      <c r="B32" s="179"/>
      <c r="D32" s="180" t="s">
        <v>2495</v>
      </c>
      <c r="E32" s="181" t="s">
        <v>115</v>
      </c>
      <c r="S32" s="30" t="s">
        <v>2500</v>
      </c>
      <c r="T32" s="30" t="s">
        <v>965</v>
      </c>
      <c r="U32" s="30" t="s">
        <v>93</v>
      </c>
    </row>
    <row r="33" spans="1:21" ht="12.9">
      <c r="A33" s="179"/>
      <c r="B33" s="179"/>
      <c r="D33" s="180" t="s">
        <v>2495</v>
      </c>
      <c r="E33" s="181" t="s">
        <v>120</v>
      </c>
      <c r="S33" s="30" t="s">
        <v>2500</v>
      </c>
      <c r="T33" s="30" t="s">
        <v>966</v>
      </c>
      <c r="U33" s="30" t="s">
        <v>93</v>
      </c>
    </row>
    <row r="34" spans="1:21" ht="12.9">
      <c r="A34" s="179"/>
      <c r="B34" s="179"/>
      <c r="D34" s="180" t="s">
        <v>2495</v>
      </c>
      <c r="E34" s="181" t="s">
        <v>100</v>
      </c>
      <c r="S34" s="30" t="s">
        <v>2500</v>
      </c>
      <c r="T34" s="30" t="s">
        <v>967</v>
      </c>
      <c r="U34" s="30" t="s">
        <v>93</v>
      </c>
    </row>
    <row r="35" spans="1:21" ht="12.9">
      <c r="A35" s="179"/>
      <c r="B35" s="179"/>
      <c r="D35" s="180" t="s">
        <v>2495</v>
      </c>
      <c r="E35" s="181" t="s">
        <v>123</v>
      </c>
      <c r="S35" s="30" t="s">
        <v>2500</v>
      </c>
      <c r="T35" s="30" t="s">
        <v>968</v>
      </c>
      <c r="U35" s="30" t="s">
        <v>93</v>
      </c>
    </row>
    <row r="36" spans="1:21" ht="12.9">
      <c r="A36" s="179"/>
      <c r="B36" s="179"/>
      <c r="D36" s="180" t="s">
        <v>2495</v>
      </c>
      <c r="E36" s="181" t="s">
        <v>101</v>
      </c>
      <c r="S36" s="30" t="s">
        <v>2500</v>
      </c>
      <c r="T36" s="30" t="s">
        <v>2231</v>
      </c>
      <c r="U36" s="30" t="s">
        <v>93</v>
      </c>
    </row>
    <row r="37" spans="1:21" ht="12.9">
      <c r="A37" s="179"/>
      <c r="B37" s="179"/>
      <c r="D37" s="180" t="s">
        <v>2495</v>
      </c>
      <c r="E37" s="181" t="s">
        <v>102</v>
      </c>
      <c r="S37" s="30" t="s">
        <v>2500</v>
      </c>
      <c r="T37" s="30" t="s">
        <v>2574</v>
      </c>
      <c r="U37" s="30" t="s">
        <v>93</v>
      </c>
    </row>
    <row r="38" spans="1:21" ht="12.9">
      <c r="A38" s="179"/>
      <c r="B38" s="179"/>
      <c r="D38" s="180" t="s">
        <v>2495</v>
      </c>
      <c r="E38" s="181" t="s">
        <v>103</v>
      </c>
      <c r="S38" s="30" t="s">
        <v>2500</v>
      </c>
      <c r="T38" s="30" t="s">
        <v>2580</v>
      </c>
      <c r="U38" s="30" t="s">
        <v>93</v>
      </c>
    </row>
    <row r="39" spans="1:21" ht="12.9">
      <c r="A39" s="179"/>
      <c r="B39" s="179"/>
      <c r="D39" s="180" t="s">
        <v>2495</v>
      </c>
      <c r="E39" s="181" t="s">
        <v>105</v>
      </c>
      <c r="S39" s="30" t="s">
        <v>2500</v>
      </c>
      <c r="T39" s="30" t="s">
        <v>2586</v>
      </c>
      <c r="U39" s="30" t="s">
        <v>93</v>
      </c>
    </row>
    <row r="40" spans="1:21" ht="12.9">
      <c r="A40" s="179"/>
      <c r="B40" s="179"/>
      <c r="D40" s="180" t="s">
        <v>2495</v>
      </c>
      <c r="E40" s="181" t="s">
        <v>117</v>
      </c>
      <c r="S40" s="30" t="s">
        <v>2500</v>
      </c>
      <c r="T40" s="30" t="s">
        <v>969</v>
      </c>
      <c r="U40" s="30" t="s">
        <v>93</v>
      </c>
    </row>
    <row r="41" spans="1:21" ht="12.9">
      <c r="A41" s="179"/>
      <c r="B41" s="179"/>
      <c r="D41" s="180" t="s">
        <v>2495</v>
      </c>
      <c r="E41" s="181" t="s">
        <v>106</v>
      </c>
      <c r="S41" s="30" t="s">
        <v>2500</v>
      </c>
      <c r="T41" s="30" t="s">
        <v>970</v>
      </c>
      <c r="U41" s="30" t="s">
        <v>93</v>
      </c>
    </row>
    <row r="42" spans="1:21" ht="12.9">
      <c r="A42" s="179"/>
      <c r="B42" s="179"/>
      <c r="D42" s="180" t="s">
        <v>2495</v>
      </c>
      <c r="E42" s="181" t="s">
        <v>107</v>
      </c>
      <c r="S42" s="30" t="s">
        <v>2500</v>
      </c>
      <c r="T42" s="30" t="s">
        <v>971</v>
      </c>
      <c r="U42" s="30" t="s">
        <v>93</v>
      </c>
    </row>
    <row r="43" spans="1:21" ht="12.9">
      <c r="A43" s="179"/>
      <c r="B43" s="179"/>
      <c r="D43" s="180" t="s">
        <v>2495</v>
      </c>
      <c r="E43" s="181" t="s">
        <v>124</v>
      </c>
      <c r="S43" s="30" t="s">
        <v>2500</v>
      </c>
      <c r="T43" s="30" t="s">
        <v>972</v>
      </c>
      <c r="U43" s="30" t="s">
        <v>93</v>
      </c>
    </row>
    <row r="44" spans="1:21" ht="12.9">
      <c r="A44" s="179"/>
      <c r="B44" s="179"/>
      <c r="D44" s="180" t="s">
        <v>2495</v>
      </c>
      <c r="E44" s="181" t="s">
        <v>125</v>
      </c>
      <c r="S44" s="30" t="s">
        <v>2500</v>
      </c>
      <c r="T44" s="30" t="s">
        <v>975</v>
      </c>
      <c r="U44" s="30" t="s">
        <v>93</v>
      </c>
    </row>
    <row r="45" spans="1:21" ht="12.9">
      <c r="A45" s="179"/>
      <c r="B45" s="179"/>
      <c r="D45" s="180" t="s">
        <v>2495</v>
      </c>
      <c r="E45" s="181" t="s">
        <v>113</v>
      </c>
      <c r="S45" s="30" t="s">
        <v>2500</v>
      </c>
      <c r="T45" s="30" t="s">
        <v>2593</v>
      </c>
      <c r="U45" s="30" t="s">
        <v>93</v>
      </c>
    </row>
    <row r="46" spans="1:21" ht="12.9">
      <c r="A46" s="179"/>
      <c r="B46" s="179"/>
      <c r="D46" s="180" t="s">
        <v>2495</v>
      </c>
      <c r="E46" s="181" t="s">
        <v>116</v>
      </c>
      <c r="S46" s="30" t="s">
        <v>2500</v>
      </c>
      <c r="T46" s="30" t="s">
        <v>976</v>
      </c>
      <c r="U46" s="30" t="s">
        <v>93</v>
      </c>
    </row>
    <row r="47" spans="1:21" ht="12.9">
      <c r="A47" s="179"/>
      <c r="B47" s="179"/>
      <c r="D47" s="180" t="s">
        <v>2495</v>
      </c>
      <c r="E47" s="181" t="s">
        <v>108</v>
      </c>
      <c r="S47" s="30" t="s">
        <v>2500</v>
      </c>
      <c r="T47" s="30" t="s">
        <v>973</v>
      </c>
      <c r="U47" s="30" t="s">
        <v>93</v>
      </c>
    </row>
    <row r="48" spans="1:21" ht="12.9">
      <c r="A48" s="179"/>
      <c r="B48" s="179"/>
      <c r="D48" s="180" t="s">
        <v>2495</v>
      </c>
      <c r="E48" s="181" t="s">
        <v>118</v>
      </c>
      <c r="S48" s="30" t="s">
        <v>2500</v>
      </c>
      <c r="T48" s="30" t="s">
        <v>974</v>
      </c>
      <c r="U48" s="30" t="s">
        <v>93</v>
      </c>
    </row>
    <row r="49" spans="1:21" ht="12.9">
      <c r="A49" s="179"/>
      <c r="B49" s="179"/>
      <c r="D49" s="180" t="s">
        <v>2495</v>
      </c>
      <c r="E49" s="181" t="s">
        <v>109</v>
      </c>
      <c r="S49" s="30" t="s">
        <v>2500</v>
      </c>
      <c r="T49" s="30" t="s">
        <v>977</v>
      </c>
      <c r="U49" s="30" t="s">
        <v>93</v>
      </c>
    </row>
    <row r="50" spans="1:21" ht="12.9">
      <c r="A50" s="179"/>
      <c r="B50" s="179"/>
      <c r="D50" s="180" t="s">
        <v>2495</v>
      </c>
      <c r="E50" s="181" t="s">
        <v>121</v>
      </c>
      <c r="S50" s="30" t="s">
        <v>2470</v>
      </c>
      <c r="T50" s="30" t="s">
        <v>978</v>
      </c>
      <c r="U50" s="30" t="s">
        <v>2469</v>
      </c>
    </row>
    <row r="51" spans="1:21" ht="12.9">
      <c r="A51" s="179"/>
      <c r="B51" s="179"/>
      <c r="D51" s="180" t="s">
        <v>2495</v>
      </c>
      <c r="E51" s="181" t="s">
        <v>122</v>
      </c>
      <c r="S51" s="30" t="s">
        <v>2470</v>
      </c>
      <c r="T51" s="30" t="s">
        <v>979</v>
      </c>
      <c r="U51" s="30" t="s">
        <v>2469</v>
      </c>
    </row>
    <row r="52" spans="1:21" ht="12.9">
      <c r="A52" s="179"/>
      <c r="B52" s="179"/>
      <c r="D52" s="180" t="s">
        <v>2495</v>
      </c>
      <c r="E52" s="181" t="s">
        <v>110</v>
      </c>
      <c r="S52" s="30" t="s">
        <v>2470</v>
      </c>
      <c r="T52" s="30" t="s">
        <v>980</v>
      </c>
      <c r="U52" s="30" t="s">
        <v>2469</v>
      </c>
    </row>
    <row r="53" spans="1:21" ht="12.9">
      <c r="A53" s="179"/>
      <c r="B53" s="179"/>
      <c r="D53" s="180" t="s">
        <v>2495</v>
      </c>
      <c r="E53" s="181" t="s">
        <v>111</v>
      </c>
      <c r="S53" s="30" t="s">
        <v>2470</v>
      </c>
      <c r="T53" s="30" t="s">
        <v>981</v>
      </c>
      <c r="U53" s="30" t="s">
        <v>2470</v>
      </c>
    </row>
    <row r="54" spans="1:21" ht="12.9">
      <c r="A54" s="179"/>
      <c r="B54" s="179"/>
      <c r="D54" s="180" t="s">
        <v>2495</v>
      </c>
      <c r="E54" s="181" t="s">
        <v>104</v>
      </c>
      <c r="S54" s="30" t="s">
        <v>2470</v>
      </c>
      <c r="T54" s="30" t="s">
        <v>982</v>
      </c>
      <c r="U54" s="30" t="s">
        <v>2470</v>
      </c>
    </row>
    <row r="55" spans="1:21" ht="12.9">
      <c r="A55" s="179"/>
      <c r="B55" s="179"/>
      <c r="D55" s="180" t="s">
        <v>2495</v>
      </c>
      <c r="E55" s="181" t="s">
        <v>114</v>
      </c>
      <c r="S55" s="30" t="s">
        <v>2470</v>
      </c>
      <c r="T55" s="30" t="s">
        <v>2602</v>
      </c>
      <c r="U55" s="30" t="s">
        <v>2470</v>
      </c>
    </row>
    <row r="56" spans="1:21" ht="12.9">
      <c r="A56" s="179"/>
      <c r="B56" s="179"/>
      <c r="D56" s="180" t="s">
        <v>2495</v>
      </c>
      <c r="E56" s="181" t="s">
        <v>234</v>
      </c>
      <c r="S56" s="30" t="s">
        <v>983</v>
      </c>
      <c r="T56" s="30" t="s">
        <v>983</v>
      </c>
      <c r="U56" s="30" t="s">
        <v>983</v>
      </c>
    </row>
    <row r="57" spans="1:21" ht="12.9">
      <c r="A57" s="179"/>
      <c r="B57" s="179"/>
      <c r="D57" s="180" t="s">
        <v>2495</v>
      </c>
      <c r="E57" s="181" t="s">
        <v>119</v>
      </c>
      <c r="S57" s="30" t="s">
        <v>983</v>
      </c>
      <c r="T57" s="30" t="s">
        <v>984</v>
      </c>
      <c r="U57" s="30" t="s">
        <v>983</v>
      </c>
    </row>
    <row r="58" spans="1:21" ht="12.9">
      <c r="A58" s="179"/>
      <c r="B58" s="179"/>
      <c r="D58" s="180" t="s">
        <v>2495</v>
      </c>
      <c r="E58" s="181" t="s">
        <v>1827</v>
      </c>
      <c r="S58" s="30" t="s">
        <v>983</v>
      </c>
      <c r="T58" s="30" t="s">
        <v>985</v>
      </c>
      <c r="U58" s="30" t="s">
        <v>983</v>
      </c>
    </row>
    <row r="59" spans="1:21" ht="12.9">
      <c r="A59" s="179"/>
      <c r="B59" s="179"/>
      <c r="D59" s="180" t="s">
        <v>2495</v>
      </c>
      <c r="E59" s="181" t="s">
        <v>235</v>
      </c>
      <c r="S59" s="30" t="s">
        <v>2470</v>
      </c>
      <c r="T59" s="30" t="s">
        <v>2609</v>
      </c>
      <c r="U59" s="30" t="s">
        <v>2470</v>
      </c>
    </row>
    <row r="60" spans="1:21" ht="12.9">
      <c r="A60" s="179"/>
      <c r="B60" s="179"/>
      <c r="D60" s="180" t="s">
        <v>2289</v>
      </c>
      <c r="E60" s="181" t="s">
        <v>126</v>
      </c>
      <c r="S60" s="30" t="s">
        <v>2470</v>
      </c>
      <c r="T60" s="30" t="s">
        <v>2232</v>
      </c>
      <c r="U60" s="30" t="s">
        <v>2470</v>
      </c>
    </row>
    <row r="61" spans="1:21" ht="12.9">
      <c r="A61" s="179"/>
      <c r="B61" s="179"/>
      <c r="D61" s="180" t="s">
        <v>2289</v>
      </c>
      <c r="E61" s="181" t="s">
        <v>2610</v>
      </c>
      <c r="S61" s="30" t="s">
        <v>2470</v>
      </c>
      <c r="T61" s="30" t="s">
        <v>986</v>
      </c>
      <c r="U61" s="30" t="s">
        <v>2470</v>
      </c>
    </row>
    <row r="62" spans="1:21" ht="12.9">
      <c r="A62" s="179"/>
      <c r="B62" s="179"/>
      <c r="D62" s="180" t="s">
        <v>2289</v>
      </c>
      <c r="E62" s="181" t="s">
        <v>240</v>
      </c>
      <c r="P62" s="182"/>
      <c r="S62" s="30" t="s">
        <v>2470</v>
      </c>
      <c r="T62" s="30" t="s">
        <v>987</v>
      </c>
      <c r="U62" s="30" t="s">
        <v>2470</v>
      </c>
    </row>
    <row r="63" spans="1:21" ht="12.9">
      <c r="A63" s="179"/>
      <c r="B63" s="179"/>
      <c r="D63" s="180" t="s">
        <v>2289</v>
      </c>
      <c r="E63" s="181" t="s">
        <v>241</v>
      </c>
      <c r="S63" s="30" t="s">
        <v>2470</v>
      </c>
      <c r="T63" s="30" t="s">
        <v>2617</v>
      </c>
      <c r="U63" s="30" t="s">
        <v>2470</v>
      </c>
    </row>
    <row r="64" spans="1:21" ht="12.9">
      <c r="A64" s="179"/>
      <c r="B64" s="179"/>
      <c r="D64" s="180" t="s">
        <v>2289</v>
      </c>
      <c r="E64" s="181" t="s">
        <v>127</v>
      </c>
      <c r="S64" s="30" t="s">
        <v>2470</v>
      </c>
      <c r="T64" s="30" t="s">
        <v>2471</v>
      </c>
      <c r="U64" s="30" t="s">
        <v>2470</v>
      </c>
    </row>
    <row r="65" spans="1:21" ht="12.9">
      <c r="A65" s="179"/>
      <c r="B65" s="179"/>
      <c r="D65" s="180" t="s">
        <v>2289</v>
      </c>
      <c r="E65" s="181" t="s">
        <v>2619</v>
      </c>
      <c r="S65" s="30" t="s">
        <v>2470</v>
      </c>
      <c r="T65" s="30" t="s">
        <v>988</v>
      </c>
      <c r="U65" s="30" t="s">
        <v>2470</v>
      </c>
    </row>
    <row r="66" spans="1:21" ht="12.9">
      <c r="A66" s="179"/>
      <c r="B66" s="179"/>
      <c r="D66" s="180" t="s">
        <v>2289</v>
      </c>
      <c r="E66" s="181" t="s">
        <v>1828</v>
      </c>
      <c r="S66" s="30" t="s">
        <v>2470</v>
      </c>
      <c r="T66" s="30" t="s">
        <v>989</v>
      </c>
      <c r="U66" s="30" t="s">
        <v>2470</v>
      </c>
    </row>
    <row r="67" spans="1:21" ht="12.9">
      <c r="A67" s="179"/>
      <c r="B67" s="179"/>
      <c r="D67" s="180" t="s">
        <v>2289</v>
      </c>
      <c r="E67" s="181" t="s">
        <v>128</v>
      </c>
      <c r="S67" s="30" t="s">
        <v>2470</v>
      </c>
      <c r="T67" s="30" t="s">
        <v>2627</v>
      </c>
      <c r="U67" s="30" t="s">
        <v>2470</v>
      </c>
    </row>
    <row r="68" spans="1:21" ht="12.9">
      <c r="A68" s="179"/>
      <c r="B68" s="179"/>
      <c r="D68" s="179" t="s">
        <v>180</v>
      </c>
      <c r="E68" s="181" t="s">
        <v>180</v>
      </c>
      <c r="S68" s="30" t="s">
        <v>2470</v>
      </c>
      <c r="T68" s="30" t="s">
        <v>2633</v>
      </c>
      <c r="U68" s="30" t="s">
        <v>2470</v>
      </c>
    </row>
    <row r="69" spans="1:21" ht="12.9">
      <c r="A69" s="179"/>
      <c r="B69" s="179"/>
      <c r="D69" s="179" t="s">
        <v>2289</v>
      </c>
      <c r="E69" s="181" t="s">
        <v>2316</v>
      </c>
      <c r="S69" s="30" t="s">
        <v>2470</v>
      </c>
      <c r="T69" s="30" t="s">
        <v>990</v>
      </c>
      <c r="U69" s="30" t="s">
        <v>2470</v>
      </c>
    </row>
    <row r="70" spans="1:21">
      <c r="A70" s="179"/>
      <c r="B70" s="179"/>
      <c r="D70" s="179"/>
      <c r="E70" s="181"/>
    </row>
    <row r="71" spans="1:21">
      <c r="A71" s="179"/>
      <c r="B71" s="179"/>
      <c r="D71" s="179"/>
      <c r="E71" s="181"/>
    </row>
    <row r="72" spans="1:21">
      <c r="A72" s="179"/>
      <c r="B72" s="179"/>
      <c r="D72" s="179"/>
      <c r="E72" s="181"/>
    </row>
    <row r="73" spans="1:21">
      <c r="A73" s="179"/>
      <c r="B73" s="179"/>
      <c r="D73" s="179"/>
      <c r="E73" s="181"/>
    </row>
    <row r="74" spans="1:21">
      <c r="A74" s="179"/>
      <c r="B74" s="179"/>
      <c r="D74" s="179"/>
      <c r="E74" s="181"/>
    </row>
    <row r="75" spans="1:21">
      <c r="A75" s="179"/>
      <c r="B75" s="179"/>
      <c r="D75" s="179"/>
      <c r="E75" s="181"/>
    </row>
    <row r="76" spans="1:21">
      <c r="A76" s="179"/>
      <c r="B76" s="179"/>
      <c r="D76" s="179"/>
      <c r="E76" s="181"/>
    </row>
    <row r="77" spans="1:21">
      <c r="A77" s="179"/>
      <c r="B77" s="179"/>
      <c r="D77" s="179"/>
      <c r="E77" s="181"/>
    </row>
    <row r="78" spans="1:21">
      <c r="A78" s="179"/>
      <c r="B78" s="179"/>
      <c r="D78" s="179"/>
      <c r="E78" s="181"/>
    </row>
    <row r="79" spans="1:21">
      <c r="A79" s="179"/>
      <c r="B79" s="179"/>
      <c r="D79" s="179"/>
      <c r="E79" s="181"/>
    </row>
    <row r="80" spans="1:21">
      <c r="A80" s="179"/>
      <c r="B80" s="179"/>
      <c r="D80" s="179"/>
      <c r="E80" s="181"/>
    </row>
    <row r="81" spans="1:5">
      <c r="A81" s="179"/>
      <c r="B81" s="179"/>
      <c r="D81" s="179"/>
      <c r="E81" s="181"/>
    </row>
    <row r="82" spans="1:5">
      <c r="A82" s="179"/>
      <c r="B82" s="179"/>
      <c r="D82" s="179"/>
      <c r="E82" s="181"/>
    </row>
    <row r="83" spans="1:5">
      <c r="A83" s="179"/>
      <c r="B83" s="179"/>
      <c r="D83" s="179"/>
      <c r="E83" s="181"/>
    </row>
    <row r="84" spans="1:5">
      <c r="A84" s="179"/>
      <c r="B84" s="179"/>
      <c r="D84" s="179"/>
      <c r="E84" s="181"/>
    </row>
    <row r="85" spans="1:5">
      <c r="A85" s="179"/>
      <c r="B85" s="179"/>
      <c r="D85" s="179"/>
      <c r="E85" s="181"/>
    </row>
    <row r="86" spans="1:5">
      <c r="A86" s="179"/>
      <c r="B86" s="179"/>
      <c r="D86" s="179"/>
      <c r="E86" s="181"/>
    </row>
    <row r="87" spans="1:5">
      <c r="A87" s="179"/>
      <c r="B87" s="179"/>
      <c r="D87" s="179"/>
      <c r="E87" s="181"/>
    </row>
    <row r="88" spans="1:5">
      <c r="A88" s="179"/>
      <c r="B88" s="179"/>
      <c r="D88" s="179"/>
      <c r="E88" s="181"/>
    </row>
    <row r="89" spans="1:5">
      <c r="A89" s="179"/>
      <c r="B89" s="179"/>
      <c r="D89" s="179"/>
      <c r="E89" s="181"/>
    </row>
    <row r="90" spans="1:5">
      <c r="A90" s="179"/>
      <c r="B90" s="179"/>
      <c r="D90" s="179"/>
      <c r="E90" s="181"/>
    </row>
    <row r="91" spans="1:5">
      <c r="A91" s="179"/>
      <c r="B91" s="179"/>
      <c r="D91" s="179"/>
      <c r="E91" s="181"/>
    </row>
    <row r="92" spans="1:5">
      <c r="A92" s="179"/>
      <c r="B92" s="179"/>
      <c r="D92" s="179"/>
      <c r="E92" s="181"/>
    </row>
    <row r="93" spans="1:5">
      <c r="A93" s="179"/>
      <c r="B93" s="179"/>
      <c r="D93" s="179"/>
      <c r="E93" s="181"/>
    </row>
    <row r="94" spans="1:5">
      <c r="A94" s="179"/>
      <c r="B94" s="179"/>
      <c r="D94" s="179"/>
      <c r="E94" s="181"/>
    </row>
    <row r="95" spans="1:5">
      <c r="A95" s="179"/>
      <c r="B95" s="179"/>
      <c r="D95" s="179"/>
      <c r="E95" s="181"/>
    </row>
    <row r="96" spans="1:5">
      <c r="A96" s="179"/>
      <c r="B96" s="179"/>
      <c r="D96" s="179"/>
      <c r="E96" s="181"/>
    </row>
    <row r="97" spans="1:5">
      <c r="A97" s="179"/>
      <c r="B97" s="179"/>
      <c r="D97" s="179"/>
      <c r="E97" s="181"/>
    </row>
    <row r="98" spans="1:5">
      <c r="A98" s="179"/>
      <c r="B98" s="179"/>
      <c r="D98" s="179"/>
      <c r="E98" s="181"/>
    </row>
    <row r="99" spans="1:5">
      <c r="A99" s="179"/>
      <c r="B99" s="179"/>
      <c r="D99" s="179"/>
      <c r="E99" s="181"/>
    </row>
    <row r="100" spans="1:5">
      <c r="A100" s="179"/>
      <c r="B100" s="179"/>
      <c r="D100" s="179"/>
      <c r="E100" s="181"/>
    </row>
    <row r="101" spans="1:5">
      <c r="A101" s="179"/>
      <c r="B101" s="179"/>
      <c r="D101" s="179"/>
      <c r="E101" s="181"/>
    </row>
    <row r="102" spans="1:5">
      <c r="A102" s="179"/>
      <c r="B102" s="179"/>
      <c r="D102" s="179"/>
      <c r="E102" s="181"/>
    </row>
    <row r="103" spans="1:5">
      <c r="A103" s="179"/>
      <c r="B103" s="179"/>
      <c r="D103" s="179"/>
      <c r="E103" s="181"/>
    </row>
    <row r="104" spans="1:5">
      <c r="A104" s="179"/>
      <c r="B104" s="179"/>
      <c r="D104" s="179"/>
      <c r="E104" s="181"/>
    </row>
    <row r="105" spans="1:5">
      <c r="A105" s="179"/>
      <c r="B105" s="179"/>
      <c r="D105" s="179"/>
      <c r="E105" s="181"/>
    </row>
    <row r="106" spans="1:5">
      <c r="A106" s="179"/>
      <c r="B106" s="179"/>
      <c r="D106" s="179"/>
      <c r="E106" s="181"/>
    </row>
    <row r="107" spans="1:5">
      <c r="A107" s="179"/>
      <c r="B107" s="179"/>
      <c r="D107" s="179"/>
      <c r="E107" s="181"/>
    </row>
    <row r="108" spans="1:5">
      <c r="A108" s="179"/>
      <c r="B108" s="179"/>
      <c r="D108" s="179"/>
      <c r="E108" s="181"/>
    </row>
    <row r="109" spans="1:5">
      <c r="A109" s="179"/>
      <c r="B109" s="179"/>
      <c r="D109" s="179"/>
      <c r="E109" s="181"/>
    </row>
    <row r="110" spans="1:5">
      <c r="A110" s="179"/>
      <c r="B110" s="179"/>
      <c r="D110" s="179"/>
      <c r="E110" s="181"/>
    </row>
    <row r="111" spans="1:5">
      <c r="A111" s="179"/>
      <c r="B111" s="179"/>
      <c r="D111" s="179"/>
      <c r="E111" s="181"/>
    </row>
    <row r="112" spans="1:5">
      <c r="A112" s="179"/>
      <c r="B112" s="179"/>
      <c r="D112" s="179"/>
      <c r="E112" s="181"/>
    </row>
    <row r="113" spans="1:5">
      <c r="A113" s="179"/>
      <c r="B113" s="179"/>
      <c r="D113" s="179"/>
      <c r="E113" s="181"/>
    </row>
    <row r="114" spans="1:5">
      <c r="A114" s="179"/>
      <c r="B114" s="179"/>
      <c r="D114" s="179"/>
      <c r="E114" s="181"/>
    </row>
    <row r="115" spans="1:5">
      <c r="A115" s="179"/>
      <c r="B115" s="179"/>
      <c r="D115" s="179"/>
      <c r="E115" s="181"/>
    </row>
    <row r="116" spans="1:5">
      <c r="A116" s="179"/>
      <c r="B116" s="179"/>
      <c r="D116" s="179"/>
      <c r="E116" s="181"/>
    </row>
    <row r="117" spans="1:5">
      <c r="A117" s="179"/>
      <c r="B117" s="179"/>
      <c r="D117" s="179"/>
      <c r="E117" s="181"/>
    </row>
    <row r="118" spans="1:5">
      <c r="A118" s="179"/>
      <c r="B118" s="179"/>
      <c r="D118" s="179"/>
      <c r="E118" s="181"/>
    </row>
    <row r="119" spans="1:5">
      <c r="A119" s="179"/>
      <c r="B119" s="179"/>
      <c r="D119" s="179"/>
      <c r="E119" s="181"/>
    </row>
    <row r="120" spans="1:5">
      <c r="A120" s="179"/>
      <c r="B120" s="179"/>
      <c r="D120" s="179"/>
      <c r="E120" s="181"/>
    </row>
    <row r="121" spans="1:5">
      <c r="A121" s="179"/>
      <c r="B121" s="179"/>
      <c r="D121" s="179"/>
      <c r="E121" s="181"/>
    </row>
    <row r="122" spans="1:5">
      <c r="A122" s="179"/>
      <c r="B122" s="179"/>
      <c r="D122" s="179"/>
      <c r="E122" s="181"/>
    </row>
    <row r="123" spans="1:5">
      <c r="A123" s="179"/>
      <c r="B123" s="179"/>
      <c r="D123" s="179"/>
      <c r="E123" s="181"/>
    </row>
    <row r="124" spans="1:5">
      <c r="A124" s="179"/>
      <c r="B124" s="179"/>
      <c r="D124" s="179"/>
      <c r="E124" s="181"/>
    </row>
    <row r="125" spans="1:5">
      <c r="A125" s="179"/>
      <c r="B125" s="179"/>
      <c r="D125" s="179"/>
      <c r="E125" s="181"/>
    </row>
    <row r="126" spans="1:5">
      <c r="A126" s="179"/>
      <c r="B126" s="179"/>
      <c r="D126" s="179"/>
      <c r="E126" s="181"/>
    </row>
    <row r="127" spans="1:5">
      <c r="A127" s="179"/>
      <c r="B127" s="179"/>
      <c r="D127" s="179"/>
      <c r="E127" s="181"/>
    </row>
    <row r="128" spans="1:5">
      <c r="A128" s="179"/>
      <c r="B128" s="179"/>
      <c r="D128" s="179"/>
      <c r="E128" s="181"/>
    </row>
    <row r="129" spans="1:5">
      <c r="A129" s="179"/>
      <c r="B129" s="179"/>
      <c r="D129" s="179"/>
      <c r="E129" s="181"/>
    </row>
    <row r="130" spans="1:5">
      <c r="A130" s="179"/>
      <c r="B130" s="179"/>
      <c r="D130" s="179"/>
      <c r="E130" s="181"/>
    </row>
    <row r="131" spans="1:5">
      <c r="A131" s="179"/>
      <c r="B131" s="179"/>
      <c r="D131" s="179"/>
      <c r="E131" s="181"/>
    </row>
    <row r="132" spans="1:5">
      <c r="A132" s="179"/>
      <c r="B132" s="179"/>
      <c r="D132" s="179"/>
      <c r="E132" s="181"/>
    </row>
    <row r="133" spans="1:5">
      <c r="A133" s="179"/>
      <c r="B133" s="179"/>
      <c r="D133" s="179"/>
      <c r="E133" s="181"/>
    </row>
    <row r="134" spans="1:5">
      <c r="A134" s="179"/>
      <c r="B134" s="179"/>
      <c r="D134" s="179"/>
      <c r="E134" s="181"/>
    </row>
    <row r="135" spans="1:5">
      <c r="A135" s="179"/>
      <c r="B135" s="179"/>
      <c r="D135" s="179"/>
      <c r="E135" s="181"/>
    </row>
    <row r="136" spans="1:5">
      <c r="A136" s="179"/>
      <c r="B136" s="179"/>
      <c r="D136" s="179"/>
      <c r="E136" s="181"/>
    </row>
    <row r="137" spans="1:5">
      <c r="A137" s="183"/>
      <c r="B137" s="183"/>
      <c r="D137" s="179"/>
      <c r="E137" s="181"/>
    </row>
    <row r="138" spans="1:5">
      <c r="A138" s="183"/>
      <c r="B138" s="183"/>
      <c r="D138" s="179"/>
      <c r="E138" s="181"/>
    </row>
    <row r="139" spans="1:5">
      <c r="A139" s="183"/>
      <c r="B139" s="183"/>
      <c r="D139" s="179"/>
      <c r="E139" s="181"/>
    </row>
    <row r="140" spans="1:5">
      <c r="A140" s="183"/>
      <c r="B140" s="183"/>
      <c r="D140" s="181"/>
      <c r="E140" s="181"/>
    </row>
    <row r="141" spans="1:5">
      <c r="A141" s="183"/>
      <c r="B141" s="183"/>
      <c r="D141" s="179"/>
      <c r="E141" s="181"/>
    </row>
    <row r="142" spans="1:5">
      <c r="A142" s="183"/>
      <c r="B142" s="183"/>
      <c r="D142" s="179"/>
      <c r="E142" s="181"/>
    </row>
    <row r="143" spans="1:5">
      <c r="D143" s="179"/>
      <c r="E143" s="181"/>
    </row>
    <row r="144" spans="1:5">
      <c r="D144" s="179"/>
      <c r="E144" s="181"/>
    </row>
    <row r="145" spans="4:5">
      <c r="D145" s="179"/>
      <c r="E145" s="181"/>
    </row>
    <row r="146" spans="4:5">
      <c r="D146" s="181"/>
      <c r="E146" s="181"/>
    </row>
    <row r="147" spans="4:5">
      <c r="D147" s="179"/>
      <c r="E147" s="184"/>
    </row>
    <row r="148" spans="4:5">
      <c r="D148" s="179"/>
      <c r="E148" s="184"/>
    </row>
    <row r="149" spans="4:5">
      <c r="D149" s="179"/>
      <c r="E149" s="184"/>
    </row>
    <row r="150" spans="4:5">
      <c r="D150" s="179"/>
      <c r="E150" s="184"/>
    </row>
    <row r="151" spans="4:5">
      <c r="D151" s="179"/>
      <c r="E151" s="184"/>
    </row>
    <row r="409" spans="17:18">
      <c r="Q409" s="182"/>
      <c r="R409" s="190"/>
    </row>
    <row r="410" spans="17:18">
      <c r="Q410" s="182"/>
      <c r="R410" s="190"/>
    </row>
    <row r="411" spans="17:18">
      <c r="Q411" s="182"/>
      <c r="R411" s="190"/>
    </row>
    <row r="412" spans="17:18">
      <c r="Q412" s="182"/>
      <c r="R412" s="190"/>
    </row>
    <row r="416" spans="17:18">
      <c r="Q416" s="182"/>
      <c r="R416" s="190"/>
    </row>
    <row r="417" spans="17:18">
      <c r="Q417" s="182"/>
      <c r="R417" s="190"/>
    </row>
    <row r="418" spans="17:18">
      <c r="Q418" s="182"/>
      <c r="R418" s="190"/>
    </row>
    <row r="419" spans="17:18">
      <c r="Q419" s="182"/>
      <c r="R419" s="190"/>
    </row>
    <row r="420" spans="17:18">
      <c r="Q420" s="182"/>
      <c r="R420" s="190"/>
    </row>
    <row r="421" spans="17:18">
      <c r="Q421" s="182"/>
      <c r="R421" s="190"/>
    </row>
    <row r="422" spans="17:18">
      <c r="Q422" s="182"/>
      <c r="R422" s="190"/>
    </row>
    <row r="423" spans="17:18">
      <c r="Q423" s="182"/>
      <c r="R423" s="190"/>
    </row>
    <row r="424" spans="17:18">
      <c r="Q424" s="182"/>
      <c r="R424" s="190"/>
    </row>
    <row r="425" spans="17:18">
      <c r="Q425" s="182"/>
      <c r="R425" s="190"/>
    </row>
    <row r="426" spans="17:18">
      <c r="Q426" s="182"/>
      <c r="R426" s="190"/>
    </row>
    <row r="427" spans="17:18">
      <c r="Q427" s="182"/>
      <c r="R427" s="190"/>
    </row>
    <row r="428" spans="17:18">
      <c r="Q428" s="182"/>
      <c r="R428" s="190"/>
    </row>
    <row r="429" spans="17:18">
      <c r="Q429" s="182"/>
      <c r="R429" s="190"/>
    </row>
    <row r="430" spans="17:18">
      <c r="Q430" s="182"/>
      <c r="R430" s="190"/>
    </row>
    <row r="431" spans="17:18">
      <c r="Q431" s="182"/>
      <c r="R431" s="190"/>
    </row>
    <row r="432" spans="17:18">
      <c r="Q432" s="182"/>
      <c r="R432" s="190"/>
    </row>
    <row r="433" spans="17:18">
      <c r="Q433" s="182"/>
      <c r="R433" s="190"/>
    </row>
    <row r="434" spans="17:18">
      <c r="Q434" s="182"/>
      <c r="R434" s="190"/>
    </row>
    <row r="435" spans="17:18">
      <c r="Q435" s="182"/>
      <c r="R435" s="190"/>
    </row>
    <row r="436" spans="17:18">
      <c r="Q436" s="182"/>
      <c r="R436" s="190"/>
    </row>
    <row r="437" spans="17:18">
      <c r="Q437" s="182"/>
      <c r="R437" s="190"/>
    </row>
    <row r="438" spans="17:18">
      <c r="Q438" s="182"/>
      <c r="R438" s="190"/>
    </row>
    <row r="439" spans="17:18">
      <c r="Q439" s="182"/>
      <c r="R439" s="190"/>
    </row>
    <row r="440" spans="17:18">
      <c r="Q440" s="182"/>
      <c r="R440" s="190"/>
    </row>
    <row r="441" spans="17:18">
      <c r="Q441" s="182"/>
      <c r="R441" s="190"/>
    </row>
    <row r="442" spans="17:18">
      <c r="Q442" s="182"/>
      <c r="R442" s="190"/>
    </row>
    <row r="443" spans="17:18">
      <c r="Q443" s="182"/>
      <c r="R443" s="190"/>
    </row>
    <row r="444" spans="17:18">
      <c r="Q444" s="182"/>
      <c r="R444" s="190"/>
    </row>
    <row r="445" spans="17:18">
      <c r="Q445" s="182"/>
      <c r="R445" s="190"/>
    </row>
    <row r="446" spans="17:18">
      <c r="Q446" s="182"/>
      <c r="R446" s="190"/>
    </row>
    <row r="447" spans="17:18">
      <c r="Q447" s="182"/>
      <c r="R447" s="190"/>
    </row>
    <row r="448" spans="17:18">
      <c r="Q448" s="182"/>
      <c r="R448" s="190"/>
    </row>
    <row r="449" spans="17:18">
      <c r="Q449" s="182"/>
      <c r="R449" s="190"/>
    </row>
    <row r="450" spans="17:18">
      <c r="Q450" s="182"/>
      <c r="R450" s="190"/>
    </row>
    <row r="451" spans="17:18">
      <c r="Q451" s="182"/>
      <c r="R451" s="190"/>
    </row>
    <row r="452" spans="17:18">
      <c r="Q452" s="182"/>
      <c r="R452" s="190"/>
    </row>
    <row r="453" spans="17:18">
      <c r="Q453" s="182"/>
      <c r="R453" s="190"/>
    </row>
    <row r="454" spans="17:18">
      <c r="Q454" s="182"/>
      <c r="R454" s="190"/>
    </row>
    <row r="455" spans="17:18">
      <c r="Q455" s="182"/>
      <c r="R455" s="190"/>
    </row>
    <row r="456" spans="17:18">
      <c r="Q456" s="182"/>
      <c r="R456" s="190"/>
    </row>
    <row r="457" spans="17:18">
      <c r="Q457" s="182"/>
      <c r="R457" s="190"/>
    </row>
    <row r="458" spans="17:18">
      <c r="Q458" s="182"/>
      <c r="R458" s="190"/>
    </row>
    <row r="459" spans="17:18">
      <c r="Q459" s="182"/>
      <c r="R459" s="190"/>
    </row>
    <row r="460" spans="17:18">
      <c r="Q460" s="182"/>
      <c r="R460" s="190"/>
    </row>
    <row r="461" spans="17:18">
      <c r="Q461" s="182"/>
      <c r="R461" s="190"/>
    </row>
    <row r="462" spans="17:18">
      <c r="Q462" s="182"/>
      <c r="R462" s="190"/>
    </row>
    <row r="463" spans="17:18">
      <c r="Q463" s="182"/>
      <c r="R463" s="190"/>
    </row>
    <row r="464" spans="17:18">
      <c r="Q464" s="182"/>
      <c r="R464" s="190"/>
    </row>
    <row r="465" spans="17:18">
      <c r="Q465" s="182"/>
      <c r="R465" s="190"/>
    </row>
    <row r="466" spans="17:18">
      <c r="Q466" s="182"/>
      <c r="R466" s="190"/>
    </row>
    <row r="467" spans="17:18">
      <c r="Q467" s="182"/>
      <c r="R467" s="190"/>
    </row>
    <row r="468" spans="17:18">
      <c r="Q468" s="182"/>
      <c r="R468" s="190"/>
    </row>
    <row r="469" spans="17:18">
      <c r="Q469" s="182"/>
      <c r="R469" s="190"/>
    </row>
    <row r="470" spans="17:18">
      <c r="Q470" s="182"/>
      <c r="R470" s="190"/>
    </row>
    <row r="471" spans="17:18">
      <c r="Q471" s="182"/>
      <c r="R471" s="190"/>
    </row>
    <row r="472" spans="17:18">
      <c r="Q472" s="182"/>
      <c r="R472" s="190"/>
    </row>
    <row r="473" spans="17:18">
      <c r="Q473" s="182"/>
      <c r="R473" s="190"/>
    </row>
    <row r="474" spans="17:18">
      <c r="Q474" s="182"/>
      <c r="R474" s="190"/>
    </row>
    <row r="475" spans="17:18">
      <c r="Q475" s="182"/>
      <c r="R475" s="190"/>
    </row>
    <row r="476" spans="17:18">
      <c r="Q476" s="182"/>
      <c r="R476" s="190"/>
    </row>
    <row r="477" spans="17:18">
      <c r="Q477" s="182"/>
      <c r="R477" s="190"/>
    </row>
    <row r="478" spans="17:18">
      <c r="Q478" s="182"/>
      <c r="R478" s="190"/>
    </row>
    <row r="479" spans="17:18">
      <c r="Q479" s="182"/>
      <c r="R479" s="190"/>
    </row>
    <row r="480" spans="17:18">
      <c r="Q480" s="182"/>
      <c r="R480" s="190"/>
    </row>
    <row r="481" spans="17:18">
      <c r="Q481" s="182"/>
      <c r="R481" s="190"/>
    </row>
    <row r="482" spans="17:18">
      <c r="Q482" s="182"/>
      <c r="R482" s="190"/>
    </row>
    <row r="483" spans="17:18">
      <c r="Q483" s="182"/>
      <c r="R483" s="190"/>
    </row>
    <row r="484" spans="17:18">
      <c r="Q484" s="182"/>
      <c r="R484" s="190"/>
    </row>
    <row r="485" spans="17:18">
      <c r="Q485" s="182"/>
      <c r="R485" s="190"/>
    </row>
    <row r="486" spans="17:18">
      <c r="Q486" s="182"/>
      <c r="R486" s="190"/>
    </row>
    <row r="487" spans="17:18">
      <c r="Q487" s="182"/>
      <c r="R487" s="190"/>
    </row>
    <row r="488" spans="17:18">
      <c r="Q488" s="182"/>
      <c r="R488" s="190"/>
    </row>
    <row r="489" spans="17:18">
      <c r="Q489" s="182"/>
      <c r="R489" s="190"/>
    </row>
    <row r="490" spans="17:18">
      <c r="Q490" s="182"/>
      <c r="R490" s="190"/>
    </row>
    <row r="491" spans="17:18">
      <c r="Q491" s="182"/>
      <c r="R491" s="190"/>
    </row>
    <row r="492" spans="17:18">
      <c r="Q492" s="182"/>
      <c r="R492" s="190"/>
    </row>
    <row r="493" spans="17:18">
      <c r="Q493" s="182"/>
      <c r="R493" s="190"/>
    </row>
    <row r="494" spans="17:18">
      <c r="Q494" s="182"/>
      <c r="R494" s="190"/>
    </row>
    <row r="495" spans="17:18">
      <c r="Q495" s="182"/>
      <c r="R495" s="190"/>
    </row>
    <row r="496" spans="17:18">
      <c r="Q496" s="182"/>
      <c r="R496" s="190"/>
    </row>
    <row r="497" spans="17:18">
      <c r="Q497" s="182"/>
      <c r="R497" s="190"/>
    </row>
    <row r="498" spans="17:18">
      <c r="Q498" s="182"/>
      <c r="R498" s="190"/>
    </row>
    <row r="499" spans="17:18">
      <c r="Q499" s="182"/>
      <c r="R499" s="190"/>
    </row>
    <row r="500" spans="17:18">
      <c r="Q500" s="182"/>
      <c r="R500" s="190"/>
    </row>
    <row r="501" spans="17:18">
      <c r="Q501" s="182"/>
      <c r="R501" s="190"/>
    </row>
    <row r="502" spans="17:18">
      <c r="Q502" s="182"/>
      <c r="R502" s="190"/>
    </row>
    <row r="503" spans="17:18">
      <c r="Q503" s="182"/>
      <c r="R503" s="190"/>
    </row>
    <row r="504" spans="17:18">
      <c r="Q504" s="182"/>
      <c r="R504" s="190"/>
    </row>
    <row r="505" spans="17:18">
      <c r="Q505" s="182"/>
      <c r="R505" s="190"/>
    </row>
    <row r="506" spans="17:18">
      <c r="Q506" s="182"/>
      <c r="R506" s="190"/>
    </row>
    <row r="507" spans="17:18">
      <c r="Q507" s="182"/>
      <c r="R507" s="190"/>
    </row>
    <row r="508" spans="17:18">
      <c r="Q508" s="182"/>
      <c r="R508" s="190"/>
    </row>
    <row r="509" spans="17:18">
      <c r="Q509" s="182"/>
      <c r="R509" s="190"/>
    </row>
    <row r="510" spans="17:18">
      <c r="Q510" s="182"/>
      <c r="R510" s="190"/>
    </row>
    <row r="511" spans="17:18">
      <c r="Q511" s="182"/>
      <c r="R511" s="190"/>
    </row>
    <row r="512" spans="17:18">
      <c r="Q512" s="182"/>
      <c r="R512" s="190"/>
    </row>
    <row r="513" spans="17:18">
      <c r="Q513" s="182"/>
      <c r="R513" s="190"/>
    </row>
    <row r="514" spans="17:18">
      <c r="Q514" s="182"/>
      <c r="R514" s="190"/>
    </row>
    <row r="515" spans="17:18">
      <c r="Q515" s="182"/>
      <c r="R515" s="190"/>
    </row>
    <row r="516" spans="17:18">
      <c r="Q516" s="182"/>
      <c r="R516" s="190"/>
    </row>
    <row r="517" spans="17:18">
      <c r="Q517" s="182"/>
      <c r="R517" s="190"/>
    </row>
    <row r="518" spans="17:18">
      <c r="Q518" s="182"/>
      <c r="R518" s="190"/>
    </row>
    <row r="519" spans="17:18">
      <c r="Q519" s="182"/>
      <c r="R519" s="190"/>
    </row>
    <row r="520" spans="17:18">
      <c r="Q520" s="182"/>
      <c r="R520" s="190"/>
    </row>
    <row r="521" spans="17:18">
      <c r="Q521" s="182"/>
      <c r="R521" s="190"/>
    </row>
    <row r="522" spans="17:18">
      <c r="Q522" s="182"/>
      <c r="R522" s="190"/>
    </row>
    <row r="523" spans="17:18">
      <c r="Q523" s="182"/>
      <c r="R523" s="190"/>
    </row>
    <row r="524" spans="17:18">
      <c r="Q524" s="182"/>
      <c r="R524" s="190"/>
    </row>
    <row r="525" spans="17:18">
      <c r="Q525" s="182"/>
      <c r="R525" s="190"/>
    </row>
    <row r="526" spans="17:18">
      <c r="Q526" s="182"/>
      <c r="R526" s="190"/>
    </row>
    <row r="527" spans="17:18">
      <c r="Q527" s="182"/>
      <c r="R527" s="190"/>
    </row>
    <row r="528" spans="17:18">
      <c r="Q528" s="182"/>
      <c r="R528" s="190"/>
    </row>
    <row r="529" spans="17:18">
      <c r="Q529" s="182"/>
      <c r="R529" s="190"/>
    </row>
    <row r="530" spans="17:18">
      <c r="Q530" s="182"/>
      <c r="R530" s="190"/>
    </row>
    <row r="531" spans="17:18">
      <c r="Q531" s="182"/>
      <c r="R531" s="190"/>
    </row>
    <row r="532" spans="17:18">
      <c r="Q532" s="182"/>
      <c r="R532" s="190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32"/>
  <sheetViews>
    <sheetView workbookViewId="0">
      <pane ySplit="4" topLeftCell="A5" activePane="bottomLeft" state="frozen"/>
      <selection activeCell="D16" sqref="D16"/>
      <selection pane="bottomLeft" activeCell="D5" sqref="D5"/>
    </sheetView>
  </sheetViews>
  <sheetFormatPr defaultColWidth="9.125" defaultRowHeight="10.9"/>
  <cols>
    <col min="1" max="1" width="7.875" style="180" customWidth="1"/>
    <col min="2" max="2" width="15" style="180" customWidth="1"/>
    <col min="3" max="3" width="2.375" style="188" customWidth="1"/>
    <col min="4" max="4" width="18.875" style="180" customWidth="1"/>
    <col min="5" max="5" width="12.375" style="180" customWidth="1"/>
    <col min="6" max="6" width="1.625" style="188" customWidth="1"/>
    <col min="7" max="7" width="13.75" style="180" customWidth="1"/>
    <col min="8" max="8" width="30.75" style="180" customWidth="1"/>
    <col min="9" max="9" width="10.25" style="180" customWidth="1"/>
    <col min="10" max="10" width="1.625" style="188" customWidth="1"/>
    <col min="11" max="11" width="14.75" style="180" customWidth="1"/>
    <col min="12" max="12" width="17.625" style="180" customWidth="1"/>
    <col min="13" max="13" width="15.125" style="180" customWidth="1"/>
    <col min="14" max="14" width="2.125" style="188" customWidth="1"/>
    <col min="15" max="15" width="9.125" style="180"/>
    <col min="16" max="16" width="16.75" style="180" customWidth="1"/>
    <col min="17" max="17" width="11.25" style="180" customWidth="1"/>
    <col min="18" max="18" width="1.875" style="188" customWidth="1"/>
    <col min="19" max="19" width="15.25" style="180" customWidth="1"/>
    <col min="20" max="20" width="16.375" style="180" customWidth="1"/>
    <col min="21" max="21" width="13.375" style="180" customWidth="1"/>
    <col min="22" max="16384" width="9.125" style="174"/>
  </cols>
  <sheetData>
    <row r="1" spans="1:21">
      <c r="A1" s="172" t="s">
        <v>11</v>
      </c>
      <c r="B1" s="173" t="s">
        <v>2516</v>
      </c>
      <c r="C1" s="185"/>
      <c r="D1" s="174"/>
      <c r="E1" s="174"/>
      <c r="F1" s="185"/>
      <c r="G1" s="174"/>
      <c r="H1" s="174"/>
      <c r="I1" s="174"/>
      <c r="J1" s="185"/>
      <c r="K1" s="174"/>
      <c r="L1" s="174"/>
      <c r="M1" s="174"/>
      <c r="N1" s="185"/>
      <c r="O1" s="174"/>
      <c r="P1" s="174"/>
      <c r="Q1" s="174"/>
      <c r="R1" s="185"/>
      <c r="S1" s="174"/>
      <c r="T1" s="174"/>
      <c r="U1" s="174"/>
    </row>
    <row r="2" spans="1:21">
      <c r="A2" s="174"/>
      <c r="B2" s="174"/>
      <c r="C2" s="185"/>
      <c r="D2" s="175"/>
      <c r="E2" s="174"/>
      <c r="F2" s="185"/>
      <c r="G2" s="174"/>
      <c r="H2" s="174"/>
      <c r="I2" s="176" t="s">
        <v>2483</v>
      </c>
      <c r="J2" s="185"/>
      <c r="K2" s="174"/>
      <c r="L2" s="174"/>
      <c r="M2" s="174"/>
      <c r="N2" s="185"/>
      <c r="O2" s="174"/>
      <c r="P2" s="174"/>
      <c r="Q2" s="176" t="s">
        <v>2483</v>
      </c>
      <c r="R2" s="185"/>
      <c r="S2" s="174"/>
      <c r="T2" s="174"/>
      <c r="U2" s="174"/>
    </row>
    <row r="3" spans="1:21" ht="32.6">
      <c r="A3" s="177" t="s">
        <v>921</v>
      </c>
      <c r="B3" s="177"/>
      <c r="C3" s="186"/>
      <c r="D3" s="176" t="s">
        <v>2337</v>
      </c>
      <c r="E3" s="174" t="s">
        <v>2487</v>
      </c>
      <c r="F3" s="186"/>
      <c r="G3" s="177" t="s">
        <v>1823</v>
      </c>
      <c r="H3" s="177"/>
      <c r="I3" s="178" t="s">
        <v>2486</v>
      </c>
      <c r="J3" s="189"/>
      <c r="K3" s="177" t="s">
        <v>2338</v>
      </c>
      <c r="L3" s="174" t="s">
        <v>2488</v>
      </c>
      <c r="M3" s="176"/>
      <c r="N3" s="186"/>
      <c r="O3" s="177" t="s">
        <v>1824</v>
      </c>
      <c r="P3" s="177"/>
      <c r="Q3" s="176" t="s">
        <v>2482</v>
      </c>
      <c r="R3" s="189"/>
      <c r="S3" s="176" t="s">
        <v>2339</v>
      </c>
      <c r="T3" s="174" t="s">
        <v>2489</v>
      </c>
      <c r="U3" s="176"/>
    </row>
    <row r="4" spans="1:21">
      <c r="A4" s="172" t="s">
        <v>922</v>
      </c>
      <c r="B4" s="172" t="s">
        <v>1795</v>
      </c>
      <c r="C4" s="187"/>
      <c r="D4" s="172" t="s">
        <v>924</v>
      </c>
      <c r="E4" s="172"/>
      <c r="F4" s="187"/>
      <c r="G4" s="172"/>
      <c r="H4" s="172" t="s">
        <v>1795</v>
      </c>
      <c r="I4" s="176"/>
      <c r="J4" s="189"/>
      <c r="K4" s="176" t="s">
        <v>1793</v>
      </c>
      <c r="L4" s="176" t="s">
        <v>1794</v>
      </c>
      <c r="M4" s="176" t="s">
        <v>2473</v>
      </c>
      <c r="N4" s="187"/>
      <c r="O4" s="172"/>
      <c r="P4" s="172" t="s">
        <v>1795</v>
      </c>
      <c r="Q4" s="176"/>
      <c r="R4" s="189"/>
      <c r="S4" s="176" t="s">
        <v>1793</v>
      </c>
      <c r="T4" s="176" t="s">
        <v>1792</v>
      </c>
      <c r="U4" s="176" t="s">
        <v>2474</v>
      </c>
    </row>
    <row r="5" spans="1:21" ht="12.9">
      <c r="A5" s="179" t="s">
        <v>2495</v>
      </c>
      <c r="B5" s="179" t="s">
        <v>2495</v>
      </c>
      <c r="D5" s="180" t="s">
        <v>2289</v>
      </c>
      <c r="E5" s="181" t="s">
        <v>80</v>
      </c>
      <c r="G5" s="180" t="s">
        <v>27</v>
      </c>
      <c r="H5" s="180" t="s">
        <v>27</v>
      </c>
      <c r="I5" s="180" t="s">
        <v>2464</v>
      </c>
      <c r="K5" s="180" t="s">
        <v>27</v>
      </c>
      <c r="L5" s="180" t="s">
        <v>27</v>
      </c>
      <c r="M5" s="180" t="s">
        <v>2464</v>
      </c>
      <c r="O5" s="180" t="s">
        <v>2463</v>
      </c>
      <c r="P5" s="182" t="s">
        <v>2512</v>
      </c>
      <c r="Q5" s="180" t="s">
        <v>2463</v>
      </c>
      <c r="S5" s="29" t="s">
        <v>2463</v>
      </c>
      <c r="T5" s="30" t="s">
        <v>939</v>
      </c>
      <c r="U5" s="30" t="s">
        <v>2463</v>
      </c>
    </row>
    <row r="6" spans="1:21" ht="12.9">
      <c r="A6" s="179" t="s">
        <v>2496</v>
      </c>
      <c r="B6" s="179" t="s">
        <v>2497</v>
      </c>
      <c r="D6" s="180" t="s">
        <v>2289</v>
      </c>
      <c r="E6" s="181" t="s">
        <v>81</v>
      </c>
      <c r="G6" s="180" t="s">
        <v>1003</v>
      </c>
      <c r="H6" s="180" t="s">
        <v>2326</v>
      </c>
      <c r="I6" s="180" t="s">
        <v>2465</v>
      </c>
      <c r="K6" s="180" t="s">
        <v>1003</v>
      </c>
      <c r="L6" s="180" t="s">
        <v>1003</v>
      </c>
      <c r="M6" s="180" t="s">
        <v>2465</v>
      </c>
      <c r="O6" s="180" t="s">
        <v>2468</v>
      </c>
      <c r="P6" s="180" t="s">
        <v>2513</v>
      </c>
      <c r="Q6" s="180" t="s">
        <v>2468</v>
      </c>
      <c r="S6" s="29" t="s">
        <v>2463</v>
      </c>
      <c r="T6" s="30" t="s">
        <v>940</v>
      </c>
      <c r="U6" s="30" t="s">
        <v>2463</v>
      </c>
    </row>
    <row r="7" spans="1:21" ht="12.9">
      <c r="A7" s="179" t="s">
        <v>2289</v>
      </c>
      <c r="B7" s="179" t="s">
        <v>243</v>
      </c>
      <c r="D7" s="180" t="s">
        <v>2289</v>
      </c>
      <c r="E7" s="181" t="s">
        <v>82</v>
      </c>
      <c r="G7" s="180" t="s">
        <v>1004</v>
      </c>
      <c r="H7" s="180" t="s">
        <v>2327</v>
      </c>
      <c r="I7" s="180" t="s">
        <v>2466</v>
      </c>
      <c r="K7" s="180" t="s">
        <v>1004</v>
      </c>
      <c r="L7" s="180" t="s">
        <v>1004</v>
      </c>
      <c r="M7" s="180" t="s">
        <v>2466</v>
      </c>
      <c r="O7" s="180" t="s">
        <v>2290</v>
      </c>
      <c r="P7" s="180" t="s">
        <v>2514</v>
      </c>
      <c r="Q7" s="180" t="s">
        <v>2467</v>
      </c>
      <c r="S7" s="29" t="s">
        <v>2463</v>
      </c>
      <c r="T7" s="30" t="s">
        <v>941</v>
      </c>
      <c r="U7" s="30" t="s">
        <v>2463</v>
      </c>
    </row>
    <row r="8" spans="1:21" ht="12.9">
      <c r="A8" s="179" t="s">
        <v>180</v>
      </c>
      <c r="B8" s="179" t="s">
        <v>244</v>
      </c>
      <c r="D8" s="180" t="s">
        <v>2289</v>
      </c>
      <c r="E8" s="181" t="s">
        <v>83</v>
      </c>
      <c r="G8" s="180" t="s">
        <v>1005</v>
      </c>
      <c r="H8" s="180" t="s">
        <v>2328</v>
      </c>
      <c r="I8" s="180" t="s">
        <v>2466</v>
      </c>
      <c r="K8" s="180" t="s">
        <v>1005</v>
      </c>
      <c r="L8" s="180" t="s">
        <v>1005</v>
      </c>
      <c r="M8" s="180" t="s">
        <v>2466</v>
      </c>
      <c r="O8" s="180" t="s">
        <v>2500</v>
      </c>
      <c r="P8" s="180" t="s">
        <v>2503</v>
      </c>
      <c r="Q8" s="180" t="s">
        <v>93</v>
      </c>
      <c r="S8" s="29" t="s">
        <v>2463</v>
      </c>
      <c r="T8" s="30" t="s">
        <v>942</v>
      </c>
      <c r="U8" s="30" t="s">
        <v>2463</v>
      </c>
    </row>
    <row r="9" spans="1:21" ht="12.9">
      <c r="A9" s="179"/>
      <c r="B9" s="179"/>
      <c r="D9" s="180" t="s">
        <v>2289</v>
      </c>
      <c r="E9" s="181" t="s">
        <v>84</v>
      </c>
      <c r="G9" s="180" t="s">
        <v>1006</v>
      </c>
      <c r="H9" s="180" t="s">
        <v>2329</v>
      </c>
      <c r="I9" s="180" t="s">
        <v>2465</v>
      </c>
      <c r="K9" s="180" t="s">
        <v>1006</v>
      </c>
      <c r="L9" s="180" t="s">
        <v>1006</v>
      </c>
      <c r="M9" s="180" t="s">
        <v>2465</v>
      </c>
      <c r="O9" s="180" t="s">
        <v>983</v>
      </c>
      <c r="P9" s="180" t="s">
        <v>2504</v>
      </c>
      <c r="Q9" s="180" t="s">
        <v>983</v>
      </c>
      <c r="S9" s="29" t="s">
        <v>2463</v>
      </c>
      <c r="T9" s="30" t="s">
        <v>943</v>
      </c>
      <c r="U9" s="30" t="s">
        <v>2463</v>
      </c>
    </row>
    <row r="10" spans="1:21" ht="12.9">
      <c r="A10" s="179"/>
      <c r="B10" s="179"/>
      <c r="D10" s="180" t="s">
        <v>2289</v>
      </c>
      <c r="E10" s="181" t="s">
        <v>85</v>
      </c>
      <c r="G10" s="180" t="s">
        <v>1007</v>
      </c>
      <c r="H10" s="180" t="s">
        <v>2330</v>
      </c>
      <c r="I10" s="180" t="s">
        <v>2466</v>
      </c>
      <c r="K10" s="180" t="s">
        <v>1007</v>
      </c>
      <c r="L10" s="180" t="s">
        <v>1007</v>
      </c>
      <c r="M10" s="180" t="s">
        <v>2466</v>
      </c>
      <c r="O10" s="180" t="s">
        <v>2470</v>
      </c>
      <c r="P10" s="180" t="s">
        <v>2505</v>
      </c>
      <c r="Q10" s="180" t="s">
        <v>2469</v>
      </c>
      <c r="S10" s="29" t="s">
        <v>2463</v>
      </c>
      <c r="T10" s="30" t="s">
        <v>944</v>
      </c>
      <c r="U10" s="30" t="s">
        <v>2463</v>
      </c>
    </row>
    <row r="11" spans="1:21" ht="12.9">
      <c r="A11" s="179"/>
      <c r="B11" s="179"/>
      <c r="D11" s="180" t="s">
        <v>2289</v>
      </c>
      <c r="E11" s="181" t="s">
        <v>86</v>
      </c>
      <c r="G11" s="180" t="s">
        <v>1008</v>
      </c>
      <c r="H11" s="180" t="s">
        <v>2331</v>
      </c>
      <c r="I11" s="180" t="s">
        <v>922</v>
      </c>
      <c r="K11" s="180" t="s">
        <v>1008</v>
      </c>
      <c r="L11" s="180" t="s">
        <v>1008</v>
      </c>
      <c r="M11" s="180" t="s">
        <v>922</v>
      </c>
      <c r="S11" s="29" t="s">
        <v>2463</v>
      </c>
      <c r="T11" s="30" t="s">
        <v>945</v>
      </c>
      <c r="U11" s="30" t="s">
        <v>2463</v>
      </c>
    </row>
    <row r="12" spans="1:21" ht="12.9">
      <c r="A12" s="179"/>
      <c r="B12" s="179"/>
      <c r="D12" s="180" t="s">
        <v>2289</v>
      </c>
      <c r="E12" s="181" t="s">
        <v>2230</v>
      </c>
      <c r="G12" s="180" t="s">
        <v>1009</v>
      </c>
      <c r="H12" s="180" t="s">
        <v>2332</v>
      </c>
      <c r="I12" s="180" t="s">
        <v>2464</v>
      </c>
      <c r="K12" s="180" t="s">
        <v>1009</v>
      </c>
      <c r="L12" s="180" t="s">
        <v>1009</v>
      </c>
      <c r="M12" s="180" t="s">
        <v>2464</v>
      </c>
      <c r="S12" s="29" t="s">
        <v>2463</v>
      </c>
      <c r="T12" s="30" t="s">
        <v>946</v>
      </c>
      <c r="U12" s="30" t="s">
        <v>2463</v>
      </c>
    </row>
    <row r="13" spans="1:21" ht="12.9">
      <c r="A13" s="179"/>
      <c r="B13" s="179"/>
      <c r="D13" s="180" t="s">
        <v>2289</v>
      </c>
      <c r="E13" s="181" t="s">
        <v>233</v>
      </c>
      <c r="S13" s="29" t="s">
        <v>2463</v>
      </c>
      <c r="T13" s="30" t="s">
        <v>947</v>
      </c>
      <c r="U13" s="30" t="s">
        <v>2463</v>
      </c>
    </row>
    <row r="14" spans="1:21" ht="12.9">
      <c r="A14" s="179"/>
      <c r="B14" s="179"/>
      <c r="D14" s="180" t="s">
        <v>2289</v>
      </c>
      <c r="E14" s="181" t="s">
        <v>87</v>
      </c>
      <c r="S14" s="29" t="s">
        <v>2463</v>
      </c>
      <c r="T14" s="30" t="s">
        <v>948</v>
      </c>
      <c r="U14" s="30" t="s">
        <v>2463</v>
      </c>
    </row>
    <row r="15" spans="1:21" ht="12.9">
      <c r="A15" s="179"/>
      <c r="B15" s="179"/>
      <c r="D15" s="180" t="s">
        <v>2289</v>
      </c>
      <c r="E15" s="181" t="s">
        <v>88</v>
      </c>
      <c r="S15" s="29" t="s">
        <v>2463</v>
      </c>
      <c r="T15" s="30" t="s">
        <v>949</v>
      </c>
      <c r="U15" s="30" t="s">
        <v>2463</v>
      </c>
    </row>
    <row r="16" spans="1:21" ht="12.9">
      <c r="A16" s="179"/>
      <c r="B16" s="179"/>
      <c r="D16" s="180" t="s">
        <v>2289</v>
      </c>
      <c r="E16" s="181" t="s">
        <v>89</v>
      </c>
      <c r="S16" s="29" t="s">
        <v>2463</v>
      </c>
      <c r="T16" s="30" t="s">
        <v>950</v>
      </c>
      <c r="U16" s="30" t="s">
        <v>2463</v>
      </c>
    </row>
    <row r="17" spans="1:21" ht="12.9">
      <c r="A17" s="179"/>
      <c r="B17" s="179"/>
      <c r="D17" s="180" t="s">
        <v>2289</v>
      </c>
      <c r="E17" s="181" t="s">
        <v>90</v>
      </c>
      <c r="S17" s="29" t="s">
        <v>2463</v>
      </c>
      <c r="T17" s="30" t="s">
        <v>951</v>
      </c>
      <c r="U17" s="30" t="s">
        <v>2463</v>
      </c>
    </row>
    <row r="18" spans="1:21" ht="12.9">
      <c r="A18" s="179"/>
      <c r="B18" s="179"/>
      <c r="D18" s="180" t="s">
        <v>2289</v>
      </c>
      <c r="E18" s="181" t="s">
        <v>91</v>
      </c>
      <c r="S18" s="29" t="s">
        <v>2463</v>
      </c>
      <c r="T18" s="30" t="s">
        <v>952</v>
      </c>
      <c r="U18" s="30" t="s">
        <v>2463</v>
      </c>
    </row>
    <row r="19" spans="1:21" ht="12.9">
      <c r="A19" s="179"/>
      <c r="B19" s="179"/>
      <c r="D19" s="180" t="s">
        <v>2289</v>
      </c>
      <c r="E19" s="181" t="s">
        <v>92</v>
      </c>
      <c r="S19" s="193" t="s">
        <v>2290</v>
      </c>
      <c r="T19" s="193" t="s">
        <v>953</v>
      </c>
      <c r="U19" s="193" t="s">
        <v>2467</v>
      </c>
    </row>
    <row r="20" spans="1:21" ht="12.9">
      <c r="A20" s="179"/>
      <c r="B20" s="179"/>
      <c r="D20" s="180" t="s">
        <v>2289</v>
      </c>
      <c r="E20" s="181" t="s">
        <v>93</v>
      </c>
      <c r="S20" s="82" t="s">
        <v>2290</v>
      </c>
      <c r="T20" s="82" t="s">
        <v>954</v>
      </c>
      <c r="U20" s="82" t="s">
        <v>2467</v>
      </c>
    </row>
    <row r="21" spans="1:21" ht="12.9">
      <c r="A21" s="179"/>
      <c r="B21" s="179"/>
      <c r="D21" s="180" t="s">
        <v>2496</v>
      </c>
      <c r="E21" s="181" t="s">
        <v>94</v>
      </c>
      <c r="S21" s="82" t="s">
        <v>2290</v>
      </c>
      <c r="T21" s="82" t="s">
        <v>955</v>
      </c>
      <c r="U21" s="82" t="s">
        <v>2467</v>
      </c>
    </row>
    <row r="22" spans="1:21" ht="12.9">
      <c r="A22" s="179"/>
      <c r="B22" s="179"/>
      <c r="D22" s="180" t="s">
        <v>2496</v>
      </c>
      <c r="E22" s="181" t="s">
        <v>25</v>
      </c>
      <c r="S22" s="194" t="s">
        <v>2290</v>
      </c>
      <c r="T22" s="194" t="s">
        <v>2563</v>
      </c>
      <c r="U22" s="194" t="s">
        <v>2467</v>
      </c>
    </row>
    <row r="23" spans="1:21" ht="12.9">
      <c r="A23" s="179"/>
      <c r="B23" s="179"/>
      <c r="D23" s="180" t="s">
        <v>2289</v>
      </c>
      <c r="E23" s="181" t="s">
        <v>95</v>
      </c>
      <c r="S23" s="29" t="s">
        <v>2468</v>
      </c>
      <c r="T23" s="30" t="s">
        <v>956</v>
      </c>
      <c r="U23" s="30" t="s">
        <v>2468</v>
      </c>
    </row>
    <row r="24" spans="1:21" ht="12.9">
      <c r="A24" s="179"/>
      <c r="B24" s="179"/>
      <c r="D24" s="180" t="s">
        <v>2289</v>
      </c>
      <c r="E24" s="181" t="s">
        <v>96</v>
      </c>
      <c r="S24" s="29" t="s">
        <v>2468</v>
      </c>
      <c r="T24" s="30" t="s">
        <v>957</v>
      </c>
      <c r="U24" s="30" t="s">
        <v>2468</v>
      </c>
    </row>
    <row r="25" spans="1:21" ht="12.9">
      <c r="A25" s="179"/>
      <c r="B25" s="179"/>
      <c r="D25" s="180" t="s">
        <v>2289</v>
      </c>
      <c r="E25" s="181" t="s">
        <v>97</v>
      </c>
      <c r="S25" s="29" t="s">
        <v>2468</v>
      </c>
      <c r="T25" s="30" t="s">
        <v>958</v>
      </c>
      <c r="U25" s="30" t="s">
        <v>2468</v>
      </c>
    </row>
    <row r="26" spans="1:21" ht="12.9">
      <c r="A26" s="179"/>
      <c r="B26" s="179"/>
      <c r="D26" s="180" t="s">
        <v>2289</v>
      </c>
      <c r="E26" s="181" t="s">
        <v>98</v>
      </c>
      <c r="S26" s="29" t="s">
        <v>2468</v>
      </c>
      <c r="T26" s="30" t="s">
        <v>959</v>
      </c>
      <c r="U26" s="30" t="s">
        <v>2468</v>
      </c>
    </row>
    <row r="27" spans="1:21" ht="12.9">
      <c r="A27" s="179"/>
      <c r="B27" s="179"/>
      <c r="D27" s="180" t="s">
        <v>2289</v>
      </c>
      <c r="E27" s="181" t="s">
        <v>1825</v>
      </c>
      <c r="S27" s="29" t="s">
        <v>2468</v>
      </c>
      <c r="T27" s="30" t="s">
        <v>960</v>
      </c>
      <c r="U27" s="30" t="s">
        <v>2468</v>
      </c>
    </row>
    <row r="28" spans="1:21" ht="12.9">
      <c r="A28" s="179"/>
      <c r="B28" s="179"/>
      <c r="D28" s="180" t="s">
        <v>2289</v>
      </c>
      <c r="E28" s="181" t="s">
        <v>2566</v>
      </c>
      <c r="S28" s="29" t="s">
        <v>2468</v>
      </c>
      <c r="T28" s="30" t="s">
        <v>961</v>
      </c>
      <c r="U28" s="30" t="s">
        <v>2468</v>
      </c>
    </row>
    <row r="29" spans="1:21" ht="12.9">
      <c r="A29" s="179"/>
      <c r="B29" s="179"/>
      <c r="D29" s="180" t="s">
        <v>2289</v>
      </c>
      <c r="E29" s="181" t="s">
        <v>1826</v>
      </c>
      <c r="S29" s="29" t="s">
        <v>2468</v>
      </c>
      <c r="T29" s="30" t="s">
        <v>962</v>
      </c>
      <c r="U29" s="30" t="s">
        <v>2468</v>
      </c>
    </row>
    <row r="30" spans="1:21" ht="12.9">
      <c r="A30" s="179"/>
      <c r="B30" s="179"/>
      <c r="D30" s="180" t="s">
        <v>2495</v>
      </c>
      <c r="E30" s="181" t="s">
        <v>99</v>
      </c>
      <c r="S30" s="29" t="s">
        <v>2468</v>
      </c>
      <c r="T30" s="30" t="s">
        <v>963</v>
      </c>
      <c r="U30" s="30" t="s">
        <v>2468</v>
      </c>
    </row>
    <row r="31" spans="1:21" ht="12.9">
      <c r="A31" s="179"/>
      <c r="B31" s="179"/>
      <c r="D31" s="180" t="s">
        <v>2495</v>
      </c>
      <c r="E31" s="181" t="s">
        <v>112</v>
      </c>
      <c r="S31" s="30" t="s">
        <v>2500</v>
      </c>
      <c r="T31" s="30" t="s">
        <v>964</v>
      </c>
      <c r="U31" s="30" t="s">
        <v>93</v>
      </c>
    </row>
    <row r="32" spans="1:21" ht="12.9">
      <c r="A32" s="179"/>
      <c r="B32" s="179"/>
      <c r="D32" s="180" t="s">
        <v>2495</v>
      </c>
      <c r="E32" s="181" t="s">
        <v>115</v>
      </c>
      <c r="S32" s="30" t="s">
        <v>2500</v>
      </c>
      <c r="T32" s="30" t="s">
        <v>965</v>
      </c>
      <c r="U32" s="30" t="s">
        <v>93</v>
      </c>
    </row>
    <row r="33" spans="1:21" ht="12.9">
      <c r="A33" s="179"/>
      <c r="B33" s="179"/>
      <c r="D33" s="180" t="s">
        <v>2495</v>
      </c>
      <c r="E33" s="181" t="s">
        <v>120</v>
      </c>
      <c r="S33" s="30" t="s">
        <v>2500</v>
      </c>
      <c r="T33" s="30" t="s">
        <v>966</v>
      </c>
      <c r="U33" s="30" t="s">
        <v>93</v>
      </c>
    </row>
    <row r="34" spans="1:21" ht="12.9">
      <c r="A34" s="179"/>
      <c r="B34" s="179"/>
      <c r="D34" s="180" t="s">
        <v>2495</v>
      </c>
      <c r="E34" s="181" t="s">
        <v>100</v>
      </c>
      <c r="S34" s="30" t="s">
        <v>2500</v>
      </c>
      <c r="T34" s="30" t="s">
        <v>967</v>
      </c>
      <c r="U34" s="30" t="s">
        <v>93</v>
      </c>
    </row>
    <row r="35" spans="1:21" ht="12.9">
      <c r="A35" s="179"/>
      <c r="B35" s="179"/>
      <c r="D35" s="180" t="s">
        <v>2495</v>
      </c>
      <c r="E35" s="181" t="s">
        <v>123</v>
      </c>
      <c r="S35" s="30" t="s">
        <v>2500</v>
      </c>
      <c r="T35" s="30" t="s">
        <v>968</v>
      </c>
      <c r="U35" s="30" t="s">
        <v>93</v>
      </c>
    </row>
    <row r="36" spans="1:21" ht="12.9">
      <c r="A36" s="179"/>
      <c r="B36" s="179"/>
      <c r="D36" s="180" t="s">
        <v>2495</v>
      </c>
      <c r="E36" s="181" t="s">
        <v>101</v>
      </c>
      <c r="S36" s="30" t="s">
        <v>2500</v>
      </c>
      <c r="T36" s="30" t="s">
        <v>2231</v>
      </c>
      <c r="U36" s="30" t="s">
        <v>93</v>
      </c>
    </row>
    <row r="37" spans="1:21" ht="12.9">
      <c r="A37" s="179"/>
      <c r="B37" s="179"/>
      <c r="D37" s="180" t="s">
        <v>2495</v>
      </c>
      <c r="E37" s="181" t="s">
        <v>102</v>
      </c>
      <c r="S37" s="30" t="s">
        <v>2500</v>
      </c>
      <c r="T37" s="30" t="s">
        <v>2574</v>
      </c>
      <c r="U37" s="30" t="s">
        <v>93</v>
      </c>
    </row>
    <row r="38" spans="1:21" ht="12.9">
      <c r="A38" s="179"/>
      <c r="B38" s="179"/>
      <c r="D38" s="180" t="s">
        <v>2495</v>
      </c>
      <c r="E38" s="181" t="s">
        <v>103</v>
      </c>
      <c r="S38" s="30" t="s">
        <v>2500</v>
      </c>
      <c r="T38" s="30" t="s">
        <v>2580</v>
      </c>
      <c r="U38" s="30" t="s">
        <v>93</v>
      </c>
    </row>
    <row r="39" spans="1:21" ht="12.9">
      <c r="A39" s="179"/>
      <c r="B39" s="179"/>
      <c r="D39" s="180" t="s">
        <v>2495</v>
      </c>
      <c r="E39" s="181" t="s">
        <v>105</v>
      </c>
      <c r="S39" s="30" t="s">
        <v>2500</v>
      </c>
      <c r="T39" s="30" t="s">
        <v>2586</v>
      </c>
      <c r="U39" s="30" t="s">
        <v>93</v>
      </c>
    </row>
    <row r="40" spans="1:21" ht="12.9">
      <c r="A40" s="179"/>
      <c r="B40" s="179"/>
      <c r="D40" s="180" t="s">
        <v>2495</v>
      </c>
      <c r="E40" s="181" t="s">
        <v>117</v>
      </c>
      <c r="S40" s="30" t="s">
        <v>2500</v>
      </c>
      <c r="T40" s="30" t="s">
        <v>969</v>
      </c>
      <c r="U40" s="30" t="s">
        <v>93</v>
      </c>
    </row>
    <row r="41" spans="1:21" ht="12.9">
      <c r="A41" s="179"/>
      <c r="B41" s="179"/>
      <c r="D41" s="180" t="s">
        <v>2495</v>
      </c>
      <c r="E41" s="181" t="s">
        <v>106</v>
      </c>
      <c r="S41" s="30" t="s">
        <v>2500</v>
      </c>
      <c r="T41" s="30" t="s">
        <v>970</v>
      </c>
      <c r="U41" s="30" t="s">
        <v>93</v>
      </c>
    </row>
    <row r="42" spans="1:21" ht="12.9">
      <c r="A42" s="179"/>
      <c r="B42" s="179"/>
      <c r="D42" s="180" t="s">
        <v>2495</v>
      </c>
      <c r="E42" s="181" t="s">
        <v>107</v>
      </c>
      <c r="S42" s="30" t="s">
        <v>2500</v>
      </c>
      <c r="T42" s="30" t="s">
        <v>971</v>
      </c>
      <c r="U42" s="30" t="s">
        <v>93</v>
      </c>
    </row>
    <row r="43" spans="1:21" ht="12.9">
      <c r="A43" s="179"/>
      <c r="B43" s="179"/>
      <c r="D43" s="180" t="s">
        <v>2495</v>
      </c>
      <c r="E43" s="181" t="s">
        <v>124</v>
      </c>
      <c r="S43" s="30" t="s">
        <v>2500</v>
      </c>
      <c r="T43" s="30" t="s">
        <v>972</v>
      </c>
      <c r="U43" s="30" t="s">
        <v>93</v>
      </c>
    </row>
    <row r="44" spans="1:21" ht="12.9">
      <c r="A44" s="179"/>
      <c r="B44" s="179"/>
      <c r="D44" s="180" t="s">
        <v>2495</v>
      </c>
      <c r="E44" s="181" t="s">
        <v>125</v>
      </c>
      <c r="S44" s="30" t="s">
        <v>2500</v>
      </c>
      <c r="T44" s="30" t="s">
        <v>975</v>
      </c>
      <c r="U44" s="30" t="s">
        <v>93</v>
      </c>
    </row>
    <row r="45" spans="1:21" ht="12.9">
      <c r="A45" s="179"/>
      <c r="B45" s="179"/>
      <c r="D45" s="180" t="s">
        <v>2495</v>
      </c>
      <c r="E45" s="181" t="s">
        <v>113</v>
      </c>
      <c r="S45" s="30" t="s">
        <v>2500</v>
      </c>
      <c r="T45" s="30" t="s">
        <v>2593</v>
      </c>
      <c r="U45" s="30" t="s">
        <v>93</v>
      </c>
    </row>
    <row r="46" spans="1:21" ht="12.9">
      <c r="A46" s="179"/>
      <c r="B46" s="179"/>
      <c r="D46" s="180" t="s">
        <v>2495</v>
      </c>
      <c r="E46" s="181" t="s">
        <v>116</v>
      </c>
      <c r="S46" s="30" t="s">
        <v>2500</v>
      </c>
      <c r="T46" s="30" t="s">
        <v>976</v>
      </c>
      <c r="U46" s="30" t="s">
        <v>93</v>
      </c>
    </row>
    <row r="47" spans="1:21" ht="12.9">
      <c r="A47" s="179"/>
      <c r="B47" s="179"/>
      <c r="D47" s="180" t="s">
        <v>2495</v>
      </c>
      <c r="E47" s="181" t="s">
        <v>108</v>
      </c>
      <c r="S47" s="30" t="s">
        <v>2500</v>
      </c>
      <c r="T47" s="30" t="s">
        <v>973</v>
      </c>
      <c r="U47" s="30" t="s">
        <v>93</v>
      </c>
    </row>
    <row r="48" spans="1:21" ht="12.9">
      <c r="A48" s="179"/>
      <c r="B48" s="179"/>
      <c r="D48" s="180" t="s">
        <v>2495</v>
      </c>
      <c r="E48" s="181" t="s">
        <v>118</v>
      </c>
      <c r="S48" s="30" t="s">
        <v>2500</v>
      </c>
      <c r="T48" s="30" t="s">
        <v>974</v>
      </c>
      <c r="U48" s="30" t="s">
        <v>93</v>
      </c>
    </row>
    <row r="49" spans="1:21" ht="12.9">
      <c r="A49" s="179"/>
      <c r="B49" s="179"/>
      <c r="D49" s="180" t="s">
        <v>2495</v>
      </c>
      <c r="E49" s="181" t="s">
        <v>109</v>
      </c>
      <c r="S49" s="30" t="s">
        <v>2500</v>
      </c>
      <c r="T49" s="30" t="s">
        <v>977</v>
      </c>
      <c r="U49" s="30" t="s">
        <v>93</v>
      </c>
    </row>
    <row r="50" spans="1:21" ht="12.9">
      <c r="A50" s="179"/>
      <c r="B50" s="179"/>
      <c r="D50" s="180" t="s">
        <v>2495</v>
      </c>
      <c r="E50" s="181" t="s">
        <v>121</v>
      </c>
      <c r="S50" s="30" t="s">
        <v>2470</v>
      </c>
      <c r="T50" s="30" t="s">
        <v>978</v>
      </c>
      <c r="U50" s="30" t="s">
        <v>2469</v>
      </c>
    </row>
    <row r="51" spans="1:21" ht="12.9">
      <c r="A51" s="179"/>
      <c r="B51" s="179"/>
      <c r="D51" s="180" t="s">
        <v>2495</v>
      </c>
      <c r="E51" s="181" t="s">
        <v>122</v>
      </c>
      <c r="S51" s="30" t="s">
        <v>2470</v>
      </c>
      <c r="T51" s="30" t="s">
        <v>979</v>
      </c>
      <c r="U51" s="30" t="s">
        <v>2469</v>
      </c>
    </row>
    <row r="52" spans="1:21" ht="12.9">
      <c r="A52" s="179"/>
      <c r="B52" s="179"/>
      <c r="D52" s="180" t="s">
        <v>2495</v>
      </c>
      <c r="E52" s="181" t="s">
        <v>110</v>
      </c>
      <c r="S52" s="30" t="s">
        <v>2470</v>
      </c>
      <c r="T52" s="30" t="s">
        <v>980</v>
      </c>
      <c r="U52" s="30" t="s">
        <v>2469</v>
      </c>
    </row>
    <row r="53" spans="1:21" ht="12.9">
      <c r="A53" s="179"/>
      <c r="B53" s="179"/>
      <c r="D53" s="180" t="s">
        <v>2495</v>
      </c>
      <c r="E53" s="181" t="s">
        <v>111</v>
      </c>
      <c r="S53" s="30" t="s">
        <v>2470</v>
      </c>
      <c r="T53" s="30" t="s">
        <v>981</v>
      </c>
      <c r="U53" s="30" t="s">
        <v>2470</v>
      </c>
    </row>
    <row r="54" spans="1:21" ht="12.9">
      <c r="A54" s="179"/>
      <c r="B54" s="179"/>
      <c r="D54" s="180" t="s">
        <v>2495</v>
      </c>
      <c r="E54" s="181" t="s">
        <v>104</v>
      </c>
      <c r="S54" s="30" t="s">
        <v>2470</v>
      </c>
      <c r="T54" s="30" t="s">
        <v>982</v>
      </c>
      <c r="U54" s="30" t="s">
        <v>2470</v>
      </c>
    </row>
    <row r="55" spans="1:21" ht="12.9">
      <c r="A55" s="179"/>
      <c r="B55" s="179"/>
      <c r="D55" s="180" t="s">
        <v>2495</v>
      </c>
      <c r="E55" s="181" t="s">
        <v>114</v>
      </c>
      <c r="S55" s="30" t="s">
        <v>2470</v>
      </c>
      <c r="T55" s="30" t="s">
        <v>2602</v>
      </c>
      <c r="U55" s="30" t="s">
        <v>2470</v>
      </c>
    </row>
    <row r="56" spans="1:21" ht="12.9">
      <c r="A56" s="179"/>
      <c r="B56" s="179"/>
      <c r="D56" s="180" t="s">
        <v>2495</v>
      </c>
      <c r="E56" s="181" t="s">
        <v>234</v>
      </c>
      <c r="S56" s="30" t="s">
        <v>983</v>
      </c>
      <c r="T56" s="30" t="s">
        <v>983</v>
      </c>
      <c r="U56" s="30" t="s">
        <v>983</v>
      </c>
    </row>
    <row r="57" spans="1:21" ht="12.9">
      <c r="A57" s="179"/>
      <c r="B57" s="179"/>
      <c r="D57" s="180" t="s">
        <v>2495</v>
      </c>
      <c r="E57" s="181" t="s">
        <v>119</v>
      </c>
      <c r="S57" s="30" t="s">
        <v>983</v>
      </c>
      <c r="T57" s="30" t="s">
        <v>984</v>
      </c>
      <c r="U57" s="30" t="s">
        <v>983</v>
      </c>
    </row>
    <row r="58" spans="1:21" ht="12.9">
      <c r="A58" s="179"/>
      <c r="B58" s="179"/>
      <c r="D58" s="180" t="s">
        <v>2495</v>
      </c>
      <c r="E58" s="181" t="s">
        <v>1827</v>
      </c>
      <c r="S58" s="30" t="s">
        <v>983</v>
      </c>
      <c r="T58" s="30" t="s">
        <v>985</v>
      </c>
      <c r="U58" s="30" t="s">
        <v>983</v>
      </c>
    </row>
    <row r="59" spans="1:21" ht="12.9">
      <c r="A59" s="179"/>
      <c r="B59" s="179"/>
      <c r="D59" s="180" t="s">
        <v>2495</v>
      </c>
      <c r="E59" s="181" t="s">
        <v>235</v>
      </c>
      <c r="S59" s="30" t="s">
        <v>2470</v>
      </c>
      <c r="T59" s="30" t="s">
        <v>2609</v>
      </c>
      <c r="U59" s="30" t="s">
        <v>2470</v>
      </c>
    </row>
    <row r="60" spans="1:21" ht="12.9">
      <c r="A60" s="179"/>
      <c r="B60" s="179"/>
      <c r="D60" s="180" t="s">
        <v>2289</v>
      </c>
      <c r="E60" s="181" t="s">
        <v>126</v>
      </c>
      <c r="S60" s="30" t="s">
        <v>2470</v>
      </c>
      <c r="T60" s="30" t="s">
        <v>2232</v>
      </c>
      <c r="U60" s="30" t="s">
        <v>2470</v>
      </c>
    </row>
    <row r="61" spans="1:21" ht="12.9">
      <c r="A61" s="179"/>
      <c r="B61" s="179"/>
      <c r="D61" s="180" t="s">
        <v>2289</v>
      </c>
      <c r="E61" s="181" t="s">
        <v>2610</v>
      </c>
      <c r="S61" s="30" t="s">
        <v>2470</v>
      </c>
      <c r="T61" s="30" t="s">
        <v>986</v>
      </c>
      <c r="U61" s="30" t="s">
        <v>2470</v>
      </c>
    </row>
    <row r="62" spans="1:21" ht="12.9">
      <c r="A62" s="179"/>
      <c r="B62" s="179"/>
      <c r="D62" s="180" t="s">
        <v>2289</v>
      </c>
      <c r="E62" s="181" t="s">
        <v>240</v>
      </c>
      <c r="P62" s="182"/>
      <c r="S62" s="30" t="s">
        <v>2470</v>
      </c>
      <c r="T62" s="30" t="s">
        <v>987</v>
      </c>
      <c r="U62" s="30" t="s">
        <v>2470</v>
      </c>
    </row>
    <row r="63" spans="1:21" ht="12.9">
      <c r="A63" s="179"/>
      <c r="B63" s="179"/>
      <c r="D63" s="180" t="s">
        <v>2289</v>
      </c>
      <c r="E63" s="181" t="s">
        <v>241</v>
      </c>
      <c r="S63" s="30" t="s">
        <v>2470</v>
      </c>
      <c r="T63" s="30" t="s">
        <v>2617</v>
      </c>
      <c r="U63" s="30" t="s">
        <v>2470</v>
      </c>
    </row>
    <row r="64" spans="1:21" ht="12.9">
      <c r="A64" s="179"/>
      <c r="B64" s="179"/>
      <c r="D64" s="180" t="s">
        <v>2289</v>
      </c>
      <c r="E64" s="181" t="s">
        <v>127</v>
      </c>
      <c r="S64" s="30" t="s">
        <v>2470</v>
      </c>
      <c r="T64" s="30" t="s">
        <v>2471</v>
      </c>
      <c r="U64" s="30" t="s">
        <v>2470</v>
      </c>
    </row>
    <row r="65" spans="1:21" ht="12.9">
      <c r="A65" s="179"/>
      <c r="B65" s="179"/>
      <c r="D65" s="180" t="s">
        <v>2289</v>
      </c>
      <c r="E65" s="181" t="s">
        <v>2619</v>
      </c>
      <c r="S65" s="30" t="s">
        <v>2470</v>
      </c>
      <c r="T65" s="30" t="s">
        <v>988</v>
      </c>
      <c r="U65" s="30" t="s">
        <v>2470</v>
      </c>
    </row>
    <row r="66" spans="1:21" ht="12.9">
      <c r="A66" s="179"/>
      <c r="B66" s="179"/>
      <c r="D66" s="180" t="s">
        <v>2289</v>
      </c>
      <c r="E66" s="181" t="s">
        <v>1828</v>
      </c>
      <c r="S66" s="30" t="s">
        <v>2470</v>
      </c>
      <c r="T66" s="30" t="s">
        <v>989</v>
      </c>
      <c r="U66" s="30" t="s">
        <v>2470</v>
      </c>
    </row>
    <row r="67" spans="1:21" ht="12.9">
      <c r="A67" s="179"/>
      <c r="B67" s="179"/>
      <c r="D67" s="180" t="s">
        <v>2289</v>
      </c>
      <c r="E67" s="181" t="s">
        <v>128</v>
      </c>
      <c r="S67" s="30" t="s">
        <v>2470</v>
      </c>
      <c r="T67" s="30" t="s">
        <v>2627</v>
      </c>
      <c r="U67" s="30" t="s">
        <v>2470</v>
      </c>
    </row>
    <row r="68" spans="1:21" ht="12.9">
      <c r="A68" s="179"/>
      <c r="B68" s="179"/>
      <c r="D68" s="179" t="s">
        <v>180</v>
      </c>
      <c r="E68" s="181" t="s">
        <v>180</v>
      </c>
      <c r="S68" s="30" t="s">
        <v>2470</v>
      </c>
      <c r="T68" s="30" t="s">
        <v>2633</v>
      </c>
      <c r="U68" s="30" t="s">
        <v>2470</v>
      </c>
    </row>
    <row r="69" spans="1:21" ht="12.9">
      <c r="A69" s="179"/>
      <c r="B69" s="179"/>
      <c r="D69" s="179" t="s">
        <v>2289</v>
      </c>
      <c r="E69" s="181" t="s">
        <v>2316</v>
      </c>
      <c r="S69" s="30" t="s">
        <v>2470</v>
      </c>
      <c r="T69" s="30" t="s">
        <v>990</v>
      </c>
      <c r="U69" s="30" t="s">
        <v>2470</v>
      </c>
    </row>
    <row r="70" spans="1:21">
      <c r="A70" s="179"/>
      <c r="B70" s="179"/>
      <c r="D70" s="179"/>
      <c r="E70" s="181"/>
    </row>
    <row r="71" spans="1:21">
      <c r="A71" s="179"/>
      <c r="B71" s="179"/>
      <c r="D71" s="179"/>
      <c r="E71" s="181"/>
    </row>
    <row r="72" spans="1:21">
      <c r="A72" s="179"/>
      <c r="B72" s="179"/>
      <c r="D72" s="179"/>
      <c r="E72" s="181"/>
    </row>
    <row r="73" spans="1:21">
      <c r="A73" s="179"/>
      <c r="B73" s="179"/>
      <c r="D73" s="179"/>
      <c r="E73" s="181"/>
    </row>
    <row r="74" spans="1:21">
      <c r="A74" s="179"/>
      <c r="B74" s="179"/>
      <c r="D74" s="179"/>
      <c r="E74" s="181"/>
    </row>
    <row r="75" spans="1:21">
      <c r="A75" s="179"/>
      <c r="B75" s="179"/>
      <c r="D75" s="179"/>
      <c r="E75" s="181"/>
    </row>
    <row r="76" spans="1:21">
      <c r="A76" s="179"/>
      <c r="B76" s="179"/>
      <c r="D76" s="179"/>
      <c r="E76" s="181"/>
    </row>
    <row r="77" spans="1:21">
      <c r="A77" s="179"/>
      <c r="B77" s="179"/>
      <c r="D77" s="179"/>
      <c r="E77" s="181"/>
    </row>
    <row r="78" spans="1:21">
      <c r="A78" s="179"/>
      <c r="B78" s="179"/>
      <c r="D78" s="179"/>
      <c r="E78" s="181"/>
    </row>
    <row r="79" spans="1:21">
      <c r="A79" s="179"/>
      <c r="B79" s="179"/>
      <c r="D79" s="179"/>
      <c r="E79" s="181"/>
    </row>
    <row r="80" spans="1:21">
      <c r="A80" s="179"/>
      <c r="B80" s="179"/>
      <c r="D80" s="179"/>
      <c r="E80" s="181"/>
    </row>
    <row r="81" spans="1:5">
      <c r="A81" s="179"/>
      <c r="B81" s="179"/>
      <c r="D81" s="179"/>
      <c r="E81" s="181"/>
    </row>
    <row r="82" spans="1:5">
      <c r="A82" s="179"/>
      <c r="B82" s="179"/>
      <c r="D82" s="179"/>
      <c r="E82" s="181"/>
    </row>
    <row r="83" spans="1:5">
      <c r="A83" s="179"/>
      <c r="B83" s="179"/>
      <c r="D83" s="179"/>
      <c r="E83" s="181"/>
    </row>
    <row r="84" spans="1:5">
      <c r="A84" s="179"/>
      <c r="B84" s="179"/>
      <c r="D84" s="179"/>
      <c r="E84" s="181"/>
    </row>
    <row r="85" spans="1:5">
      <c r="A85" s="179"/>
      <c r="B85" s="179"/>
      <c r="D85" s="179"/>
      <c r="E85" s="181"/>
    </row>
    <row r="86" spans="1:5">
      <c r="A86" s="179"/>
      <c r="B86" s="179"/>
      <c r="D86" s="179"/>
      <c r="E86" s="181"/>
    </row>
    <row r="87" spans="1:5">
      <c r="A87" s="179"/>
      <c r="B87" s="179"/>
      <c r="D87" s="179"/>
      <c r="E87" s="181"/>
    </row>
    <row r="88" spans="1:5">
      <c r="A88" s="179"/>
      <c r="B88" s="179"/>
      <c r="D88" s="179"/>
      <c r="E88" s="181"/>
    </row>
    <row r="89" spans="1:5">
      <c r="A89" s="179"/>
      <c r="B89" s="179"/>
      <c r="D89" s="179"/>
      <c r="E89" s="181"/>
    </row>
    <row r="90" spans="1:5">
      <c r="A90" s="179"/>
      <c r="B90" s="179"/>
      <c r="D90" s="179"/>
      <c r="E90" s="181"/>
    </row>
    <row r="91" spans="1:5">
      <c r="A91" s="179"/>
      <c r="B91" s="179"/>
      <c r="D91" s="179"/>
      <c r="E91" s="181"/>
    </row>
    <row r="92" spans="1:5">
      <c r="A92" s="179"/>
      <c r="B92" s="179"/>
      <c r="D92" s="179"/>
      <c r="E92" s="181"/>
    </row>
    <row r="93" spans="1:5">
      <c r="A93" s="179"/>
      <c r="B93" s="179"/>
      <c r="D93" s="179"/>
      <c r="E93" s="181"/>
    </row>
    <row r="94" spans="1:5">
      <c r="A94" s="179"/>
      <c r="B94" s="179"/>
      <c r="D94" s="179"/>
      <c r="E94" s="181"/>
    </row>
    <row r="95" spans="1:5">
      <c r="A95" s="179"/>
      <c r="B95" s="179"/>
      <c r="D95" s="179"/>
      <c r="E95" s="181"/>
    </row>
    <row r="96" spans="1:5">
      <c r="A96" s="179"/>
      <c r="B96" s="179"/>
      <c r="D96" s="179"/>
      <c r="E96" s="181"/>
    </row>
    <row r="97" spans="1:5">
      <c r="A97" s="179"/>
      <c r="B97" s="179"/>
      <c r="D97" s="179"/>
      <c r="E97" s="181"/>
    </row>
    <row r="98" spans="1:5">
      <c r="A98" s="179"/>
      <c r="B98" s="179"/>
      <c r="D98" s="179"/>
      <c r="E98" s="181"/>
    </row>
    <row r="99" spans="1:5">
      <c r="A99" s="179"/>
      <c r="B99" s="179"/>
      <c r="D99" s="179"/>
      <c r="E99" s="181"/>
    </row>
    <row r="100" spans="1:5">
      <c r="A100" s="179"/>
      <c r="B100" s="179"/>
      <c r="D100" s="179"/>
      <c r="E100" s="181"/>
    </row>
    <row r="101" spans="1:5">
      <c r="A101" s="179"/>
      <c r="B101" s="179"/>
      <c r="D101" s="179"/>
      <c r="E101" s="181"/>
    </row>
    <row r="102" spans="1:5">
      <c r="A102" s="179"/>
      <c r="B102" s="179"/>
      <c r="D102" s="179"/>
      <c r="E102" s="181"/>
    </row>
    <row r="103" spans="1:5">
      <c r="A103" s="179"/>
      <c r="B103" s="179"/>
      <c r="D103" s="179"/>
      <c r="E103" s="181"/>
    </row>
    <row r="104" spans="1:5">
      <c r="A104" s="179"/>
      <c r="B104" s="179"/>
      <c r="D104" s="179"/>
      <c r="E104" s="181"/>
    </row>
    <row r="105" spans="1:5">
      <c r="A105" s="179"/>
      <c r="B105" s="179"/>
      <c r="D105" s="179"/>
      <c r="E105" s="181"/>
    </row>
    <row r="106" spans="1:5">
      <c r="A106" s="179"/>
      <c r="B106" s="179"/>
      <c r="D106" s="179"/>
      <c r="E106" s="181"/>
    </row>
    <row r="107" spans="1:5">
      <c r="A107" s="179"/>
      <c r="B107" s="179"/>
      <c r="D107" s="179"/>
      <c r="E107" s="181"/>
    </row>
    <row r="108" spans="1:5">
      <c r="A108" s="179"/>
      <c r="B108" s="179"/>
      <c r="D108" s="179"/>
      <c r="E108" s="181"/>
    </row>
    <row r="109" spans="1:5">
      <c r="A109" s="179"/>
      <c r="B109" s="179"/>
      <c r="D109" s="179"/>
      <c r="E109" s="181"/>
    </row>
    <row r="110" spans="1:5">
      <c r="A110" s="179"/>
      <c r="B110" s="179"/>
      <c r="D110" s="179"/>
      <c r="E110" s="181"/>
    </row>
    <row r="111" spans="1:5">
      <c r="A111" s="179"/>
      <c r="B111" s="179"/>
      <c r="D111" s="179"/>
      <c r="E111" s="181"/>
    </row>
    <row r="112" spans="1:5">
      <c r="A112" s="179"/>
      <c r="B112" s="179"/>
      <c r="D112" s="179"/>
      <c r="E112" s="181"/>
    </row>
    <row r="113" spans="1:5">
      <c r="A113" s="179"/>
      <c r="B113" s="179"/>
      <c r="D113" s="179"/>
      <c r="E113" s="181"/>
    </row>
    <row r="114" spans="1:5">
      <c r="A114" s="179"/>
      <c r="B114" s="179"/>
      <c r="D114" s="179"/>
      <c r="E114" s="181"/>
    </row>
    <row r="115" spans="1:5">
      <c r="A115" s="179"/>
      <c r="B115" s="179"/>
      <c r="D115" s="179"/>
      <c r="E115" s="181"/>
    </row>
    <row r="116" spans="1:5">
      <c r="A116" s="179"/>
      <c r="B116" s="179"/>
      <c r="D116" s="179"/>
      <c r="E116" s="181"/>
    </row>
    <row r="117" spans="1:5">
      <c r="A117" s="179"/>
      <c r="B117" s="179"/>
      <c r="D117" s="179"/>
      <c r="E117" s="181"/>
    </row>
    <row r="118" spans="1:5">
      <c r="A118" s="179"/>
      <c r="B118" s="179"/>
      <c r="D118" s="179"/>
      <c r="E118" s="181"/>
    </row>
    <row r="119" spans="1:5">
      <c r="A119" s="179"/>
      <c r="B119" s="179"/>
      <c r="D119" s="179"/>
      <c r="E119" s="181"/>
    </row>
    <row r="120" spans="1:5">
      <c r="A120" s="179"/>
      <c r="B120" s="179"/>
      <c r="D120" s="179"/>
      <c r="E120" s="181"/>
    </row>
    <row r="121" spans="1:5">
      <c r="A121" s="179"/>
      <c r="B121" s="179"/>
      <c r="D121" s="179"/>
      <c r="E121" s="181"/>
    </row>
    <row r="122" spans="1:5">
      <c r="A122" s="179"/>
      <c r="B122" s="179"/>
      <c r="D122" s="179"/>
      <c r="E122" s="181"/>
    </row>
    <row r="123" spans="1:5">
      <c r="A123" s="179"/>
      <c r="B123" s="179"/>
      <c r="D123" s="179"/>
      <c r="E123" s="181"/>
    </row>
    <row r="124" spans="1:5">
      <c r="A124" s="179"/>
      <c r="B124" s="179"/>
      <c r="D124" s="179"/>
      <c r="E124" s="181"/>
    </row>
    <row r="125" spans="1:5">
      <c r="A125" s="179"/>
      <c r="B125" s="179"/>
      <c r="D125" s="179"/>
      <c r="E125" s="181"/>
    </row>
    <row r="126" spans="1:5">
      <c r="A126" s="179"/>
      <c r="B126" s="179"/>
      <c r="D126" s="179"/>
      <c r="E126" s="181"/>
    </row>
    <row r="127" spans="1:5">
      <c r="A127" s="179"/>
      <c r="B127" s="179"/>
      <c r="D127" s="179"/>
      <c r="E127" s="181"/>
    </row>
    <row r="128" spans="1:5">
      <c r="A128" s="179"/>
      <c r="B128" s="179"/>
      <c r="D128" s="179"/>
      <c r="E128" s="181"/>
    </row>
    <row r="129" spans="1:5">
      <c r="A129" s="179"/>
      <c r="B129" s="179"/>
      <c r="D129" s="179"/>
      <c r="E129" s="181"/>
    </row>
    <row r="130" spans="1:5">
      <c r="A130" s="179"/>
      <c r="B130" s="179"/>
      <c r="D130" s="179"/>
      <c r="E130" s="181"/>
    </row>
    <row r="131" spans="1:5">
      <c r="A131" s="179"/>
      <c r="B131" s="179"/>
      <c r="D131" s="179"/>
      <c r="E131" s="181"/>
    </row>
    <row r="132" spans="1:5">
      <c r="A132" s="179"/>
      <c r="B132" s="179"/>
      <c r="D132" s="179"/>
      <c r="E132" s="181"/>
    </row>
    <row r="133" spans="1:5">
      <c r="A133" s="179"/>
      <c r="B133" s="179"/>
      <c r="D133" s="179"/>
      <c r="E133" s="181"/>
    </row>
    <row r="134" spans="1:5">
      <c r="A134" s="179"/>
      <c r="B134" s="179"/>
      <c r="D134" s="179"/>
      <c r="E134" s="181"/>
    </row>
    <row r="135" spans="1:5">
      <c r="A135" s="179"/>
      <c r="B135" s="179"/>
      <c r="D135" s="179"/>
      <c r="E135" s="181"/>
    </row>
    <row r="136" spans="1:5">
      <c r="A136" s="179"/>
      <c r="B136" s="179"/>
      <c r="D136" s="179"/>
      <c r="E136" s="181"/>
    </row>
    <row r="137" spans="1:5">
      <c r="A137" s="183"/>
      <c r="B137" s="183"/>
      <c r="D137" s="179"/>
      <c r="E137" s="181"/>
    </row>
    <row r="138" spans="1:5">
      <c r="A138" s="183"/>
      <c r="B138" s="183"/>
      <c r="D138" s="179"/>
      <c r="E138" s="181"/>
    </row>
    <row r="139" spans="1:5">
      <c r="A139" s="183"/>
      <c r="B139" s="183"/>
      <c r="D139" s="179"/>
      <c r="E139" s="181"/>
    </row>
    <row r="140" spans="1:5">
      <c r="A140" s="183"/>
      <c r="B140" s="183"/>
      <c r="D140" s="181"/>
      <c r="E140" s="181"/>
    </row>
    <row r="141" spans="1:5">
      <c r="A141" s="183"/>
      <c r="B141" s="183"/>
      <c r="D141" s="179"/>
      <c r="E141" s="181"/>
    </row>
    <row r="142" spans="1:5">
      <c r="A142" s="183"/>
      <c r="B142" s="183"/>
      <c r="D142" s="179"/>
      <c r="E142" s="181"/>
    </row>
    <row r="143" spans="1:5">
      <c r="D143" s="179"/>
      <c r="E143" s="181"/>
    </row>
    <row r="144" spans="1:5">
      <c r="D144" s="179"/>
      <c r="E144" s="181"/>
    </row>
    <row r="145" spans="4:5">
      <c r="D145" s="179"/>
      <c r="E145" s="181"/>
    </row>
    <row r="146" spans="4:5">
      <c r="D146" s="181"/>
      <c r="E146" s="181"/>
    </row>
    <row r="147" spans="4:5">
      <c r="D147" s="179"/>
      <c r="E147" s="184"/>
    </row>
    <row r="148" spans="4:5">
      <c r="D148" s="179"/>
      <c r="E148" s="184"/>
    </row>
    <row r="149" spans="4:5">
      <c r="D149" s="179"/>
      <c r="E149" s="184"/>
    </row>
    <row r="150" spans="4:5">
      <c r="D150" s="179"/>
      <c r="E150" s="184"/>
    </row>
    <row r="151" spans="4:5">
      <c r="D151" s="179"/>
      <c r="E151" s="184"/>
    </row>
    <row r="409" spans="17:18">
      <c r="Q409" s="182"/>
      <c r="R409" s="190"/>
    </row>
    <row r="410" spans="17:18">
      <c r="Q410" s="182"/>
      <c r="R410" s="190"/>
    </row>
    <row r="411" spans="17:18">
      <c r="Q411" s="182"/>
      <c r="R411" s="190"/>
    </row>
    <row r="412" spans="17:18">
      <c r="Q412" s="182"/>
      <c r="R412" s="190"/>
    </row>
    <row r="416" spans="17:18">
      <c r="Q416" s="182"/>
      <c r="R416" s="190"/>
    </row>
    <row r="417" spans="17:18">
      <c r="Q417" s="182"/>
      <c r="R417" s="190"/>
    </row>
    <row r="418" spans="17:18">
      <c r="Q418" s="182"/>
      <c r="R418" s="190"/>
    </row>
    <row r="419" spans="17:18">
      <c r="Q419" s="182"/>
      <c r="R419" s="190"/>
    </row>
    <row r="420" spans="17:18">
      <c r="Q420" s="182"/>
      <c r="R420" s="190"/>
    </row>
    <row r="421" spans="17:18">
      <c r="Q421" s="182"/>
      <c r="R421" s="190"/>
    </row>
    <row r="422" spans="17:18">
      <c r="Q422" s="182"/>
      <c r="R422" s="190"/>
    </row>
    <row r="423" spans="17:18">
      <c r="Q423" s="182"/>
      <c r="R423" s="190"/>
    </row>
    <row r="424" spans="17:18">
      <c r="Q424" s="182"/>
      <c r="R424" s="190"/>
    </row>
    <row r="425" spans="17:18">
      <c r="Q425" s="182"/>
      <c r="R425" s="190"/>
    </row>
    <row r="426" spans="17:18">
      <c r="Q426" s="182"/>
      <c r="R426" s="190"/>
    </row>
    <row r="427" spans="17:18">
      <c r="Q427" s="182"/>
      <c r="R427" s="190"/>
    </row>
    <row r="428" spans="17:18">
      <c r="Q428" s="182"/>
      <c r="R428" s="190"/>
    </row>
    <row r="429" spans="17:18">
      <c r="Q429" s="182"/>
      <c r="R429" s="190"/>
    </row>
    <row r="430" spans="17:18">
      <c r="Q430" s="182"/>
      <c r="R430" s="190"/>
    </row>
    <row r="431" spans="17:18">
      <c r="Q431" s="182"/>
      <c r="R431" s="190"/>
    </row>
    <row r="432" spans="17:18">
      <c r="Q432" s="182"/>
      <c r="R432" s="190"/>
    </row>
    <row r="433" spans="17:18">
      <c r="Q433" s="182"/>
      <c r="R433" s="190"/>
    </row>
    <row r="434" spans="17:18">
      <c r="Q434" s="182"/>
      <c r="R434" s="190"/>
    </row>
    <row r="435" spans="17:18">
      <c r="Q435" s="182"/>
      <c r="R435" s="190"/>
    </row>
    <row r="436" spans="17:18">
      <c r="Q436" s="182"/>
      <c r="R436" s="190"/>
    </row>
    <row r="437" spans="17:18">
      <c r="Q437" s="182"/>
      <c r="R437" s="190"/>
    </row>
    <row r="438" spans="17:18">
      <c r="Q438" s="182"/>
      <c r="R438" s="190"/>
    </row>
    <row r="439" spans="17:18">
      <c r="Q439" s="182"/>
      <c r="R439" s="190"/>
    </row>
    <row r="440" spans="17:18">
      <c r="Q440" s="182"/>
      <c r="R440" s="190"/>
    </row>
    <row r="441" spans="17:18">
      <c r="Q441" s="182"/>
      <c r="R441" s="190"/>
    </row>
    <row r="442" spans="17:18">
      <c r="Q442" s="182"/>
      <c r="R442" s="190"/>
    </row>
    <row r="443" spans="17:18">
      <c r="Q443" s="182"/>
      <c r="R443" s="190"/>
    </row>
    <row r="444" spans="17:18">
      <c r="Q444" s="182"/>
      <c r="R444" s="190"/>
    </row>
    <row r="445" spans="17:18">
      <c r="Q445" s="182"/>
      <c r="R445" s="190"/>
    </row>
    <row r="446" spans="17:18">
      <c r="Q446" s="182"/>
      <c r="R446" s="190"/>
    </row>
    <row r="447" spans="17:18">
      <c r="Q447" s="182"/>
      <c r="R447" s="190"/>
    </row>
    <row r="448" spans="17:18">
      <c r="Q448" s="182"/>
      <c r="R448" s="190"/>
    </row>
    <row r="449" spans="17:18">
      <c r="Q449" s="182"/>
      <c r="R449" s="190"/>
    </row>
    <row r="450" spans="17:18">
      <c r="Q450" s="182"/>
      <c r="R450" s="190"/>
    </row>
    <row r="451" spans="17:18">
      <c r="Q451" s="182"/>
      <c r="R451" s="190"/>
    </row>
    <row r="452" spans="17:18">
      <c r="Q452" s="182"/>
      <c r="R452" s="190"/>
    </row>
    <row r="453" spans="17:18">
      <c r="Q453" s="182"/>
      <c r="R453" s="190"/>
    </row>
    <row r="454" spans="17:18">
      <c r="Q454" s="182"/>
      <c r="R454" s="190"/>
    </row>
    <row r="455" spans="17:18">
      <c r="Q455" s="182"/>
      <c r="R455" s="190"/>
    </row>
    <row r="456" spans="17:18">
      <c r="Q456" s="182"/>
      <c r="R456" s="190"/>
    </row>
    <row r="457" spans="17:18">
      <c r="Q457" s="182"/>
      <c r="R457" s="190"/>
    </row>
    <row r="458" spans="17:18">
      <c r="Q458" s="182"/>
      <c r="R458" s="190"/>
    </row>
    <row r="459" spans="17:18">
      <c r="Q459" s="182"/>
      <c r="R459" s="190"/>
    </row>
    <row r="460" spans="17:18">
      <c r="Q460" s="182"/>
      <c r="R460" s="190"/>
    </row>
    <row r="461" spans="17:18">
      <c r="Q461" s="182"/>
      <c r="R461" s="190"/>
    </row>
    <row r="462" spans="17:18">
      <c r="Q462" s="182"/>
      <c r="R462" s="190"/>
    </row>
    <row r="463" spans="17:18">
      <c r="Q463" s="182"/>
      <c r="R463" s="190"/>
    </row>
    <row r="464" spans="17:18">
      <c r="Q464" s="182"/>
      <c r="R464" s="190"/>
    </row>
    <row r="465" spans="17:18">
      <c r="Q465" s="182"/>
      <c r="R465" s="190"/>
    </row>
    <row r="466" spans="17:18">
      <c r="Q466" s="182"/>
      <c r="R466" s="190"/>
    </row>
    <row r="467" spans="17:18">
      <c r="Q467" s="182"/>
      <c r="R467" s="190"/>
    </row>
    <row r="468" spans="17:18">
      <c r="Q468" s="182"/>
      <c r="R468" s="190"/>
    </row>
    <row r="469" spans="17:18">
      <c r="Q469" s="182"/>
      <c r="R469" s="190"/>
    </row>
    <row r="470" spans="17:18">
      <c r="Q470" s="182"/>
      <c r="R470" s="190"/>
    </row>
    <row r="471" spans="17:18">
      <c r="Q471" s="182"/>
      <c r="R471" s="190"/>
    </row>
    <row r="472" spans="17:18">
      <c r="Q472" s="182"/>
      <c r="R472" s="190"/>
    </row>
    <row r="473" spans="17:18">
      <c r="Q473" s="182"/>
      <c r="R473" s="190"/>
    </row>
    <row r="474" spans="17:18">
      <c r="Q474" s="182"/>
      <c r="R474" s="190"/>
    </row>
    <row r="475" spans="17:18">
      <c r="Q475" s="182"/>
      <c r="R475" s="190"/>
    </row>
    <row r="476" spans="17:18">
      <c r="Q476" s="182"/>
      <c r="R476" s="190"/>
    </row>
    <row r="477" spans="17:18">
      <c r="Q477" s="182"/>
      <c r="R477" s="190"/>
    </row>
    <row r="478" spans="17:18">
      <c r="Q478" s="182"/>
      <c r="R478" s="190"/>
    </row>
    <row r="479" spans="17:18">
      <c r="Q479" s="182"/>
      <c r="R479" s="190"/>
    </row>
    <row r="480" spans="17:18">
      <c r="Q480" s="182"/>
      <c r="R480" s="190"/>
    </row>
    <row r="481" spans="17:18">
      <c r="Q481" s="182"/>
      <c r="R481" s="190"/>
    </row>
    <row r="482" spans="17:18">
      <c r="Q482" s="182"/>
      <c r="R482" s="190"/>
    </row>
    <row r="483" spans="17:18">
      <c r="Q483" s="182"/>
      <c r="R483" s="190"/>
    </row>
    <row r="484" spans="17:18">
      <c r="Q484" s="182"/>
      <c r="R484" s="190"/>
    </row>
    <row r="485" spans="17:18">
      <c r="Q485" s="182"/>
      <c r="R485" s="190"/>
    </row>
    <row r="486" spans="17:18">
      <c r="Q486" s="182"/>
      <c r="R486" s="190"/>
    </row>
    <row r="487" spans="17:18">
      <c r="Q487" s="182"/>
      <c r="R487" s="190"/>
    </row>
    <row r="488" spans="17:18">
      <c r="Q488" s="182"/>
      <c r="R488" s="190"/>
    </row>
    <row r="489" spans="17:18">
      <c r="Q489" s="182"/>
      <c r="R489" s="190"/>
    </row>
    <row r="490" spans="17:18">
      <c r="Q490" s="182"/>
      <c r="R490" s="190"/>
    </row>
    <row r="491" spans="17:18">
      <c r="Q491" s="182"/>
      <c r="R491" s="190"/>
    </row>
    <row r="492" spans="17:18">
      <c r="Q492" s="182"/>
      <c r="R492" s="190"/>
    </row>
    <row r="493" spans="17:18">
      <c r="Q493" s="182"/>
      <c r="R493" s="190"/>
    </row>
    <row r="494" spans="17:18">
      <c r="Q494" s="182"/>
      <c r="R494" s="190"/>
    </row>
    <row r="495" spans="17:18">
      <c r="Q495" s="182"/>
      <c r="R495" s="190"/>
    </row>
    <row r="496" spans="17:18">
      <c r="Q496" s="182"/>
      <c r="R496" s="190"/>
    </row>
    <row r="497" spans="17:18">
      <c r="Q497" s="182"/>
      <c r="R497" s="190"/>
    </row>
    <row r="498" spans="17:18">
      <c r="Q498" s="182"/>
      <c r="R498" s="190"/>
    </row>
    <row r="499" spans="17:18">
      <c r="Q499" s="182"/>
      <c r="R499" s="190"/>
    </row>
    <row r="500" spans="17:18">
      <c r="Q500" s="182"/>
      <c r="R500" s="190"/>
    </row>
    <row r="501" spans="17:18">
      <c r="Q501" s="182"/>
      <c r="R501" s="190"/>
    </row>
    <row r="502" spans="17:18">
      <c r="Q502" s="182"/>
      <c r="R502" s="190"/>
    </row>
    <row r="503" spans="17:18">
      <c r="Q503" s="182"/>
      <c r="R503" s="190"/>
    </row>
    <row r="504" spans="17:18">
      <c r="Q504" s="182"/>
      <c r="R504" s="190"/>
    </row>
    <row r="505" spans="17:18">
      <c r="Q505" s="182"/>
      <c r="R505" s="190"/>
    </row>
    <row r="506" spans="17:18">
      <c r="Q506" s="182"/>
      <c r="R506" s="190"/>
    </row>
    <row r="507" spans="17:18">
      <c r="Q507" s="182"/>
      <c r="R507" s="190"/>
    </row>
    <row r="508" spans="17:18">
      <c r="Q508" s="182"/>
      <c r="R508" s="190"/>
    </row>
    <row r="509" spans="17:18">
      <c r="Q509" s="182"/>
      <c r="R509" s="190"/>
    </row>
    <row r="510" spans="17:18">
      <c r="Q510" s="182"/>
      <c r="R510" s="190"/>
    </row>
    <row r="511" spans="17:18">
      <c r="Q511" s="182"/>
      <c r="R511" s="190"/>
    </row>
    <row r="512" spans="17:18">
      <c r="Q512" s="182"/>
      <c r="R512" s="190"/>
    </row>
    <row r="513" spans="17:18">
      <c r="Q513" s="182"/>
      <c r="R513" s="190"/>
    </row>
    <row r="514" spans="17:18">
      <c r="Q514" s="182"/>
      <c r="R514" s="190"/>
    </row>
    <row r="515" spans="17:18">
      <c r="Q515" s="182"/>
      <c r="R515" s="190"/>
    </row>
    <row r="516" spans="17:18">
      <c r="Q516" s="182"/>
      <c r="R516" s="190"/>
    </row>
    <row r="517" spans="17:18">
      <c r="Q517" s="182"/>
      <c r="R517" s="190"/>
    </row>
    <row r="518" spans="17:18">
      <c r="Q518" s="182"/>
      <c r="R518" s="190"/>
    </row>
    <row r="519" spans="17:18">
      <c r="Q519" s="182"/>
      <c r="R519" s="190"/>
    </row>
    <row r="520" spans="17:18">
      <c r="Q520" s="182"/>
      <c r="R520" s="190"/>
    </row>
    <row r="521" spans="17:18">
      <c r="Q521" s="182"/>
      <c r="R521" s="190"/>
    </row>
    <row r="522" spans="17:18">
      <c r="Q522" s="182"/>
      <c r="R522" s="190"/>
    </row>
    <row r="523" spans="17:18">
      <c r="Q523" s="182"/>
      <c r="R523" s="190"/>
    </row>
    <row r="524" spans="17:18">
      <c r="Q524" s="182"/>
      <c r="R524" s="190"/>
    </row>
    <row r="525" spans="17:18">
      <c r="Q525" s="182"/>
      <c r="R525" s="190"/>
    </row>
    <row r="526" spans="17:18">
      <c r="Q526" s="182"/>
      <c r="R526" s="190"/>
    </row>
    <row r="527" spans="17:18">
      <c r="Q527" s="182"/>
      <c r="R527" s="190"/>
    </row>
    <row r="528" spans="17:18">
      <c r="Q528" s="182"/>
      <c r="R528" s="190"/>
    </row>
    <row r="529" spans="17:18">
      <c r="Q529" s="182"/>
      <c r="R529" s="190"/>
    </row>
    <row r="530" spans="17:18">
      <c r="Q530" s="182"/>
      <c r="R530" s="190"/>
    </row>
    <row r="531" spans="17:18">
      <c r="Q531" s="182"/>
      <c r="R531" s="190"/>
    </row>
    <row r="532" spans="17:18">
      <c r="Q532" s="182"/>
      <c r="R532" s="19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layout</vt:lpstr>
      <vt:lpstr>Readme</vt:lpstr>
      <vt:lpstr>sets-maps</vt:lpstr>
      <vt:lpstr>original_sets-maps</vt:lpstr>
      <vt:lpstr>Documentation c f k</vt:lpstr>
      <vt:lpstr>example 5_8_5</vt:lpstr>
      <vt:lpstr>example 6_8_4</vt:lpstr>
    </vt:vector>
  </TitlesOfParts>
  <Company>University of Sheffield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scottm</dc:creator>
  <cp:lastModifiedBy>VAN TONGEREN Frank</cp:lastModifiedBy>
  <cp:lastPrinted>2018-05-09T10:00:54Z</cp:lastPrinted>
  <dcterms:created xsi:type="dcterms:W3CDTF">2004-06-20T18:51:19Z</dcterms:created>
  <dcterms:modified xsi:type="dcterms:W3CDTF">2020-06-17T20:25:04Z</dcterms:modified>
</cp:coreProperties>
</file>